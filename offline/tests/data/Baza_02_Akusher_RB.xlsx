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Yoriqnoma" sheetId="1" state="visible" r:id="rId3"/>
    <sheet name="Boshqaruv" sheetId="2" state="visible" r:id="rId4"/>
    <sheet name="Tugruqlar" sheetId="3" state="visible" r:id="rId5"/>
    <sheet name="Homiladorlar" sheetId="4" state="visible" r:id="rId6"/>
    <sheet name="Xavfli_homiladorlar" sheetId="5" state="visible" r:id="rId7"/>
    <sheet name="Korik_154" sheetId="6" state="visible" r:id="rId8"/>
    <sheet name="Ginekologik" sheetId="7" state="visible" r:id="rId9"/>
    <sheet name="Sitologiya" sheetId="8" state="visible" r:id="rId10"/>
    <sheet name="Kontratseptiv" sheetId="9" state="visible" r:id="rId11"/>
    <sheet name="Qabul_kunlik" sheetId="10" state="visible" r:id="rId12"/>
    <sheet name="Olim_holatlari" sheetId="11" state="visible" r:id="rId13"/>
    <sheet name="Spravochnik" sheetId="12" state="visible" r:id="rId14"/>
    <sheet name="Hujjatlar" sheetId="13" state="visible" r:id="rId15"/>
    <sheet name="Chop_etish" sheetId="14" state="visible" r:id="rId16"/>
    <sheet name="Eksport" sheetId="15" state="visible" r:id="rId17"/>
  </sheets>
  <definedNames>
    <definedName function="false" hidden="false" localSheetId="13" name="_xlnm.Print_Area" vbProcedure="false">Chop_etish!$A$1:$F$48</definedName>
    <definedName function="false" hidden="false" localSheetId="6" name="_xlnm.Print_Titles" vbProcedure="false">Ginekologik!$4:$4</definedName>
    <definedName function="false" hidden="true" localSheetId="6" name="_xlnm._FilterDatabase" vbProcedure="false">Ginekologik!$A$4:$M$804</definedName>
    <definedName function="false" hidden="false" localSheetId="3" name="_xlnm.Print_Titles" vbProcedure="false">Homiladorlar!$4:$4</definedName>
    <definedName function="false" hidden="true" localSheetId="3" name="_xlnm._FilterDatabase" vbProcedure="false">Homiladorlar!$A$4:$AH$804</definedName>
    <definedName function="false" hidden="false" localSheetId="8" name="_xlnm.Print_Titles" vbProcedure="false">Kontratseptiv!$4:$4</definedName>
    <definedName function="false" hidden="true" localSheetId="8" name="_xlnm._FilterDatabase" vbProcedure="false">Kontratseptiv!$A$4:$J$804</definedName>
    <definedName function="false" hidden="false" localSheetId="5" name="_xlnm.Print_Titles" vbProcedure="false">Korik_154!$4:$4</definedName>
    <definedName function="false" hidden="true" localSheetId="5" name="_xlnm._FilterDatabase" vbProcedure="false">Korik_154!$A$4:$L$1504</definedName>
    <definedName function="false" hidden="false" localSheetId="10" name="_xlnm.Print_Titles" vbProcedure="false">Olim_holatlari!$4:$4</definedName>
    <definedName function="false" hidden="true" localSheetId="10" name="_xlnm._FilterDatabase" vbProcedure="false">Olim_holatlari!$A$4:$I$64</definedName>
    <definedName function="false" hidden="false" localSheetId="9" name="_xlnm.Print_Titles" vbProcedure="false">Qabul_kunlik!$4:$4</definedName>
    <definedName function="false" hidden="true" localSheetId="9" name="_xlnm._FilterDatabase" vbProcedure="false">Qabul_kunlik!$A$4:$G$404</definedName>
    <definedName function="false" hidden="false" localSheetId="7" name="_xlnm.Print_Titles" vbProcedure="false">Sitologiya!$4:$4</definedName>
    <definedName function="false" hidden="true" localSheetId="7" name="_xlnm._FilterDatabase" vbProcedure="false">Sitologiya!$A$4:$J$804</definedName>
    <definedName function="false" hidden="false" localSheetId="2" name="_xlnm.Print_Titles" vbProcedure="false">Tugruqlar!$4:$4</definedName>
    <definedName function="false" hidden="true" localSheetId="2" name="_xlnm._FilterDatabase" vbProcedure="false">Tugruqlar!$A$4:$V$604</definedName>
    <definedName function="false" hidden="false" localSheetId="4" name="_xlnm.Print_Titles" vbProcedure="false">Xavfli_homiladorlar!$4:$4</definedName>
    <definedName function="false" hidden="true" localSheetId="4" name="_xlnm._FilterDatabase" vbProcedure="false">Xavfli_homiladorlar!$A$4:$N$204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<sst xmlns="http://schemas.openxmlformats.org/spreadsheetml/2006/main" count="706" uniqueCount="509">
  <si>
    <t xml:space="preserve">YO‘RIQNOMA / ИНСТРУКЦИЯ — Vrach akusher-ginekolog</t>
  </si>
  <si>
    <t xml:space="preserve">Врач акушер-гинеколог</t>
  </si>
  <si>
    <t xml:space="preserve">MAXFIY / КОНФИДЕНЦИАЛЬНО — bu fayl shaxsiy va tibbiy ma’lumotlarni saqlaydi (shifokorlik siri). Faqat o‘zingizda saqlang, parol qo‘ying; o‘rinbosarga FAQAT «Chop_etish» varag‘i (qog‘oz) va «Eksport» qatori (yig‘ma sonlar) topshiriladi. / Файл хранит персональные и медицинские данные (врачебная тайна). Храните у себя, поставьте пароль; заместителю сдаются ТОЛЬКО лист «Chop_etish» (бумага) и строка «Eksport» (агрегаты).</t>
  </si>
  <si>
    <t xml:space="preserve">Kim to‘ldiradi / Кто заполняет</t>
  </si>
  <si>
    <t xml:space="preserve">Vrach akusher-ginekolog / Врач акушер-гинеколог</t>
  </si>
  <si>
    <t xml:space="preserve">Kimga topshiriladi / Кому сдаётся</t>
  </si>
  <si>
    <t xml:space="preserve">Birlashma boshlig'ining onalik va bolalikni muhofaza qilish bo'yicha o'rinbosari / Заместитель начальника объединения по охране материнства и детства</t>
  </si>
  <si>
    <t xml:space="preserve">Muddat / Срок</t>
  </si>
  <si>
    <t xml:space="preserve">Har hafta dushanba kuni soat 12:00 gacha / каждый понедельник до 12:00</t>
  </si>
  <si>
    <t xml:space="preserve">Papkalar / Папки</t>
  </si>
  <si>
    <t xml:space="preserve">№ 7, 10, 11, 12, 13, 14, 15</t>
  </si>
  <si>
    <t xml:space="preserve">1. Qanday ishlash kerak / Как работать</t>
  </si>
  <si>
    <t xml:space="preserve">№</t>
  </si>
  <si>
    <t xml:space="preserve">Qadam / Шаг</t>
  </si>
  <si>
    <t xml:space="preserve">O‘zbekcha (lotin)</t>
  </si>
  <si>
    <t xml:space="preserve">Русский</t>
  </si>
  <si>
    <t xml:space="preserve">Tug‘ruqlarni kiriting</t>
  </si>
  <si>
    <t xml:space="preserve">Har bir tug‘ruq «Tugruqlar»ga yoziladi. Kesarcha bo‘lsa — 4513-son buyruq ro‘yxatidan tibbiy ko‘rsatmani tanlang yoki ixtiyoriy rozilik arizasi «Ha» deb belgilang; bo‘lmasa qator qizil bo‘ladi.</t>
  </si>
  <si>
    <t xml:space="preserve">Каждые роды — на лист «Tugruqlar». При кесаревом выберите показание из перечня приказа № 4513 или отметьте заявление о добровольном согласии «Ha»; иначе строка станет красной.</t>
  </si>
  <si>
    <t xml:space="preserve">Homiladorlar nazorati</t>
  </si>
  <si>
    <t xml:space="preserve">Xavf guruhidagi homiladorlarni «Homiladorlar»da yuriting: diagnoz (hujjat raqami bilan), stasionarga yo‘llanma, ko‘riklar soni. Standart bajarilishi o‘zi hisoblanadi.</t>
  </si>
  <si>
    <t xml:space="preserve">Ведите беременных группы риска на «Homiladorlar»: диагноз (с № документа), направление в стационар, число осмотров. Выполнение стандарта считается само.</t>
  </si>
  <si>
    <t xml:space="preserve">Boshqa jurnallar</t>
  </si>
  <si>
    <t xml:space="preserve">Ko‘rik №154, ginekologik kasalliklar, sitologiya, kontratseptiv berilishi, kunlik qabul — har biri o‘z varag‘ida. O‘lim holatlari — F.I.Sh.siz.</t>
  </si>
  <si>
    <t xml:space="preserve">Осмотр №154, гинекологические заболевания, цитология, выдача контрацептивов, ежедневный приём — каждое на своём листе. Случаи смерти — без ФИО.</t>
  </si>
  <si>
    <t xml:space="preserve">«Boshqaruv» varag‘i</t>
  </si>
  <si>
    <t xml:space="preserve">Davr boshi va oxirini (C9, C10), muassasa va F.I.Sh.ni kiriting. Ko‘rsatkichlar jurnallardan o‘zi hisoblanadi; sariq ko‘rsatkichlarni qo‘lda kiriting. «TAYYORLIK» qatori «✔ TAYYOR» bo‘lishi kerak.</t>
  </si>
  <si>
    <t xml:space="preserve">Введите начало и конец периода (C9, C10), учреждение и ФИО. Показатели считаются сами из журналов; жёлтые показатели введите вручную. Строка «ГОТОВНОСТЬ» должна показать «✔ ГОТОВО».</t>
  </si>
  <si>
    <t xml:space="preserve">«Chop_etish» varag‘i</t>
  </si>
  <si>
    <t xml:space="preserve">A4 qog‘ozga bir bet qilib chop eting, «Tayyorladi»ga imzo qo‘ying, rahbarga imzolating, M.O. joyiga muhr bosdiring. Qog‘ozdagi raqamlar Excel bilan bir xil bo‘lsin.</t>
  </si>
  <si>
    <t xml:space="preserve">Распечатайте на одном листе А4, подпишите («Подготовил(а)»), заверьте у руководителя и поставьте печать в поле М.П. Цифры на бумаге должны совпадать с Excel.</t>
  </si>
  <si>
    <t xml:space="preserve">«Eksport» qatori va yuborish</t>
  </si>
  <si>
    <t xml:space="preserve">«Eksport» varag‘ining 4-qatori — yig‘ma sonlar (shaxsiy ma’lumotsiz). Faylni EMAS, faqat shu qatorni (yoki «Chop_etish»ni) yuboring. Fayl nomi: Rol_Muassasa_Davr.xlsx.</t>
  </si>
  <si>
    <t xml:space="preserve">Строка 4 листа «Eksport» — агрегированные числа (без персональных данных). Отправляйте не файл, а только эту строку (или «Chop_etish»). Имя файла: Роль_Учреждение_Период.xlsx.</t>
  </si>
  <si>
    <t xml:space="preserve">2. Varaqlar va jurnallar / Листы и журналы</t>
  </si>
  <si>
    <t xml:space="preserve">Varaq / Лист</t>
  </si>
  <si>
    <t xml:space="preserve">Nima uchun / Для чего (uz)</t>
  </si>
  <si>
    <t xml:space="preserve">Для чего (ru)</t>
  </si>
  <si>
    <t xml:space="preserve">Tugruqlar</t>
  </si>
  <si>
    <t xml:space="preserve">Tug‘ruqlar: sana, tug‘ruq tarixi №, turi, asorat, kesarcha uchun tibbiy ko‘rsatma (31 ta ro‘yxat) yoki ixtiyoriy rozilik arizasi. Ko‘rsatkichlar 1, 2, 15–18, 21 shundan.</t>
  </si>
  <si>
    <t xml:space="preserve">Роды: дата, № истории родов, тип, осложнение, показание к кесареву (перечень из 31) или заявление о добровольном согласии. Показатели 1, 2, 15–18, 21 — отсюда.</t>
  </si>
  <si>
    <t xml:space="preserve">Homiladorlar</t>
  </si>
  <si>
    <t xml:space="preserve">Nazoratdagi homiladorlar: xavf guruhi, diagnoz, stasionarga yo‘llanma, antenatal ko‘riklar soni (standart avto), skrining. Ko‘rsatkichlar 8, 11–14, 20, 22.</t>
  </si>
  <si>
    <t xml:space="preserve">Беременные под наблюдением: группа риска, диагноз, направление в стационар, число антенатальных осмотров (стандарт — авто), скрининг. Показатели 8, 11–14, 20, 22.</t>
  </si>
  <si>
    <t xml:space="preserve">Xavfli_homiladorlar</t>
  </si>
  <si>
    <t xml:space="preserve">Yuqori xavfli homiladorlar ro‘yxati (avto).</t>
  </si>
  <si>
    <t xml:space="preserve">Список беременных высокого риска (авто).</t>
  </si>
  <si>
    <t xml:space="preserve">Korik_154</t>
  </si>
  <si>
    <t xml:space="preserve">Tug‘ish yoshidagi ayollar tibbiy ko‘rigi (№154): ko‘rsatkich 4.</t>
  </si>
  <si>
    <t xml:space="preserve">Медосмотр женщин фертильного возраста (№154): показатель 4.</t>
  </si>
  <si>
    <t xml:space="preserve">Ginekologik</t>
  </si>
  <si>
    <t xml:space="preserve">Aniqlangan kasalliklar (ko‘rsatkich 5) va sog‘lomlashtirilganlar (6).</t>
  </si>
  <si>
    <t xml:space="preserve">Выявленные заболевания (показатель 5) и оздоровленные (6).</t>
  </si>
  <si>
    <t xml:space="preserve">Sitologiya</t>
  </si>
  <si>
    <t xml:space="preserve">Surtma olingan ayollar (ko‘rsatkich 19).</t>
  </si>
  <si>
    <t xml:space="preserve">Женщины, у которых взят мазок (показатель 19).</t>
  </si>
  <si>
    <t xml:space="preserve">Kontratseptiv</t>
  </si>
  <si>
    <t xml:space="preserve">Berilgan / qo‘yilgan kontratseptiv vositalar (ko‘rsatkich 7).</t>
  </si>
  <si>
    <t xml:space="preserve">Выданные / установленные контрацептивы (показатель 7).</t>
  </si>
  <si>
    <t xml:space="preserve">Qabul_kunlik</t>
  </si>
  <si>
    <t xml:space="preserve">Ambulator qabullar soni (ko‘rsatkich 3).</t>
  </si>
  <si>
    <t xml:space="preserve">Число амбулаторных приёмов (показатель 3).</t>
  </si>
  <si>
    <t xml:space="preserve">Olim_holatlari</t>
  </si>
  <si>
    <t xml:space="preserve">Ayollar va onalar o‘limi (ko‘rsatkichlar 9, 10). F.I.Sh. kiritilmaydi.</t>
  </si>
  <si>
    <t xml:space="preserve">Случаи смерти женщин и матерей (показатели 9, 10). ФИО не вносится.</t>
  </si>
  <si>
    <t xml:space="preserve">Boshqaruv</t>
  </si>
  <si>
    <t xml:space="preserve">Davr, ko‘rsatkichlar (avto), tekshiruvlar, tayyorlik.</t>
  </si>
  <si>
    <t xml:space="preserve">Период, показатели (авто), проверки, готовность.</t>
  </si>
  <si>
    <t xml:space="preserve">Hujjatlar</t>
  </si>
  <si>
    <t xml:space="preserve">Topshiriladigan hujjatlar ro‘yxati va ularning holati.</t>
  </si>
  <si>
    <t xml:space="preserve">Перечень сдаваемых документов и их статус.</t>
  </si>
  <si>
    <t xml:space="preserve">Chop_etish</t>
  </si>
  <si>
    <t xml:space="preserve">Qog‘oz nusxa (imzo va muhr uchun).</t>
  </si>
  <si>
    <t xml:space="preserve">Бумажный экземпляр (для подписи и печати).</t>
  </si>
  <si>
    <t xml:space="preserve">Eksport</t>
  </si>
  <si>
    <t xml:space="preserve">O‘rinbosarga yuboriladigan bir qator.</t>
  </si>
  <si>
    <t xml:space="preserve">Строка для отправки заместителю.</t>
  </si>
  <si>
    <t xml:space="preserve">3. Qoidalar / Правила</t>
  </si>
  <si>
    <t xml:space="preserve">Qoida / Правило</t>
  </si>
  <si>
    <t xml:space="preserve">Ranglar</t>
  </si>
  <si>
    <t xml:space="preserve">Sariq katak — kiritiladi. Yashil — avtomatik (tegmang). Kulrang — yordamchi ustun. Qizil — xato/muddat o‘tgan. Ustun sarlavhasi: ko‘k — kiritish, yashil — avtomatik.</t>
  </si>
  <si>
    <t xml:space="preserve">Жёлтая — ввод. Зелёная — авто (не трогать). Серая — вспомогательная. Красная — ошибка/просрочка. Заголовок: синий — ввод, зелёный — авто.</t>
  </si>
  <si>
    <t xml:space="preserve">Bir marta yozing</t>
  </si>
  <si>
    <t xml:space="preserve">Har bir shaxs/hodisa bitta qatorga yoziladi; takror yozuv qizil bo‘ladi. Sanani kun.oy.yil ko‘rinishida kiriting.</t>
  </si>
  <si>
    <t xml:space="preserve">Каждый человек/событие — одна строка; дубль подсвечивается красным. Даты вводите как дд.мм.гггг.</t>
  </si>
  <si>
    <t xml:space="preserve">Tashxis va xavf</t>
  </si>
  <si>
    <t xml:space="preserve">Tashxis va xavf sababini faqat davolovchi shifokor hujjatidan (karta, xulosa) ko‘chiring — o‘zingizdan yozmang; hujjat raqamini ham yozing.</t>
  </si>
  <si>
    <t xml:space="preserve">Диагноз и причину риска переписывайте только из документа лечащего врача (карта, заключение), не от себя; укажите № документа.</t>
  </si>
  <si>
    <t xml:space="preserve">Maxfiylik</t>
  </si>
  <si>
    <t xml:space="preserve">Fayl faqat sizda; guruhga yubormang. PINFL — 14 ta raqam, «PINFL» ustuniga; faylni parol bilan himoyalang. Yig‘ma ma’lumot — «Eksport» va «Chop_etish».</t>
  </si>
  <si>
    <t xml:space="preserve">Файл только у вас; в группы не отправлять. ПИНФЛ — 14 цифр, в столбец «ПИНФЛ»; защитите файл паролем. Агрегаты — «Eksport» и «Chop_etish».</t>
  </si>
  <si>
    <t xml:space="preserve">Nusxa</t>
  </si>
  <si>
    <t xml:space="preserve">Har oy oxirida faylning zaxira nusxasini saqlang (Fayl → Boshqacha saqlash).</t>
  </si>
  <si>
    <t xml:space="preserve">В конце каждого месяца сохраняйте резервную копию файла.</t>
  </si>
  <si>
    <t xml:space="preserve">Eng ko‘p xatolar</t>
  </si>
  <si>
    <t xml:space="preserve">Sanani matn qilib yozish; yashil katakni o‘zgartirish; ro‘yxatdan tashqari qiymat; davrni (C9, C10) kiritmaslik; qog‘oz va Excel raqamlari mos kelmasligi; imzo/muhrsiz topshirish.</t>
  </si>
  <si>
    <t xml:space="preserve">Дата текстом; правка зелёных ячеек; значение не из списка; не введён период (C9, C10); цифры на бумаге и в Excel не совпадают; сдача без подписи/печати.</t>
  </si>
  <si>
    <t xml:space="preserve">4. Eslatmalar / Примечания</t>
  </si>
  <si>
    <t xml:space="preserve">Kesarcha ro‘yxati</t>
  </si>
  <si>
    <t xml:space="preserve">Tibbiy ko‘rsatmalar ro‘yxati — O‘zbekiston Respublikasi Sog‘liqni saqlash vazirining 2026-yil 10-sentabrdagi 4513-son buyrug‘i (Adliya vazirligida 28.09.2026-y. da 3945 bilan ro‘yxatdan o‘tgan). Ma’lumotlar shifokorlik siri hisoblanadi.</t>
  </si>
  <si>
    <t xml:space="preserve">Перечень показаний — приказ Министра здравоохранения № 4513 от 10.09.2026 (зарегистрирован в Минюсте 28.09.2026 за № 3945). Сведения составляют врачебную тайну.</t>
  </si>
  <si>
    <t xml:space="preserve">BOSHQARUV VA KO‘RSATKICHLAR / УПРАВЛЕНИЕ И ПОКАЗАТЕЛИ — Vrach akusher-ginekolog</t>
  </si>
  <si>
    <t xml:space="preserve">Bu yerda faqat davr va ma’lumotlarni kiriting; ko‘rsatkichlar jurnallardan O‘ZI hisoblanadi (yashil). Sariq katak — qo‘lda kiritiladi. / Здесь вводятся период и реквизиты; показатели считаются САМИ из журналов (зелёные). Жёлтая ячейка — вводится вручную.</t>
  </si>
  <si>
    <t xml:space="preserve">Muassasa (nomi, №) / Учреждение</t>
  </si>
  <si>
    <t xml:space="preserve">Район. больница (тест)</t>
  </si>
  <si>
    <t xml:space="preserve">F.I.Sh. (to‘ldiruvchi) / Ф.И.О. (заполняющий)</t>
  </si>
  <si>
    <t xml:space="preserve">Акушерова Тест</t>
  </si>
  <si>
    <t xml:space="preserve">Lavozimi / Должность</t>
  </si>
  <si>
    <t xml:space="preserve">Telefon / Телефон</t>
  </si>
  <si>
    <t xml:space="preserve">+998900000004</t>
  </si>
  <si>
    <t xml:space="preserve">Davr boshi (sana) / Начало периода (дата)</t>
  </si>
  <si>
    <t xml:space="preserve">← masalan / напр.: 01.09.2026</t>
  </si>
  <si>
    <t xml:space="preserve">Davr oxiri (sana) / Конец периода (дата)</t>
  </si>
  <si>
    <t xml:space="preserve">← masalan / напр.: 30.09.2026</t>
  </si>
  <si>
    <t xml:space="preserve">Davr (avto) / Период (авто)</t>
  </si>
  <si>
    <t xml:space="preserve">Hisob sanasi (avto: davr oxiri, bo‘sh bo‘lsa — bugun) / Дата расчёта (авто: конец периода, иначе сегодня)</t>
  </si>
  <si>
    <t xml:space="preserve">TAYYORLIK / ГОТОВНОСТЬ</t>
  </si>
  <si>
    <t xml:space="preserve">HUJJATLAR / ДОКУМЕНТЫ</t>
  </si>
  <si>
    <t xml:space="preserve">T/r</t>
  </si>
  <si>
    <t xml:space="preserve">Ko‘rsatkich</t>
  </si>
  <si>
    <t xml:space="preserve">Показатель</t>
  </si>
  <si>
    <t xml:space="preserve">Birlik</t>
  </si>
  <si>
    <t xml:space="preserve">Papka</t>
  </si>
  <si>
    <t xml:space="preserve">Qiymat / Значение</t>
  </si>
  <si>
    <t xml:space="preserve">Manba / Источник и как считается</t>
  </si>
  <si>
    <t xml:space="preserve">Tug'ruqlar soni</t>
  </si>
  <si>
    <t xml:space="preserve">Число родов</t>
  </si>
  <si>
    <t xml:space="preserve">ta</t>
  </si>
  <si>
    <t xml:space="preserve">7</t>
  </si>
  <si>
    <t xml:space="preserve">AVTOMATIK: «Tugruqlar»: davrdagi tug‘ruqlar soni. / АВТОМАТИЧЕСКИ: «Tugruqlar»: число родов за период.</t>
  </si>
  <si>
    <t xml:space="preserve">Shundan asoratli tug'ruqlar</t>
  </si>
  <si>
    <t xml:space="preserve">Из них с осложнениями</t>
  </si>
  <si>
    <t xml:space="preserve">AVTOMATIK: «Tugruqlar»: asoratli tug‘ruq = Ha. / АВТОМАТИЧЕСКИ: «Tugruqlar»: осложнённые роды = Ha.</t>
  </si>
  <si>
    <t xml:space="preserve">Ayollarning ambulator qabullari</t>
  </si>
  <si>
    <t xml:space="preserve">Амбулаторные приёмы женщин</t>
  </si>
  <si>
    <t xml:space="preserve">AVTOMATIK: «Qabul_kunlik»: jami qabul yig‘indisi. / АВТОМАТИЧЕСКИ: «Qabul_kunlik»: сумма приёмов.</t>
  </si>
  <si>
    <t xml:space="preserve">Tibbiy ko'rikdan o'tgan tug'ish yoshidagi ayollar (№154)</t>
  </si>
  <si>
    <t xml:space="preserve">Осмотрено женщин фертильного возраста (№154)</t>
  </si>
  <si>
    <t xml:space="preserve">nafar</t>
  </si>
  <si>
    <t xml:space="preserve">13</t>
  </si>
  <si>
    <t xml:space="preserve">AVTOMATIK: «Korik_154»: davrda ko‘rikdan o‘tganlar. / АВТОМАТИЧЕСКИ: «Korik_154»: осмотренные за период.</t>
  </si>
  <si>
    <t xml:space="preserve">Aniqlangan ginekologik kasalliklar</t>
  </si>
  <si>
    <t xml:space="preserve">Выявлено гинекологических заболеваний</t>
  </si>
  <si>
    <t xml:space="preserve">AVTOMATIK: «Ginekologik»: davrda aniqlanganlar. / АВТОМАТИЧЕСКИ: «Ginekologik»: выявленные за период.</t>
  </si>
  <si>
    <t xml:space="preserve">Sog'lomlashtirilgan ayollar</t>
  </si>
  <si>
    <t xml:space="preserve">Оздоровлено женщин</t>
  </si>
  <si>
    <t xml:space="preserve">AVTOMATIK: «Ginekologik»: sog‘lomlashtirilgan sana davrda. / АВТОМАТИЧЕСКИ: «Ginekologik»: дата оздоровления в периоде.</t>
  </si>
  <si>
    <t xml:space="preserve">Berilgan / qo'yilgan kontratseptiv vositalar</t>
  </si>
  <si>
    <t xml:space="preserve">Выдано / установлено контрацептивов</t>
  </si>
  <si>
    <t xml:space="preserve">12</t>
  </si>
  <si>
    <t xml:space="preserve">AVTOMATIK: «Kontratseptiv»: «Soni» yig‘indisi. / АВТОМАТИЧЕСКИ: «Kontratseptiv»: сумма «Soni».</t>
  </si>
  <si>
    <t xml:space="preserve">Skriningga yuborilgan homiladorlar</t>
  </si>
  <si>
    <t xml:space="preserve">Направлено беременных на скрининг</t>
  </si>
  <si>
    <t xml:space="preserve">11</t>
  </si>
  <si>
    <t xml:space="preserve">AVTOMATIK: «Homiladorlar»: skriningga yo‘llangan sana davrda. / АВТОМАТИЧЕСКИ: «Homiladorlar»: дата направления на скрининг в периоде.</t>
  </si>
  <si>
    <t xml:space="preserve">Ayollar o'limi holatlari</t>
  </si>
  <si>
    <t xml:space="preserve">Случаи смерти женщин</t>
  </si>
  <si>
    <t xml:space="preserve">AVTOMATIK: «Olim_holatlari»: barcha yozuvlar (onalar o‘limi ham kiradi). / АВТОМАТИЧЕСКИ: «Olim_holatlari»: все записи (включая материнскую смертность).</t>
  </si>
  <si>
    <t xml:space="preserve">Onalar o'limi holatlari</t>
  </si>
  <si>
    <t xml:space="preserve">Случаи материнской смерти</t>
  </si>
  <si>
    <t xml:space="preserve">15</t>
  </si>
  <si>
    <t xml:space="preserve">AVTOMATIK: «Olim_holatlari»: turi = Ona o‘limi. / АВТОМАТИЧЕСКИ: «Olim_holatlari»: вид = Ona o‘limi.</t>
  </si>
  <si>
    <t xml:space="preserve">Yuqori xavfli homiladorlar (nazoratda, davr oxiriga)</t>
  </si>
  <si>
    <t xml:space="preserve">Беременные высокого риска под наблюдением (на конец периода)</t>
  </si>
  <si>
    <t xml:space="preserve">AVTOMATIK: «Homiladorlar»: xavf guruhi = Ha, davr oxiriga nazoratda. / АВТОМАТИЧЕСКИ: «Homiladorlar»: группа риска = Ha, на наблюдении на конец периода. [Asos: 180-son buyruq (2025), antenatal parvarish standarti]</t>
  </si>
  <si>
    <t xml:space="preserve">Shundan stasionarga yo‘llanganlar</t>
  </si>
  <si>
    <t xml:space="preserve">Из них направлено в стационар</t>
  </si>
  <si>
    <t xml:space="preserve">AVTOMATIK: «Homiladorlar»: shundan stasionarga yo‘llanma sanasi bor. / АВТОМАТИЧЕСКИ: «Homiladorlar»: из них есть дата направления в стационар. [Asos: 180-son buyruq (2025), antenatal parvarish standarti]</t>
  </si>
  <si>
    <t xml:space="preserve">Standartga mos antenatal ko‘riklardan o‘tgan homiladorlar (oilaviy shifokor ≥9, akusher-ginekolog ≥3)</t>
  </si>
  <si>
    <t xml:space="preserve">Беременные с антенатальными осмотрами по стандарту (семейный врач ≥9, акушер-гинеколог ≥3)</t>
  </si>
  <si>
    <t xml:space="preserve">10</t>
  </si>
  <si>
    <t xml:space="preserve">AVTOMATIK: «Homiladorlar»: davrda tuqqan va antenatal standart = Ha (oilaviy shifokor ≥9, akusher-ginekolog ≥3 — Spravochnik parametrlari). Ta’rifni o‘rinbosar bilan tasdiqlang. / АВТОМАТИЧЕСКИ: «Homiladorlar»: родившие в периоде и стандарт = Ha (семейный врач ≥9, акушер-гинеколог ≥3 — параметры на Spravochnik). Уточните определение у заместителя. [Asos: 180-son buyruq (2025), antenatal parvarish standarti]</t>
  </si>
  <si>
    <t xml:space="preserve">I trimestr prenatal skriningdan o‘tgan homiladorlar</t>
  </si>
  <si>
    <t xml:space="preserve">Прошли пренатальный скрининг I триместра</t>
  </si>
  <si>
    <t xml:space="preserve">AVTOMATIK: «Homiladorlar»: I trimestr skrining sanasi davrda. / АВТОМАТИЧЕСКИ: «Homiladorlar»: дата скрининга I триместра в периоде. [Asos: 180-son buyruq (2025), antenatal parvarish standarti]</t>
  </si>
  <si>
    <t xml:space="preserve">Kesarcha kesish amaliyotlari</t>
  </si>
  <si>
    <t xml:space="preserve">Операции кесарева сечения</t>
  </si>
  <si>
    <t xml:space="preserve">14</t>
  </si>
  <si>
    <t xml:space="preserve">AVTOMATIK: «Tugruqlar»: tug‘ruq turi = Kesarcha. / АВТОМАТИЧЕСКИ: «Tugruqlar»: тип родов = Kesarcha. [Asos: 4513-son buyruq (2026), kesarcha kesish ro‘yxati]</t>
  </si>
  <si>
    <t xml:space="preserve">Shundan tibbiy ko‘rsatma asosida (4513-son ro‘yxat)</t>
  </si>
  <si>
    <t xml:space="preserve">Из них по медицинским показаниям (перечень, приказ №4513)</t>
  </si>
  <si>
    <t xml:space="preserve">AVTOMATIK: «Tugruqlar»: kesarcha va tibbiy ko‘rsatma tanlangan (4513-son buyruq). / АВТОМАТИЧЕСКИ: «Tugruqlar»: кесарево и выбрано показание (приказ № 4513). [Asos: 4513-son buyruq (2026), kesarcha kesish ro‘yxati]</t>
  </si>
  <si>
    <t xml:space="preserve">Ixtiyoriy rozilik arizasi rasmiylashtirilgan kesarcha kesishlar</t>
  </si>
  <si>
    <t xml:space="preserve">Кесарево сечение с оформленным заявлением о добровольном согласии</t>
  </si>
  <si>
    <t xml:space="preserve">AVTOMATIK: «Tugruqlar»: kesarcha va ixtiyoriy rozilik arizasi = Ha. / АВТОМАТИЧЕСКИ: «Tugruqlar»: кесарево и заявление о добровольном согласии = Ha. [Asos: 4513-son buyruq (2026), kesarcha kesish ro‘yxati]</t>
  </si>
  <si>
    <t xml:space="preserve">Kesarcha kesishda ixtiyoriy rozilik arizasi ulushi</t>
  </si>
  <si>
    <t xml:space="preserve">Доля кесарева с заявлением о согласии</t>
  </si>
  <si>
    <t xml:space="preserve">%</t>
  </si>
  <si>
    <t xml:space="preserve">AVTOMATIK: 17-qator / 15-qator. / АВТОМАТИЧЕСКИ: Строка 17 / строка 15. [Asos: 4513-son buyruq (2026), kesarcha kesish ro‘yxati]</t>
  </si>
  <si>
    <t xml:space="preserve">Bachadon bo‘yni sitologiyasi (surtma) olingan ayollar</t>
  </si>
  <si>
    <t xml:space="preserve">Взят цитологический мазок шейки матки</t>
  </si>
  <si>
    <t xml:space="preserve">AVTOMATIK: «Sitologiya»: davrdagi surtmalar. / АВТОМАТИЧЕСКИ: «Sitologiya»: мазки за период. [Asos: 180-son buyruq (2025), antenatal parvarish standarti]</t>
  </si>
  <si>
    <t xml:space="preserve">[Voyaga yetmaganlar] Nazoratdagi homilador qizlar (18 yoshgacha)</t>
  </si>
  <si>
    <t xml:space="preserve">[Несовершеннолетние] Беременные девочки под наблюдением (до 18 лет)</t>
  </si>
  <si>
    <t xml:space="preserve">AVTOMATIK: «Homiladorlar»: hisobga olishda 18 yoshgacha, nazoratda. / АВТОМАТИЧЕСКИ: «Homiladorlar»: до 18 лет при постановке, на наблюдении. [Asos: 263-son buyruq (2022), doya vazifalari]</t>
  </si>
  <si>
    <t xml:space="preserve">[Voyaga yetmaganlar] Tug‘ruqlar (18 yoshgacha)</t>
  </si>
  <si>
    <t xml:space="preserve">[Несовершеннолетние] Роды (до 18 лет)</t>
  </si>
  <si>
    <t xml:space="preserve">AVTOMATIK: «Tugruqlar»: tug‘ruq vaqtida 18 yoshgacha. / АВТОМАТИЧЕСКИ: «Tugruqlar»: до 18 лет на момент родов. [Asos: 263-son buyruq (2022), doya vazifalari]</t>
  </si>
  <si>
    <t xml:space="preserve">[Voyaga yetmaganlar] Xavf guruhidagi homilador qizlar</t>
  </si>
  <si>
    <t xml:space="preserve">[Несовершеннолетние] Беременные девочки группы риска</t>
  </si>
  <si>
    <t xml:space="preserve">AVTOMATIK: «Homiladorlar»: 18 yoshgacha va xavf guruhi = Ha. / АВТОМАТИЧЕСКИ: «Homiladorlar»: до 18 лет и группа риска = Ha. [Asos: 180-son buyruq (2025), antenatal parvarish standarti]</t>
  </si>
  <si>
    <t xml:space="preserve">TEKSHIRUV / ПРОВЕРКА MA’LUMOT SIFATI</t>
  </si>
  <si>
    <t xml:space="preserve">Tekshiruv</t>
  </si>
  <si>
    <t xml:space="preserve">Проверка</t>
  </si>
  <si>
    <t xml:space="preserve">Soni</t>
  </si>
  <si>
    <t xml:space="preserve">Holat</t>
  </si>
  <si>
    <t xml:space="preserve">Nima qilish kerak / Что делать</t>
  </si>
  <si>
    <t xml:space="preserve">Kesarcha: ko‘rsatma ham, rozilik arizasi ham yo‘q</t>
  </si>
  <si>
    <t xml:space="preserve">Кесарево: нет ни показания, ни заявления о согласии</t>
  </si>
  <si>
    <t xml:space="preserve">4513-son buyruq: ko‘rsatma raqamini tanlang yoki rozilik arizasini belgilang / Выберите № показания или отметьте заявление</t>
  </si>
  <si>
    <t xml:space="preserve">Ko‘rsatma tanlangan, lekin tug‘ruq turi «Kesarcha» emas</t>
  </si>
  <si>
    <t xml:space="preserve">Показание выбрано, но тип родов не «Kesarcha»</t>
  </si>
  <si>
    <t xml:space="preserve">Tug‘ruq turini tekshiring / Проверьте тип родов</t>
  </si>
  <si>
    <t xml:space="preserve">Tug‘ilgan sana yoki tug‘ruq turi yo‘q</t>
  </si>
  <si>
    <t xml:space="preserve">Нет даты рождения или типа родов</t>
  </si>
  <si>
    <t xml:space="preserve">To‘ldiring / Заполните</t>
  </si>
  <si>
    <t xml:space="preserve">Takror yozuvlar — Tugruqlar</t>
  </si>
  <si>
    <t xml:space="preserve">Дубли — Tugruqlar</t>
  </si>
  <si>
    <t xml:space="preserve">Qizil qatorni toping va takrorni o‘chiring / Найдите красные строки и удалите дубль</t>
  </si>
  <si>
    <t xml:space="preserve">Hisobga olish sanasi yo‘q — Homiladorlar</t>
  </si>
  <si>
    <t xml:space="preserve">Нет даты постановки — Homiladorlar</t>
  </si>
  <si>
    <t xml:space="preserve">Sanani kiriting / Введите дату</t>
  </si>
  <si>
    <t xml:space="preserve">Xavf guruhida, lekin diagnoz yo‘q</t>
  </si>
  <si>
    <t xml:space="preserve">Группа риска, но нет диагноза</t>
  </si>
  <si>
    <t xml:space="preserve">Diagnozni yozing / Впишите диагноз</t>
  </si>
  <si>
    <t xml:space="preserve">Holati «Homilador» emas, lekin chiqish sanasi yo‘q</t>
  </si>
  <si>
    <t xml:space="preserve">Статус не «Homilador», нет даты выбытия</t>
  </si>
  <si>
    <t xml:space="preserve">Chiqish sanasini kiriting / Введите дату выбытия</t>
  </si>
  <si>
    <t xml:space="preserve">Ko‘rik muddati o‘tgan homiladorlar</t>
  </si>
  <si>
    <t xml:space="preserve">Просрочен осмотр</t>
  </si>
  <si>
    <t xml:space="preserve">Ayolga bog‘laning / Свяжитесь с женщиной</t>
  </si>
  <si>
    <t xml:space="preserve">Takror yozuvlar — Homiladorlar</t>
  </si>
  <si>
    <t xml:space="preserve">Дубли — Homiladorlar</t>
  </si>
  <si>
    <t xml:space="preserve">Tug‘ilgan sana yo‘q — Korik_154</t>
  </si>
  <si>
    <t xml:space="preserve">Нет даты рождения — Korik_154</t>
  </si>
  <si>
    <t xml:space="preserve">Takror yozuvlar — Korik_154</t>
  </si>
  <si>
    <t xml:space="preserve">Дубли — Korik_154</t>
  </si>
  <si>
    <t xml:space="preserve">Diagnozsiz yozuvlar — Ginekologik</t>
  </si>
  <si>
    <t xml:space="preserve">Записи без диагноза</t>
  </si>
  <si>
    <t xml:space="preserve">Takror yozuvlar — Ginekologik</t>
  </si>
  <si>
    <t xml:space="preserve">Дубли — Ginekologik</t>
  </si>
  <si>
    <t xml:space="preserve">Tug‘ilgan sana yo‘q — Sitologiya</t>
  </si>
  <si>
    <t xml:space="preserve">Нет даты рождения — Sitologiya</t>
  </si>
  <si>
    <t xml:space="preserve">Takror yozuvlar — Sitologiya</t>
  </si>
  <si>
    <t xml:space="preserve">Дубли — Sitologiya</t>
  </si>
  <si>
    <t xml:space="preserve">Soni yozilmagan — Kontratseptiv</t>
  </si>
  <si>
    <t xml:space="preserve">Не указано количество</t>
  </si>
  <si>
    <t xml:space="preserve">Sonini yozing / Укажите количество</t>
  </si>
  <si>
    <t xml:space="preserve">Takror yozuvlar — Kontratseptiv</t>
  </si>
  <si>
    <t xml:space="preserve">Дубли — Kontratseptiv</t>
  </si>
  <si>
    <t xml:space="preserve">Bir sana ikki marta yozilgan</t>
  </si>
  <si>
    <t xml:space="preserve">Одна дата дважды</t>
  </si>
  <si>
    <t xml:space="preserve">Takrorni o‘chiring / Удалите дубль</t>
  </si>
  <si>
    <t xml:space="preserve">Turi yo‘q — Olim_holatlari</t>
  </si>
  <si>
    <t xml:space="preserve">Нет вида — Olim_holatlari</t>
  </si>
  <si>
    <t xml:space="preserve">Turini tanlang / Выберите вид</t>
  </si>
  <si>
    <t xml:space="preserve">TUG‘RUQLAR JURNALI / ЖУРНАЛ РОДОВ (kesarcha kesish — 4513-son buyruq bo‘yicha)</t>
  </si>
  <si>
    <t xml:space="preserve">Har bir tug‘ruq — bitta qator. Kesarcha bo‘lsa — tibbiy ko‘rsatma raqamini tanlang YOKI ixtiyoriy rozilik arizasi «Ha» deb belgilang. / Каждые роды — одна строка. При кесаревом выберите № показания ИЛИ отметьте заявление о добровольном согласии «Ha».</t>
  </si>
  <si>
    <t xml:space="preserve">MAXFIY / КОНФИДЕНЦИАЛЬНО — shaxsiy va tibbiy ma’lumotlar (shifokorlik siri). Faylni parol bilan himoyalang, ochiq guruhlarga yubormang. / Персональные и медицинские данные (врачебная тайна). Защитите файл паролем, не отправляйте в открытые группы.</t>
  </si>
  <si>
    <t xml:space="preserve">Tug‘ruq sanasi
Дата родов</t>
  </si>
  <si>
    <t xml:space="preserve">F.I.Sh. (to‘liq)
Ф.И.О.</t>
  </si>
  <si>
    <t xml:space="preserve">Tug‘ilgan sana
Дата рождения</t>
  </si>
  <si>
    <t xml:space="preserve">PINFL (14 raqam)
ПИНФЛ (14 цифр)</t>
  </si>
  <si>
    <t xml:space="preserve">Telefon
Телефон</t>
  </si>
  <si>
    <t xml:space="preserve">Yosh (avto)
Возраст</t>
  </si>
  <si>
    <t xml:space="preserve">Voyaga yetmagan? (avto)
Несоверш.?</t>
  </si>
  <si>
    <t xml:space="preserve">Tug‘ilish tarixi №
№ истории родов</t>
  </si>
  <si>
    <t xml:space="preserve">Tug‘ruq muddati (hafta)
Срок родов (нед.)</t>
  </si>
  <si>
    <t xml:space="preserve">Tug‘ruq turi
Тип родов</t>
  </si>
  <si>
    <t xml:space="preserve">Asoratli tug‘ruqmi?
Осложнённые роды?</t>
  </si>
  <si>
    <t xml:space="preserve">Asorat (diagnoz)
Осложнение (диагноз)</t>
  </si>
  <si>
    <t xml:space="preserve">Natija
Исход</t>
  </si>
  <si>
    <t xml:space="preserve">Kesarcha uchun tibbiy ko‘rsatma
Показание к кесареву</t>
  </si>
  <si>
    <t xml:space="preserve">Ko‘rsatma № (avto)
№ показания</t>
  </si>
  <si>
    <t xml:space="preserve">Ko‘rsatma guruhi (avto)
Группа показания</t>
  </si>
  <si>
    <t xml:space="preserve">Ixtiyoriy rozilik arizasi rasmiylashtirilganmi?
Заявление о добровольном согласии оформлено?</t>
  </si>
  <si>
    <t xml:space="preserve">Kesarcha asosi to‘liqmi? (avto)
Основание кесарева полное?</t>
  </si>
  <si>
    <t xml:space="preserve">Tug‘ruq tarixi / hujjat
Документ</t>
  </si>
  <si>
    <t xml:space="preserve">Izoh
Примечание</t>
  </si>
  <si>
    <t xml:space="preserve">Takror? (avto)
Дубль?</t>
  </si>
  <si>
    <t xml:space="preserve">HOMILADORLAR NAZORATI / НАБЛЮДЕНИЕ БЕРЕМЕННЫХ (akusher-ginekolog)</t>
  </si>
  <si>
    <t xml:space="preserve">Diagnoz va xavf omilini o‘zingiz qo‘yasiz — hujjat raqamini yozing. Antenatal ko‘riklar sonini oilaviy shifokor va o‘z qabullaringiz bo‘yicha yangilab boring. / Диагноз и фактор риска ставите вы — укажите № документа. Обновляйте число антенатальных осмотров.</t>
  </si>
  <si>
    <t xml:space="preserve">Mahalla
Махалля</t>
  </si>
  <si>
    <t xml:space="preserve">Yorliq (avto) — boshqa varaqlarda tanlanadi
Метка (авто)</t>
  </si>
  <si>
    <t xml:space="preserve">Hisobga olingan sana
Дата постановки</t>
  </si>
  <si>
    <t xml:space="preserve">Oxirgi hayz 1-kuni
Первый день последних месячных</t>
  </si>
  <si>
    <t xml:space="preserve">Taxminiy tug‘ruq (avto)
Предп. роды</t>
  </si>
  <si>
    <t xml:space="preserve">Hozirgi muddat, hafta (avto)
Срок, нед.</t>
  </si>
  <si>
    <t xml:space="preserve">Hisobga olishdagi yosh (avto)
Возраст при постановке</t>
  </si>
  <si>
    <t xml:space="preserve">Xavf guruhida?
Группа риска?</t>
  </si>
  <si>
    <t xml:space="preserve">Og‘irlik
Тяжесть</t>
  </si>
  <si>
    <t xml:space="preserve">Asosiy xavf omili
Основной фактор риска</t>
  </si>
  <si>
    <t xml:space="preserve">Diagnoz
Диагноз</t>
  </si>
  <si>
    <t xml:space="preserve">MKB-10
МКБ-10</t>
  </si>
  <si>
    <t xml:space="preserve">Hujjat № / sana
№ документа / дата</t>
  </si>
  <si>
    <t xml:space="preserve">Stasionarga yo‘llangan sana
Дата направления в стационар</t>
  </si>
  <si>
    <t xml:space="preserve">Qaysi stasionar
Какой стационар</t>
  </si>
  <si>
    <t xml:space="preserve">Oilaviy shifokor ko‘riklari (soni)
Осмотры семейным врачом (число)</t>
  </si>
  <si>
    <t xml:space="preserve">Akusher-ginekolog ko‘riklari (soni)
Осмотры акушером-гинекологом (число)</t>
  </si>
  <si>
    <t xml:space="preserve">Antenatal standart bajarildimi? (avto)
Стандарт выполнен?</t>
  </si>
  <si>
    <t xml:space="preserve">Skriningga yo‘llangan sana
Дата направления на скрининг</t>
  </si>
  <si>
    <t xml:space="preserve">I trimestr skrining o‘tgan sana
Дата скрининга I триместра</t>
  </si>
  <si>
    <t xml:space="preserve">Oxirgi ko‘rik
Посл. осмотр</t>
  </si>
  <si>
    <t xml:space="preserve">Keyingi ko‘rik
След. осмотр</t>
  </si>
  <si>
    <t xml:space="preserve">Muddati o‘tgan? (avto)
Просрочен?</t>
  </si>
  <si>
    <t xml:space="preserve">Holati
Статус</t>
  </si>
  <si>
    <t xml:space="preserve">Chiqish sanasi
Дата выбытия</t>
  </si>
  <si>
    <t xml:space="preserve">№ (xavfli)
№ (риск)</t>
  </si>
  <si>
    <t xml:space="preserve">Тестова Анна Ивановна</t>
  </si>
  <si>
    <t xml:space="preserve">32000000000000</t>
  </si>
  <si>
    <t xml:space="preserve">+998930000000</t>
  </si>
  <si>
    <t xml:space="preserve">Пробная Мария Петровна</t>
  </si>
  <si>
    <t xml:space="preserve">32000000000001</t>
  </si>
  <si>
    <t xml:space="preserve">+998930000001</t>
  </si>
  <si>
    <t xml:space="preserve">Образцова Зилола Каримовна</t>
  </si>
  <si>
    <t xml:space="preserve">32000000000002</t>
  </si>
  <si>
    <t xml:space="preserve">+998930000002</t>
  </si>
  <si>
    <t xml:space="preserve">Вымышленная Нигора Алиевна</t>
  </si>
  <si>
    <t xml:space="preserve">32000000000003</t>
  </si>
  <si>
    <t xml:space="preserve">+998930000003</t>
  </si>
  <si>
    <t xml:space="preserve">YUQORI XAVFLI HOMILADORLAR / БЕРЕМЕННЫЕ ВЫСОКОГО РИСКА — avtomatik ro‘yxat</t>
  </si>
  <si>
    <t xml:space="preserve">Xavf guruhi = Ha va chiqish sanasi yo‘q bo‘lganlar. / Группа риска = Ha и нет даты выбытия.</t>
  </si>
  <si>
    <t xml:space="preserve">(qator)</t>
  </si>
  <si>
    <t xml:space="preserve">F.I.Sh.
Ф.И.О.</t>
  </si>
  <si>
    <t xml:space="preserve">Tug‘ilgan sana
Дата рожд.</t>
  </si>
  <si>
    <t xml:space="preserve">MKB-10</t>
  </si>
  <si>
    <t xml:space="preserve">Muddat, hafta
Срок, нед.</t>
  </si>
  <si>
    <t xml:space="preserve">Taxminiy tug‘ruq
Предп. роды</t>
  </si>
  <si>
    <t xml:space="preserve">Stasionarga yo‘llangan
Направлена в стационар</t>
  </si>
  <si>
    <t xml:space="preserve">Muddati o‘tgan?
Просрочен?</t>
  </si>
  <si>
    <t xml:space="preserve">TIBBIY KO‘RIK / МЕДОСМОТР ЖЕНЩИН ФЕРТИЛЬНОГО ВОЗРАСТА (№154)</t>
  </si>
  <si>
    <t xml:space="preserve">Har bir ko‘rikdan o‘tgan ayol — bitta qator. / Каждая осмотренная женщина — одна строка.</t>
  </si>
  <si>
    <t xml:space="preserve">Ko‘rik sanasi
Дата осмотра</t>
  </si>
  <si>
    <t xml:space="preserve">Natija
Результат</t>
  </si>
  <si>
    <t xml:space="preserve">Aniqlangan kasallik
Выявленное заболевание</t>
  </si>
  <si>
    <t xml:space="preserve">ANIQLANGAN GINEKOLOGIK KASALLIKLAR / ВЫЯВЛЕННЫЕ ГИНЕКОЛОГИЧЕСКИЕ ЗАБОЛЕВАНИЯ</t>
  </si>
  <si>
    <t xml:space="preserve">Diagnoz hujjat bo‘yicha. Sog‘lomlashtirilgan bo‘lsa — sanasini yozing. / Диагноз по документу. Если оздоровлена — укажите дату.</t>
  </si>
  <si>
    <t xml:space="preserve">Aniqlangan sana
Дата выявления</t>
  </si>
  <si>
    <t xml:space="preserve">Diagnoz (hujjat bo‘yicha)
Диагноз (по документу)</t>
  </si>
  <si>
    <t xml:space="preserve">Qayerda aniqlandi
Где выявлено</t>
  </si>
  <si>
    <t xml:space="preserve">Sog‘lomlashtirilgan sana
Дата оздоровления</t>
  </si>
  <si>
    <t xml:space="preserve">BACHADON BO‘YNI SITOLOGIYASI / ЦИТОЛОГИЯ ШЕЙКИ МАТКИ (surtma)</t>
  </si>
  <si>
    <t xml:space="preserve">Har bir surtma — bitta qator. / Каждый мазок — одна строка.</t>
  </si>
  <si>
    <t xml:space="preserve">Surtma sanasi
Дата мазка</t>
  </si>
  <si>
    <t xml:space="preserve">KONTRATSEPTIV VOSITALAR BERILGANI / ВЫДАЧА КОНТРАЦЕПТИВОВ</t>
  </si>
  <si>
    <t xml:space="preserve">Har bir berish/qo‘yish — bitta qator; «Soni» — vosita soni. / Каждая выдача/установка — одна строка; «Soni» — число средств.</t>
  </si>
  <si>
    <t xml:space="preserve">Sana
Дата</t>
  </si>
  <si>
    <t xml:space="preserve">Usul / vosita
Метод / средство</t>
  </si>
  <si>
    <t xml:space="preserve">Soni
Количество</t>
  </si>
  <si>
    <t xml:space="preserve">AMBULATOR QABUL — KUNLIK HISOB / АМБУЛАТОРНЫЙ ПРИЁМ — ЕЖЕДНЕВНЫЙ УЧЁТ</t>
  </si>
  <si>
    <t xml:space="preserve">Har kuni bitta qator: qabul qilingan ayollar soni. / Каждый день одна строка: число принятых женщин.</t>
  </si>
  <si>
    <t xml:space="preserve">Jami qabul
Всего принято</t>
  </si>
  <si>
    <t xml:space="preserve">Shundan homiladorlar
Из них беременные</t>
  </si>
  <si>
    <t xml:space="preserve">Shundan ginekologik
Из них гинекологические</t>
  </si>
  <si>
    <t xml:space="preserve">Shundan profilaktik
Из них профилактические</t>
  </si>
  <si>
    <t xml:space="preserve">AYOLLAR VA ONALAR O‘LIMI HOLATLARI / СЛУЧАИ СМЕРТИ ЖЕНЩИН И МАТЕРЕЙ (shaxssiz)</t>
  </si>
  <si>
    <t xml:space="preserve">Shaxsiy ma’lumot (F.I.Sh.) YOZILMAYDI — faqat ish raqami, yosh, sabab. / ФИО НЕ вносится — только № дела, возраст, причина.</t>
  </si>
  <si>
    <t xml:space="preserve">O‘lim sanasi
Дата смерти</t>
  </si>
  <si>
    <t xml:space="preserve">Turi
Вид</t>
  </si>
  <si>
    <t xml:space="preserve">Yoshi
Возраст</t>
  </si>
  <si>
    <t xml:space="preserve">Ish raqami (shaxssiz)
№ дела (обезлич.)</t>
  </si>
  <si>
    <t xml:space="preserve">Sabab (tashxis)
Причина (диагноз)</t>
  </si>
  <si>
    <t xml:space="preserve">Kesarchadan keyinmi?
После кесарева?</t>
  </si>
  <si>
    <t xml:space="preserve">Joyi
Место</t>
  </si>
  <si>
    <t xml:space="preserve">Spravochnik / Справочники (o‘zingiz to‘ldiring va moslashtiring)</t>
  </si>
  <si>
    <t xml:space="preserve">Bu ro‘yxatlar boshqa varaqlardagi tanlash menyularini to‘ldiradi. / Эти списки наполняют выпадающие меню на других листах.</t>
  </si>
  <si>
    <t xml:space="preserve">Mahalla / Махалля (o‘zingiz yozing)</t>
  </si>
  <si>
    <t xml:space="preserve">Xavf omillari / Факторы риска</t>
  </si>
  <si>
    <t xml:space="preserve">MKB-10 kodi (Z32–Z36) / Код МКБ-10</t>
  </si>
  <si>
    <t xml:space="preserve">Kontratseptiv usul / Метод контрацепции</t>
  </si>
  <si>
    <t xml:space="preserve">Kesarcha kesish uchun tibbiy ko‘rsatma (4513-son buyruq ilovasi, 2026) / Показания к кесареву (приложение к приказу № 4513)</t>
  </si>
  <si>
    <t xml:space="preserve">Parametrlar (tahrirlanadi) / Параметры (редактируются)</t>
  </si>
  <si>
    <t xml:space="preserve">Ekstragenital kasallik</t>
  </si>
  <si>
    <t xml:space="preserve">Z32</t>
  </si>
  <si>
    <t xml:space="preserve">BIV</t>
  </si>
  <si>
    <t xml:space="preserve">1. Yo‘ldosh oldinda kelishi (og‘ir qon ketish bilan)</t>
  </si>
  <si>
    <t xml:space="preserve">Standart: oilaviy shifokor ko‘riklari soni (kamida) [TEKSHIRING] / Стандарт: осмотров семейным врачом (не менее) [СВЕРЬТЕ]</t>
  </si>
  <si>
    <t xml:space="preserve">Obstetrik anamnez (kesarcha, o‘lik tug‘ilish va h.k.)</t>
  </si>
  <si>
    <t xml:space="preserve">Z33</t>
  </si>
  <si>
    <t xml:space="preserve">Tabletkalar</t>
  </si>
  <si>
    <t xml:space="preserve">2. Yo‘ldoshning barvaqt ko‘chishi (og‘ir qon ketish / bradikardiya)</t>
  </si>
  <si>
    <t xml:space="preserve">Standart: akusher-ginekolog ko‘riklari soni (kamida) [TEKSHIRING] / Стандарт: осмотров акушером-гинекологом (не менее) [СВЕРЬТЕ]</t>
  </si>
  <si>
    <t xml:space="preserve">Yoshi (18 yoshgacha yoki 35+)</t>
  </si>
  <si>
    <t xml:space="preserve">Z34</t>
  </si>
  <si>
    <t xml:space="preserve">In’ektsiya</t>
  </si>
  <si>
    <t xml:space="preserve">3. Bachadon yirtilishi xavfi / boshlanishi / sodir bo‘lishi</t>
  </si>
  <si>
    <t xml:space="preserve">Ko‘p homilalik</t>
  </si>
  <si>
    <t xml:space="preserve">Z35</t>
  </si>
  <si>
    <t xml:space="preserve">Implant</t>
  </si>
  <si>
    <t xml:space="preserve">4. Homila distress-sindromi (KTG shubhali, bradikardiya)</t>
  </si>
  <si>
    <t xml:space="preserve">Gipertenziya / preeklampsiya</t>
  </si>
  <si>
    <t xml:space="preserve">Z36</t>
  </si>
  <si>
    <t xml:space="preserve">Prezervativ</t>
  </si>
  <si>
    <t xml:space="preserve">5. Kindik tizimchasi yoki qo‘l tushib qolishi</t>
  </si>
  <si>
    <t xml:space="preserve">Anemiya</t>
  </si>
  <si>
    <t xml:space="preserve">Jarrohlik</t>
  </si>
  <si>
    <t xml:space="preserve">6. Tug‘ruqda eklampsiya xuruji</t>
  </si>
  <si>
    <t xml:space="preserve">Qandli diabet</t>
  </si>
  <si>
    <t xml:space="preserve">Boshqa</t>
  </si>
  <si>
    <t xml:space="preserve">7. Agoniya yoki 20 haftadan keyin ayolning to‘satdan o‘limi</t>
  </si>
  <si>
    <t xml:space="preserve">Rezus-nomuvofiqlik</t>
  </si>
  <si>
    <t xml:space="preserve">8. Chanoq-bosh disproportsiyasi</t>
  </si>
  <si>
    <t xml:space="preserve">Infeksiya (OIV, gepatit va h.k.)</t>
  </si>
  <si>
    <t xml:space="preserve">9. Homila distress-sindromi (Doppler / KTG shubhali)</t>
  </si>
  <si>
    <t xml:space="preserve">10. Muddatida qog‘anoq pardasi muddatidan oldin yorilishi</t>
  </si>
  <si>
    <t xml:space="preserve">11. Rejali kesarchaga tayyorlangan ayolda tug‘ruq boshlanishi</t>
  </si>
  <si>
    <t xml:space="preserve">12. Og‘ir preeklampsiya / HELLP-sindromi</t>
  </si>
  <si>
    <t xml:space="preserve">13. Qisqarish faoliyatining korreksiya qilinmaydigan buzilishlari</t>
  </si>
  <si>
    <t xml:space="preserve">14. Xorioamnionit va tug‘ruq yo‘llarining tayyor emasligi</t>
  </si>
  <si>
    <t xml:space="preserve">15. Yo‘ldoshning to‘liq oldinda kelishi</t>
  </si>
  <si>
    <t xml:space="preserve">16. Yo‘ldoshning o‘sib kirishi</t>
  </si>
  <si>
    <t xml:space="preserve">17. Yo‘ldosh qon tomirlarining oldinda kelishi</t>
  </si>
  <si>
    <t xml:space="preserve">18. Anamnezda ikki va undan ortiq kesarcha kesish</t>
  </si>
  <si>
    <t xml:space="preserve">19. Anamnezda miomektomiya (bachadon bo‘shlig‘iga kirib borgan)</t>
  </si>
  <si>
    <t xml:space="preserve">20. Anamnezda gisterotomiya (perforatsiya, korporal, T/J-simon kesma va h.k.)</t>
  </si>
  <si>
    <t xml:space="preserve">21. Tug‘ruq yo‘llarida to‘siqlar (tor chanoq II+, deformatsiya, katta mioma, chandiq, bachadon bo‘yni saratoni)</t>
  </si>
  <si>
    <t xml:space="preserve">22. Homila taxminiy vazni 4500 g dan katta (boshqa xavf omillari bilan)</t>
  </si>
  <si>
    <t xml:space="preserve">23. Homila chanoq / oyoqlari bilan kelishi (vazn, chandiq va h.k.)</t>
  </si>
  <si>
    <t xml:space="preserve">24. Homilaning barqaror ko‘ndalang joylashishi</t>
  </si>
  <si>
    <t xml:space="preserve">25. Yelka distotsiyasi anamnezi (noxush oqibatlar)</t>
  </si>
  <si>
    <t xml:space="preserve">26. Faol genital gerpes (tug‘ruqdan 6 hafta oldin)</t>
  </si>
  <si>
    <t xml:space="preserve">27. OIV-infeksiyasi (virus yuklamasi &gt;1000 yoki noma’lum / davolanmagan)</t>
  </si>
  <si>
    <t xml:space="preserve">28. Gepatit C</t>
  </si>
  <si>
    <t xml:space="preserve">29. Homila rivojlanish anomaliyalari (gastroshizis, omfalotsele, katta teratoma)</t>
  </si>
  <si>
    <t xml:space="preserve">30. Kuchanishni inkor qilishni talab qiluvchi somatik kasalliklar</t>
  </si>
  <si>
    <t xml:space="preserve">31. Homila &gt;4500 g (diabetsiz, boshqa xavf omillari bilan)</t>
  </si>
  <si>
    <t xml:space="preserve">HUJJATLAR / ДОКУМЕНТЫ — Vrach akusher-ginekolog</t>
  </si>
  <si>
    <t xml:space="preserve">Siz topshirishingiz kerak bo‘lgan qog‘oz/elektron hujjatlar. Har biri uchun belgilang. / Бумажные/электронные документы, которые вы сдаёте. Отметьте каждый.</t>
  </si>
  <si>
    <t xml:space="preserve">Papka №</t>
  </si>
  <si>
    <t xml:space="preserve">Hujjat nomi (o‘zbekcha)</t>
  </si>
  <si>
    <t xml:space="preserve">Название документа (русский)</t>
  </si>
  <si>
    <t xml:space="preserve">Bor / Есть?</t>
  </si>
  <si>
    <t xml:space="preserve">Sana va raqami / Дата и номер</t>
  </si>
  <si>
    <t xml:space="preserve">Imzo bor? / Подпись?</t>
  </si>
  <si>
    <t xml:space="preserve">Muhr bor? / Печать?</t>
  </si>
  <si>
    <t xml:space="preserve">Shakl / Форма</t>
  </si>
  <si>
    <t xml:space="preserve">Izoh / Примечание</t>
  </si>
  <si>
    <t xml:space="preserve">Kasallanish va o'lim tahlili</t>
  </si>
  <si>
    <t xml:space="preserve">Анализ заболеваемости и смертности</t>
  </si>
  <si>
    <t xml:space="preserve">Erta hisobga olish (12 haftagacha) bo'yicha hisobot</t>
  </si>
  <si>
    <t xml:space="preserve">Отчёт по раннему учёту (до 12 недель)</t>
  </si>
  <si>
    <t xml:space="preserve">Homiladorlar ro'yxati (xavf guruhi bilan)</t>
  </si>
  <si>
    <t xml:space="preserve">Список беременных (с группой риска)</t>
  </si>
  <si>
    <t xml:space="preserve">Istalmagan homiladorlikning oldini olish chora-tadbirlari</t>
  </si>
  <si>
    <t xml:space="preserve">Мероприятия по профилактике нежелательной беременности</t>
  </si>
  <si>
    <t xml:space="preserve">Muassasalar hisobotlari</t>
  </si>
  <si>
    <t xml:space="preserve">Отчёты учреждений</t>
  </si>
  <si>
    <t xml:space="preserve">Ko'rikdan o'tganlar qamrovi to'g'risida hisobotlar</t>
  </si>
  <si>
    <t xml:space="preserve">Отчёты об охвате медосмотром</t>
  </si>
  <si>
    <t xml:space="preserve">Aniqlangan kasalliklar ro'yxati</t>
  </si>
  <si>
    <t xml:space="preserve">Список выявленных заболеваний</t>
  </si>
  <si>
    <t xml:space="preserve">Sog'lomlashtirish natijalari</t>
  </si>
  <si>
    <t xml:space="preserve">Итоги оздоровления</t>
  </si>
  <si>
    <t xml:space="preserve">Tug‘ruq tibbiy kartasi (096-x/sh)</t>
  </si>
  <si>
    <t xml:space="preserve">Медицинская карта родов (096-х/ш)</t>
  </si>
  <si>
    <t xml:space="preserve">Tug‘ruq bo‘limlarida tug‘ruqlarni qayd etish jurnali (010-x/sh)</t>
  </si>
  <si>
    <t xml:space="preserve">Журнал регистрации родов в родильных отделениях (010-х/ш)</t>
  </si>
  <si>
    <t xml:space="preserve">Qabul qilingan va rad etilgan homilador va tuqqan ayollarni hisobga olish jurnali (002-x/sh)</t>
  </si>
  <si>
    <t xml:space="preserve">Журнал учёта принятых и отказанных беременных и родильниц (002-х/ш)</t>
  </si>
  <si>
    <t xml:space="preserve">Homilador ayolning prenatal tekshiruvi kartasi (115-x/sh)</t>
  </si>
  <si>
    <t xml:space="preserve">Карта пренатального обследования беременной (115-х/ш)</t>
  </si>
  <si>
    <t xml:space="preserve">Kesarcha kesish uchun ixtiyoriy rozilik arizasi (4513-son buyruq ilovasi, namuna)</t>
  </si>
  <si>
    <t xml:space="preserve">Заявление о добровольном согласии на кесарево сечение (приложение к приказу №4513, образец)</t>
  </si>
  <si>
    <t xml:space="preserve">«Bor» — hujjat tayyor va ilova qilinadi. «Yo‘q» — hali yo‘q (izohda sababini yozing). «Kerak emas» — bu davrda talab etilmaydi. / «Bor» — есть и прилагается; «Yo‘q» — нет (причина в примечании); «Kerak emas» — не требуется в этом периоде.</t>
  </si>
  <si>
    <t xml:space="preserve">SHO‘RCHI TUMAN TIBBIYOT BIRLASHMASI</t>
  </si>
  <si>
    <t xml:space="preserve">Birlashma boshlig‘ining onalik va bolalikni muhofaza qilish bo‘yicha o‘rinbosariga / Заместителю начальника объединения по охране материнства и детства</t>
  </si>
  <si>
    <t xml:space="preserve">MA’LUMOTNOMA / СПРАВКА</t>
  </si>
  <si>
    <t xml:space="preserve">Muassasa / Учреждение:</t>
  </si>
  <si>
    <t xml:space="preserve">Mas’ul / Ответственный:</t>
  </si>
  <si>
    <t xml:space="preserve">Davr / Период:</t>
  </si>
  <si>
    <t xml:space="preserve">Muddat / Срок:</t>
  </si>
  <si>
    <t xml:space="preserve">Chiqish raqami / Исх. №:</t>
  </si>
  <si>
    <t xml:space="preserve">Joriy davr</t>
  </si>
  <si>
    <t xml:space="preserve">Eslatma: bu varaqda faqat yig‘ma sonlar bor; shaxsiy va tibbiy ma’lumotlar (F.I.Sh., tashxis) kiritilmagan. / Примечание: на листе только агрегированные числа; персональных и медицинских данных (ФИО, диагнозов) нет.</t>
  </si>
  <si>
    <t xml:space="preserve">Tayyorladi / Подготовил(а):</t>
  </si>
  <si>
    <t xml:space="preserve">Sana / Дата: ____.____.20____</t>
  </si>
  <si>
    <t xml:space="preserve">______________________________________   lavozim, F.I.Sh., imzo / должность, ФИО, подпись</t>
  </si>
  <si>
    <t xml:space="preserve">Muassasa rahbari / Руководитель учреждения:</t>
  </si>
  <si>
    <t xml:space="preserve">______________________________________   F.I.Sh., imzo / ФИО, подпись</t>
  </si>
  <si>
    <t xml:space="preserve">M.O. / М.П.
(muhr o‘rni / место печати)</t>
  </si>
  <si>
    <t xml:space="preserve">Bu varaq avtomatik to‘ladi — o‘zgartirmang. / Лист заполняется автоматически — не изменяйте.</t>
  </si>
  <si>
    <t xml:space="preserve">O‘rinbosar uchun: 4-qatorni (A dan oxirigacha) nusxalab, «Yigish_Svod» faylidagi tegishli varaqqa qiymat sifatida qo‘ying. / Для заместителя: скопируйте строку 4 (от A до конца) и вставьте как значения на соответствующий лист файла «Yigish_Svod».</t>
  </si>
  <si>
    <t xml:space="preserve">Muassasa</t>
  </si>
  <si>
    <t xml:space="preserve">Mas’ul F.I.Sh.</t>
  </si>
  <si>
    <t xml:space="preserve">Davr</t>
  </si>
  <si>
    <t xml:space="preserve">Telefon</t>
  </si>
  <si>
    <t xml:space="preserve">Tayyorlik</t>
  </si>
  <si>
    <t xml:space="preserve">Tug'ruqlar soni [ta] (Papka 7)</t>
  </si>
  <si>
    <t xml:space="preserve">Shundan asoratli tug'ruqlar [ta] (Papka 7)</t>
  </si>
  <si>
    <t xml:space="preserve">Ayollarning ambulator qabullari [ta] (Papka 7)</t>
  </si>
  <si>
    <t xml:space="preserve">Tibbiy ko'rikdan o'tgan tug'ish yoshidagi ayollar (№154) [nafar] (Papka 13)</t>
  </si>
  <si>
    <t xml:space="preserve">Aniqlangan ginekologik kasalliklar [ta] (Papka 13)</t>
  </si>
  <si>
    <t xml:space="preserve">Sog'lomlashtirilgan ayollar [nafar] (Papka 13)</t>
  </si>
  <si>
    <t xml:space="preserve">Berilgan / qo'yilgan kontratseptiv vositalar [ta] (Papka 12)</t>
  </si>
  <si>
    <t xml:space="preserve">Skriningga yuborilgan homiladorlar [nafar] (Papka 11)</t>
  </si>
  <si>
    <t xml:space="preserve">Ayollar o'limi holatlari [ta] (Papka 7)</t>
  </si>
  <si>
    <t xml:space="preserve">Onalar o'limi holatlari [ta] (Papka 15)</t>
  </si>
  <si>
    <t xml:space="preserve">Yuqori xavfli homiladorlar (nazoratda, davr oxiriga) [nafar] (Papka 7)</t>
  </si>
  <si>
    <t xml:space="preserve">Shundan stasionarga yo‘llanganlar [nafar] (Papka 7)</t>
  </si>
  <si>
    <t xml:space="preserve">Standartga mos antenatal ko‘riklardan o‘tgan homiladorlar (oilaviy shifokor ≥9, akusher-ginekolog ≥3) [nafar] (Papka 10)</t>
  </si>
  <si>
    <t xml:space="preserve">I trimestr prenatal skriningdan o‘tgan homiladorlar [nafar] (Papka 11)</t>
  </si>
  <si>
    <t xml:space="preserve">Kesarcha kesish amaliyotlari [ta] (Papka 14)</t>
  </si>
  <si>
    <t xml:space="preserve">Shundan tibbiy ko‘rsatma asosida (4513-son ro‘yxat) [ta] (Papka 14)</t>
  </si>
  <si>
    <t xml:space="preserve">Ixtiyoriy rozilik arizasi rasmiylashtirilgan kesarcha kesishlar [ta] (Papka 14)</t>
  </si>
  <si>
    <t xml:space="preserve">Kesarcha kesishda ixtiyoriy rozilik arizasi ulushi [%] (Papka 14)</t>
  </si>
  <si>
    <t xml:space="preserve">Bachadon bo‘yni sitologiyasi (surtma) olingan ayollar [nafar] (Papka 13)</t>
  </si>
  <si>
    <t xml:space="preserve">[Voyaga yetmaganlar] Nazoratdagi homilador qizlar (18 yoshgacha) [nafar] (Papka 7)</t>
  </si>
  <si>
    <t xml:space="preserve">[Voyaga yetmaganlar] Tug‘ruqlar (18 yoshgacha) [ta] (Papka 7)</t>
  </si>
  <si>
    <t xml:space="preserve">[Voyaga yetmaganlar] Xavf guruhidagi homilador qizlar [nafar] (Papka 7)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</si>
</sst>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General"/>
    <numFmt numFmtId="167" formatCode="0.0%"/>
    <numFmt numFmtId="168" formatCode="@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55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235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8"/>
      <color rgb="FF777777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3"/>
      <color rgb="FF12355B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12355B"/>
        <bgColor rgb="FF333399"/>
      </patternFill>
    </fill>
    <fill>
      <patternFill patternType="solid">
        <fgColor rgb="FF1B8A8F"/>
        <bgColor rgb="FF008080"/>
      </patternFill>
    </fill>
    <fill>
      <patternFill patternType="solid">
        <fgColor rgb="FFFFFBE6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2E7D32"/>
        <bgColor rgb="FF008000"/>
      </patternFill>
    </fill>
    <fill>
      <patternFill patternType="solid">
        <fgColor rgb="FF7F7F7F"/>
        <bgColor rgb="FF777777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FB8BA"/>
      </left>
      <right style="thin">
        <color rgb="FF9FB8BA"/>
      </right>
      <top style="thin">
        <color rgb="FF9FB8BA"/>
      </top>
      <bottom style="thin">
        <color rgb="FF9FB8BA"/>
      </bottom>
      <diagonal/>
    </border>
    <border diagonalUp="false" diagonalDown="false">
      <left/>
      <right/>
      <top/>
      <bottom style="thin">
        <color rgb="FF9FB8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8CBC8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1235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ont>
        <b val="1"/>
        <color rgb="FF9C0006"/>
      </font>
      <fill>
        <patternFill>
          <bgColor rgb="FFF8CBC8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B8A8F"/>
      <rgbColor rgb="FF9FB8BA"/>
      <rgbColor rgb="FF7F7F7F"/>
      <rgbColor rgb="FF9999FF"/>
      <rgbColor rgb="FF993366"/>
      <rgbColor rgb="FFFFFBE6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8CBC8"/>
      <rgbColor rgb="FF3366FF"/>
      <rgbColor rgb="FF33CCCC"/>
      <rgbColor rgb="FF99CC00"/>
      <rgbColor rgb="FFFFCC00"/>
      <rgbColor rgb="FFFF9900"/>
      <rgbColor rgb="FFFF6600"/>
      <rgbColor rgb="FF777777"/>
      <rgbColor rgb="FF999999"/>
      <rgbColor rgb="FF12355B"/>
      <rgbColor rgb="FF2E7D32"/>
      <rgbColor rgb="FF003300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.75" hidden="false" customHeight="true" outlineLevel="0" collapsed="false">
      <c r="A3" s="3" t="s">
        <v>2</v>
      </c>
      <c r="B3" s="3"/>
      <c r="C3" s="3"/>
      <c r="D3" s="3"/>
    </row>
    <row r="4" customFormat="false" ht="30" hidden="false" customHeight="true" outlineLevel="0" collapsed="false">
      <c r="B4" s="4" t="s">
        <v>3</v>
      </c>
      <c r="C4" s="5" t="s">
        <v>4</v>
      </c>
      <c r="D4" s="5"/>
    </row>
    <row r="5" customFormat="false" ht="30" hidden="false" customHeight="true" outlineLevel="0" collapsed="false">
      <c r="B5" s="4" t="s">
        <v>5</v>
      </c>
      <c r="C5" s="5" t="s">
        <v>6</v>
      </c>
      <c r="D5" s="5"/>
    </row>
    <row r="6" customFormat="false" ht="30" hidden="false" customHeight="true" outlineLevel="0" collapsed="false">
      <c r="B6" s="4" t="s">
        <v>7</v>
      </c>
      <c r="C6" s="5" t="s">
        <v>8</v>
      </c>
      <c r="D6" s="5"/>
    </row>
    <row r="7" customFormat="false" ht="30" hidden="false" customHeight="true" outlineLevel="0" collapsed="false">
      <c r="B7" s="4" t="s">
        <v>9</v>
      </c>
      <c r="C7" s="5" t="s">
        <v>10</v>
      </c>
      <c r="D7" s="5"/>
    </row>
    <row r="9" customFormat="false" ht="15" hidden="false" customHeight="false" outlineLevel="0" collapsed="false">
      <c r="A9" s="6" t="s">
        <v>11</v>
      </c>
    </row>
    <row r="10" customFormat="false" ht="15" hidden="false" customHeight="false" outlineLevel="0" collapsed="false">
      <c r="A10" s="7" t="s">
        <v>12</v>
      </c>
      <c r="B10" s="7" t="s">
        <v>13</v>
      </c>
      <c r="C10" s="7" t="s">
        <v>14</v>
      </c>
      <c r="D10" s="7" t="s">
        <v>15</v>
      </c>
    </row>
    <row r="11" customFormat="false" ht="57.75" hidden="false" customHeight="true" outlineLevel="0" collapsed="false">
      <c r="A11" s="8" t="n">
        <v>1</v>
      </c>
      <c r="B11" s="9" t="s">
        <v>16</v>
      </c>
      <c r="C11" s="9" t="s">
        <v>17</v>
      </c>
      <c r="D11" s="9" t="s">
        <v>18</v>
      </c>
    </row>
    <row r="12" customFormat="false" ht="45" hidden="false" customHeight="true" outlineLevel="0" collapsed="false">
      <c r="A12" s="8" t="n">
        <v>2</v>
      </c>
      <c r="B12" s="9" t="s">
        <v>19</v>
      </c>
      <c r="C12" s="9" t="s">
        <v>20</v>
      </c>
      <c r="D12" s="9" t="s">
        <v>21</v>
      </c>
    </row>
    <row r="13" customFormat="false" ht="45" hidden="false" customHeight="true" outlineLevel="0" collapsed="false">
      <c r="A13" s="8" t="n">
        <v>3</v>
      </c>
      <c r="B13" s="9" t="s">
        <v>22</v>
      </c>
      <c r="C13" s="9" t="s">
        <v>23</v>
      </c>
      <c r="D13" s="9" t="s">
        <v>24</v>
      </c>
    </row>
    <row r="14" customFormat="false" ht="57.75" hidden="false" customHeight="true" outlineLevel="0" collapsed="false">
      <c r="A14" s="8" t="n">
        <v>4</v>
      </c>
      <c r="B14" s="9" t="s">
        <v>25</v>
      </c>
      <c r="C14" s="9" t="s">
        <v>26</v>
      </c>
      <c r="D14" s="9" t="s">
        <v>27</v>
      </c>
    </row>
    <row r="15" customFormat="false" ht="45" hidden="false" customHeight="true" outlineLevel="0" collapsed="false">
      <c r="A15" s="8" t="n">
        <v>5</v>
      </c>
      <c r="B15" s="9" t="s">
        <v>28</v>
      </c>
      <c r="C15" s="9" t="s">
        <v>29</v>
      </c>
      <c r="D15" s="9" t="s">
        <v>30</v>
      </c>
    </row>
    <row r="16" customFormat="false" ht="45" hidden="false" customHeight="true" outlineLevel="0" collapsed="false">
      <c r="A16" s="8" t="n">
        <v>6</v>
      </c>
      <c r="B16" s="9" t="s">
        <v>31</v>
      </c>
      <c r="C16" s="9" t="s">
        <v>32</v>
      </c>
      <c r="D16" s="9" t="s">
        <v>33</v>
      </c>
    </row>
    <row r="18" customFormat="false" ht="15" hidden="false" customHeight="false" outlineLevel="0" collapsed="false">
      <c r="A18" s="6" t="s">
        <v>34</v>
      </c>
    </row>
    <row r="19" customFormat="false" ht="15" hidden="false" customHeight="false" outlineLevel="0" collapsed="false">
      <c r="A19" s="7" t="s">
        <v>12</v>
      </c>
      <c r="B19" s="7" t="s">
        <v>35</v>
      </c>
      <c r="C19" s="7" t="s">
        <v>36</v>
      </c>
      <c r="D19" s="7" t="s">
        <v>37</v>
      </c>
    </row>
    <row r="20" customFormat="false" ht="45" hidden="false" customHeight="true" outlineLevel="0" collapsed="false">
      <c r="A20" s="8" t="n">
        <v>1</v>
      </c>
      <c r="B20" s="9" t="s">
        <v>38</v>
      </c>
      <c r="C20" s="9" t="s">
        <v>39</v>
      </c>
      <c r="D20" s="9" t="s">
        <v>40</v>
      </c>
    </row>
    <row r="21" customFormat="false" ht="45" hidden="false" customHeight="true" outlineLevel="0" collapsed="false">
      <c r="A21" s="8" t="n">
        <v>2</v>
      </c>
      <c r="B21" s="9" t="s">
        <v>41</v>
      </c>
      <c r="C21" s="9" t="s">
        <v>42</v>
      </c>
      <c r="D21" s="9" t="s">
        <v>43</v>
      </c>
    </row>
    <row r="22" customFormat="false" ht="30" hidden="false" customHeight="true" outlineLevel="0" collapsed="false">
      <c r="A22" s="8" t="n">
        <v>3</v>
      </c>
      <c r="B22" s="9" t="s">
        <v>44</v>
      </c>
      <c r="C22" s="9" t="s">
        <v>45</v>
      </c>
      <c r="D22" s="9" t="s">
        <v>46</v>
      </c>
    </row>
    <row r="23" customFormat="false" ht="31.5" hidden="false" customHeight="true" outlineLevel="0" collapsed="false">
      <c r="A23" s="8" t="n">
        <v>4</v>
      </c>
      <c r="B23" s="9" t="s">
        <v>47</v>
      </c>
      <c r="C23" s="9" t="s">
        <v>48</v>
      </c>
      <c r="D23" s="9" t="s">
        <v>49</v>
      </c>
    </row>
    <row r="24" customFormat="false" ht="31.5" hidden="false" customHeight="true" outlineLevel="0" collapsed="false">
      <c r="A24" s="8" t="n">
        <v>5</v>
      </c>
      <c r="B24" s="9" t="s">
        <v>50</v>
      </c>
      <c r="C24" s="9" t="s">
        <v>51</v>
      </c>
      <c r="D24" s="9" t="s">
        <v>52</v>
      </c>
    </row>
    <row r="25" customFormat="false" ht="30" hidden="false" customHeight="true" outlineLevel="0" collapsed="false">
      <c r="A25" s="8" t="n">
        <v>6</v>
      </c>
      <c r="B25" s="9" t="s">
        <v>53</v>
      </c>
      <c r="C25" s="9" t="s">
        <v>54</v>
      </c>
      <c r="D25" s="9" t="s">
        <v>55</v>
      </c>
    </row>
    <row r="26" customFormat="false" ht="31.5" hidden="false" customHeight="true" outlineLevel="0" collapsed="false">
      <c r="A26" s="8" t="n">
        <v>7</v>
      </c>
      <c r="B26" s="9" t="s">
        <v>56</v>
      </c>
      <c r="C26" s="9" t="s">
        <v>57</v>
      </c>
      <c r="D26" s="9" t="s">
        <v>58</v>
      </c>
    </row>
    <row r="27" customFormat="false" ht="30" hidden="false" customHeight="true" outlineLevel="0" collapsed="false">
      <c r="A27" s="8" t="n">
        <v>8</v>
      </c>
      <c r="B27" s="9" t="s">
        <v>59</v>
      </c>
      <c r="C27" s="9" t="s">
        <v>60</v>
      </c>
      <c r="D27" s="9" t="s">
        <v>61</v>
      </c>
    </row>
    <row r="28" customFormat="false" ht="31.5" hidden="false" customHeight="true" outlineLevel="0" collapsed="false">
      <c r="A28" s="8" t="n">
        <v>9</v>
      </c>
      <c r="B28" s="9" t="s">
        <v>62</v>
      </c>
      <c r="C28" s="9" t="s">
        <v>63</v>
      </c>
      <c r="D28" s="9" t="s">
        <v>64</v>
      </c>
    </row>
    <row r="29" customFormat="false" ht="30" hidden="false" customHeight="true" outlineLevel="0" collapsed="false">
      <c r="A29" s="8" t="n">
        <v>10</v>
      </c>
      <c r="B29" s="9" t="s">
        <v>65</v>
      </c>
      <c r="C29" s="9" t="s">
        <v>66</v>
      </c>
      <c r="D29" s="9" t="s">
        <v>67</v>
      </c>
    </row>
    <row r="30" customFormat="false" ht="30" hidden="false" customHeight="true" outlineLevel="0" collapsed="false">
      <c r="A30" s="8" t="n">
        <v>11</v>
      </c>
      <c r="B30" s="9" t="s">
        <v>68</v>
      </c>
      <c r="C30" s="9" t="s">
        <v>69</v>
      </c>
      <c r="D30" s="9" t="s">
        <v>70</v>
      </c>
    </row>
    <row r="31" customFormat="false" ht="30" hidden="false" customHeight="true" outlineLevel="0" collapsed="false">
      <c r="A31" s="8" t="n">
        <v>12</v>
      </c>
      <c r="B31" s="9" t="s">
        <v>71</v>
      </c>
      <c r="C31" s="9" t="s">
        <v>72</v>
      </c>
      <c r="D31" s="9" t="s">
        <v>73</v>
      </c>
    </row>
    <row r="32" customFormat="false" ht="30" hidden="false" customHeight="true" outlineLevel="0" collapsed="false">
      <c r="A32" s="8" t="n">
        <v>13</v>
      </c>
      <c r="B32" s="9" t="s">
        <v>74</v>
      </c>
      <c r="C32" s="9" t="s">
        <v>75</v>
      </c>
      <c r="D32" s="9" t="s">
        <v>76</v>
      </c>
    </row>
    <row r="34" customFormat="false" ht="15" hidden="false" customHeight="false" outlineLevel="0" collapsed="false">
      <c r="A34" s="6" t="s">
        <v>77</v>
      </c>
    </row>
    <row r="35" customFormat="false" ht="15" hidden="false" customHeight="false" outlineLevel="0" collapsed="false">
      <c r="A35" s="7" t="s">
        <v>12</v>
      </c>
      <c r="B35" s="7" t="s">
        <v>78</v>
      </c>
      <c r="C35" s="7" t="s">
        <v>14</v>
      </c>
      <c r="D35" s="7" t="s">
        <v>15</v>
      </c>
    </row>
    <row r="36" customFormat="false" ht="45" hidden="false" customHeight="true" outlineLevel="0" collapsed="false">
      <c r="A36" s="8" t="n">
        <v>1</v>
      </c>
      <c r="B36" s="9" t="s">
        <v>79</v>
      </c>
      <c r="C36" s="9" t="s">
        <v>80</v>
      </c>
      <c r="D36" s="9" t="s">
        <v>81</v>
      </c>
    </row>
    <row r="37" customFormat="false" ht="31.5" hidden="false" customHeight="true" outlineLevel="0" collapsed="false">
      <c r="A37" s="8" t="n">
        <v>2</v>
      </c>
      <c r="B37" s="9" t="s">
        <v>82</v>
      </c>
      <c r="C37" s="9" t="s">
        <v>83</v>
      </c>
      <c r="D37" s="9" t="s">
        <v>84</v>
      </c>
    </row>
    <row r="38" customFormat="false" ht="45" hidden="false" customHeight="true" outlineLevel="0" collapsed="false">
      <c r="A38" s="8" t="n">
        <v>3</v>
      </c>
      <c r="B38" s="9" t="s">
        <v>85</v>
      </c>
      <c r="C38" s="9" t="s">
        <v>86</v>
      </c>
      <c r="D38" s="9" t="s">
        <v>87</v>
      </c>
    </row>
    <row r="39" customFormat="false" ht="31.5" hidden="false" customHeight="true" outlineLevel="0" collapsed="false">
      <c r="A39" s="8" t="n">
        <v>4</v>
      </c>
      <c r="B39" s="9" t="s">
        <v>88</v>
      </c>
      <c r="C39" s="9" t="s">
        <v>89</v>
      </c>
      <c r="D39" s="9" t="s">
        <v>90</v>
      </c>
    </row>
    <row r="40" customFormat="false" ht="31.5" hidden="false" customHeight="true" outlineLevel="0" collapsed="false">
      <c r="A40" s="8" t="n">
        <v>5</v>
      </c>
      <c r="B40" s="9" t="s">
        <v>91</v>
      </c>
      <c r="C40" s="9" t="s">
        <v>92</v>
      </c>
      <c r="D40" s="9" t="s">
        <v>93</v>
      </c>
    </row>
    <row r="41" customFormat="false" ht="45" hidden="false" customHeight="true" outlineLevel="0" collapsed="false">
      <c r="A41" s="8" t="n">
        <v>6</v>
      </c>
      <c r="B41" s="9" t="s">
        <v>94</v>
      </c>
      <c r="C41" s="9" t="s">
        <v>95</v>
      </c>
      <c r="D41" s="9" t="s">
        <v>96</v>
      </c>
    </row>
    <row r="43" customFormat="false" ht="15" hidden="false" customHeight="false" outlineLevel="0" collapsed="false">
      <c r="A43" s="6" t="s">
        <v>97</v>
      </c>
    </row>
    <row r="44" customFormat="false" ht="57.75" hidden="false" customHeight="true" outlineLevel="0" collapsed="false">
      <c r="A44" s="8" t="n">
        <v>1</v>
      </c>
      <c r="B44" s="9" t="s">
        <v>98</v>
      </c>
      <c r="C44" s="9" t="s">
        <v>99</v>
      </c>
      <c r="D44" s="9" t="s">
        <v>100</v>
      </c>
    </row>
  </sheetData>
  <mergeCells count="5">
    <mergeCell ref="A3:D3"/>
    <mergeCell ref="C4:D4"/>
    <mergeCell ref="C5:D5"/>
    <mergeCell ref="C6:D6"/>
    <mergeCell ref="C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64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10" t="s">
        <v>102</v>
      </c>
      <c r="B3" s="10"/>
      <c r="C3" s="10"/>
      <c r="D3" s="10"/>
      <c r="E3" s="10"/>
      <c r="F3" s="10"/>
      <c r="G3" s="10"/>
    </row>
    <row r="5" customFormat="false" ht="15" hidden="false" customHeight="false" outlineLevel="0" collapsed="false">
      <c r="B5" s="11" t="s">
        <v>103</v>
      </c>
      <c r="C5" s="12" t="s">
        <v>104</v>
      </c>
    </row>
    <row r="6" customFormat="false" ht="15" hidden="false" customHeight="false" outlineLevel="0" collapsed="false">
      <c r="B6" s="11" t="s">
        <v>105</v>
      </c>
      <c r="C6" s="12" t="s">
        <v>106</v>
      </c>
    </row>
    <row r="7" customFormat="false" ht="15" hidden="false" customHeight="false" outlineLevel="0" collapsed="false">
      <c r="B7" s="11" t="s">
        <v>107</v>
      </c>
      <c r="C7" s="12" t="s">
        <v>4</v>
      </c>
    </row>
    <row r="8" customFormat="false" ht="15" hidden="false" customHeight="false" outlineLevel="0" collapsed="false">
      <c r="B8" s="11" t="s">
        <v>108</v>
      </c>
      <c r="C8" s="12" t="s">
        <v>109</v>
      </c>
    </row>
    <row r="9" customFormat="false" ht="15" hidden="false" customHeight="false" outlineLevel="0" collapsed="false">
      <c r="B9" s="11" t="s">
        <v>110</v>
      </c>
      <c r="C9" s="13" t="n">
        <v>46307</v>
      </c>
      <c r="D9" s="2" t="s">
        <v>111</v>
      </c>
    </row>
    <row r="10" customFormat="false" ht="15" hidden="false" customHeight="false" outlineLevel="0" collapsed="false">
      <c r="B10" s="11" t="s">
        <v>112</v>
      </c>
      <c r="C10" s="13" t="n">
        <v>46313</v>
      </c>
      <c r="D10" s="2" t="s">
        <v>113</v>
      </c>
    </row>
    <row r="11" customFormat="false" ht="15" hidden="false" customHeight="false" outlineLevel="0" collapsed="false">
      <c r="B11" s="11" t="s">
        <v>114</v>
      </c>
      <c r="C11" s="14" t="str">
        <f aca="false">IF(OR(C9="",C10=""),"",DAY(C9)&amp;"."&amp;MONTH(C9)&amp;"."&amp;YEAR(C9)&amp;" – "&amp;DAY(C10)&amp;"."&amp;MONTH(C10)&amp;"."&amp;YEAR(C10))</f>
        <v>12.10.2026 – 18.10.2026</v>
      </c>
    </row>
    <row r="12" customFormat="false" ht="35.05" hidden="false" customHeight="false" outlineLevel="0" collapsed="false">
      <c r="B12" s="11" t="s">
        <v>115</v>
      </c>
      <c r="C12" s="15" t="n">
        <f aca="true">IF(C10="",TODAY(),C10)</f>
        <v>46313</v>
      </c>
    </row>
    <row r="13" customFormat="false" ht="33.75" hidden="false" customHeight="true" outlineLevel="0" collapsed="false">
      <c r="B13" s="11" t="s">
        <v>116</v>
      </c>
      <c r="C13" s="16" t="str">
        <f aca="false">IF(IF(OR(C9="",C10=""),"davrni kiriting (C9, C10); ","")&amp;IF(AND(C9&lt;&gt;"",C10&lt;&gt;"",C10&lt;C9),"davr oxiri boshidan oldin; ","")&amp;IF(OR(C5="",C6=""),"muassasa va F.I.Sh.; ","")&amp;IF(SUM(D42,D44,D45,D46,D47,D48,D50,D51,D52,D53,D54,D55,D56,D57,D58,D59,D60)&gt;0,"jurnallarda xatolar bor (pastga qarang); ","")="","✔ TAYYOR / ГОТОВО","✖ TO‘LIQ EMAS / НЕ ПОЛНО: "&amp;IF(OR(C9="",C10=""),"davrni kiriting (C9, C10); ","")&amp;IF(AND(C9&lt;&gt;"",C10&lt;&gt;"",C10&lt;C9),"davr oxiri boshidan oldin; ","")&amp;IF(OR(C5="",C6=""),"muassasa va F.I.Sh.; ","")&amp;IF(SUM(D42,D44,D45,D46,D47,D48,D50,D51,D52,D53,D54,D55,D56,D57,D58,D59,D60)&gt;0,"jurnallarda xatolar bor (pastga qarang); ",""))</f>
        <v>✖ TO‘LIQ EMAS / НЕ ПОЛНО: jurnallarda xatolar bor (pastga qarang); </v>
      </c>
      <c r="D13" s="16"/>
      <c r="E13" s="16"/>
      <c r="F13" s="16"/>
      <c r="G13" s="16"/>
    </row>
    <row r="14" customFormat="false" ht="15" hidden="false" customHeight="false" outlineLevel="0" collapsed="false">
      <c r="B14" s="11" t="s">
        <v>117</v>
      </c>
      <c r="C14" s="16" t="str">
        <f aca="false">IF(COUNTBLANK(Hujjatlar!E5:E17)=0,"✔ Hammasi belgilangan / Всё отмечено","✖ Hujjatlar varag‘ida belgilanmagan: "&amp;COUNTBLANK(Hujjatlar!E5:E17)&amp;" ta")</f>
        <v>✖ Hujjatlar varag‘ida belgilanmagan: 13 ta</v>
      </c>
      <c r="D14" s="16"/>
      <c r="E14" s="16"/>
      <c r="F14" s="16"/>
      <c r="G14" s="16"/>
    </row>
    <row r="16" customFormat="false" ht="31.5" hidden="false" customHeight="true" outlineLevel="0" collapsed="false">
      <c r="A16" s="7" t="s">
        <v>118</v>
      </c>
      <c r="B16" s="7" t="s">
        <v>119</v>
      </c>
      <c r="C16" s="7" t="s">
        <v>120</v>
      </c>
      <c r="D16" s="7" t="s">
        <v>121</v>
      </c>
      <c r="E16" s="7" t="s">
        <v>122</v>
      </c>
      <c r="F16" s="7" t="s">
        <v>123</v>
      </c>
      <c r="G16" s="7" t="s">
        <v>124</v>
      </c>
    </row>
    <row r="17" customFormat="false" ht="31.5" hidden="false" customHeight="true" outlineLevel="0" collapsed="false">
      <c r="A17" s="8" t="n">
        <v>1</v>
      </c>
      <c r="B17" s="5" t="s">
        <v>125</v>
      </c>
      <c r="C17" s="5" t="s">
        <v>126</v>
      </c>
      <c r="D17" s="8" t="s">
        <v>127</v>
      </c>
      <c r="E17" s="8" t="s">
        <v>128</v>
      </c>
      <c r="F17" s="17" t="n">
        <f aca="false">IF(OR(Boshqaruv!$C$9="",Boshqaruv!$C$10=""),"",COUNTIFS(Tugruqlar!$B$5:$B$604,"&gt;="&amp;Boshqaruv!$C$9,Tugruqlar!$B$5:$B$604,"&lt;="&amp;Boshqaruv!$C$10,Tugruqlar!$C$5:$C$604,"&lt;&gt;"))</f>
        <v>0</v>
      </c>
      <c r="G17" s="18" t="s">
        <v>129</v>
      </c>
    </row>
    <row r="18" customFormat="false" ht="31.5" hidden="false" customHeight="true" outlineLevel="0" collapsed="false">
      <c r="A18" s="8" t="n">
        <v>2</v>
      </c>
      <c r="B18" s="5" t="s">
        <v>130</v>
      </c>
      <c r="C18" s="5" t="s">
        <v>131</v>
      </c>
      <c r="D18" s="8" t="s">
        <v>127</v>
      </c>
      <c r="E18" s="8" t="s">
        <v>128</v>
      </c>
      <c r="F18" s="17" t="n">
        <f aca="false">IF(OR(Boshqaruv!$C$9="",Boshqaruv!$C$10=""),"",COUNTIFS(Tugruqlar!$B$5:$B$604,"&gt;="&amp;Boshqaruv!$C$9,Tugruqlar!$B$5:$B$604,"&lt;="&amp;Boshqaruv!$C$10,Tugruqlar!$L$5:$L$604,"Ha"))</f>
        <v>0</v>
      </c>
      <c r="G18" s="18" t="s">
        <v>132</v>
      </c>
    </row>
    <row r="19" customFormat="false" ht="31.5" hidden="false" customHeight="true" outlineLevel="0" collapsed="false">
      <c r="A19" s="8" t="n">
        <v>3</v>
      </c>
      <c r="B19" s="5" t="s">
        <v>133</v>
      </c>
      <c r="C19" s="5" t="s">
        <v>134</v>
      </c>
      <c r="D19" s="8" t="s">
        <v>127</v>
      </c>
      <c r="E19" s="8" t="s">
        <v>128</v>
      </c>
      <c r="F19" s="17" t="n">
        <f aca="false">IF(OR(Boshqaruv!$C$9="",Boshqaruv!$C$10=""),"",SUMIFS(Qabul_kunlik!$C$5:$C$404,Qabul_kunlik!$B$5:$B$404,"&gt;="&amp;Boshqaruv!$C$9,Qabul_kunlik!$B$5:$B$404,"&lt;="&amp;Boshqaruv!$C$10))</f>
        <v>0</v>
      </c>
      <c r="G19" s="18" t="s">
        <v>135</v>
      </c>
    </row>
    <row r="20" customFormat="false" ht="31.5" hidden="false" customHeight="true" outlineLevel="0" collapsed="false">
      <c r="A20" s="8" t="n">
        <v>4</v>
      </c>
      <c r="B20" s="5" t="s">
        <v>136</v>
      </c>
      <c r="C20" s="5" t="s">
        <v>137</v>
      </c>
      <c r="D20" s="8" t="s">
        <v>138</v>
      </c>
      <c r="E20" s="8" t="s">
        <v>139</v>
      </c>
      <c r="F20" s="17" t="n">
        <f aca="false">IF(OR(Boshqaruv!$C$9="",Boshqaruv!$C$10=""),"",COUNTIFS(Korik_154!$B$5:$B$1504,"&gt;="&amp;Boshqaruv!$C$9,Korik_154!$B$5:$B$1504,"&lt;="&amp;Boshqaruv!$C$10,Korik_154!$C$5:$C$1504,"&lt;&gt;"))</f>
        <v>0</v>
      </c>
      <c r="G20" s="18" t="s">
        <v>140</v>
      </c>
    </row>
    <row r="21" customFormat="false" ht="31.5" hidden="false" customHeight="true" outlineLevel="0" collapsed="false">
      <c r="A21" s="8" t="n">
        <v>5</v>
      </c>
      <c r="B21" s="5" t="s">
        <v>141</v>
      </c>
      <c r="C21" s="5" t="s">
        <v>142</v>
      </c>
      <c r="D21" s="8" t="s">
        <v>127</v>
      </c>
      <c r="E21" s="8" t="s">
        <v>139</v>
      </c>
      <c r="F21" s="17" t="n">
        <f aca="false">IF(OR(Boshqaruv!$C$9="",Boshqaruv!$C$10=""),"",COUNTIFS(Ginekologik!$B$5:$B$804,"&gt;="&amp;Boshqaruv!$C$9,Ginekologik!$B$5:$B$804,"&lt;="&amp;Boshqaruv!$C$10,Ginekologik!$C$5:$C$804,"&lt;&gt;"))</f>
        <v>0</v>
      </c>
      <c r="G21" s="18" t="s">
        <v>143</v>
      </c>
    </row>
    <row r="22" customFormat="false" ht="31.5" hidden="false" customHeight="true" outlineLevel="0" collapsed="false">
      <c r="A22" s="8" t="n">
        <v>6</v>
      </c>
      <c r="B22" s="5" t="s">
        <v>144</v>
      </c>
      <c r="C22" s="5" t="s">
        <v>145</v>
      </c>
      <c r="D22" s="8" t="s">
        <v>138</v>
      </c>
      <c r="E22" s="8" t="s">
        <v>139</v>
      </c>
      <c r="F22" s="17" t="n">
        <f aca="false">IF(OR(Boshqaruv!$C$9="",Boshqaruv!$C$10=""),"",COUNTIFS(Ginekologik!$K$5:$K$804,"&gt;="&amp;Boshqaruv!$C$9,Ginekologik!$K$5:$K$804,"&lt;="&amp;Boshqaruv!$C$10,Ginekologik!$C$5:$C$804,"&lt;&gt;"))</f>
        <v>0</v>
      </c>
      <c r="G22" s="18" t="s">
        <v>146</v>
      </c>
    </row>
    <row r="23" customFormat="false" ht="31.5" hidden="false" customHeight="true" outlineLevel="0" collapsed="false">
      <c r="A23" s="8" t="n">
        <v>7</v>
      </c>
      <c r="B23" s="5" t="s">
        <v>147</v>
      </c>
      <c r="C23" s="5" t="s">
        <v>148</v>
      </c>
      <c r="D23" s="8" t="s">
        <v>127</v>
      </c>
      <c r="E23" s="8" t="s">
        <v>149</v>
      </c>
      <c r="F23" s="17" t="n">
        <f aca="false">IF(OR(Boshqaruv!$C$9="",Boshqaruv!$C$10=""),"",SUMIFS(Kontratseptiv!$H$5:$H$804,Kontratseptiv!$B$5:$B$804,"&gt;="&amp;Boshqaruv!$C$9,Kontratseptiv!$B$5:$B$804,"&lt;="&amp;Boshqaruv!$C$10))</f>
        <v>0</v>
      </c>
      <c r="G23" s="18" t="s">
        <v>150</v>
      </c>
    </row>
    <row r="24" customFormat="false" ht="31.5" hidden="false" customHeight="true" outlineLevel="0" collapsed="false">
      <c r="A24" s="8" t="n">
        <v>8</v>
      </c>
      <c r="B24" s="5" t="s">
        <v>151</v>
      </c>
      <c r="C24" s="5" t="s">
        <v>152</v>
      </c>
      <c r="D24" s="8" t="s">
        <v>138</v>
      </c>
      <c r="E24" s="8" t="s">
        <v>153</v>
      </c>
      <c r="F24" s="17" t="n">
        <f aca="false">IF(OR(Boshqaruv!$C$9="",Boshqaruv!$C$10=""),"",COUNTIFS(Homiladorlar!$Y$5:$Y$804,"&gt;="&amp;Boshqaruv!$C$9,Homiladorlar!$Y$5:$Y$804,"&lt;="&amp;Boshqaruv!$C$10,Homiladorlar!$B$5:$B$804,"&lt;&gt;"))</f>
        <v>0</v>
      </c>
      <c r="G24" s="18" t="s">
        <v>154</v>
      </c>
    </row>
    <row r="25" customFormat="false" ht="45" hidden="false" customHeight="true" outlineLevel="0" collapsed="false">
      <c r="A25" s="8" t="n">
        <v>9</v>
      </c>
      <c r="B25" s="5" t="s">
        <v>155</v>
      </c>
      <c r="C25" s="5" t="s">
        <v>156</v>
      </c>
      <c r="D25" s="8" t="s">
        <v>127</v>
      </c>
      <c r="E25" s="8" t="s">
        <v>128</v>
      </c>
      <c r="F25" s="17" t="n">
        <f aca="false">IF(OR(Boshqaruv!$C$9="",Boshqaruv!$C$10=""),"",COUNTIFS(Olim_holatlari!$B$5:$B$64,"&gt;="&amp;Boshqaruv!$C$9,Olim_holatlari!$B$5:$B$64,"&lt;="&amp;Boshqaruv!$C$10,Olim_holatlari!$C$5:$C$64,"&lt;&gt;"))</f>
        <v>0</v>
      </c>
      <c r="G25" s="18" t="s">
        <v>157</v>
      </c>
    </row>
    <row r="26" customFormat="false" ht="31.5" hidden="false" customHeight="true" outlineLevel="0" collapsed="false">
      <c r="A26" s="8" t="n">
        <v>10</v>
      </c>
      <c r="B26" s="5" t="s">
        <v>158</v>
      </c>
      <c r="C26" s="5" t="s">
        <v>159</v>
      </c>
      <c r="D26" s="8" t="s">
        <v>127</v>
      </c>
      <c r="E26" s="8" t="s">
        <v>160</v>
      </c>
      <c r="F26" s="17" t="n">
        <f aca="false">IF(OR(Boshqaruv!$C$9="",Boshqaruv!$C$10=""),"",COUNTIFS(Olim_holatlari!$B$5:$B$64,"&gt;="&amp;Boshqaruv!$C$9,Olim_holatlari!$B$5:$B$64,"&lt;="&amp;Boshqaruv!$C$10,Olim_holatlari!$C$5:$C$64,"Ona o'limi"))</f>
        <v>0</v>
      </c>
      <c r="G26" s="18" t="s">
        <v>161</v>
      </c>
    </row>
    <row r="27" customFormat="false" ht="57.75" hidden="false" customHeight="true" outlineLevel="0" collapsed="false">
      <c r="A27" s="8" t="n">
        <v>11</v>
      </c>
      <c r="B27" s="5" t="s">
        <v>162</v>
      </c>
      <c r="C27" s="5" t="s">
        <v>163</v>
      </c>
      <c r="D27" s="8" t="s">
        <v>138</v>
      </c>
      <c r="E27" s="8" t="s">
        <v>128</v>
      </c>
      <c r="F27" s="17" t="n">
        <f aca="false">IF(OR(Boshqaruv!$C$9="",Boshqaruv!$C$10=""),"",(COUNTIFS(Homiladorlar!$H$5:$H$804,"&lt;="&amp;Boshqaruv!$C$10,Homiladorlar!$AE$5:$AE$804,"",Homiladorlar!$N$5:$N$804,"Ha")+COUNTIFS(Homiladorlar!$H$5:$H$804,"&lt;="&amp;Boshqaruv!$C$10,Homiladorlar!$AE$5:$AE$804,"&gt;"&amp;Boshqaruv!$C$10,Homiladorlar!$N$5:$N$804,"Ha")))</f>
        <v>0</v>
      </c>
      <c r="G27" s="18" t="s">
        <v>164</v>
      </c>
    </row>
    <row r="28" customFormat="false" ht="45" hidden="false" customHeight="true" outlineLevel="0" collapsed="false">
      <c r="A28" s="8" t="n">
        <v>12</v>
      </c>
      <c r="B28" s="5" t="s">
        <v>165</v>
      </c>
      <c r="C28" s="5" t="s">
        <v>166</v>
      </c>
      <c r="D28" s="8" t="s">
        <v>138</v>
      </c>
      <c r="E28" s="8" t="s">
        <v>128</v>
      </c>
      <c r="F28" s="17" t="n">
        <f aca="false">IF(OR(Boshqaruv!$C$9="",Boshqaruv!$C$10=""),"",(COUNTIFS(Homiladorlar!$H$5:$H$804,"&lt;="&amp;Boshqaruv!$C$10,Homiladorlar!$AE$5:$AE$804,"",Homiladorlar!$N$5:$N$804,"Ha",Homiladorlar!$T$5:$T$804,"&lt;&gt;")+COUNTIFS(Homiladorlar!$H$5:$H$804,"&lt;="&amp;Boshqaruv!$C$10,Homiladorlar!$AE$5:$AE$804,"&gt;"&amp;Boshqaruv!$C$10,Homiladorlar!$N$5:$N$804,"Ha",Homiladorlar!$T$5:$T$804,"&lt;&gt;")))</f>
        <v>0</v>
      </c>
      <c r="G28" s="18" t="s">
        <v>167</v>
      </c>
    </row>
    <row r="29" customFormat="false" ht="84" hidden="false" customHeight="true" outlineLevel="0" collapsed="false">
      <c r="A29" s="8" t="n">
        <v>13</v>
      </c>
      <c r="B29" s="5" t="s">
        <v>168</v>
      </c>
      <c r="C29" s="5" t="s">
        <v>169</v>
      </c>
      <c r="D29" s="8" t="s">
        <v>138</v>
      </c>
      <c r="E29" s="8" t="s">
        <v>170</v>
      </c>
      <c r="F29" s="17" t="n">
        <f aca="false">IF(OR(Boshqaruv!$C$9="",Boshqaruv!$C$10=""),"",COUNTIFS(Homiladorlar!$AE$5:$AE$804,"&gt;="&amp;Boshqaruv!$C$9,Homiladorlar!$AE$5:$AE$804,"&lt;="&amp;Boshqaruv!$C$10,Homiladorlar!$X$5:$X$804,"Ha",Homiladorlar!$AD$5:$AD$804,"Tug'di"))</f>
        <v>0</v>
      </c>
      <c r="G29" s="18" t="s">
        <v>171</v>
      </c>
    </row>
    <row r="30" customFormat="false" ht="45" hidden="false" customHeight="true" outlineLevel="0" collapsed="false">
      <c r="A30" s="8" t="n">
        <v>14</v>
      </c>
      <c r="B30" s="5" t="s">
        <v>172</v>
      </c>
      <c r="C30" s="5" t="s">
        <v>173</v>
      </c>
      <c r="D30" s="8" t="s">
        <v>138</v>
      </c>
      <c r="E30" s="8" t="s">
        <v>153</v>
      </c>
      <c r="F30" s="17" t="n">
        <f aca="false">IF(OR(Boshqaruv!$C$9="",Boshqaruv!$C$10=""),"",COUNTIFS(Homiladorlar!$Z$5:$Z$804,"&gt;="&amp;Boshqaruv!$C$9,Homiladorlar!$Z$5:$Z$804,"&lt;="&amp;Boshqaruv!$C$10,Homiladorlar!$B$5:$B$804,"&lt;&gt;"))</f>
        <v>0</v>
      </c>
      <c r="G30" s="18" t="s">
        <v>174</v>
      </c>
    </row>
    <row r="31" customFormat="false" ht="45" hidden="false" customHeight="true" outlineLevel="0" collapsed="false">
      <c r="A31" s="8" t="n">
        <v>15</v>
      </c>
      <c r="B31" s="5" t="s">
        <v>175</v>
      </c>
      <c r="C31" s="5" t="s">
        <v>176</v>
      </c>
      <c r="D31" s="8" t="s">
        <v>127</v>
      </c>
      <c r="E31" s="8" t="s">
        <v>177</v>
      </c>
      <c r="F31" s="17" t="n">
        <f aca="false">IF(OR(Boshqaruv!$C$9="",Boshqaruv!$C$10=""),"",COUNTIFS(Tugruqlar!$B$5:$B$604,"&gt;="&amp;Boshqaruv!$C$9,Tugruqlar!$B$5:$B$604,"&lt;="&amp;Boshqaruv!$C$10,Tugruqlar!$K$5:$K$604,"Kesarcha"))</f>
        <v>0</v>
      </c>
      <c r="G31" s="18" t="s">
        <v>178</v>
      </c>
    </row>
    <row r="32" customFormat="false" ht="57.75" hidden="false" customHeight="true" outlineLevel="0" collapsed="false">
      <c r="A32" s="8" t="n">
        <v>16</v>
      </c>
      <c r="B32" s="5" t="s">
        <v>179</v>
      </c>
      <c r="C32" s="5" t="s">
        <v>180</v>
      </c>
      <c r="D32" s="8" t="s">
        <v>127</v>
      </c>
      <c r="E32" s="8" t="s">
        <v>177</v>
      </c>
      <c r="F32" s="17" t="n">
        <f aca="false">IF(OR(Boshqaruv!$C$9="",Boshqaruv!$C$10=""),"",COUNTIFS(Tugruqlar!$B$5:$B$604,"&gt;="&amp;Boshqaruv!$C$9,Tugruqlar!$B$5:$B$604,"&lt;="&amp;Boshqaruv!$C$10,Tugruqlar!$K$5:$K$604,"Kesarcha",Tugruqlar!$O$5:$O$604,"&lt;&gt;"))</f>
        <v>0</v>
      </c>
      <c r="G32" s="18" t="s">
        <v>181</v>
      </c>
    </row>
    <row r="33" customFormat="false" ht="45" hidden="false" customHeight="true" outlineLevel="0" collapsed="false">
      <c r="A33" s="8" t="n">
        <v>17</v>
      </c>
      <c r="B33" s="5" t="s">
        <v>182</v>
      </c>
      <c r="C33" s="5" t="s">
        <v>183</v>
      </c>
      <c r="D33" s="8" t="s">
        <v>127</v>
      </c>
      <c r="E33" s="8" t="s">
        <v>177</v>
      </c>
      <c r="F33" s="17" t="n">
        <f aca="false">IF(OR(Boshqaruv!$C$9="",Boshqaruv!$C$10=""),"",COUNTIFS(Tugruqlar!$B$5:$B$604,"&gt;="&amp;Boshqaruv!$C$9,Tugruqlar!$B$5:$B$604,"&lt;="&amp;Boshqaruv!$C$10,Tugruqlar!$K$5:$K$604,"Kesarcha",Tugruqlar!$R$5:$R$604,"Ha"))</f>
        <v>0</v>
      </c>
      <c r="G33" s="18" t="s">
        <v>184</v>
      </c>
    </row>
    <row r="34" customFormat="false" ht="31.5" hidden="false" customHeight="true" outlineLevel="0" collapsed="false">
      <c r="A34" s="8" t="n">
        <v>18</v>
      </c>
      <c r="B34" s="5" t="s">
        <v>185</v>
      </c>
      <c r="C34" s="5" t="s">
        <v>186</v>
      </c>
      <c r="D34" s="8" t="s">
        <v>187</v>
      </c>
      <c r="E34" s="8" t="s">
        <v>177</v>
      </c>
      <c r="F34" s="19" t="str">
        <f aca="false">IF(OR(Boshqaruv!$C$9="",Boshqaruv!$C$10=""),"",IF(N($F$31)=0,"",$F$33/$F$31))</f>
        <v/>
      </c>
      <c r="G34" s="18" t="s">
        <v>188</v>
      </c>
    </row>
    <row r="35" customFormat="false" ht="45" hidden="false" customHeight="true" outlineLevel="0" collapsed="false">
      <c r="A35" s="8" t="n">
        <v>19</v>
      </c>
      <c r="B35" s="5" t="s">
        <v>189</v>
      </c>
      <c r="C35" s="5" t="s">
        <v>190</v>
      </c>
      <c r="D35" s="8" t="s">
        <v>138</v>
      </c>
      <c r="E35" s="8" t="s">
        <v>139</v>
      </c>
      <c r="F35" s="17" t="n">
        <f aca="false">IF(OR(Boshqaruv!$C$9="",Boshqaruv!$C$10=""),"",COUNTIFS(Sitologiya!$B$5:$B$804,"&gt;="&amp;Boshqaruv!$C$9,Sitologiya!$B$5:$B$804,"&lt;="&amp;Boshqaruv!$C$10,Sitologiya!$C$5:$C$804,"&lt;&gt;"))</f>
        <v>0</v>
      </c>
      <c r="G35" s="18" t="s">
        <v>191</v>
      </c>
    </row>
    <row r="36" customFormat="false" ht="45" hidden="false" customHeight="true" outlineLevel="0" collapsed="false">
      <c r="A36" s="8" t="n">
        <v>20</v>
      </c>
      <c r="B36" s="5" t="s">
        <v>192</v>
      </c>
      <c r="C36" s="5" t="s">
        <v>193</v>
      </c>
      <c r="D36" s="8" t="s">
        <v>138</v>
      </c>
      <c r="E36" s="8" t="s">
        <v>128</v>
      </c>
      <c r="F36" s="17" t="n">
        <f aca="false">IF(OR(Boshqaruv!$C$9="",Boshqaruv!$C$10=""),"",(COUNTIFS(Homiladorlar!$H$5:$H$804,"&lt;="&amp;Boshqaruv!$C$10,Homiladorlar!$AE$5:$AE$804,"",Homiladorlar!$M$5:$M$804,"Ha")+COUNTIFS(Homiladorlar!$H$5:$H$804,"&lt;="&amp;Boshqaruv!$C$10,Homiladorlar!$AE$5:$AE$804,"&gt;"&amp;Boshqaruv!$C$10,Homiladorlar!$M$5:$M$804,"Ha")))</f>
        <v>0</v>
      </c>
      <c r="G36" s="18" t="s">
        <v>194</v>
      </c>
    </row>
    <row r="37" customFormat="false" ht="45" hidden="false" customHeight="true" outlineLevel="0" collapsed="false">
      <c r="A37" s="8" t="n">
        <v>21</v>
      </c>
      <c r="B37" s="5" t="s">
        <v>195</v>
      </c>
      <c r="C37" s="5" t="s">
        <v>196</v>
      </c>
      <c r="D37" s="8" t="s">
        <v>127</v>
      </c>
      <c r="E37" s="8" t="s">
        <v>128</v>
      </c>
      <c r="F37" s="17" t="n">
        <f aca="false">IF(OR(Boshqaruv!$C$9="",Boshqaruv!$C$10=""),"",COUNTIFS(Tugruqlar!$B$5:$B$604,"&gt;="&amp;Boshqaruv!$C$9,Tugruqlar!$B$5:$B$604,"&lt;="&amp;Boshqaruv!$C$10,Tugruqlar!$H$5:$H$604,"Ha"))</f>
        <v>0</v>
      </c>
      <c r="G37" s="18" t="s">
        <v>197</v>
      </c>
    </row>
    <row r="38" customFormat="false" ht="45" hidden="false" customHeight="true" outlineLevel="0" collapsed="false">
      <c r="A38" s="8" t="n">
        <v>22</v>
      </c>
      <c r="B38" s="5" t="s">
        <v>198</v>
      </c>
      <c r="C38" s="5" t="s">
        <v>199</v>
      </c>
      <c r="D38" s="8" t="s">
        <v>138</v>
      </c>
      <c r="E38" s="8" t="s">
        <v>128</v>
      </c>
      <c r="F38" s="17" t="n">
        <f aca="false">IF(OR(Boshqaruv!$C$9="",Boshqaruv!$C$10=""),"",(COUNTIFS(Homiladorlar!$H$5:$H$804,"&lt;="&amp;Boshqaruv!$C$10,Homiladorlar!$AE$5:$AE$804,"",Homiladorlar!$M$5:$M$804,"Ha",Homiladorlar!$N$5:$N$804,"Ha")+COUNTIFS(Homiladorlar!$H$5:$H$804,"&lt;="&amp;Boshqaruv!$C$10,Homiladorlar!$AE$5:$AE$804,"&gt;"&amp;Boshqaruv!$C$10,Homiladorlar!$M$5:$M$804,"Ha",Homiladorlar!$N$5:$N$804,"Ha")))</f>
        <v>0</v>
      </c>
      <c r="G38" s="18" t="s">
        <v>200</v>
      </c>
    </row>
    <row r="40" customFormat="false" ht="15" hidden="false" customHeight="false" outlineLevel="0" collapsed="false">
      <c r="A40" s="6" t="s">
        <v>201</v>
      </c>
    </row>
    <row r="41" customFormat="false" ht="15" hidden="false" customHeight="false" outlineLevel="0" collapsed="false">
      <c r="A41" s="7"/>
      <c r="B41" s="7" t="s">
        <v>202</v>
      </c>
      <c r="C41" s="7" t="s">
        <v>203</v>
      </c>
      <c r="D41" s="7" t="s">
        <v>204</v>
      </c>
      <c r="E41" s="7"/>
      <c r="F41" s="7" t="s">
        <v>205</v>
      </c>
      <c r="G41" s="7" t="s">
        <v>206</v>
      </c>
    </row>
    <row r="42" customFormat="false" ht="30" hidden="false" customHeight="true" outlineLevel="0" collapsed="false">
      <c r="A42" s="8"/>
      <c r="B42" s="5" t="s">
        <v>207</v>
      </c>
      <c r="C42" s="5" t="s">
        <v>208</v>
      </c>
      <c r="D42" s="8" t="n">
        <f aca="false">COUNTIF(Tugruqlar!$S$5:$S$604,"YO‘Q")</f>
        <v>0</v>
      </c>
      <c r="E42" s="8"/>
      <c r="F42" s="20" t="str">
        <f aca="false">IF(N(D42)=0,"✔ OK",IF("err"="err","✖ XATO / ОШИБКА","⚠ DIQQAT / ВНИМАНИЕ"))</f>
        <v>✔ OK</v>
      </c>
      <c r="G42" s="5" t="s">
        <v>209</v>
      </c>
    </row>
    <row r="43" customFormat="false" ht="30" hidden="false" customHeight="true" outlineLevel="0" collapsed="false">
      <c r="A43" s="8"/>
      <c r="B43" s="5" t="s">
        <v>210</v>
      </c>
      <c r="C43" s="5" t="s">
        <v>211</v>
      </c>
      <c r="D43" s="8" t="n">
        <f aca="false">COUNTIFS(Tugruqlar!$O$5:$O$604,"&lt;&gt;",Tugruqlar!$K$5:$K$604,"&lt;&gt;Kesarcha")</f>
        <v>0</v>
      </c>
      <c r="E43" s="8"/>
      <c r="F43" s="20" t="str">
        <f aca="false">IF(N(D43)=0,"✔ OK",IF("warn"="err","✖ XATO / ОШИБКА","⚠ DIQQAT / ВНИМАНИЕ"))</f>
        <v>✔ OK</v>
      </c>
      <c r="G43" s="5" t="s">
        <v>212</v>
      </c>
    </row>
    <row r="44" customFormat="false" ht="30" hidden="false" customHeight="true" outlineLevel="0" collapsed="false">
      <c r="A44" s="8"/>
      <c r="B44" s="5" t="s">
        <v>213</v>
      </c>
      <c r="C44" s="5" t="s">
        <v>214</v>
      </c>
      <c r="D44" s="8" t="n">
        <f aca="false">COUNTIFS(Tugruqlar!$C$5:$C$604,"&lt;&gt;",Tugruqlar!$D$5:$D$604,"")+COUNTIFS(Tugruqlar!$C$5:$C$604,"&lt;&gt;",Tugruqlar!$K$5:$K$604,"")</f>
        <v>0</v>
      </c>
      <c r="E44" s="8"/>
      <c r="F44" s="20" t="str">
        <f aca="false">IF(N(D44)=0,"✔ OK",IF("err"="err","✖ XATO / ОШИБКА","⚠ DIQQAT / ВНИМАНИЕ"))</f>
        <v>✔ OK</v>
      </c>
      <c r="G44" s="5" t="s">
        <v>215</v>
      </c>
    </row>
    <row r="45" customFormat="false" ht="30" hidden="false" customHeight="true" outlineLevel="0" collapsed="false">
      <c r="A45" s="8"/>
      <c r="B45" s="5" t="s">
        <v>216</v>
      </c>
      <c r="C45" s="5" t="s">
        <v>217</v>
      </c>
      <c r="D45" s="8" t="n">
        <f aca="false">COUNTIF(Tugruqlar!$V$5:$V$604,"Takror")</f>
        <v>0</v>
      </c>
      <c r="E45" s="8"/>
      <c r="F45" s="20" t="str">
        <f aca="false">IF(N(D45)=0,"✔ OK",IF("err"="err","✖ XATO / ОШИБКА","⚠ DIQQAT / ВНИМАНИЕ"))</f>
        <v>✔ OK</v>
      </c>
      <c r="G45" s="5" t="s">
        <v>218</v>
      </c>
    </row>
    <row r="46" customFormat="false" ht="30" hidden="false" customHeight="true" outlineLevel="0" collapsed="false">
      <c r="A46" s="8"/>
      <c r="B46" s="5" t="s">
        <v>219</v>
      </c>
      <c r="C46" s="5" t="s">
        <v>220</v>
      </c>
      <c r="D46" s="8" t="n">
        <f aca="false">COUNTIFS(Homiladorlar!$B$5:$B$804,"&lt;&gt;",Homiladorlar!$H$5:$H$804,"")</f>
        <v>4</v>
      </c>
      <c r="E46" s="8"/>
      <c r="F46" s="20" t="str">
        <f aca="false">IF(N(D46)=0,"✔ OK",IF("err"="err","✖ XATO / ОШИБКА","⚠ DIQQAT / ВНИМАНИЕ"))</f>
        <v>✖ XATO / ОШИБКА</v>
      </c>
      <c r="G46" s="5" t="s">
        <v>221</v>
      </c>
    </row>
    <row r="47" customFormat="false" ht="30" hidden="false" customHeight="true" outlineLevel="0" collapsed="false">
      <c r="A47" s="8"/>
      <c r="B47" s="5" t="s">
        <v>222</v>
      </c>
      <c r="C47" s="5" t="s">
        <v>223</v>
      </c>
      <c r="D47" s="8" t="n">
        <f aca="false">COUNTIFS(Homiladorlar!$N$5:$N$804,"Ha",Homiladorlar!$Q$5:$Q$804,"")</f>
        <v>0</v>
      </c>
      <c r="E47" s="8"/>
      <c r="F47" s="20" t="str">
        <f aca="false">IF(N(D47)=0,"✔ OK",IF("err"="err","✖ XATO / ОШИБКА","⚠ DIQQAT / ВНИМАНИЕ"))</f>
        <v>✔ OK</v>
      </c>
      <c r="G47" s="5" t="s">
        <v>224</v>
      </c>
    </row>
    <row r="48" customFormat="false" ht="30" hidden="false" customHeight="true" outlineLevel="0" collapsed="false">
      <c r="A48" s="8"/>
      <c r="B48" s="5" t="s">
        <v>225</v>
      </c>
      <c r="C48" s="5" t="s">
        <v>226</v>
      </c>
      <c r="D48" s="8" t="n">
        <f aca="false">COUNTIFS(Homiladorlar!$AD$5:$AD$804,"&lt;&gt;Homilador",Homiladorlar!$AD$5:$AD$804,"&lt;&gt;",Homiladorlar!$AE$5:$AE$804,"")</f>
        <v>0</v>
      </c>
      <c r="E48" s="8"/>
      <c r="F48" s="20" t="str">
        <f aca="false">IF(N(D48)=0,"✔ OK",IF("err"="err","✖ XATO / ОШИБКА","⚠ DIQQAT / ВНИМАНИЕ"))</f>
        <v>✔ OK</v>
      </c>
      <c r="G48" s="5" t="s">
        <v>227</v>
      </c>
    </row>
    <row r="49" customFormat="false" ht="30" hidden="false" customHeight="true" outlineLevel="0" collapsed="false">
      <c r="A49" s="8"/>
      <c r="B49" s="5" t="s">
        <v>228</v>
      </c>
      <c r="C49" s="5" t="s">
        <v>229</v>
      </c>
      <c r="D49" s="8" t="n">
        <f aca="false">COUNTIF(Homiladorlar!$AC$5:$AC$804,"Ha")</f>
        <v>0</v>
      </c>
      <c r="E49" s="8"/>
      <c r="F49" s="20" t="str">
        <f aca="false">IF(N(D49)=0,"✔ OK",IF("warn"="err","✖ XATO / ОШИБКА","⚠ DIQQAT / ВНИМАНИЕ"))</f>
        <v>✔ OK</v>
      </c>
      <c r="G49" s="5" t="s">
        <v>230</v>
      </c>
    </row>
    <row r="50" customFormat="false" ht="30" hidden="false" customHeight="true" outlineLevel="0" collapsed="false">
      <c r="A50" s="8"/>
      <c r="B50" s="5" t="s">
        <v>231</v>
      </c>
      <c r="C50" s="5" t="s">
        <v>232</v>
      </c>
      <c r="D50" s="8" t="n">
        <f aca="false">COUNTIF(Homiladorlar!$AG$5:$AG$804,"Takror")</f>
        <v>0</v>
      </c>
      <c r="E50" s="8"/>
      <c r="F50" s="20" t="str">
        <f aca="false">IF(N(D50)=0,"✔ OK",IF("err"="err","✖ XATO / ОШИБКА","⚠ DIQQAT / ВНИМАНИЕ"))</f>
        <v>✔ OK</v>
      </c>
      <c r="G50" s="5" t="s">
        <v>218</v>
      </c>
    </row>
    <row r="51" customFormat="false" ht="30" hidden="false" customHeight="true" outlineLevel="0" collapsed="false">
      <c r="A51" s="8"/>
      <c r="B51" s="5" t="s">
        <v>233</v>
      </c>
      <c r="C51" s="5" t="s">
        <v>234</v>
      </c>
      <c r="D51" s="8" t="n">
        <f aca="false">COUNTIFS(Korik_154!$C$5:$C$1504,"&lt;&gt;",Korik_154!$D$5:$D$1504,"")</f>
        <v>0</v>
      </c>
      <c r="E51" s="8"/>
      <c r="F51" s="20" t="str">
        <f aca="false">IF(N(D51)=0,"✔ OK",IF("err"="err","✖ XATO / ОШИБКА","⚠ DIQQAT / ВНИМАНИЕ"))</f>
        <v>✔ OK</v>
      </c>
      <c r="G51" s="5" t="s">
        <v>221</v>
      </c>
    </row>
    <row r="52" customFormat="false" ht="30" hidden="false" customHeight="true" outlineLevel="0" collapsed="false">
      <c r="A52" s="8"/>
      <c r="B52" s="5" t="s">
        <v>235</v>
      </c>
      <c r="C52" s="5" t="s">
        <v>236</v>
      </c>
      <c r="D52" s="8" t="n">
        <f aca="false">COUNTIF(Korik_154!$L$5:$L$1504,"Takror")</f>
        <v>0</v>
      </c>
      <c r="E52" s="8"/>
      <c r="F52" s="20" t="str">
        <f aca="false">IF(N(D52)=0,"✔ OK",IF("err"="err","✖ XATO / ОШИБКА","⚠ DIQQAT / ВНИМАНИЕ"))</f>
        <v>✔ OK</v>
      </c>
      <c r="G52" s="5" t="s">
        <v>218</v>
      </c>
    </row>
    <row r="53" customFormat="false" ht="30" hidden="false" customHeight="true" outlineLevel="0" collapsed="false">
      <c r="A53" s="8"/>
      <c r="B53" s="5" t="s">
        <v>237</v>
      </c>
      <c r="C53" s="5" t="s">
        <v>238</v>
      </c>
      <c r="D53" s="8" t="n">
        <f aca="false">COUNTIFS(Ginekologik!$C$5:$C$804,"&lt;&gt;",Ginekologik!$H$5:$H$804,"")</f>
        <v>0</v>
      </c>
      <c r="E53" s="8"/>
      <c r="F53" s="20" t="str">
        <f aca="false">IF(N(D53)=0,"✔ OK",IF("err"="err","✖ XATO / ОШИБКА","⚠ DIQQAT / ВНИМАНИЕ"))</f>
        <v>✔ OK</v>
      </c>
      <c r="G53" s="5" t="s">
        <v>224</v>
      </c>
    </row>
    <row r="54" customFormat="false" ht="30" hidden="false" customHeight="true" outlineLevel="0" collapsed="false">
      <c r="A54" s="8"/>
      <c r="B54" s="5" t="s">
        <v>239</v>
      </c>
      <c r="C54" s="5" t="s">
        <v>240</v>
      </c>
      <c r="D54" s="8" t="n">
        <f aca="false">COUNTIF(Ginekologik!$M$5:$M$804,"Takror")</f>
        <v>0</v>
      </c>
      <c r="E54" s="8"/>
      <c r="F54" s="20" t="str">
        <f aca="false">IF(N(D54)=0,"✔ OK",IF("err"="err","✖ XATO / ОШИБКА","⚠ DIQQAT / ВНИМАНИЕ"))</f>
        <v>✔ OK</v>
      </c>
      <c r="G54" s="5" t="s">
        <v>218</v>
      </c>
    </row>
    <row r="55" customFormat="false" ht="30" hidden="false" customHeight="true" outlineLevel="0" collapsed="false">
      <c r="A55" s="8"/>
      <c r="B55" s="5" t="s">
        <v>241</v>
      </c>
      <c r="C55" s="5" t="s">
        <v>242</v>
      </c>
      <c r="D55" s="8" t="n">
        <f aca="false">COUNTIFS(Sitologiya!$C$5:$C$804,"&lt;&gt;",Sitologiya!$D$5:$D$804,"")</f>
        <v>0</v>
      </c>
      <c r="E55" s="8"/>
      <c r="F55" s="20" t="str">
        <f aca="false">IF(N(D55)=0,"✔ OK",IF("err"="err","✖ XATO / ОШИБКА","⚠ DIQQAT / ВНИМАНИЕ"))</f>
        <v>✔ OK</v>
      </c>
      <c r="G55" s="5" t="s">
        <v>221</v>
      </c>
    </row>
    <row r="56" customFormat="false" ht="30" hidden="false" customHeight="true" outlineLevel="0" collapsed="false">
      <c r="A56" s="8"/>
      <c r="B56" s="5" t="s">
        <v>243</v>
      </c>
      <c r="C56" s="5" t="s">
        <v>244</v>
      </c>
      <c r="D56" s="8" t="n">
        <f aca="false">COUNTIF(Sitologiya!$J$5:$J$804,"Takror")</f>
        <v>0</v>
      </c>
      <c r="E56" s="8"/>
      <c r="F56" s="20" t="str">
        <f aca="false">IF(N(D56)=0,"✔ OK",IF("err"="err","✖ XATO / ОШИБКА","⚠ DIQQAT / ВНИМАНИЕ"))</f>
        <v>✔ OK</v>
      </c>
      <c r="G56" s="5" t="s">
        <v>218</v>
      </c>
    </row>
    <row r="57" customFormat="false" ht="30" hidden="false" customHeight="true" outlineLevel="0" collapsed="false">
      <c r="A57" s="8"/>
      <c r="B57" s="5" t="s">
        <v>245</v>
      </c>
      <c r="C57" s="5" t="s">
        <v>246</v>
      </c>
      <c r="D57" s="8" t="n">
        <f aca="false">COUNTIFS(Kontratseptiv!$C$5:$C$804,"&lt;&gt;",Kontratseptiv!$H$5:$H$804,"")</f>
        <v>0</v>
      </c>
      <c r="E57" s="8"/>
      <c r="F57" s="20" t="str">
        <f aca="false">IF(N(D57)=0,"✔ OK",IF("err"="err","✖ XATO / ОШИБКА","⚠ DIQQAT / ВНИМАНИЕ"))</f>
        <v>✔ OK</v>
      </c>
      <c r="G57" s="5" t="s">
        <v>247</v>
      </c>
    </row>
    <row r="58" customFormat="false" ht="30" hidden="false" customHeight="true" outlineLevel="0" collapsed="false">
      <c r="A58" s="8"/>
      <c r="B58" s="5" t="s">
        <v>248</v>
      </c>
      <c r="C58" s="5" t="s">
        <v>249</v>
      </c>
      <c r="D58" s="8" t="n">
        <f aca="false">COUNTIF(Kontratseptiv!$J$5:$J$804,"Takror")</f>
        <v>0</v>
      </c>
      <c r="E58" s="8"/>
      <c r="F58" s="20" t="str">
        <f aca="false">IF(N(D58)=0,"✔ OK",IF("err"="err","✖ XATO / ОШИБКА","⚠ DIQQAT / ВНИМАНИЕ"))</f>
        <v>✔ OK</v>
      </c>
      <c r="G58" s="5" t="s">
        <v>218</v>
      </c>
    </row>
    <row r="59" customFormat="false" ht="30" hidden="false" customHeight="true" outlineLevel="0" collapsed="false">
      <c r="A59" s="8"/>
      <c r="B59" s="5" t="s">
        <v>250</v>
      </c>
      <c r="C59" s="5" t="s">
        <v>251</v>
      </c>
      <c r="D59" s="8" t="n">
        <f aca="false">SUMPRODUCT((Qabul_kunlik!$B$5:$B$404&lt;&gt;"")*(COUNTIF(Qabul_kunlik!$B$5:$B$404,Qabul_kunlik!$B$5:$B$404)&gt;1))</f>
        <v>0</v>
      </c>
      <c r="E59" s="8"/>
      <c r="F59" s="20" t="str">
        <f aca="false">IF(N(D59)=0,"✔ OK",IF("err"="err","✖ XATO / ОШИБКА","⚠ DIQQAT / ВНИМАНИЕ"))</f>
        <v>✔ OK</v>
      </c>
      <c r="G59" s="5" t="s">
        <v>252</v>
      </c>
    </row>
    <row r="60" customFormat="false" ht="30" hidden="false" customHeight="true" outlineLevel="0" collapsed="false">
      <c r="A60" s="8"/>
      <c r="B60" s="5" t="s">
        <v>253</v>
      </c>
      <c r="C60" s="5" t="s">
        <v>254</v>
      </c>
      <c r="D60" s="8" t="n">
        <f aca="false">COUNTIFS(Olim_holatlari!$B$5:$B$64,"&lt;&gt;",Olim_holatlari!$C$5:$C$64,"")</f>
        <v>0</v>
      </c>
      <c r="E60" s="8"/>
      <c r="F60" s="20" t="str">
        <f aca="false">IF(N(D60)=0,"✔ OK",IF("err"="err","✖ XATO / ОШИБКА","⚠ DIQQAT / ВНИМАНИЕ"))</f>
        <v>✔ OK</v>
      </c>
      <c r="G60" s="5" t="s">
        <v>255</v>
      </c>
    </row>
  </sheetData>
  <mergeCells count="3">
    <mergeCell ref="A3:G3"/>
    <mergeCell ref="C13:G13"/>
    <mergeCell ref="C14:G14"/>
  </mergeCells>
  <conditionalFormatting sqref="F42:F60">
    <cfRule type="expression" priority="2" aboveAverage="0" equalAverage="0" bottom="0" percent="0" rank="0" text="" dxfId="0">
      <formula>LEFT(F42,1)="✖"</formula>
    </cfRule>
    <cfRule type="expression" priority="3" aboveAverage="0" equalAverage="0" bottom="0" percent="0" rank="0" text="" dxfId="1">
      <formula>LEFT(F42,1)="⚠"</formula>
    </cfRule>
    <cfRule type="expression" priority="4" aboveAverage="0" equalAverage="0" bottom="0" percent="0" rank="0" text="" dxfId="2">
      <formula>LEFT(F42,1)="✔"</formula>
    </cfRule>
  </conditionalFormatting>
  <conditionalFormatting sqref="C13">
    <cfRule type="expression" priority="5" aboveAverage="0" equalAverage="0" bottom="0" percent="0" rank="0" text="" dxfId="0">
      <formula>LEFT(C13,1)="✖"</formula>
    </cfRule>
    <cfRule type="expression" priority="6" aboveAverage="0" equalAverage="0" bottom="0" percent="0" rank="0" text="" dxfId="2">
      <formula>LEFT(C13,1)="✔"</formula>
    </cfRule>
  </conditionalFormatting>
  <conditionalFormatting sqref="C14">
    <cfRule type="expression" priority="7" aboveAverage="0" equalAverage="0" bottom="0" percent="0" rank="0" text="" dxfId="0">
      <formula>LEFT(C14,1)="✖"</formula>
    </cfRule>
    <cfRule type="expression" priority="8" aboveAverage="0" equalAverage="0" bottom="0" percent="0" rank="0" text="" dxfId="2">
      <formula>LEFT(C14,1)="✔"</formula>
    </cfRule>
  </conditionalFormatting>
  <dataValidations count="1">
    <dataValidation allowBlank="true" error="Sanani kiriting (kun.oy.yil) / Введите дату (дд.мм.гггг)" errorStyle="stop" errorTitle="Sana / Дата" operator="greaterThan" showDropDown="false" showErrorMessage="true" showInputMessage="false" sqref="C9:C10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2" min="10" style="0" width="11"/>
    <col collapsed="false" customWidth="true" hidden="false" outlineLevel="0" max="13" min="13" style="0" width="24"/>
    <col collapsed="false" customWidth="true" hidden="false" outlineLevel="0" max="14" min="14" style="0" width="14"/>
    <col collapsed="false" customWidth="true" hidden="false" outlineLevel="0" max="15" min="15" style="0" width="36"/>
    <col collapsed="false" customWidth="true" hidden="false" outlineLevel="0" max="16" min="16" style="0" width="11"/>
    <col collapsed="false" customWidth="true" hidden="false" outlineLevel="0" max="17" min="17" style="0" width="18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22"/>
    <col collapsed="false" customWidth="true" hidden="false" outlineLevel="0" max="22" min="22" style="0" width="11"/>
  </cols>
  <sheetData>
    <row r="1" customFormat="false" ht="17.35" hidden="false" customHeight="false" outlineLevel="0" collapsed="false">
      <c r="A1" s="1" t="s">
        <v>256</v>
      </c>
    </row>
    <row r="2" customFormat="false" ht="15" hidden="false" customHeight="false" outlineLevel="0" collapsed="false">
      <c r="A2" s="2" t="s">
        <v>257</v>
      </c>
    </row>
    <row r="3" customFormat="false" ht="15" hidden="false" customHeight="false" outlineLevel="0" collapsed="false">
      <c r="A3" s="21" t="s">
        <v>258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customFormat="false" ht="114" hidden="false" customHeight="true" outlineLevel="0" collapsed="false">
      <c r="A4" s="7" t="s">
        <v>12</v>
      </c>
      <c r="B4" s="7" t="s">
        <v>259</v>
      </c>
      <c r="C4" s="7" t="s">
        <v>260</v>
      </c>
      <c r="D4" s="7" t="s">
        <v>261</v>
      </c>
      <c r="E4" s="7" t="s">
        <v>262</v>
      </c>
      <c r="F4" s="7" t="s">
        <v>263</v>
      </c>
      <c r="G4" s="23" t="s">
        <v>264</v>
      </c>
      <c r="H4" s="23" t="s">
        <v>265</v>
      </c>
      <c r="I4" s="7" t="s">
        <v>266</v>
      </c>
      <c r="J4" s="7" t="s">
        <v>267</v>
      </c>
      <c r="K4" s="7" t="s">
        <v>268</v>
      </c>
      <c r="L4" s="7" t="s">
        <v>269</v>
      </c>
      <c r="M4" s="7" t="s">
        <v>270</v>
      </c>
      <c r="N4" s="7" t="s">
        <v>271</v>
      </c>
      <c r="O4" s="7" t="s">
        <v>272</v>
      </c>
      <c r="P4" s="23" t="s">
        <v>273</v>
      </c>
      <c r="Q4" s="23" t="s">
        <v>274</v>
      </c>
      <c r="R4" s="7" t="s">
        <v>275</v>
      </c>
      <c r="S4" s="23" t="s">
        <v>276</v>
      </c>
      <c r="T4" s="7" t="s">
        <v>277</v>
      </c>
      <c r="U4" s="7" t="s">
        <v>278</v>
      </c>
      <c r="V4" s="23" t="s">
        <v>279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4"/>
      <c r="F5" s="12"/>
      <c r="G5" s="14" t="str">
        <f aca="false">IF(OR($D5="",$B5=""),"",INT(($B5-$D5)/365.25))</f>
        <v/>
      </c>
      <c r="H5" s="14" t="str">
        <f aca="false">IF($G5="","",IF($G5&lt;18,"Ha","Yo'q"))</f>
        <v/>
      </c>
      <c r="I5" s="12"/>
      <c r="J5" s="25"/>
      <c r="K5" s="25"/>
      <c r="L5" s="25"/>
      <c r="M5" s="12"/>
      <c r="N5" s="25"/>
      <c r="O5" s="25"/>
      <c r="P5" s="14" t="str">
        <f aca="false">IF($O5="","",IFERROR(VALUE(LEFT($O5,FIND(".",$O5)-1)),""))</f>
        <v/>
      </c>
      <c r="Q5" s="14" t="str">
        <f aca="false">IF($P5="","",IF($P5&lt;=7,"Shoshilinch",IF($P5&lt;=9,"Kechiktirib bo'lmaydigan",IF($P5&lt;=14,"Rejalashtirilgan","Rejali"))))</f>
        <v/>
      </c>
      <c r="R5" s="25"/>
      <c r="S5" s="14" t="str">
        <f aca="false">IF($K5&lt;&gt;"Kesarcha","",IF(OR($O5&lt;&gt;"",$R5="Ha"),"Ha","YO‘Q"))</f>
        <v/>
      </c>
      <c r="T5" s="12"/>
      <c r="U5" s="12"/>
      <c r="V5" s="14" t="str">
        <f aca="false">IF(OR($C5="",$D5="",$B5=""),"",IF(COUNTIFS($C$5:$C$604,$C5,$D$5:$D$604,$D5,$B$5:$B$604,$B5)&gt;1,"Takror",""))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4"/>
      <c r="F6" s="12"/>
      <c r="G6" s="14" t="str">
        <f aca="false">IF(OR($D6="",$B6=""),"",INT(($B6-$D6)/365.25))</f>
        <v/>
      </c>
      <c r="H6" s="14" t="str">
        <f aca="false">IF($G6="","",IF($G6&lt;18,"Ha","Yo'q"))</f>
        <v/>
      </c>
      <c r="I6" s="12"/>
      <c r="J6" s="25"/>
      <c r="K6" s="25"/>
      <c r="L6" s="25"/>
      <c r="M6" s="12"/>
      <c r="N6" s="25"/>
      <c r="O6" s="25"/>
      <c r="P6" s="14" t="str">
        <f aca="false">IF($O6="","",IFERROR(VALUE(LEFT($O6,FIND(".",$O6)-1)),""))</f>
        <v/>
      </c>
      <c r="Q6" s="14" t="str">
        <f aca="false">IF($P6="","",IF($P6&lt;=7,"Shoshilinch",IF($P6&lt;=9,"Kechiktirib bo'lmaydigan",IF($P6&lt;=14,"Rejalashtirilgan","Rejali"))))</f>
        <v/>
      </c>
      <c r="R6" s="25"/>
      <c r="S6" s="14" t="str">
        <f aca="false">IF($K6&lt;&gt;"Kesarcha","",IF(OR($O6&lt;&gt;"",$R6="Ha"),"Ha","YO‘Q"))</f>
        <v/>
      </c>
      <c r="T6" s="12"/>
      <c r="U6" s="12"/>
      <c r="V6" s="14" t="str">
        <f aca="false">IF(OR($C6="",$D6="",$B6=""),"",IF(COUNTIFS($C$5:$C$604,$C6,$D$5:$D$604,$D6,$B$5:$B$604,$B6)&gt;1,"Takror",""))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4"/>
      <c r="F7" s="12"/>
      <c r="G7" s="14" t="str">
        <f aca="false">IF(OR($D7="",$B7=""),"",INT(($B7-$D7)/365.25))</f>
        <v/>
      </c>
      <c r="H7" s="14" t="str">
        <f aca="false">IF($G7="","",IF($G7&lt;18,"Ha","Yo'q"))</f>
        <v/>
      </c>
      <c r="I7" s="12"/>
      <c r="J7" s="25"/>
      <c r="K7" s="25"/>
      <c r="L7" s="25"/>
      <c r="M7" s="12"/>
      <c r="N7" s="25"/>
      <c r="O7" s="25"/>
      <c r="P7" s="14" t="str">
        <f aca="false">IF($O7="","",IFERROR(VALUE(LEFT($O7,FIND(".",$O7)-1)),""))</f>
        <v/>
      </c>
      <c r="Q7" s="14" t="str">
        <f aca="false">IF($P7="","",IF($P7&lt;=7,"Shoshilinch",IF($P7&lt;=9,"Kechiktirib bo'lmaydigan",IF($P7&lt;=14,"Rejalashtirilgan","Rejali"))))</f>
        <v/>
      </c>
      <c r="R7" s="25"/>
      <c r="S7" s="14" t="str">
        <f aca="false">IF($K7&lt;&gt;"Kesarcha","",IF(OR($O7&lt;&gt;"",$R7="Ha"),"Ha","YO‘Q"))</f>
        <v/>
      </c>
      <c r="T7" s="12"/>
      <c r="U7" s="12"/>
      <c r="V7" s="14" t="str">
        <f aca="false">IF(OR($C7="",$D7="",$B7=""),"",IF(COUNTIFS($C$5:$C$604,$C7,$D$5:$D$604,$D7,$B$5:$B$604,$B7)&gt;1,"Takror",""))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4"/>
      <c r="F8" s="12"/>
      <c r="G8" s="14" t="str">
        <f aca="false">IF(OR($D8="",$B8=""),"",INT(($B8-$D8)/365.25))</f>
        <v/>
      </c>
      <c r="H8" s="14" t="str">
        <f aca="false">IF($G8="","",IF($G8&lt;18,"Ha","Yo'q"))</f>
        <v/>
      </c>
      <c r="I8" s="12"/>
      <c r="J8" s="25"/>
      <c r="K8" s="25"/>
      <c r="L8" s="25"/>
      <c r="M8" s="12"/>
      <c r="N8" s="25"/>
      <c r="O8" s="25"/>
      <c r="P8" s="14" t="str">
        <f aca="false">IF($O8="","",IFERROR(VALUE(LEFT($O8,FIND(".",$O8)-1)),""))</f>
        <v/>
      </c>
      <c r="Q8" s="14" t="str">
        <f aca="false">IF($P8="","",IF($P8&lt;=7,"Shoshilinch",IF($P8&lt;=9,"Kechiktirib bo'lmaydigan",IF($P8&lt;=14,"Rejalashtirilgan","Rejali"))))</f>
        <v/>
      </c>
      <c r="R8" s="25"/>
      <c r="S8" s="14" t="str">
        <f aca="false">IF($K8&lt;&gt;"Kesarcha","",IF(OR($O8&lt;&gt;"",$R8="Ha"),"Ha","YO‘Q"))</f>
        <v/>
      </c>
      <c r="T8" s="12"/>
      <c r="U8" s="12"/>
      <c r="V8" s="14" t="str">
        <f aca="false">IF(OR($C8="",$D8="",$B8=""),"",IF(COUNTIFS($C$5:$C$604,$C8,$D$5:$D$604,$D8,$B$5:$B$604,$B8)&gt;1,"Takror",""))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4"/>
      <c r="F9" s="12"/>
      <c r="G9" s="14" t="str">
        <f aca="false">IF(OR($D9="",$B9=""),"",INT(($B9-$D9)/365.25))</f>
        <v/>
      </c>
      <c r="H9" s="14" t="str">
        <f aca="false">IF($G9="","",IF($G9&lt;18,"Ha","Yo'q"))</f>
        <v/>
      </c>
      <c r="I9" s="12"/>
      <c r="J9" s="25"/>
      <c r="K9" s="25"/>
      <c r="L9" s="25"/>
      <c r="M9" s="12"/>
      <c r="N9" s="25"/>
      <c r="O9" s="25"/>
      <c r="P9" s="14" t="str">
        <f aca="false">IF($O9="","",IFERROR(VALUE(LEFT($O9,FIND(".",$O9)-1)),""))</f>
        <v/>
      </c>
      <c r="Q9" s="14" t="str">
        <f aca="false">IF($P9="","",IF($P9&lt;=7,"Shoshilinch",IF($P9&lt;=9,"Kechiktirib bo'lmaydigan",IF($P9&lt;=14,"Rejalashtirilgan","Rejali"))))</f>
        <v/>
      </c>
      <c r="R9" s="25"/>
      <c r="S9" s="14" t="str">
        <f aca="false">IF($K9&lt;&gt;"Kesarcha","",IF(OR($O9&lt;&gt;"",$R9="Ha"),"Ha","YO‘Q"))</f>
        <v/>
      </c>
      <c r="T9" s="12"/>
      <c r="U9" s="12"/>
      <c r="V9" s="14" t="str">
        <f aca="false">IF(OR($C9="",$D9="",$B9=""),"",IF(COUNTIFS($C$5:$C$604,$C9,$D$5:$D$604,$D9,$B$5:$B$604,$B9)&gt;1,"Takror",""))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4"/>
      <c r="F10" s="12"/>
      <c r="G10" s="14" t="str">
        <f aca="false">IF(OR($D10="",$B10=""),"",INT(($B10-$D10)/365.25))</f>
        <v/>
      </c>
      <c r="H10" s="14" t="str">
        <f aca="false">IF($G10="","",IF($G10&lt;18,"Ha","Yo'q"))</f>
        <v/>
      </c>
      <c r="I10" s="12"/>
      <c r="J10" s="25"/>
      <c r="K10" s="25"/>
      <c r="L10" s="25"/>
      <c r="M10" s="12"/>
      <c r="N10" s="25"/>
      <c r="O10" s="25"/>
      <c r="P10" s="14" t="str">
        <f aca="false">IF($O10="","",IFERROR(VALUE(LEFT($O10,FIND(".",$O10)-1)),""))</f>
        <v/>
      </c>
      <c r="Q10" s="14" t="str">
        <f aca="false">IF($P10="","",IF($P10&lt;=7,"Shoshilinch",IF($P10&lt;=9,"Kechiktirib bo'lmaydigan",IF($P10&lt;=14,"Rejalashtirilgan","Rejali"))))</f>
        <v/>
      </c>
      <c r="R10" s="25"/>
      <c r="S10" s="14" t="str">
        <f aca="false">IF($K10&lt;&gt;"Kesarcha","",IF(OR($O10&lt;&gt;"",$R10="Ha"),"Ha","YO‘Q"))</f>
        <v/>
      </c>
      <c r="T10" s="12"/>
      <c r="U10" s="12"/>
      <c r="V10" s="14" t="str">
        <f aca="false">IF(OR($C10="",$D10="",$B10=""),"",IF(COUNTIFS($C$5:$C$604,$C10,$D$5:$D$604,$D10,$B$5:$B$604,$B10)&gt;1,"Takror",""))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4"/>
      <c r="F11" s="12"/>
      <c r="G11" s="14" t="str">
        <f aca="false">IF(OR($D11="",$B11=""),"",INT(($B11-$D11)/365.25))</f>
        <v/>
      </c>
      <c r="H11" s="14" t="str">
        <f aca="false">IF($G11="","",IF($G11&lt;18,"Ha","Yo'q"))</f>
        <v/>
      </c>
      <c r="I11" s="12"/>
      <c r="J11" s="25"/>
      <c r="K11" s="25"/>
      <c r="L11" s="25"/>
      <c r="M11" s="12"/>
      <c r="N11" s="25"/>
      <c r="O11" s="25"/>
      <c r="P11" s="14" t="str">
        <f aca="false">IF($O11="","",IFERROR(VALUE(LEFT($O11,FIND(".",$O11)-1)),""))</f>
        <v/>
      </c>
      <c r="Q11" s="14" t="str">
        <f aca="false">IF($P11="","",IF($P11&lt;=7,"Shoshilinch",IF($P11&lt;=9,"Kechiktirib bo'lmaydigan",IF($P11&lt;=14,"Rejalashtirilgan","Rejali"))))</f>
        <v/>
      </c>
      <c r="R11" s="25"/>
      <c r="S11" s="14" t="str">
        <f aca="false">IF($K11&lt;&gt;"Kesarcha","",IF(OR($O11&lt;&gt;"",$R11="Ha"),"Ha","YO‘Q"))</f>
        <v/>
      </c>
      <c r="T11" s="12"/>
      <c r="U11" s="12"/>
      <c r="V11" s="14" t="str">
        <f aca="false">IF(OR($C11="",$D11="",$B11=""),"",IF(COUNTIFS($C$5:$C$604,$C11,$D$5:$D$604,$D11,$B$5:$B$604,$B11)&gt;1,"Takror",""))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4"/>
      <c r="F12" s="12"/>
      <c r="G12" s="14" t="str">
        <f aca="false">IF(OR($D12="",$B12=""),"",INT(($B12-$D12)/365.25))</f>
        <v/>
      </c>
      <c r="H12" s="14" t="str">
        <f aca="false">IF($G12="","",IF($G12&lt;18,"Ha","Yo'q"))</f>
        <v/>
      </c>
      <c r="I12" s="12"/>
      <c r="J12" s="25"/>
      <c r="K12" s="25"/>
      <c r="L12" s="25"/>
      <c r="M12" s="12"/>
      <c r="N12" s="25"/>
      <c r="O12" s="25"/>
      <c r="P12" s="14" t="str">
        <f aca="false">IF($O12="","",IFERROR(VALUE(LEFT($O12,FIND(".",$O12)-1)),""))</f>
        <v/>
      </c>
      <c r="Q12" s="14" t="str">
        <f aca="false">IF($P12="","",IF($P12&lt;=7,"Shoshilinch",IF($P12&lt;=9,"Kechiktirib bo'lmaydigan",IF($P12&lt;=14,"Rejalashtirilgan","Rejali"))))</f>
        <v/>
      </c>
      <c r="R12" s="25"/>
      <c r="S12" s="14" t="str">
        <f aca="false">IF($K12&lt;&gt;"Kesarcha","",IF(OR($O12&lt;&gt;"",$R12="Ha"),"Ha","YO‘Q"))</f>
        <v/>
      </c>
      <c r="T12" s="12"/>
      <c r="U12" s="12"/>
      <c r="V12" s="14" t="str">
        <f aca="false">IF(OR($C12="",$D12="",$B12=""),"",IF(COUNTIFS($C$5:$C$604,$C12,$D$5:$D$604,$D12,$B$5:$B$604,$B12)&gt;1,"Takror",""))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4"/>
      <c r="F13" s="12"/>
      <c r="G13" s="14" t="str">
        <f aca="false">IF(OR($D13="",$B13=""),"",INT(($B13-$D13)/365.25))</f>
        <v/>
      </c>
      <c r="H13" s="14" t="str">
        <f aca="false">IF($G13="","",IF($G13&lt;18,"Ha","Yo'q"))</f>
        <v/>
      </c>
      <c r="I13" s="12"/>
      <c r="J13" s="25"/>
      <c r="K13" s="25"/>
      <c r="L13" s="25"/>
      <c r="M13" s="12"/>
      <c r="N13" s="25"/>
      <c r="O13" s="25"/>
      <c r="P13" s="14" t="str">
        <f aca="false">IF($O13="","",IFERROR(VALUE(LEFT($O13,FIND(".",$O13)-1)),""))</f>
        <v/>
      </c>
      <c r="Q13" s="14" t="str">
        <f aca="false">IF($P13="","",IF($P13&lt;=7,"Shoshilinch",IF($P13&lt;=9,"Kechiktirib bo'lmaydigan",IF($P13&lt;=14,"Rejalashtirilgan","Rejali"))))</f>
        <v/>
      </c>
      <c r="R13" s="25"/>
      <c r="S13" s="14" t="str">
        <f aca="false">IF($K13&lt;&gt;"Kesarcha","",IF(OR($O13&lt;&gt;"",$R13="Ha"),"Ha","YO‘Q"))</f>
        <v/>
      </c>
      <c r="T13" s="12"/>
      <c r="U13" s="12"/>
      <c r="V13" s="14" t="str">
        <f aca="false">IF(OR($C13="",$D13="",$B13=""),"",IF(COUNTIFS($C$5:$C$604,$C13,$D$5:$D$604,$D13,$B$5:$B$604,$B13)&gt;1,"Takror",""))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4"/>
      <c r="F14" s="12"/>
      <c r="G14" s="14" t="str">
        <f aca="false">IF(OR($D14="",$B14=""),"",INT(($B14-$D14)/365.25))</f>
        <v/>
      </c>
      <c r="H14" s="14" t="str">
        <f aca="false">IF($G14="","",IF($G14&lt;18,"Ha","Yo'q"))</f>
        <v/>
      </c>
      <c r="I14" s="12"/>
      <c r="J14" s="25"/>
      <c r="K14" s="25"/>
      <c r="L14" s="25"/>
      <c r="M14" s="12"/>
      <c r="N14" s="25"/>
      <c r="O14" s="25"/>
      <c r="P14" s="14" t="str">
        <f aca="false">IF($O14="","",IFERROR(VALUE(LEFT($O14,FIND(".",$O14)-1)),""))</f>
        <v/>
      </c>
      <c r="Q14" s="14" t="str">
        <f aca="false">IF($P14="","",IF($P14&lt;=7,"Shoshilinch",IF($P14&lt;=9,"Kechiktirib bo'lmaydigan",IF($P14&lt;=14,"Rejalashtirilgan","Rejali"))))</f>
        <v/>
      </c>
      <c r="R14" s="25"/>
      <c r="S14" s="14" t="str">
        <f aca="false">IF($K14&lt;&gt;"Kesarcha","",IF(OR($O14&lt;&gt;"",$R14="Ha"),"Ha","YO‘Q"))</f>
        <v/>
      </c>
      <c r="T14" s="12"/>
      <c r="U14" s="12"/>
      <c r="V14" s="14" t="str">
        <f aca="false">IF(OR($C14="",$D14="",$B14=""),"",IF(COUNTIFS($C$5:$C$604,$C14,$D$5:$D$604,$D14,$B$5:$B$604,$B14)&gt;1,"Takror",""))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4"/>
      <c r="F15" s="12"/>
      <c r="G15" s="14" t="str">
        <f aca="false">IF(OR($D15="",$B15=""),"",INT(($B15-$D15)/365.25))</f>
        <v/>
      </c>
      <c r="H15" s="14" t="str">
        <f aca="false">IF($G15="","",IF($G15&lt;18,"Ha","Yo'q"))</f>
        <v/>
      </c>
      <c r="I15" s="12"/>
      <c r="J15" s="25"/>
      <c r="K15" s="25"/>
      <c r="L15" s="25"/>
      <c r="M15" s="12"/>
      <c r="N15" s="25"/>
      <c r="O15" s="25"/>
      <c r="P15" s="14" t="str">
        <f aca="false">IF($O15="","",IFERROR(VALUE(LEFT($O15,FIND(".",$O15)-1)),""))</f>
        <v/>
      </c>
      <c r="Q15" s="14" t="str">
        <f aca="false">IF($P15="","",IF($P15&lt;=7,"Shoshilinch",IF($P15&lt;=9,"Kechiktirib bo'lmaydigan",IF($P15&lt;=14,"Rejalashtirilgan","Rejali"))))</f>
        <v/>
      </c>
      <c r="R15" s="25"/>
      <c r="S15" s="14" t="str">
        <f aca="false">IF($K15&lt;&gt;"Kesarcha","",IF(OR($O15&lt;&gt;"",$R15="Ha"),"Ha","YO‘Q"))</f>
        <v/>
      </c>
      <c r="T15" s="12"/>
      <c r="U15" s="12"/>
      <c r="V15" s="14" t="str">
        <f aca="false">IF(OR($C15="",$D15="",$B15=""),"",IF(COUNTIFS($C$5:$C$604,$C15,$D$5:$D$604,$D15,$B$5:$B$604,$B15)&gt;1,"Takror",""))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4"/>
      <c r="F16" s="12"/>
      <c r="G16" s="14" t="str">
        <f aca="false">IF(OR($D16="",$B16=""),"",INT(($B16-$D16)/365.25))</f>
        <v/>
      </c>
      <c r="H16" s="14" t="str">
        <f aca="false">IF($G16="","",IF($G16&lt;18,"Ha","Yo'q"))</f>
        <v/>
      </c>
      <c r="I16" s="12"/>
      <c r="J16" s="25"/>
      <c r="K16" s="25"/>
      <c r="L16" s="25"/>
      <c r="M16" s="12"/>
      <c r="N16" s="25"/>
      <c r="O16" s="25"/>
      <c r="P16" s="14" t="str">
        <f aca="false">IF($O16="","",IFERROR(VALUE(LEFT($O16,FIND(".",$O16)-1)),""))</f>
        <v/>
      </c>
      <c r="Q16" s="14" t="str">
        <f aca="false">IF($P16="","",IF($P16&lt;=7,"Shoshilinch",IF($P16&lt;=9,"Kechiktirib bo'lmaydigan",IF($P16&lt;=14,"Rejalashtirilgan","Rejali"))))</f>
        <v/>
      </c>
      <c r="R16" s="25"/>
      <c r="S16" s="14" t="str">
        <f aca="false">IF($K16&lt;&gt;"Kesarcha","",IF(OR($O16&lt;&gt;"",$R16="Ha"),"Ha","YO‘Q"))</f>
        <v/>
      </c>
      <c r="T16" s="12"/>
      <c r="U16" s="12"/>
      <c r="V16" s="14" t="str">
        <f aca="false">IF(OR($C16="",$D16="",$B16=""),"",IF(COUNTIFS($C$5:$C$604,$C16,$D$5:$D$604,$D16,$B$5:$B$604,$B16)&gt;1,"Takror",""))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4"/>
      <c r="F17" s="12"/>
      <c r="G17" s="14" t="str">
        <f aca="false">IF(OR($D17="",$B17=""),"",INT(($B17-$D17)/365.25))</f>
        <v/>
      </c>
      <c r="H17" s="14" t="str">
        <f aca="false">IF($G17="","",IF($G17&lt;18,"Ha","Yo'q"))</f>
        <v/>
      </c>
      <c r="I17" s="12"/>
      <c r="J17" s="25"/>
      <c r="K17" s="25"/>
      <c r="L17" s="25"/>
      <c r="M17" s="12"/>
      <c r="N17" s="25"/>
      <c r="O17" s="25"/>
      <c r="P17" s="14" t="str">
        <f aca="false">IF($O17="","",IFERROR(VALUE(LEFT($O17,FIND(".",$O17)-1)),""))</f>
        <v/>
      </c>
      <c r="Q17" s="14" t="str">
        <f aca="false">IF($P17="","",IF($P17&lt;=7,"Shoshilinch",IF($P17&lt;=9,"Kechiktirib bo'lmaydigan",IF($P17&lt;=14,"Rejalashtirilgan","Rejali"))))</f>
        <v/>
      </c>
      <c r="R17" s="25"/>
      <c r="S17" s="14" t="str">
        <f aca="false">IF($K17&lt;&gt;"Kesarcha","",IF(OR($O17&lt;&gt;"",$R17="Ha"),"Ha","YO‘Q"))</f>
        <v/>
      </c>
      <c r="T17" s="12"/>
      <c r="U17" s="12"/>
      <c r="V17" s="14" t="str">
        <f aca="false">IF(OR($C17="",$D17="",$B17=""),"",IF(COUNTIFS($C$5:$C$604,$C17,$D$5:$D$604,$D17,$B$5:$B$604,$B17)&gt;1,"Takror",""))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4"/>
      <c r="F18" s="12"/>
      <c r="G18" s="14" t="str">
        <f aca="false">IF(OR($D18="",$B18=""),"",INT(($B18-$D18)/365.25))</f>
        <v/>
      </c>
      <c r="H18" s="14" t="str">
        <f aca="false">IF($G18="","",IF($G18&lt;18,"Ha","Yo'q"))</f>
        <v/>
      </c>
      <c r="I18" s="12"/>
      <c r="J18" s="25"/>
      <c r="K18" s="25"/>
      <c r="L18" s="25"/>
      <c r="M18" s="12"/>
      <c r="N18" s="25"/>
      <c r="O18" s="25"/>
      <c r="P18" s="14" t="str">
        <f aca="false">IF($O18="","",IFERROR(VALUE(LEFT($O18,FIND(".",$O18)-1)),""))</f>
        <v/>
      </c>
      <c r="Q18" s="14" t="str">
        <f aca="false">IF($P18="","",IF($P18&lt;=7,"Shoshilinch",IF($P18&lt;=9,"Kechiktirib bo'lmaydigan",IF($P18&lt;=14,"Rejalashtirilgan","Rejali"))))</f>
        <v/>
      </c>
      <c r="R18" s="25"/>
      <c r="S18" s="14" t="str">
        <f aca="false">IF($K18&lt;&gt;"Kesarcha","",IF(OR($O18&lt;&gt;"",$R18="Ha"),"Ha","YO‘Q"))</f>
        <v/>
      </c>
      <c r="T18" s="12"/>
      <c r="U18" s="12"/>
      <c r="V18" s="14" t="str">
        <f aca="false">IF(OR($C18="",$D18="",$B18=""),"",IF(COUNTIFS($C$5:$C$604,$C18,$D$5:$D$604,$D18,$B$5:$B$604,$B18)&gt;1,"Takror",""))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4"/>
      <c r="F19" s="12"/>
      <c r="G19" s="14" t="str">
        <f aca="false">IF(OR($D19="",$B19=""),"",INT(($B19-$D19)/365.25))</f>
        <v/>
      </c>
      <c r="H19" s="14" t="str">
        <f aca="false">IF($G19="","",IF($G19&lt;18,"Ha","Yo'q"))</f>
        <v/>
      </c>
      <c r="I19" s="12"/>
      <c r="J19" s="25"/>
      <c r="K19" s="25"/>
      <c r="L19" s="25"/>
      <c r="M19" s="12"/>
      <c r="N19" s="25"/>
      <c r="O19" s="25"/>
      <c r="P19" s="14" t="str">
        <f aca="false">IF($O19="","",IFERROR(VALUE(LEFT($O19,FIND(".",$O19)-1)),""))</f>
        <v/>
      </c>
      <c r="Q19" s="14" t="str">
        <f aca="false">IF($P19="","",IF($P19&lt;=7,"Shoshilinch",IF($P19&lt;=9,"Kechiktirib bo'lmaydigan",IF($P19&lt;=14,"Rejalashtirilgan","Rejali"))))</f>
        <v/>
      </c>
      <c r="R19" s="25"/>
      <c r="S19" s="14" t="str">
        <f aca="false">IF($K19&lt;&gt;"Kesarcha","",IF(OR($O19&lt;&gt;"",$R19="Ha"),"Ha","YO‘Q"))</f>
        <v/>
      </c>
      <c r="T19" s="12"/>
      <c r="U19" s="12"/>
      <c r="V19" s="14" t="str">
        <f aca="false">IF(OR($C19="",$D19="",$B19=""),"",IF(COUNTIFS($C$5:$C$604,$C19,$D$5:$D$604,$D19,$B$5:$B$604,$B19)&gt;1,"Takror",""))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4"/>
      <c r="F20" s="12"/>
      <c r="G20" s="14" t="str">
        <f aca="false">IF(OR($D20="",$B20=""),"",INT(($B20-$D20)/365.25))</f>
        <v/>
      </c>
      <c r="H20" s="14" t="str">
        <f aca="false">IF($G20="","",IF($G20&lt;18,"Ha","Yo'q"))</f>
        <v/>
      </c>
      <c r="I20" s="12"/>
      <c r="J20" s="25"/>
      <c r="K20" s="25"/>
      <c r="L20" s="25"/>
      <c r="M20" s="12"/>
      <c r="N20" s="25"/>
      <c r="O20" s="25"/>
      <c r="P20" s="14" t="str">
        <f aca="false">IF($O20="","",IFERROR(VALUE(LEFT($O20,FIND(".",$O20)-1)),""))</f>
        <v/>
      </c>
      <c r="Q20" s="14" t="str">
        <f aca="false">IF($P20="","",IF($P20&lt;=7,"Shoshilinch",IF($P20&lt;=9,"Kechiktirib bo'lmaydigan",IF($P20&lt;=14,"Rejalashtirilgan","Rejali"))))</f>
        <v/>
      </c>
      <c r="R20" s="25"/>
      <c r="S20" s="14" t="str">
        <f aca="false">IF($K20&lt;&gt;"Kesarcha","",IF(OR($O20&lt;&gt;"",$R20="Ha"),"Ha","YO‘Q"))</f>
        <v/>
      </c>
      <c r="T20" s="12"/>
      <c r="U20" s="12"/>
      <c r="V20" s="14" t="str">
        <f aca="false">IF(OR($C20="",$D20="",$B20=""),"",IF(COUNTIFS($C$5:$C$604,$C20,$D$5:$D$604,$D20,$B$5:$B$604,$B20)&gt;1,"Takror",""))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4"/>
      <c r="F21" s="12"/>
      <c r="G21" s="14" t="str">
        <f aca="false">IF(OR($D21="",$B21=""),"",INT(($B21-$D21)/365.25))</f>
        <v/>
      </c>
      <c r="H21" s="14" t="str">
        <f aca="false">IF($G21="","",IF($G21&lt;18,"Ha","Yo'q"))</f>
        <v/>
      </c>
      <c r="I21" s="12"/>
      <c r="J21" s="25"/>
      <c r="K21" s="25"/>
      <c r="L21" s="25"/>
      <c r="M21" s="12"/>
      <c r="N21" s="25"/>
      <c r="O21" s="25"/>
      <c r="P21" s="14" t="str">
        <f aca="false">IF($O21="","",IFERROR(VALUE(LEFT($O21,FIND(".",$O21)-1)),""))</f>
        <v/>
      </c>
      <c r="Q21" s="14" t="str">
        <f aca="false">IF($P21="","",IF($P21&lt;=7,"Shoshilinch",IF($P21&lt;=9,"Kechiktirib bo'lmaydigan",IF($P21&lt;=14,"Rejalashtirilgan","Rejali"))))</f>
        <v/>
      </c>
      <c r="R21" s="25"/>
      <c r="S21" s="14" t="str">
        <f aca="false">IF($K21&lt;&gt;"Kesarcha","",IF(OR($O21&lt;&gt;"",$R21="Ha"),"Ha","YO‘Q"))</f>
        <v/>
      </c>
      <c r="T21" s="12"/>
      <c r="U21" s="12"/>
      <c r="V21" s="14" t="str">
        <f aca="false">IF(OR($C21="",$D21="",$B21=""),"",IF(COUNTIFS($C$5:$C$604,$C21,$D$5:$D$604,$D21,$B$5:$B$604,$B21)&gt;1,"Takror",""))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4"/>
      <c r="F22" s="12"/>
      <c r="G22" s="14" t="str">
        <f aca="false">IF(OR($D22="",$B22=""),"",INT(($B22-$D22)/365.25))</f>
        <v/>
      </c>
      <c r="H22" s="14" t="str">
        <f aca="false">IF($G22="","",IF($G22&lt;18,"Ha","Yo'q"))</f>
        <v/>
      </c>
      <c r="I22" s="12"/>
      <c r="J22" s="25"/>
      <c r="K22" s="25"/>
      <c r="L22" s="25"/>
      <c r="M22" s="12"/>
      <c r="N22" s="25"/>
      <c r="O22" s="25"/>
      <c r="P22" s="14" t="str">
        <f aca="false">IF($O22="","",IFERROR(VALUE(LEFT($O22,FIND(".",$O22)-1)),""))</f>
        <v/>
      </c>
      <c r="Q22" s="14" t="str">
        <f aca="false">IF($P22="","",IF($P22&lt;=7,"Shoshilinch",IF($P22&lt;=9,"Kechiktirib bo'lmaydigan",IF($P22&lt;=14,"Rejalashtirilgan","Rejali"))))</f>
        <v/>
      </c>
      <c r="R22" s="25"/>
      <c r="S22" s="14" t="str">
        <f aca="false">IF($K22&lt;&gt;"Kesarcha","",IF(OR($O22&lt;&gt;"",$R22="Ha"),"Ha","YO‘Q"))</f>
        <v/>
      </c>
      <c r="T22" s="12"/>
      <c r="U22" s="12"/>
      <c r="V22" s="14" t="str">
        <f aca="false">IF(OR($C22="",$D22="",$B22=""),"",IF(COUNTIFS($C$5:$C$604,$C22,$D$5:$D$604,$D22,$B$5:$B$604,$B22)&gt;1,"Takror",""))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4"/>
      <c r="F23" s="12"/>
      <c r="G23" s="14" t="str">
        <f aca="false">IF(OR($D23="",$B23=""),"",INT(($B23-$D23)/365.25))</f>
        <v/>
      </c>
      <c r="H23" s="14" t="str">
        <f aca="false">IF($G23="","",IF($G23&lt;18,"Ha","Yo'q"))</f>
        <v/>
      </c>
      <c r="I23" s="12"/>
      <c r="J23" s="25"/>
      <c r="K23" s="25"/>
      <c r="L23" s="25"/>
      <c r="M23" s="12"/>
      <c r="N23" s="25"/>
      <c r="O23" s="25"/>
      <c r="P23" s="14" t="str">
        <f aca="false">IF($O23="","",IFERROR(VALUE(LEFT($O23,FIND(".",$O23)-1)),""))</f>
        <v/>
      </c>
      <c r="Q23" s="14" t="str">
        <f aca="false">IF($P23="","",IF($P23&lt;=7,"Shoshilinch",IF($P23&lt;=9,"Kechiktirib bo'lmaydigan",IF($P23&lt;=14,"Rejalashtirilgan","Rejali"))))</f>
        <v/>
      </c>
      <c r="R23" s="25"/>
      <c r="S23" s="14" t="str">
        <f aca="false">IF($K23&lt;&gt;"Kesarcha","",IF(OR($O23&lt;&gt;"",$R23="Ha"),"Ha","YO‘Q"))</f>
        <v/>
      </c>
      <c r="T23" s="12"/>
      <c r="U23" s="12"/>
      <c r="V23" s="14" t="str">
        <f aca="false">IF(OR($C23="",$D23="",$B23=""),"",IF(COUNTIFS($C$5:$C$604,$C23,$D$5:$D$604,$D23,$B$5:$B$604,$B23)&gt;1,"Takror",""))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4"/>
      <c r="F24" s="12"/>
      <c r="G24" s="14" t="str">
        <f aca="false">IF(OR($D24="",$B24=""),"",INT(($B24-$D24)/365.25))</f>
        <v/>
      </c>
      <c r="H24" s="14" t="str">
        <f aca="false">IF($G24="","",IF($G24&lt;18,"Ha","Yo'q"))</f>
        <v/>
      </c>
      <c r="I24" s="12"/>
      <c r="J24" s="25"/>
      <c r="K24" s="25"/>
      <c r="L24" s="25"/>
      <c r="M24" s="12"/>
      <c r="N24" s="25"/>
      <c r="O24" s="25"/>
      <c r="P24" s="14" t="str">
        <f aca="false">IF($O24="","",IFERROR(VALUE(LEFT($O24,FIND(".",$O24)-1)),""))</f>
        <v/>
      </c>
      <c r="Q24" s="14" t="str">
        <f aca="false">IF($P24="","",IF($P24&lt;=7,"Shoshilinch",IF($P24&lt;=9,"Kechiktirib bo'lmaydigan",IF($P24&lt;=14,"Rejalashtirilgan","Rejali"))))</f>
        <v/>
      </c>
      <c r="R24" s="25"/>
      <c r="S24" s="14" t="str">
        <f aca="false">IF($K24&lt;&gt;"Kesarcha","",IF(OR($O24&lt;&gt;"",$R24="Ha"),"Ha","YO‘Q"))</f>
        <v/>
      </c>
      <c r="T24" s="12"/>
      <c r="U24" s="12"/>
      <c r="V24" s="14" t="str">
        <f aca="false">IF(OR($C24="",$D24="",$B24=""),"",IF(COUNTIFS($C$5:$C$604,$C24,$D$5:$D$604,$D24,$B$5:$B$604,$B24)&gt;1,"Takror",""))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4"/>
      <c r="F25" s="12"/>
      <c r="G25" s="14" t="str">
        <f aca="false">IF(OR($D25="",$B25=""),"",INT(($B25-$D25)/365.25))</f>
        <v/>
      </c>
      <c r="H25" s="14" t="str">
        <f aca="false">IF($G25="","",IF($G25&lt;18,"Ha","Yo'q"))</f>
        <v/>
      </c>
      <c r="I25" s="12"/>
      <c r="J25" s="25"/>
      <c r="K25" s="25"/>
      <c r="L25" s="25"/>
      <c r="M25" s="12"/>
      <c r="N25" s="25"/>
      <c r="O25" s="25"/>
      <c r="P25" s="14" t="str">
        <f aca="false">IF($O25="","",IFERROR(VALUE(LEFT($O25,FIND(".",$O25)-1)),""))</f>
        <v/>
      </c>
      <c r="Q25" s="14" t="str">
        <f aca="false">IF($P25="","",IF($P25&lt;=7,"Shoshilinch",IF($P25&lt;=9,"Kechiktirib bo'lmaydigan",IF($P25&lt;=14,"Rejalashtirilgan","Rejali"))))</f>
        <v/>
      </c>
      <c r="R25" s="25"/>
      <c r="S25" s="14" t="str">
        <f aca="false">IF($K25&lt;&gt;"Kesarcha","",IF(OR($O25&lt;&gt;"",$R25="Ha"),"Ha","YO‘Q"))</f>
        <v/>
      </c>
      <c r="T25" s="12"/>
      <c r="U25" s="12"/>
      <c r="V25" s="14" t="str">
        <f aca="false">IF(OR($C25="",$D25="",$B25=""),"",IF(COUNTIFS($C$5:$C$604,$C25,$D$5:$D$604,$D25,$B$5:$B$604,$B25)&gt;1,"Takror",""))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4"/>
      <c r="F26" s="12"/>
      <c r="G26" s="14" t="str">
        <f aca="false">IF(OR($D26="",$B26=""),"",INT(($B26-$D26)/365.25))</f>
        <v/>
      </c>
      <c r="H26" s="14" t="str">
        <f aca="false">IF($G26="","",IF($G26&lt;18,"Ha","Yo'q"))</f>
        <v/>
      </c>
      <c r="I26" s="12"/>
      <c r="J26" s="25"/>
      <c r="K26" s="25"/>
      <c r="L26" s="25"/>
      <c r="M26" s="12"/>
      <c r="N26" s="25"/>
      <c r="O26" s="25"/>
      <c r="P26" s="14" t="str">
        <f aca="false">IF($O26="","",IFERROR(VALUE(LEFT($O26,FIND(".",$O26)-1)),""))</f>
        <v/>
      </c>
      <c r="Q26" s="14" t="str">
        <f aca="false">IF($P26="","",IF($P26&lt;=7,"Shoshilinch",IF($P26&lt;=9,"Kechiktirib bo'lmaydigan",IF($P26&lt;=14,"Rejalashtirilgan","Rejali"))))</f>
        <v/>
      </c>
      <c r="R26" s="25"/>
      <c r="S26" s="14" t="str">
        <f aca="false">IF($K26&lt;&gt;"Kesarcha","",IF(OR($O26&lt;&gt;"",$R26="Ha"),"Ha","YO‘Q"))</f>
        <v/>
      </c>
      <c r="T26" s="12"/>
      <c r="U26" s="12"/>
      <c r="V26" s="14" t="str">
        <f aca="false">IF(OR($C26="",$D26="",$B26=""),"",IF(COUNTIFS($C$5:$C$604,$C26,$D$5:$D$604,$D26,$B$5:$B$604,$B26)&gt;1,"Takror",""))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4"/>
      <c r="F27" s="12"/>
      <c r="G27" s="14" t="str">
        <f aca="false">IF(OR($D27="",$B27=""),"",INT(($B27-$D27)/365.25))</f>
        <v/>
      </c>
      <c r="H27" s="14" t="str">
        <f aca="false">IF($G27="","",IF($G27&lt;18,"Ha","Yo'q"))</f>
        <v/>
      </c>
      <c r="I27" s="12"/>
      <c r="J27" s="25"/>
      <c r="K27" s="25"/>
      <c r="L27" s="25"/>
      <c r="M27" s="12"/>
      <c r="N27" s="25"/>
      <c r="O27" s="25"/>
      <c r="P27" s="14" t="str">
        <f aca="false">IF($O27="","",IFERROR(VALUE(LEFT($O27,FIND(".",$O27)-1)),""))</f>
        <v/>
      </c>
      <c r="Q27" s="14" t="str">
        <f aca="false">IF($P27="","",IF($P27&lt;=7,"Shoshilinch",IF($P27&lt;=9,"Kechiktirib bo'lmaydigan",IF($P27&lt;=14,"Rejalashtirilgan","Rejali"))))</f>
        <v/>
      </c>
      <c r="R27" s="25"/>
      <c r="S27" s="14" t="str">
        <f aca="false">IF($K27&lt;&gt;"Kesarcha","",IF(OR($O27&lt;&gt;"",$R27="Ha"),"Ha","YO‘Q"))</f>
        <v/>
      </c>
      <c r="T27" s="12"/>
      <c r="U27" s="12"/>
      <c r="V27" s="14" t="str">
        <f aca="false">IF(OR($C27="",$D27="",$B27=""),"",IF(COUNTIFS($C$5:$C$604,$C27,$D$5:$D$604,$D27,$B$5:$B$604,$B27)&gt;1,"Takror",""))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4"/>
      <c r="F28" s="12"/>
      <c r="G28" s="14" t="str">
        <f aca="false">IF(OR($D28="",$B28=""),"",INT(($B28-$D28)/365.25))</f>
        <v/>
      </c>
      <c r="H28" s="14" t="str">
        <f aca="false">IF($G28="","",IF($G28&lt;18,"Ha","Yo'q"))</f>
        <v/>
      </c>
      <c r="I28" s="12"/>
      <c r="J28" s="25"/>
      <c r="K28" s="25"/>
      <c r="L28" s="25"/>
      <c r="M28" s="12"/>
      <c r="N28" s="25"/>
      <c r="O28" s="25"/>
      <c r="P28" s="14" t="str">
        <f aca="false">IF($O28="","",IFERROR(VALUE(LEFT($O28,FIND(".",$O28)-1)),""))</f>
        <v/>
      </c>
      <c r="Q28" s="14" t="str">
        <f aca="false">IF($P28="","",IF($P28&lt;=7,"Shoshilinch",IF($P28&lt;=9,"Kechiktirib bo'lmaydigan",IF($P28&lt;=14,"Rejalashtirilgan","Rejali"))))</f>
        <v/>
      </c>
      <c r="R28" s="25"/>
      <c r="S28" s="14" t="str">
        <f aca="false">IF($K28&lt;&gt;"Kesarcha","",IF(OR($O28&lt;&gt;"",$R28="Ha"),"Ha","YO‘Q"))</f>
        <v/>
      </c>
      <c r="T28" s="12"/>
      <c r="U28" s="12"/>
      <c r="V28" s="14" t="str">
        <f aca="false">IF(OR($C28="",$D28="",$B28=""),"",IF(COUNTIFS($C$5:$C$604,$C28,$D$5:$D$604,$D28,$B$5:$B$604,$B28)&gt;1,"Takror",""))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4"/>
      <c r="F29" s="12"/>
      <c r="G29" s="14" t="str">
        <f aca="false">IF(OR($D29="",$B29=""),"",INT(($B29-$D29)/365.25))</f>
        <v/>
      </c>
      <c r="H29" s="14" t="str">
        <f aca="false">IF($G29="","",IF($G29&lt;18,"Ha","Yo'q"))</f>
        <v/>
      </c>
      <c r="I29" s="12"/>
      <c r="J29" s="25"/>
      <c r="K29" s="25"/>
      <c r="L29" s="25"/>
      <c r="M29" s="12"/>
      <c r="N29" s="25"/>
      <c r="O29" s="25"/>
      <c r="P29" s="14" t="str">
        <f aca="false">IF($O29="","",IFERROR(VALUE(LEFT($O29,FIND(".",$O29)-1)),""))</f>
        <v/>
      </c>
      <c r="Q29" s="14" t="str">
        <f aca="false">IF($P29="","",IF($P29&lt;=7,"Shoshilinch",IF($P29&lt;=9,"Kechiktirib bo'lmaydigan",IF($P29&lt;=14,"Rejalashtirilgan","Rejali"))))</f>
        <v/>
      </c>
      <c r="R29" s="25"/>
      <c r="S29" s="14" t="str">
        <f aca="false">IF($K29&lt;&gt;"Kesarcha","",IF(OR($O29&lt;&gt;"",$R29="Ha"),"Ha","YO‘Q"))</f>
        <v/>
      </c>
      <c r="T29" s="12"/>
      <c r="U29" s="12"/>
      <c r="V29" s="14" t="str">
        <f aca="false">IF(OR($C29="",$D29="",$B29=""),"",IF(COUNTIFS($C$5:$C$604,$C29,$D$5:$D$604,$D29,$B$5:$B$604,$B29)&gt;1,"Takror",""))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4"/>
      <c r="F30" s="12"/>
      <c r="G30" s="14" t="str">
        <f aca="false">IF(OR($D30="",$B30=""),"",INT(($B30-$D30)/365.25))</f>
        <v/>
      </c>
      <c r="H30" s="14" t="str">
        <f aca="false">IF($G30="","",IF($G30&lt;18,"Ha","Yo'q"))</f>
        <v/>
      </c>
      <c r="I30" s="12"/>
      <c r="J30" s="25"/>
      <c r="K30" s="25"/>
      <c r="L30" s="25"/>
      <c r="M30" s="12"/>
      <c r="N30" s="25"/>
      <c r="O30" s="25"/>
      <c r="P30" s="14" t="str">
        <f aca="false">IF($O30="","",IFERROR(VALUE(LEFT($O30,FIND(".",$O30)-1)),""))</f>
        <v/>
      </c>
      <c r="Q30" s="14" t="str">
        <f aca="false">IF($P30="","",IF($P30&lt;=7,"Shoshilinch",IF($P30&lt;=9,"Kechiktirib bo'lmaydigan",IF($P30&lt;=14,"Rejalashtirilgan","Rejali"))))</f>
        <v/>
      </c>
      <c r="R30" s="25"/>
      <c r="S30" s="14" t="str">
        <f aca="false">IF($K30&lt;&gt;"Kesarcha","",IF(OR($O30&lt;&gt;"",$R30="Ha"),"Ha","YO‘Q"))</f>
        <v/>
      </c>
      <c r="T30" s="12"/>
      <c r="U30" s="12"/>
      <c r="V30" s="14" t="str">
        <f aca="false">IF(OR($C30="",$D30="",$B30=""),"",IF(COUNTIFS($C$5:$C$604,$C30,$D$5:$D$604,$D30,$B$5:$B$604,$B30)&gt;1,"Takror",""))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4"/>
      <c r="F31" s="12"/>
      <c r="G31" s="14" t="str">
        <f aca="false">IF(OR($D31="",$B31=""),"",INT(($B31-$D31)/365.25))</f>
        <v/>
      </c>
      <c r="H31" s="14" t="str">
        <f aca="false">IF($G31="","",IF($G31&lt;18,"Ha","Yo'q"))</f>
        <v/>
      </c>
      <c r="I31" s="12"/>
      <c r="J31" s="25"/>
      <c r="K31" s="25"/>
      <c r="L31" s="25"/>
      <c r="M31" s="12"/>
      <c r="N31" s="25"/>
      <c r="O31" s="25"/>
      <c r="P31" s="14" t="str">
        <f aca="false">IF($O31="","",IFERROR(VALUE(LEFT($O31,FIND(".",$O31)-1)),""))</f>
        <v/>
      </c>
      <c r="Q31" s="14" t="str">
        <f aca="false">IF($P31="","",IF($P31&lt;=7,"Shoshilinch",IF($P31&lt;=9,"Kechiktirib bo'lmaydigan",IF($P31&lt;=14,"Rejalashtirilgan","Rejali"))))</f>
        <v/>
      </c>
      <c r="R31" s="25"/>
      <c r="S31" s="14" t="str">
        <f aca="false">IF($K31&lt;&gt;"Kesarcha","",IF(OR($O31&lt;&gt;"",$R31="Ha"),"Ha","YO‘Q"))</f>
        <v/>
      </c>
      <c r="T31" s="12"/>
      <c r="U31" s="12"/>
      <c r="V31" s="14" t="str">
        <f aca="false">IF(OR($C31="",$D31="",$B31=""),"",IF(COUNTIFS($C$5:$C$604,$C31,$D$5:$D$604,$D31,$B$5:$B$604,$B31)&gt;1,"Takror",""))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4"/>
      <c r="F32" s="12"/>
      <c r="G32" s="14" t="str">
        <f aca="false">IF(OR($D32="",$B32=""),"",INT(($B32-$D32)/365.25))</f>
        <v/>
      </c>
      <c r="H32" s="14" t="str">
        <f aca="false">IF($G32="","",IF($G32&lt;18,"Ha","Yo'q"))</f>
        <v/>
      </c>
      <c r="I32" s="12"/>
      <c r="J32" s="25"/>
      <c r="K32" s="25"/>
      <c r="L32" s="25"/>
      <c r="M32" s="12"/>
      <c r="N32" s="25"/>
      <c r="O32" s="25"/>
      <c r="P32" s="14" t="str">
        <f aca="false">IF($O32="","",IFERROR(VALUE(LEFT($O32,FIND(".",$O32)-1)),""))</f>
        <v/>
      </c>
      <c r="Q32" s="14" t="str">
        <f aca="false">IF($P32="","",IF($P32&lt;=7,"Shoshilinch",IF($P32&lt;=9,"Kechiktirib bo'lmaydigan",IF($P32&lt;=14,"Rejalashtirilgan","Rejali"))))</f>
        <v/>
      </c>
      <c r="R32" s="25"/>
      <c r="S32" s="14" t="str">
        <f aca="false">IF($K32&lt;&gt;"Kesarcha","",IF(OR($O32&lt;&gt;"",$R32="Ha"),"Ha","YO‘Q"))</f>
        <v/>
      </c>
      <c r="T32" s="12"/>
      <c r="U32" s="12"/>
      <c r="V32" s="14" t="str">
        <f aca="false">IF(OR($C32="",$D32="",$B32=""),"",IF(COUNTIFS($C$5:$C$604,$C32,$D$5:$D$604,$D32,$B$5:$B$604,$B32)&gt;1,"Takror",""))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4"/>
      <c r="F33" s="12"/>
      <c r="G33" s="14" t="str">
        <f aca="false">IF(OR($D33="",$B33=""),"",INT(($B33-$D33)/365.25))</f>
        <v/>
      </c>
      <c r="H33" s="14" t="str">
        <f aca="false">IF($G33="","",IF($G33&lt;18,"Ha","Yo'q"))</f>
        <v/>
      </c>
      <c r="I33" s="12"/>
      <c r="J33" s="25"/>
      <c r="K33" s="25"/>
      <c r="L33" s="25"/>
      <c r="M33" s="12"/>
      <c r="N33" s="25"/>
      <c r="O33" s="25"/>
      <c r="P33" s="14" t="str">
        <f aca="false">IF($O33="","",IFERROR(VALUE(LEFT($O33,FIND(".",$O33)-1)),""))</f>
        <v/>
      </c>
      <c r="Q33" s="14" t="str">
        <f aca="false">IF($P33="","",IF($P33&lt;=7,"Shoshilinch",IF($P33&lt;=9,"Kechiktirib bo'lmaydigan",IF($P33&lt;=14,"Rejalashtirilgan","Rejali"))))</f>
        <v/>
      </c>
      <c r="R33" s="25"/>
      <c r="S33" s="14" t="str">
        <f aca="false">IF($K33&lt;&gt;"Kesarcha","",IF(OR($O33&lt;&gt;"",$R33="Ha"),"Ha","YO‘Q"))</f>
        <v/>
      </c>
      <c r="T33" s="12"/>
      <c r="U33" s="12"/>
      <c r="V33" s="14" t="str">
        <f aca="false">IF(OR($C33="",$D33="",$B33=""),"",IF(COUNTIFS($C$5:$C$604,$C33,$D$5:$D$604,$D33,$B$5:$B$604,$B33)&gt;1,"Takror",""))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4"/>
      <c r="F34" s="12"/>
      <c r="G34" s="14" t="str">
        <f aca="false">IF(OR($D34="",$B34=""),"",INT(($B34-$D34)/365.25))</f>
        <v/>
      </c>
      <c r="H34" s="14" t="str">
        <f aca="false">IF($G34="","",IF($G34&lt;18,"Ha","Yo'q"))</f>
        <v/>
      </c>
      <c r="I34" s="12"/>
      <c r="J34" s="25"/>
      <c r="K34" s="25"/>
      <c r="L34" s="25"/>
      <c r="M34" s="12"/>
      <c r="N34" s="25"/>
      <c r="O34" s="25"/>
      <c r="P34" s="14" t="str">
        <f aca="false">IF($O34="","",IFERROR(VALUE(LEFT($O34,FIND(".",$O34)-1)),""))</f>
        <v/>
      </c>
      <c r="Q34" s="14" t="str">
        <f aca="false">IF($P34="","",IF($P34&lt;=7,"Shoshilinch",IF($P34&lt;=9,"Kechiktirib bo'lmaydigan",IF($P34&lt;=14,"Rejalashtirilgan","Rejali"))))</f>
        <v/>
      </c>
      <c r="R34" s="25"/>
      <c r="S34" s="14" t="str">
        <f aca="false">IF($K34&lt;&gt;"Kesarcha","",IF(OR($O34&lt;&gt;"",$R34="Ha"),"Ha","YO‘Q"))</f>
        <v/>
      </c>
      <c r="T34" s="12"/>
      <c r="U34" s="12"/>
      <c r="V34" s="14" t="str">
        <f aca="false">IF(OR($C34="",$D34="",$B34=""),"",IF(COUNTIFS($C$5:$C$604,$C34,$D$5:$D$604,$D34,$B$5:$B$604,$B34)&gt;1,"Takror",""))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4"/>
      <c r="F35" s="12"/>
      <c r="G35" s="14" t="str">
        <f aca="false">IF(OR($D35="",$B35=""),"",INT(($B35-$D35)/365.25))</f>
        <v/>
      </c>
      <c r="H35" s="14" t="str">
        <f aca="false">IF($G35="","",IF($G35&lt;18,"Ha","Yo'q"))</f>
        <v/>
      </c>
      <c r="I35" s="12"/>
      <c r="J35" s="25"/>
      <c r="K35" s="25"/>
      <c r="L35" s="25"/>
      <c r="M35" s="12"/>
      <c r="N35" s="25"/>
      <c r="O35" s="25"/>
      <c r="P35" s="14" t="str">
        <f aca="false">IF($O35="","",IFERROR(VALUE(LEFT($O35,FIND(".",$O35)-1)),""))</f>
        <v/>
      </c>
      <c r="Q35" s="14" t="str">
        <f aca="false">IF($P35="","",IF($P35&lt;=7,"Shoshilinch",IF($P35&lt;=9,"Kechiktirib bo'lmaydigan",IF($P35&lt;=14,"Rejalashtirilgan","Rejali"))))</f>
        <v/>
      </c>
      <c r="R35" s="25"/>
      <c r="S35" s="14" t="str">
        <f aca="false">IF($K35&lt;&gt;"Kesarcha","",IF(OR($O35&lt;&gt;"",$R35="Ha"),"Ha","YO‘Q"))</f>
        <v/>
      </c>
      <c r="T35" s="12"/>
      <c r="U35" s="12"/>
      <c r="V35" s="14" t="str">
        <f aca="false">IF(OR($C35="",$D35="",$B35=""),"",IF(COUNTIFS($C$5:$C$604,$C35,$D$5:$D$604,$D35,$B$5:$B$604,$B35)&gt;1,"Takror",""))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4"/>
      <c r="F36" s="12"/>
      <c r="G36" s="14" t="str">
        <f aca="false">IF(OR($D36="",$B36=""),"",INT(($B36-$D36)/365.25))</f>
        <v/>
      </c>
      <c r="H36" s="14" t="str">
        <f aca="false">IF($G36="","",IF($G36&lt;18,"Ha","Yo'q"))</f>
        <v/>
      </c>
      <c r="I36" s="12"/>
      <c r="J36" s="25"/>
      <c r="K36" s="25"/>
      <c r="L36" s="25"/>
      <c r="M36" s="12"/>
      <c r="N36" s="25"/>
      <c r="O36" s="25"/>
      <c r="P36" s="14" t="str">
        <f aca="false">IF($O36="","",IFERROR(VALUE(LEFT($O36,FIND(".",$O36)-1)),""))</f>
        <v/>
      </c>
      <c r="Q36" s="14" t="str">
        <f aca="false">IF($P36="","",IF($P36&lt;=7,"Shoshilinch",IF($P36&lt;=9,"Kechiktirib bo'lmaydigan",IF($P36&lt;=14,"Rejalashtirilgan","Rejali"))))</f>
        <v/>
      </c>
      <c r="R36" s="25"/>
      <c r="S36" s="14" t="str">
        <f aca="false">IF($K36&lt;&gt;"Kesarcha","",IF(OR($O36&lt;&gt;"",$R36="Ha"),"Ha","YO‘Q"))</f>
        <v/>
      </c>
      <c r="T36" s="12"/>
      <c r="U36" s="12"/>
      <c r="V36" s="14" t="str">
        <f aca="false">IF(OR($C36="",$D36="",$B36=""),"",IF(COUNTIFS($C$5:$C$604,$C36,$D$5:$D$604,$D36,$B$5:$B$604,$B36)&gt;1,"Takror",""))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4"/>
      <c r="F37" s="12"/>
      <c r="G37" s="14" t="str">
        <f aca="false">IF(OR($D37="",$B37=""),"",INT(($B37-$D37)/365.25))</f>
        <v/>
      </c>
      <c r="H37" s="14" t="str">
        <f aca="false">IF($G37="","",IF($G37&lt;18,"Ha","Yo'q"))</f>
        <v/>
      </c>
      <c r="I37" s="12"/>
      <c r="J37" s="25"/>
      <c r="K37" s="25"/>
      <c r="L37" s="25"/>
      <c r="M37" s="12"/>
      <c r="N37" s="25"/>
      <c r="O37" s="25"/>
      <c r="P37" s="14" t="str">
        <f aca="false">IF($O37="","",IFERROR(VALUE(LEFT($O37,FIND(".",$O37)-1)),""))</f>
        <v/>
      </c>
      <c r="Q37" s="14" t="str">
        <f aca="false">IF($P37="","",IF($P37&lt;=7,"Shoshilinch",IF($P37&lt;=9,"Kechiktirib bo'lmaydigan",IF($P37&lt;=14,"Rejalashtirilgan","Rejali"))))</f>
        <v/>
      </c>
      <c r="R37" s="25"/>
      <c r="S37" s="14" t="str">
        <f aca="false">IF($K37&lt;&gt;"Kesarcha","",IF(OR($O37&lt;&gt;"",$R37="Ha"),"Ha","YO‘Q"))</f>
        <v/>
      </c>
      <c r="T37" s="12"/>
      <c r="U37" s="12"/>
      <c r="V37" s="14" t="str">
        <f aca="false">IF(OR($C37="",$D37="",$B37=""),"",IF(COUNTIFS($C$5:$C$604,$C37,$D$5:$D$604,$D37,$B$5:$B$604,$B37)&gt;1,"Takror",""))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4"/>
      <c r="F38" s="12"/>
      <c r="G38" s="14" t="str">
        <f aca="false">IF(OR($D38="",$B38=""),"",INT(($B38-$D38)/365.25))</f>
        <v/>
      </c>
      <c r="H38" s="14" t="str">
        <f aca="false">IF($G38="","",IF($G38&lt;18,"Ha","Yo'q"))</f>
        <v/>
      </c>
      <c r="I38" s="12"/>
      <c r="J38" s="25"/>
      <c r="K38" s="25"/>
      <c r="L38" s="25"/>
      <c r="M38" s="12"/>
      <c r="N38" s="25"/>
      <c r="O38" s="25"/>
      <c r="P38" s="14" t="str">
        <f aca="false">IF($O38="","",IFERROR(VALUE(LEFT($O38,FIND(".",$O38)-1)),""))</f>
        <v/>
      </c>
      <c r="Q38" s="14" t="str">
        <f aca="false">IF($P38="","",IF($P38&lt;=7,"Shoshilinch",IF($P38&lt;=9,"Kechiktirib bo'lmaydigan",IF($P38&lt;=14,"Rejalashtirilgan","Rejali"))))</f>
        <v/>
      </c>
      <c r="R38" s="25"/>
      <c r="S38" s="14" t="str">
        <f aca="false">IF($K38&lt;&gt;"Kesarcha","",IF(OR($O38&lt;&gt;"",$R38="Ha"),"Ha","YO‘Q"))</f>
        <v/>
      </c>
      <c r="T38" s="12"/>
      <c r="U38" s="12"/>
      <c r="V38" s="14" t="str">
        <f aca="false">IF(OR($C38="",$D38="",$B38=""),"",IF(COUNTIFS($C$5:$C$604,$C38,$D$5:$D$604,$D38,$B$5:$B$604,$B38)&gt;1,"Takror",""))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4"/>
      <c r="F39" s="12"/>
      <c r="G39" s="14" t="str">
        <f aca="false">IF(OR($D39="",$B39=""),"",INT(($B39-$D39)/365.25))</f>
        <v/>
      </c>
      <c r="H39" s="14" t="str">
        <f aca="false">IF($G39="","",IF($G39&lt;18,"Ha","Yo'q"))</f>
        <v/>
      </c>
      <c r="I39" s="12"/>
      <c r="J39" s="25"/>
      <c r="K39" s="25"/>
      <c r="L39" s="25"/>
      <c r="M39" s="12"/>
      <c r="N39" s="25"/>
      <c r="O39" s="25"/>
      <c r="P39" s="14" t="str">
        <f aca="false">IF($O39="","",IFERROR(VALUE(LEFT($O39,FIND(".",$O39)-1)),""))</f>
        <v/>
      </c>
      <c r="Q39" s="14" t="str">
        <f aca="false">IF($P39="","",IF($P39&lt;=7,"Shoshilinch",IF($P39&lt;=9,"Kechiktirib bo'lmaydigan",IF($P39&lt;=14,"Rejalashtirilgan","Rejali"))))</f>
        <v/>
      </c>
      <c r="R39" s="25"/>
      <c r="S39" s="14" t="str">
        <f aca="false">IF($K39&lt;&gt;"Kesarcha","",IF(OR($O39&lt;&gt;"",$R39="Ha"),"Ha","YO‘Q"))</f>
        <v/>
      </c>
      <c r="T39" s="12"/>
      <c r="U39" s="12"/>
      <c r="V39" s="14" t="str">
        <f aca="false">IF(OR($C39="",$D39="",$B39=""),"",IF(COUNTIFS($C$5:$C$604,$C39,$D$5:$D$604,$D39,$B$5:$B$604,$B39)&gt;1,"Takror",""))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4"/>
      <c r="F40" s="12"/>
      <c r="G40" s="14" t="str">
        <f aca="false">IF(OR($D40="",$B40=""),"",INT(($B40-$D40)/365.25))</f>
        <v/>
      </c>
      <c r="H40" s="14" t="str">
        <f aca="false">IF($G40="","",IF($G40&lt;18,"Ha","Yo'q"))</f>
        <v/>
      </c>
      <c r="I40" s="12"/>
      <c r="J40" s="25"/>
      <c r="K40" s="25"/>
      <c r="L40" s="25"/>
      <c r="M40" s="12"/>
      <c r="N40" s="25"/>
      <c r="O40" s="25"/>
      <c r="P40" s="14" t="str">
        <f aca="false">IF($O40="","",IFERROR(VALUE(LEFT($O40,FIND(".",$O40)-1)),""))</f>
        <v/>
      </c>
      <c r="Q40" s="14" t="str">
        <f aca="false">IF($P40="","",IF($P40&lt;=7,"Shoshilinch",IF($P40&lt;=9,"Kechiktirib bo'lmaydigan",IF($P40&lt;=14,"Rejalashtirilgan","Rejali"))))</f>
        <v/>
      </c>
      <c r="R40" s="25"/>
      <c r="S40" s="14" t="str">
        <f aca="false">IF($K40&lt;&gt;"Kesarcha","",IF(OR($O40&lt;&gt;"",$R40="Ha"),"Ha","YO‘Q"))</f>
        <v/>
      </c>
      <c r="T40" s="12"/>
      <c r="U40" s="12"/>
      <c r="V40" s="14" t="str">
        <f aca="false">IF(OR($C40="",$D40="",$B40=""),"",IF(COUNTIFS($C$5:$C$604,$C40,$D$5:$D$604,$D40,$B$5:$B$604,$B40)&gt;1,"Takror",""))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4"/>
      <c r="F41" s="12"/>
      <c r="G41" s="14" t="str">
        <f aca="false">IF(OR($D41="",$B41=""),"",INT(($B41-$D41)/365.25))</f>
        <v/>
      </c>
      <c r="H41" s="14" t="str">
        <f aca="false">IF($G41="","",IF($G41&lt;18,"Ha","Yo'q"))</f>
        <v/>
      </c>
      <c r="I41" s="12"/>
      <c r="J41" s="25"/>
      <c r="K41" s="25"/>
      <c r="L41" s="25"/>
      <c r="M41" s="12"/>
      <c r="N41" s="25"/>
      <c r="O41" s="25"/>
      <c r="P41" s="14" t="str">
        <f aca="false">IF($O41="","",IFERROR(VALUE(LEFT($O41,FIND(".",$O41)-1)),""))</f>
        <v/>
      </c>
      <c r="Q41" s="14" t="str">
        <f aca="false">IF($P41="","",IF($P41&lt;=7,"Shoshilinch",IF($P41&lt;=9,"Kechiktirib bo'lmaydigan",IF($P41&lt;=14,"Rejalashtirilgan","Rejali"))))</f>
        <v/>
      </c>
      <c r="R41" s="25"/>
      <c r="S41" s="14" t="str">
        <f aca="false">IF($K41&lt;&gt;"Kesarcha","",IF(OR($O41&lt;&gt;"",$R41="Ha"),"Ha","YO‘Q"))</f>
        <v/>
      </c>
      <c r="T41" s="12"/>
      <c r="U41" s="12"/>
      <c r="V41" s="14" t="str">
        <f aca="false">IF(OR($C41="",$D41="",$B41=""),"",IF(COUNTIFS($C$5:$C$604,$C41,$D$5:$D$604,$D41,$B$5:$B$604,$B41)&gt;1,"Takror",""))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4"/>
      <c r="F42" s="12"/>
      <c r="G42" s="14" t="str">
        <f aca="false">IF(OR($D42="",$B42=""),"",INT(($B42-$D42)/365.25))</f>
        <v/>
      </c>
      <c r="H42" s="14" t="str">
        <f aca="false">IF($G42="","",IF($G42&lt;18,"Ha","Yo'q"))</f>
        <v/>
      </c>
      <c r="I42" s="12"/>
      <c r="J42" s="25"/>
      <c r="K42" s="25"/>
      <c r="L42" s="25"/>
      <c r="M42" s="12"/>
      <c r="N42" s="25"/>
      <c r="O42" s="25"/>
      <c r="P42" s="14" t="str">
        <f aca="false">IF($O42="","",IFERROR(VALUE(LEFT($O42,FIND(".",$O42)-1)),""))</f>
        <v/>
      </c>
      <c r="Q42" s="14" t="str">
        <f aca="false">IF($P42="","",IF($P42&lt;=7,"Shoshilinch",IF($P42&lt;=9,"Kechiktirib bo'lmaydigan",IF($P42&lt;=14,"Rejalashtirilgan","Rejali"))))</f>
        <v/>
      </c>
      <c r="R42" s="25"/>
      <c r="S42" s="14" t="str">
        <f aca="false">IF($K42&lt;&gt;"Kesarcha","",IF(OR($O42&lt;&gt;"",$R42="Ha"),"Ha","YO‘Q"))</f>
        <v/>
      </c>
      <c r="T42" s="12"/>
      <c r="U42" s="12"/>
      <c r="V42" s="14" t="str">
        <f aca="false">IF(OR($C42="",$D42="",$B42=""),"",IF(COUNTIFS($C$5:$C$604,$C42,$D$5:$D$604,$D42,$B$5:$B$604,$B42)&gt;1,"Takror",""))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4"/>
      <c r="F43" s="12"/>
      <c r="G43" s="14" t="str">
        <f aca="false">IF(OR($D43="",$B43=""),"",INT(($B43-$D43)/365.25))</f>
        <v/>
      </c>
      <c r="H43" s="14" t="str">
        <f aca="false">IF($G43="","",IF($G43&lt;18,"Ha","Yo'q"))</f>
        <v/>
      </c>
      <c r="I43" s="12"/>
      <c r="J43" s="25"/>
      <c r="K43" s="25"/>
      <c r="L43" s="25"/>
      <c r="M43" s="12"/>
      <c r="N43" s="25"/>
      <c r="O43" s="25"/>
      <c r="P43" s="14" t="str">
        <f aca="false">IF($O43="","",IFERROR(VALUE(LEFT($O43,FIND(".",$O43)-1)),""))</f>
        <v/>
      </c>
      <c r="Q43" s="14" t="str">
        <f aca="false">IF($P43="","",IF($P43&lt;=7,"Shoshilinch",IF($P43&lt;=9,"Kechiktirib bo'lmaydigan",IF($P43&lt;=14,"Rejalashtirilgan","Rejali"))))</f>
        <v/>
      </c>
      <c r="R43" s="25"/>
      <c r="S43" s="14" t="str">
        <f aca="false">IF($K43&lt;&gt;"Kesarcha","",IF(OR($O43&lt;&gt;"",$R43="Ha"),"Ha","YO‘Q"))</f>
        <v/>
      </c>
      <c r="T43" s="12"/>
      <c r="U43" s="12"/>
      <c r="V43" s="14" t="str">
        <f aca="false">IF(OR($C43="",$D43="",$B43=""),"",IF(COUNTIFS($C$5:$C$604,$C43,$D$5:$D$604,$D43,$B$5:$B$604,$B43)&gt;1,"Takror",""))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4"/>
      <c r="F44" s="12"/>
      <c r="G44" s="14" t="str">
        <f aca="false">IF(OR($D44="",$B44=""),"",INT(($B44-$D44)/365.25))</f>
        <v/>
      </c>
      <c r="H44" s="14" t="str">
        <f aca="false">IF($G44="","",IF($G44&lt;18,"Ha","Yo'q"))</f>
        <v/>
      </c>
      <c r="I44" s="12"/>
      <c r="J44" s="25"/>
      <c r="K44" s="25"/>
      <c r="L44" s="25"/>
      <c r="M44" s="12"/>
      <c r="N44" s="25"/>
      <c r="O44" s="25"/>
      <c r="P44" s="14" t="str">
        <f aca="false">IF($O44="","",IFERROR(VALUE(LEFT($O44,FIND(".",$O44)-1)),""))</f>
        <v/>
      </c>
      <c r="Q44" s="14" t="str">
        <f aca="false">IF($P44="","",IF($P44&lt;=7,"Shoshilinch",IF($P44&lt;=9,"Kechiktirib bo'lmaydigan",IF($P44&lt;=14,"Rejalashtirilgan","Rejali"))))</f>
        <v/>
      </c>
      <c r="R44" s="25"/>
      <c r="S44" s="14" t="str">
        <f aca="false">IF($K44&lt;&gt;"Kesarcha","",IF(OR($O44&lt;&gt;"",$R44="Ha"),"Ha","YO‘Q"))</f>
        <v/>
      </c>
      <c r="T44" s="12"/>
      <c r="U44" s="12"/>
      <c r="V44" s="14" t="str">
        <f aca="false">IF(OR($C44="",$D44="",$B44=""),"",IF(COUNTIFS($C$5:$C$604,$C44,$D$5:$D$604,$D44,$B$5:$B$604,$B44)&gt;1,"Takror",""))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4"/>
      <c r="F45" s="12"/>
      <c r="G45" s="14" t="str">
        <f aca="false">IF(OR($D45="",$B45=""),"",INT(($B45-$D45)/365.25))</f>
        <v/>
      </c>
      <c r="H45" s="14" t="str">
        <f aca="false">IF($G45="","",IF($G45&lt;18,"Ha","Yo'q"))</f>
        <v/>
      </c>
      <c r="I45" s="12"/>
      <c r="J45" s="25"/>
      <c r="K45" s="25"/>
      <c r="L45" s="25"/>
      <c r="M45" s="12"/>
      <c r="N45" s="25"/>
      <c r="O45" s="25"/>
      <c r="P45" s="14" t="str">
        <f aca="false">IF($O45="","",IFERROR(VALUE(LEFT($O45,FIND(".",$O45)-1)),""))</f>
        <v/>
      </c>
      <c r="Q45" s="14" t="str">
        <f aca="false">IF($P45="","",IF($P45&lt;=7,"Shoshilinch",IF($P45&lt;=9,"Kechiktirib bo'lmaydigan",IF($P45&lt;=14,"Rejalashtirilgan","Rejali"))))</f>
        <v/>
      </c>
      <c r="R45" s="25"/>
      <c r="S45" s="14" t="str">
        <f aca="false">IF($K45&lt;&gt;"Kesarcha","",IF(OR($O45&lt;&gt;"",$R45="Ha"),"Ha","YO‘Q"))</f>
        <v/>
      </c>
      <c r="T45" s="12"/>
      <c r="U45" s="12"/>
      <c r="V45" s="14" t="str">
        <f aca="false">IF(OR($C45="",$D45="",$B45=""),"",IF(COUNTIFS($C$5:$C$604,$C45,$D$5:$D$604,$D45,$B$5:$B$604,$B45)&gt;1,"Takror",""))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4"/>
      <c r="F46" s="12"/>
      <c r="G46" s="14" t="str">
        <f aca="false">IF(OR($D46="",$B46=""),"",INT(($B46-$D46)/365.25))</f>
        <v/>
      </c>
      <c r="H46" s="14" t="str">
        <f aca="false">IF($G46="","",IF($G46&lt;18,"Ha","Yo'q"))</f>
        <v/>
      </c>
      <c r="I46" s="12"/>
      <c r="J46" s="25"/>
      <c r="K46" s="25"/>
      <c r="L46" s="25"/>
      <c r="M46" s="12"/>
      <c r="N46" s="25"/>
      <c r="O46" s="25"/>
      <c r="P46" s="14" t="str">
        <f aca="false">IF($O46="","",IFERROR(VALUE(LEFT($O46,FIND(".",$O46)-1)),""))</f>
        <v/>
      </c>
      <c r="Q46" s="14" t="str">
        <f aca="false">IF($P46="","",IF($P46&lt;=7,"Shoshilinch",IF($P46&lt;=9,"Kechiktirib bo'lmaydigan",IF($P46&lt;=14,"Rejalashtirilgan","Rejali"))))</f>
        <v/>
      </c>
      <c r="R46" s="25"/>
      <c r="S46" s="14" t="str">
        <f aca="false">IF($K46&lt;&gt;"Kesarcha","",IF(OR($O46&lt;&gt;"",$R46="Ha"),"Ha","YO‘Q"))</f>
        <v/>
      </c>
      <c r="T46" s="12"/>
      <c r="U46" s="12"/>
      <c r="V46" s="14" t="str">
        <f aca="false">IF(OR($C46="",$D46="",$B46=""),"",IF(COUNTIFS($C$5:$C$604,$C46,$D$5:$D$604,$D46,$B$5:$B$604,$B46)&gt;1,"Takror",""))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4"/>
      <c r="F47" s="12"/>
      <c r="G47" s="14" t="str">
        <f aca="false">IF(OR($D47="",$B47=""),"",INT(($B47-$D47)/365.25))</f>
        <v/>
      </c>
      <c r="H47" s="14" t="str">
        <f aca="false">IF($G47="","",IF($G47&lt;18,"Ha","Yo'q"))</f>
        <v/>
      </c>
      <c r="I47" s="12"/>
      <c r="J47" s="25"/>
      <c r="K47" s="25"/>
      <c r="L47" s="25"/>
      <c r="M47" s="12"/>
      <c r="N47" s="25"/>
      <c r="O47" s="25"/>
      <c r="P47" s="14" t="str">
        <f aca="false">IF($O47="","",IFERROR(VALUE(LEFT($O47,FIND(".",$O47)-1)),""))</f>
        <v/>
      </c>
      <c r="Q47" s="14" t="str">
        <f aca="false">IF($P47="","",IF($P47&lt;=7,"Shoshilinch",IF($P47&lt;=9,"Kechiktirib bo'lmaydigan",IF($P47&lt;=14,"Rejalashtirilgan","Rejali"))))</f>
        <v/>
      </c>
      <c r="R47" s="25"/>
      <c r="S47" s="14" t="str">
        <f aca="false">IF($K47&lt;&gt;"Kesarcha","",IF(OR($O47&lt;&gt;"",$R47="Ha"),"Ha","YO‘Q"))</f>
        <v/>
      </c>
      <c r="T47" s="12"/>
      <c r="U47" s="12"/>
      <c r="V47" s="14" t="str">
        <f aca="false">IF(OR($C47="",$D47="",$B47=""),"",IF(COUNTIFS($C$5:$C$604,$C47,$D$5:$D$604,$D47,$B$5:$B$604,$B47)&gt;1,"Takror",""))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4"/>
      <c r="F48" s="12"/>
      <c r="G48" s="14" t="str">
        <f aca="false">IF(OR($D48="",$B48=""),"",INT(($B48-$D48)/365.25))</f>
        <v/>
      </c>
      <c r="H48" s="14" t="str">
        <f aca="false">IF($G48="","",IF($G48&lt;18,"Ha","Yo'q"))</f>
        <v/>
      </c>
      <c r="I48" s="12"/>
      <c r="J48" s="25"/>
      <c r="K48" s="25"/>
      <c r="L48" s="25"/>
      <c r="M48" s="12"/>
      <c r="N48" s="25"/>
      <c r="O48" s="25"/>
      <c r="P48" s="14" t="str">
        <f aca="false">IF($O48="","",IFERROR(VALUE(LEFT($O48,FIND(".",$O48)-1)),""))</f>
        <v/>
      </c>
      <c r="Q48" s="14" t="str">
        <f aca="false">IF($P48="","",IF($P48&lt;=7,"Shoshilinch",IF($P48&lt;=9,"Kechiktirib bo'lmaydigan",IF($P48&lt;=14,"Rejalashtirilgan","Rejali"))))</f>
        <v/>
      </c>
      <c r="R48" s="25"/>
      <c r="S48" s="14" t="str">
        <f aca="false">IF($K48&lt;&gt;"Kesarcha","",IF(OR($O48&lt;&gt;"",$R48="Ha"),"Ha","YO‘Q"))</f>
        <v/>
      </c>
      <c r="T48" s="12"/>
      <c r="U48" s="12"/>
      <c r="V48" s="14" t="str">
        <f aca="false">IF(OR($C48="",$D48="",$B48=""),"",IF(COUNTIFS($C$5:$C$604,$C48,$D$5:$D$604,$D48,$B$5:$B$604,$B48)&gt;1,"Takror",""))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4"/>
      <c r="F49" s="12"/>
      <c r="G49" s="14" t="str">
        <f aca="false">IF(OR($D49="",$B49=""),"",INT(($B49-$D49)/365.25))</f>
        <v/>
      </c>
      <c r="H49" s="14" t="str">
        <f aca="false">IF($G49="","",IF($G49&lt;18,"Ha","Yo'q"))</f>
        <v/>
      </c>
      <c r="I49" s="12"/>
      <c r="J49" s="25"/>
      <c r="K49" s="25"/>
      <c r="L49" s="25"/>
      <c r="M49" s="12"/>
      <c r="N49" s="25"/>
      <c r="O49" s="25"/>
      <c r="P49" s="14" t="str">
        <f aca="false">IF($O49="","",IFERROR(VALUE(LEFT($O49,FIND(".",$O49)-1)),""))</f>
        <v/>
      </c>
      <c r="Q49" s="14" t="str">
        <f aca="false">IF($P49="","",IF($P49&lt;=7,"Shoshilinch",IF($P49&lt;=9,"Kechiktirib bo'lmaydigan",IF($P49&lt;=14,"Rejalashtirilgan","Rejali"))))</f>
        <v/>
      </c>
      <c r="R49" s="25"/>
      <c r="S49" s="14" t="str">
        <f aca="false">IF($K49&lt;&gt;"Kesarcha","",IF(OR($O49&lt;&gt;"",$R49="Ha"),"Ha","YO‘Q"))</f>
        <v/>
      </c>
      <c r="T49" s="12"/>
      <c r="U49" s="12"/>
      <c r="V49" s="14" t="str">
        <f aca="false">IF(OR($C49="",$D49="",$B49=""),"",IF(COUNTIFS($C$5:$C$604,$C49,$D$5:$D$604,$D49,$B$5:$B$604,$B49)&gt;1,"Takror",""))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4"/>
      <c r="F50" s="12"/>
      <c r="G50" s="14" t="str">
        <f aca="false">IF(OR($D50="",$B50=""),"",INT(($B50-$D50)/365.25))</f>
        <v/>
      </c>
      <c r="H50" s="14" t="str">
        <f aca="false">IF($G50="","",IF($G50&lt;18,"Ha","Yo'q"))</f>
        <v/>
      </c>
      <c r="I50" s="12"/>
      <c r="J50" s="25"/>
      <c r="K50" s="25"/>
      <c r="L50" s="25"/>
      <c r="M50" s="12"/>
      <c r="N50" s="25"/>
      <c r="O50" s="25"/>
      <c r="P50" s="14" t="str">
        <f aca="false">IF($O50="","",IFERROR(VALUE(LEFT($O50,FIND(".",$O50)-1)),""))</f>
        <v/>
      </c>
      <c r="Q50" s="14" t="str">
        <f aca="false">IF($P50="","",IF($P50&lt;=7,"Shoshilinch",IF($P50&lt;=9,"Kechiktirib bo'lmaydigan",IF($P50&lt;=14,"Rejalashtirilgan","Rejali"))))</f>
        <v/>
      </c>
      <c r="R50" s="25"/>
      <c r="S50" s="14" t="str">
        <f aca="false">IF($K50&lt;&gt;"Kesarcha","",IF(OR($O50&lt;&gt;"",$R50="Ha"),"Ha","YO‘Q"))</f>
        <v/>
      </c>
      <c r="T50" s="12"/>
      <c r="U50" s="12"/>
      <c r="V50" s="14" t="str">
        <f aca="false">IF(OR($C50="",$D50="",$B50=""),"",IF(COUNTIFS($C$5:$C$604,$C50,$D$5:$D$604,$D50,$B$5:$B$604,$B50)&gt;1,"Takror",""))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4"/>
      <c r="F51" s="12"/>
      <c r="G51" s="14" t="str">
        <f aca="false">IF(OR($D51="",$B51=""),"",INT(($B51-$D51)/365.25))</f>
        <v/>
      </c>
      <c r="H51" s="14" t="str">
        <f aca="false">IF($G51="","",IF($G51&lt;18,"Ha","Yo'q"))</f>
        <v/>
      </c>
      <c r="I51" s="12"/>
      <c r="J51" s="25"/>
      <c r="K51" s="25"/>
      <c r="L51" s="25"/>
      <c r="M51" s="12"/>
      <c r="N51" s="25"/>
      <c r="O51" s="25"/>
      <c r="P51" s="14" t="str">
        <f aca="false">IF($O51="","",IFERROR(VALUE(LEFT($O51,FIND(".",$O51)-1)),""))</f>
        <v/>
      </c>
      <c r="Q51" s="14" t="str">
        <f aca="false">IF($P51="","",IF($P51&lt;=7,"Shoshilinch",IF($P51&lt;=9,"Kechiktirib bo'lmaydigan",IF($P51&lt;=14,"Rejalashtirilgan","Rejali"))))</f>
        <v/>
      </c>
      <c r="R51" s="25"/>
      <c r="S51" s="14" t="str">
        <f aca="false">IF($K51&lt;&gt;"Kesarcha","",IF(OR($O51&lt;&gt;"",$R51="Ha"),"Ha","YO‘Q"))</f>
        <v/>
      </c>
      <c r="T51" s="12"/>
      <c r="U51" s="12"/>
      <c r="V51" s="14" t="str">
        <f aca="false">IF(OR($C51="",$D51="",$B51=""),"",IF(COUNTIFS($C$5:$C$604,$C51,$D$5:$D$604,$D51,$B$5:$B$604,$B51)&gt;1,"Takror",""))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4"/>
      <c r="F52" s="12"/>
      <c r="G52" s="14" t="str">
        <f aca="false">IF(OR($D52="",$B52=""),"",INT(($B52-$D52)/365.25))</f>
        <v/>
      </c>
      <c r="H52" s="14" t="str">
        <f aca="false">IF($G52="","",IF($G52&lt;18,"Ha","Yo'q"))</f>
        <v/>
      </c>
      <c r="I52" s="12"/>
      <c r="J52" s="25"/>
      <c r="K52" s="25"/>
      <c r="L52" s="25"/>
      <c r="M52" s="12"/>
      <c r="N52" s="25"/>
      <c r="O52" s="25"/>
      <c r="P52" s="14" t="str">
        <f aca="false">IF($O52="","",IFERROR(VALUE(LEFT($O52,FIND(".",$O52)-1)),""))</f>
        <v/>
      </c>
      <c r="Q52" s="14" t="str">
        <f aca="false">IF($P52="","",IF($P52&lt;=7,"Shoshilinch",IF($P52&lt;=9,"Kechiktirib bo'lmaydigan",IF($P52&lt;=14,"Rejalashtirilgan","Rejali"))))</f>
        <v/>
      </c>
      <c r="R52" s="25"/>
      <c r="S52" s="14" t="str">
        <f aca="false">IF($K52&lt;&gt;"Kesarcha","",IF(OR($O52&lt;&gt;"",$R52="Ha"),"Ha","YO‘Q"))</f>
        <v/>
      </c>
      <c r="T52" s="12"/>
      <c r="U52" s="12"/>
      <c r="V52" s="14" t="str">
        <f aca="false">IF(OR($C52="",$D52="",$B52=""),"",IF(COUNTIFS($C$5:$C$604,$C52,$D$5:$D$604,$D52,$B$5:$B$604,$B52)&gt;1,"Takror",""))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4"/>
      <c r="F53" s="12"/>
      <c r="G53" s="14" t="str">
        <f aca="false">IF(OR($D53="",$B53=""),"",INT(($B53-$D53)/365.25))</f>
        <v/>
      </c>
      <c r="H53" s="14" t="str">
        <f aca="false">IF($G53="","",IF($G53&lt;18,"Ha","Yo'q"))</f>
        <v/>
      </c>
      <c r="I53" s="12"/>
      <c r="J53" s="25"/>
      <c r="K53" s="25"/>
      <c r="L53" s="25"/>
      <c r="M53" s="12"/>
      <c r="N53" s="25"/>
      <c r="O53" s="25"/>
      <c r="P53" s="14" t="str">
        <f aca="false">IF($O53="","",IFERROR(VALUE(LEFT($O53,FIND(".",$O53)-1)),""))</f>
        <v/>
      </c>
      <c r="Q53" s="14" t="str">
        <f aca="false">IF($P53="","",IF($P53&lt;=7,"Shoshilinch",IF($P53&lt;=9,"Kechiktirib bo'lmaydigan",IF($P53&lt;=14,"Rejalashtirilgan","Rejali"))))</f>
        <v/>
      </c>
      <c r="R53" s="25"/>
      <c r="S53" s="14" t="str">
        <f aca="false">IF($K53&lt;&gt;"Kesarcha","",IF(OR($O53&lt;&gt;"",$R53="Ha"),"Ha","YO‘Q"))</f>
        <v/>
      </c>
      <c r="T53" s="12"/>
      <c r="U53" s="12"/>
      <c r="V53" s="14" t="str">
        <f aca="false">IF(OR($C53="",$D53="",$B53=""),"",IF(COUNTIFS($C$5:$C$604,$C53,$D$5:$D$604,$D53,$B$5:$B$604,$B53)&gt;1,"Takror",""))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4"/>
      <c r="F54" s="12"/>
      <c r="G54" s="14" t="str">
        <f aca="false">IF(OR($D54="",$B54=""),"",INT(($B54-$D54)/365.25))</f>
        <v/>
      </c>
      <c r="H54" s="14" t="str">
        <f aca="false">IF($G54="","",IF($G54&lt;18,"Ha","Yo'q"))</f>
        <v/>
      </c>
      <c r="I54" s="12"/>
      <c r="J54" s="25"/>
      <c r="K54" s="25"/>
      <c r="L54" s="25"/>
      <c r="M54" s="12"/>
      <c r="N54" s="25"/>
      <c r="O54" s="25"/>
      <c r="P54" s="14" t="str">
        <f aca="false">IF($O54="","",IFERROR(VALUE(LEFT($O54,FIND(".",$O54)-1)),""))</f>
        <v/>
      </c>
      <c r="Q54" s="14" t="str">
        <f aca="false">IF($P54="","",IF($P54&lt;=7,"Shoshilinch",IF($P54&lt;=9,"Kechiktirib bo'lmaydigan",IF($P54&lt;=14,"Rejalashtirilgan","Rejali"))))</f>
        <v/>
      </c>
      <c r="R54" s="25"/>
      <c r="S54" s="14" t="str">
        <f aca="false">IF($K54&lt;&gt;"Kesarcha","",IF(OR($O54&lt;&gt;"",$R54="Ha"),"Ha","YO‘Q"))</f>
        <v/>
      </c>
      <c r="T54" s="12"/>
      <c r="U54" s="12"/>
      <c r="V54" s="14" t="str">
        <f aca="false">IF(OR($C54="",$D54="",$B54=""),"",IF(COUNTIFS($C$5:$C$604,$C54,$D$5:$D$604,$D54,$B$5:$B$604,$B54)&gt;1,"Takror",""))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4"/>
      <c r="F55" s="12"/>
      <c r="G55" s="14" t="str">
        <f aca="false">IF(OR($D55="",$B55=""),"",INT(($B55-$D55)/365.25))</f>
        <v/>
      </c>
      <c r="H55" s="14" t="str">
        <f aca="false">IF($G55="","",IF($G55&lt;18,"Ha","Yo'q"))</f>
        <v/>
      </c>
      <c r="I55" s="12"/>
      <c r="J55" s="25"/>
      <c r="K55" s="25"/>
      <c r="L55" s="25"/>
      <c r="M55" s="12"/>
      <c r="N55" s="25"/>
      <c r="O55" s="25"/>
      <c r="P55" s="14" t="str">
        <f aca="false">IF($O55="","",IFERROR(VALUE(LEFT($O55,FIND(".",$O55)-1)),""))</f>
        <v/>
      </c>
      <c r="Q55" s="14" t="str">
        <f aca="false">IF($P55="","",IF($P55&lt;=7,"Shoshilinch",IF($P55&lt;=9,"Kechiktirib bo'lmaydigan",IF($P55&lt;=14,"Rejalashtirilgan","Rejali"))))</f>
        <v/>
      </c>
      <c r="R55" s="25"/>
      <c r="S55" s="14" t="str">
        <f aca="false">IF($K55&lt;&gt;"Kesarcha","",IF(OR($O55&lt;&gt;"",$R55="Ha"),"Ha","YO‘Q"))</f>
        <v/>
      </c>
      <c r="T55" s="12"/>
      <c r="U55" s="12"/>
      <c r="V55" s="14" t="str">
        <f aca="false">IF(OR($C55="",$D55="",$B55=""),"",IF(COUNTIFS($C$5:$C$604,$C55,$D$5:$D$604,$D55,$B$5:$B$604,$B55)&gt;1,"Takror",""))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4"/>
      <c r="F56" s="12"/>
      <c r="G56" s="14" t="str">
        <f aca="false">IF(OR($D56="",$B56=""),"",INT(($B56-$D56)/365.25))</f>
        <v/>
      </c>
      <c r="H56" s="14" t="str">
        <f aca="false">IF($G56="","",IF($G56&lt;18,"Ha","Yo'q"))</f>
        <v/>
      </c>
      <c r="I56" s="12"/>
      <c r="J56" s="25"/>
      <c r="K56" s="25"/>
      <c r="L56" s="25"/>
      <c r="M56" s="12"/>
      <c r="N56" s="25"/>
      <c r="O56" s="25"/>
      <c r="P56" s="14" t="str">
        <f aca="false">IF($O56="","",IFERROR(VALUE(LEFT($O56,FIND(".",$O56)-1)),""))</f>
        <v/>
      </c>
      <c r="Q56" s="14" t="str">
        <f aca="false">IF($P56="","",IF($P56&lt;=7,"Shoshilinch",IF($P56&lt;=9,"Kechiktirib bo'lmaydigan",IF($P56&lt;=14,"Rejalashtirilgan","Rejali"))))</f>
        <v/>
      </c>
      <c r="R56" s="25"/>
      <c r="S56" s="14" t="str">
        <f aca="false">IF($K56&lt;&gt;"Kesarcha","",IF(OR($O56&lt;&gt;"",$R56="Ha"),"Ha","YO‘Q"))</f>
        <v/>
      </c>
      <c r="T56" s="12"/>
      <c r="U56" s="12"/>
      <c r="V56" s="14" t="str">
        <f aca="false">IF(OR($C56="",$D56="",$B56=""),"",IF(COUNTIFS($C$5:$C$604,$C56,$D$5:$D$604,$D56,$B$5:$B$604,$B56)&gt;1,"Takror",""))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4"/>
      <c r="F57" s="12"/>
      <c r="G57" s="14" t="str">
        <f aca="false">IF(OR($D57="",$B57=""),"",INT(($B57-$D57)/365.25))</f>
        <v/>
      </c>
      <c r="H57" s="14" t="str">
        <f aca="false">IF($G57="","",IF($G57&lt;18,"Ha","Yo'q"))</f>
        <v/>
      </c>
      <c r="I57" s="12"/>
      <c r="J57" s="25"/>
      <c r="K57" s="25"/>
      <c r="L57" s="25"/>
      <c r="M57" s="12"/>
      <c r="N57" s="25"/>
      <c r="O57" s="25"/>
      <c r="P57" s="14" t="str">
        <f aca="false">IF($O57="","",IFERROR(VALUE(LEFT($O57,FIND(".",$O57)-1)),""))</f>
        <v/>
      </c>
      <c r="Q57" s="14" t="str">
        <f aca="false">IF($P57="","",IF($P57&lt;=7,"Shoshilinch",IF($P57&lt;=9,"Kechiktirib bo'lmaydigan",IF($P57&lt;=14,"Rejalashtirilgan","Rejali"))))</f>
        <v/>
      </c>
      <c r="R57" s="25"/>
      <c r="S57" s="14" t="str">
        <f aca="false">IF($K57&lt;&gt;"Kesarcha","",IF(OR($O57&lt;&gt;"",$R57="Ha"),"Ha","YO‘Q"))</f>
        <v/>
      </c>
      <c r="T57" s="12"/>
      <c r="U57" s="12"/>
      <c r="V57" s="14" t="str">
        <f aca="false">IF(OR($C57="",$D57="",$B57=""),"",IF(COUNTIFS($C$5:$C$604,$C57,$D$5:$D$604,$D57,$B$5:$B$604,$B57)&gt;1,"Takror",""))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4"/>
      <c r="F58" s="12"/>
      <c r="G58" s="14" t="str">
        <f aca="false">IF(OR($D58="",$B58=""),"",INT(($B58-$D58)/365.25))</f>
        <v/>
      </c>
      <c r="H58" s="14" t="str">
        <f aca="false">IF($G58="","",IF($G58&lt;18,"Ha","Yo'q"))</f>
        <v/>
      </c>
      <c r="I58" s="12"/>
      <c r="J58" s="25"/>
      <c r="K58" s="25"/>
      <c r="L58" s="25"/>
      <c r="M58" s="12"/>
      <c r="N58" s="25"/>
      <c r="O58" s="25"/>
      <c r="P58" s="14" t="str">
        <f aca="false">IF($O58="","",IFERROR(VALUE(LEFT($O58,FIND(".",$O58)-1)),""))</f>
        <v/>
      </c>
      <c r="Q58" s="14" t="str">
        <f aca="false">IF($P58="","",IF($P58&lt;=7,"Shoshilinch",IF($P58&lt;=9,"Kechiktirib bo'lmaydigan",IF($P58&lt;=14,"Rejalashtirilgan","Rejali"))))</f>
        <v/>
      </c>
      <c r="R58" s="25"/>
      <c r="S58" s="14" t="str">
        <f aca="false">IF($K58&lt;&gt;"Kesarcha","",IF(OR($O58&lt;&gt;"",$R58="Ha"),"Ha","YO‘Q"))</f>
        <v/>
      </c>
      <c r="T58" s="12"/>
      <c r="U58" s="12"/>
      <c r="V58" s="14" t="str">
        <f aca="false">IF(OR($C58="",$D58="",$B58=""),"",IF(COUNTIFS($C$5:$C$604,$C58,$D$5:$D$604,$D58,$B$5:$B$604,$B58)&gt;1,"Takror",""))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4"/>
      <c r="F59" s="12"/>
      <c r="G59" s="14" t="str">
        <f aca="false">IF(OR($D59="",$B59=""),"",INT(($B59-$D59)/365.25))</f>
        <v/>
      </c>
      <c r="H59" s="14" t="str">
        <f aca="false">IF($G59="","",IF($G59&lt;18,"Ha","Yo'q"))</f>
        <v/>
      </c>
      <c r="I59" s="12"/>
      <c r="J59" s="25"/>
      <c r="K59" s="25"/>
      <c r="L59" s="25"/>
      <c r="M59" s="12"/>
      <c r="N59" s="25"/>
      <c r="O59" s="25"/>
      <c r="P59" s="14" t="str">
        <f aca="false">IF($O59="","",IFERROR(VALUE(LEFT($O59,FIND(".",$O59)-1)),""))</f>
        <v/>
      </c>
      <c r="Q59" s="14" t="str">
        <f aca="false">IF($P59="","",IF($P59&lt;=7,"Shoshilinch",IF($P59&lt;=9,"Kechiktirib bo'lmaydigan",IF($P59&lt;=14,"Rejalashtirilgan","Rejali"))))</f>
        <v/>
      </c>
      <c r="R59" s="25"/>
      <c r="S59" s="14" t="str">
        <f aca="false">IF($K59&lt;&gt;"Kesarcha","",IF(OR($O59&lt;&gt;"",$R59="Ha"),"Ha","YO‘Q"))</f>
        <v/>
      </c>
      <c r="T59" s="12"/>
      <c r="U59" s="12"/>
      <c r="V59" s="14" t="str">
        <f aca="false">IF(OR($C59="",$D59="",$B59=""),"",IF(COUNTIFS($C$5:$C$604,$C59,$D$5:$D$604,$D59,$B$5:$B$604,$B59)&gt;1,"Takror",""))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4"/>
      <c r="F60" s="12"/>
      <c r="G60" s="14" t="str">
        <f aca="false">IF(OR($D60="",$B60=""),"",INT(($B60-$D60)/365.25))</f>
        <v/>
      </c>
      <c r="H60" s="14" t="str">
        <f aca="false">IF($G60="","",IF($G60&lt;18,"Ha","Yo'q"))</f>
        <v/>
      </c>
      <c r="I60" s="12"/>
      <c r="J60" s="25"/>
      <c r="K60" s="25"/>
      <c r="L60" s="25"/>
      <c r="M60" s="12"/>
      <c r="N60" s="25"/>
      <c r="O60" s="25"/>
      <c r="P60" s="14" t="str">
        <f aca="false">IF($O60="","",IFERROR(VALUE(LEFT($O60,FIND(".",$O60)-1)),""))</f>
        <v/>
      </c>
      <c r="Q60" s="14" t="str">
        <f aca="false">IF($P60="","",IF($P60&lt;=7,"Shoshilinch",IF($P60&lt;=9,"Kechiktirib bo'lmaydigan",IF($P60&lt;=14,"Rejalashtirilgan","Rejali"))))</f>
        <v/>
      </c>
      <c r="R60" s="25"/>
      <c r="S60" s="14" t="str">
        <f aca="false">IF($K60&lt;&gt;"Kesarcha","",IF(OR($O60&lt;&gt;"",$R60="Ha"),"Ha","YO‘Q"))</f>
        <v/>
      </c>
      <c r="T60" s="12"/>
      <c r="U60" s="12"/>
      <c r="V60" s="14" t="str">
        <f aca="false">IF(OR($C60="",$D60="",$B60=""),"",IF(COUNTIFS($C$5:$C$604,$C60,$D$5:$D$604,$D60,$B$5:$B$604,$B60)&gt;1,"Takror",""))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4"/>
      <c r="F61" s="12"/>
      <c r="G61" s="14" t="str">
        <f aca="false">IF(OR($D61="",$B61=""),"",INT(($B61-$D61)/365.25))</f>
        <v/>
      </c>
      <c r="H61" s="14" t="str">
        <f aca="false">IF($G61="","",IF($G61&lt;18,"Ha","Yo'q"))</f>
        <v/>
      </c>
      <c r="I61" s="12"/>
      <c r="J61" s="25"/>
      <c r="K61" s="25"/>
      <c r="L61" s="25"/>
      <c r="M61" s="12"/>
      <c r="N61" s="25"/>
      <c r="O61" s="25"/>
      <c r="P61" s="14" t="str">
        <f aca="false">IF($O61="","",IFERROR(VALUE(LEFT($O61,FIND(".",$O61)-1)),""))</f>
        <v/>
      </c>
      <c r="Q61" s="14" t="str">
        <f aca="false">IF($P61="","",IF($P61&lt;=7,"Shoshilinch",IF($P61&lt;=9,"Kechiktirib bo'lmaydigan",IF($P61&lt;=14,"Rejalashtirilgan","Rejali"))))</f>
        <v/>
      </c>
      <c r="R61" s="25"/>
      <c r="S61" s="14" t="str">
        <f aca="false">IF($K61&lt;&gt;"Kesarcha","",IF(OR($O61&lt;&gt;"",$R61="Ha"),"Ha","YO‘Q"))</f>
        <v/>
      </c>
      <c r="T61" s="12"/>
      <c r="U61" s="12"/>
      <c r="V61" s="14" t="str">
        <f aca="false">IF(OR($C61="",$D61="",$B61=""),"",IF(COUNTIFS($C$5:$C$604,$C61,$D$5:$D$604,$D61,$B$5:$B$604,$B61)&gt;1,"Takror",""))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4"/>
      <c r="F62" s="12"/>
      <c r="G62" s="14" t="str">
        <f aca="false">IF(OR($D62="",$B62=""),"",INT(($B62-$D62)/365.25))</f>
        <v/>
      </c>
      <c r="H62" s="14" t="str">
        <f aca="false">IF($G62="","",IF($G62&lt;18,"Ha","Yo'q"))</f>
        <v/>
      </c>
      <c r="I62" s="12"/>
      <c r="J62" s="25"/>
      <c r="K62" s="25"/>
      <c r="L62" s="25"/>
      <c r="M62" s="12"/>
      <c r="N62" s="25"/>
      <c r="O62" s="25"/>
      <c r="P62" s="14" t="str">
        <f aca="false">IF($O62="","",IFERROR(VALUE(LEFT($O62,FIND(".",$O62)-1)),""))</f>
        <v/>
      </c>
      <c r="Q62" s="14" t="str">
        <f aca="false">IF($P62="","",IF($P62&lt;=7,"Shoshilinch",IF($P62&lt;=9,"Kechiktirib bo'lmaydigan",IF($P62&lt;=14,"Rejalashtirilgan","Rejali"))))</f>
        <v/>
      </c>
      <c r="R62" s="25"/>
      <c r="S62" s="14" t="str">
        <f aca="false">IF($K62&lt;&gt;"Kesarcha","",IF(OR($O62&lt;&gt;"",$R62="Ha"),"Ha","YO‘Q"))</f>
        <v/>
      </c>
      <c r="T62" s="12"/>
      <c r="U62" s="12"/>
      <c r="V62" s="14" t="str">
        <f aca="false">IF(OR($C62="",$D62="",$B62=""),"",IF(COUNTIFS($C$5:$C$604,$C62,$D$5:$D$604,$D62,$B$5:$B$604,$B62)&gt;1,"Takror",""))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4"/>
      <c r="F63" s="12"/>
      <c r="G63" s="14" t="str">
        <f aca="false">IF(OR($D63="",$B63=""),"",INT(($B63-$D63)/365.25))</f>
        <v/>
      </c>
      <c r="H63" s="14" t="str">
        <f aca="false">IF($G63="","",IF($G63&lt;18,"Ha","Yo'q"))</f>
        <v/>
      </c>
      <c r="I63" s="12"/>
      <c r="J63" s="25"/>
      <c r="K63" s="25"/>
      <c r="L63" s="25"/>
      <c r="M63" s="12"/>
      <c r="N63" s="25"/>
      <c r="O63" s="25"/>
      <c r="P63" s="14" t="str">
        <f aca="false">IF($O63="","",IFERROR(VALUE(LEFT($O63,FIND(".",$O63)-1)),""))</f>
        <v/>
      </c>
      <c r="Q63" s="14" t="str">
        <f aca="false">IF($P63="","",IF($P63&lt;=7,"Shoshilinch",IF($P63&lt;=9,"Kechiktirib bo'lmaydigan",IF($P63&lt;=14,"Rejalashtirilgan","Rejali"))))</f>
        <v/>
      </c>
      <c r="R63" s="25"/>
      <c r="S63" s="14" t="str">
        <f aca="false">IF($K63&lt;&gt;"Kesarcha","",IF(OR($O63&lt;&gt;"",$R63="Ha"),"Ha","YO‘Q"))</f>
        <v/>
      </c>
      <c r="T63" s="12"/>
      <c r="U63" s="12"/>
      <c r="V63" s="14" t="str">
        <f aca="false">IF(OR($C63="",$D63="",$B63=""),"",IF(COUNTIFS($C$5:$C$604,$C63,$D$5:$D$604,$D63,$B$5:$B$604,$B63)&gt;1,"Takror",""))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4"/>
      <c r="F64" s="12"/>
      <c r="G64" s="14" t="str">
        <f aca="false">IF(OR($D64="",$B64=""),"",INT(($B64-$D64)/365.25))</f>
        <v/>
      </c>
      <c r="H64" s="14" t="str">
        <f aca="false">IF($G64="","",IF($G64&lt;18,"Ha","Yo'q"))</f>
        <v/>
      </c>
      <c r="I64" s="12"/>
      <c r="J64" s="25"/>
      <c r="K64" s="25"/>
      <c r="L64" s="25"/>
      <c r="M64" s="12"/>
      <c r="N64" s="25"/>
      <c r="O64" s="25"/>
      <c r="P64" s="14" t="str">
        <f aca="false">IF($O64="","",IFERROR(VALUE(LEFT($O64,FIND(".",$O64)-1)),""))</f>
        <v/>
      </c>
      <c r="Q64" s="14" t="str">
        <f aca="false">IF($P64="","",IF($P64&lt;=7,"Shoshilinch",IF($P64&lt;=9,"Kechiktirib bo'lmaydigan",IF($P64&lt;=14,"Rejalashtirilgan","Rejali"))))</f>
        <v/>
      </c>
      <c r="R64" s="25"/>
      <c r="S64" s="14" t="str">
        <f aca="false">IF($K64&lt;&gt;"Kesarcha","",IF(OR($O64&lt;&gt;"",$R64="Ha"),"Ha","YO‘Q"))</f>
        <v/>
      </c>
      <c r="T64" s="12"/>
      <c r="U64" s="12"/>
      <c r="V64" s="14" t="str">
        <f aca="false">IF(OR($C64="",$D64="",$B64=""),"",IF(COUNTIFS($C$5:$C$604,$C64,$D$5:$D$604,$D64,$B$5:$B$604,$B64)&gt;1,"Takror",""))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4"/>
      <c r="F65" s="12"/>
      <c r="G65" s="14" t="str">
        <f aca="false">IF(OR($D65="",$B65=""),"",INT(($B65-$D65)/365.25))</f>
        <v/>
      </c>
      <c r="H65" s="14" t="str">
        <f aca="false">IF($G65="","",IF($G65&lt;18,"Ha","Yo'q"))</f>
        <v/>
      </c>
      <c r="I65" s="12"/>
      <c r="J65" s="25"/>
      <c r="K65" s="25"/>
      <c r="L65" s="25"/>
      <c r="M65" s="12"/>
      <c r="N65" s="25"/>
      <c r="O65" s="25"/>
      <c r="P65" s="14" t="str">
        <f aca="false">IF($O65="","",IFERROR(VALUE(LEFT($O65,FIND(".",$O65)-1)),""))</f>
        <v/>
      </c>
      <c r="Q65" s="14" t="str">
        <f aca="false">IF($P65="","",IF($P65&lt;=7,"Shoshilinch",IF($P65&lt;=9,"Kechiktirib bo'lmaydigan",IF($P65&lt;=14,"Rejalashtirilgan","Rejali"))))</f>
        <v/>
      </c>
      <c r="R65" s="25"/>
      <c r="S65" s="14" t="str">
        <f aca="false">IF($K65&lt;&gt;"Kesarcha","",IF(OR($O65&lt;&gt;"",$R65="Ha"),"Ha","YO‘Q"))</f>
        <v/>
      </c>
      <c r="T65" s="12"/>
      <c r="U65" s="12"/>
      <c r="V65" s="14" t="str">
        <f aca="false">IF(OR($C65="",$D65="",$B65=""),"",IF(COUNTIFS($C$5:$C$604,$C65,$D$5:$D$604,$D65,$B$5:$B$604,$B65)&gt;1,"Takror",""))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4"/>
      <c r="F66" s="12"/>
      <c r="G66" s="14" t="str">
        <f aca="false">IF(OR($D66="",$B66=""),"",INT(($B66-$D66)/365.25))</f>
        <v/>
      </c>
      <c r="H66" s="14" t="str">
        <f aca="false">IF($G66="","",IF($G66&lt;18,"Ha","Yo'q"))</f>
        <v/>
      </c>
      <c r="I66" s="12"/>
      <c r="J66" s="25"/>
      <c r="K66" s="25"/>
      <c r="L66" s="25"/>
      <c r="M66" s="12"/>
      <c r="N66" s="25"/>
      <c r="O66" s="25"/>
      <c r="P66" s="14" t="str">
        <f aca="false">IF($O66="","",IFERROR(VALUE(LEFT($O66,FIND(".",$O66)-1)),""))</f>
        <v/>
      </c>
      <c r="Q66" s="14" t="str">
        <f aca="false">IF($P66="","",IF($P66&lt;=7,"Shoshilinch",IF($P66&lt;=9,"Kechiktirib bo'lmaydigan",IF($P66&lt;=14,"Rejalashtirilgan","Rejali"))))</f>
        <v/>
      </c>
      <c r="R66" s="25"/>
      <c r="S66" s="14" t="str">
        <f aca="false">IF($K66&lt;&gt;"Kesarcha","",IF(OR($O66&lt;&gt;"",$R66="Ha"),"Ha","YO‘Q"))</f>
        <v/>
      </c>
      <c r="T66" s="12"/>
      <c r="U66" s="12"/>
      <c r="V66" s="14" t="str">
        <f aca="false">IF(OR($C66="",$D66="",$B66=""),"",IF(COUNTIFS($C$5:$C$604,$C66,$D$5:$D$604,$D66,$B$5:$B$604,$B66)&gt;1,"Takror",""))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4"/>
      <c r="F67" s="12"/>
      <c r="G67" s="14" t="str">
        <f aca="false">IF(OR($D67="",$B67=""),"",INT(($B67-$D67)/365.25))</f>
        <v/>
      </c>
      <c r="H67" s="14" t="str">
        <f aca="false">IF($G67="","",IF($G67&lt;18,"Ha","Yo'q"))</f>
        <v/>
      </c>
      <c r="I67" s="12"/>
      <c r="J67" s="25"/>
      <c r="K67" s="25"/>
      <c r="L67" s="25"/>
      <c r="M67" s="12"/>
      <c r="N67" s="25"/>
      <c r="O67" s="25"/>
      <c r="P67" s="14" t="str">
        <f aca="false">IF($O67="","",IFERROR(VALUE(LEFT($O67,FIND(".",$O67)-1)),""))</f>
        <v/>
      </c>
      <c r="Q67" s="14" t="str">
        <f aca="false">IF($P67="","",IF($P67&lt;=7,"Shoshilinch",IF($P67&lt;=9,"Kechiktirib bo'lmaydigan",IF($P67&lt;=14,"Rejalashtirilgan","Rejali"))))</f>
        <v/>
      </c>
      <c r="R67" s="25"/>
      <c r="S67" s="14" t="str">
        <f aca="false">IF($K67&lt;&gt;"Kesarcha","",IF(OR($O67&lt;&gt;"",$R67="Ha"),"Ha","YO‘Q"))</f>
        <v/>
      </c>
      <c r="T67" s="12"/>
      <c r="U67" s="12"/>
      <c r="V67" s="14" t="str">
        <f aca="false">IF(OR($C67="",$D67="",$B67=""),"",IF(COUNTIFS($C$5:$C$604,$C67,$D$5:$D$604,$D67,$B$5:$B$604,$B67)&gt;1,"Takror",""))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4"/>
      <c r="F68" s="12"/>
      <c r="G68" s="14" t="str">
        <f aca="false">IF(OR($D68="",$B68=""),"",INT(($B68-$D68)/365.25))</f>
        <v/>
      </c>
      <c r="H68" s="14" t="str">
        <f aca="false">IF($G68="","",IF($G68&lt;18,"Ha","Yo'q"))</f>
        <v/>
      </c>
      <c r="I68" s="12"/>
      <c r="J68" s="25"/>
      <c r="K68" s="25"/>
      <c r="L68" s="25"/>
      <c r="M68" s="12"/>
      <c r="N68" s="25"/>
      <c r="O68" s="25"/>
      <c r="P68" s="14" t="str">
        <f aca="false">IF($O68="","",IFERROR(VALUE(LEFT($O68,FIND(".",$O68)-1)),""))</f>
        <v/>
      </c>
      <c r="Q68" s="14" t="str">
        <f aca="false">IF($P68="","",IF($P68&lt;=7,"Shoshilinch",IF($P68&lt;=9,"Kechiktirib bo'lmaydigan",IF($P68&lt;=14,"Rejalashtirilgan","Rejali"))))</f>
        <v/>
      </c>
      <c r="R68" s="25"/>
      <c r="S68" s="14" t="str">
        <f aca="false">IF($K68&lt;&gt;"Kesarcha","",IF(OR($O68&lt;&gt;"",$R68="Ha"),"Ha","YO‘Q"))</f>
        <v/>
      </c>
      <c r="T68" s="12"/>
      <c r="U68" s="12"/>
      <c r="V68" s="14" t="str">
        <f aca="false">IF(OR($C68="",$D68="",$B68=""),"",IF(COUNTIFS($C$5:$C$604,$C68,$D$5:$D$604,$D68,$B$5:$B$604,$B68)&gt;1,"Takror",""))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4"/>
      <c r="F69" s="12"/>
      <c r="G69" s="14" t="str">
        <f aca="false">IF(OR($D69="",$B69=""),"",INT(($B69-$D69)/365.25))</f>
        <v/>
      </c>
      <c r="H69" s="14" t="str">
        <f aca="false">IF($G69="","",IF($G69&lt;18,"Ha","Yo'q"))</f>
        <v/>
      </c>
      <c r="I69" s="12"/>
      <c r="J69" s="25"/>
      <c r="K69" s="25"/>
      <c r="L69" s="25"/>
      <c r="M69" s="12"/>
      <c r="N69" s="25"/>
      <c r="O69" s="25"/>
      <c r="P69" s="14" t="str">
        <f aca="false">IF($O69="","",IFERROR(VALUE(LEFT($O69,FIND(".",$O69)-1)),""))</f>
        <v/>
      </c>
      <c r="Q69" s="14" t="str">
        <f aca="false">IF($P69="","",IF($P69&lt;=7,"Shoshilinch",IF($P69&lt;=9,"Kechiktirib bo'lmaydigan",IF($P69&lt;=14,"Rejalashtirilgan","Rejali"))))</f>
        <v/>
      </c>
      <c r="R69" s="25"/>
      <c r="S69" s="14" t="str">
        <f aca="false">IF($K69&lt;&gt;"Kesarcha","",IF(OR($O69&lt;&gt;"",$R69="Ha"),"Ha","YO‘Q"))</f>
        <v/>
      </c>
      <c r="T69" s="12"/>
      <c r="U69" s="12"/>
      <c r="V69" s="14" t="str">
        <f aca="false">IF(OR($C69="",$D69="",$B69=""),"",IF(COUNTIFS($C$5:$C$604,$C69,$D$5:$D$604,$D69,$B$5:$B$604,$B69)&gt;1,"Takror",""))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4"/>
      <c r="F70" s="12"/>
      <c r="G70" s="14" t="str">
        <f aca="false">IF(OR($D70="",$B70=""),"",INT(($B70-$D70)/365.25))</f>
        <v/>
      </c>
      <c r="H70" s="14" t="str">
        <f aca="false">IF($G70="","",IF($G70&lt;18,"Ha","Yo'q"))</f>
        <v/>
      </c>
      <c r="I70" s="12"/>
      <c r="J70" s="25"/>
      <c r="K70" s="25"/>
      <c r="L70" s="25"/>
      <c r="M70" s="12"/>
      <c r="N70" s="25"/>
      <c r="O70" s="25"/>
      <c r="P70" s="14" t="str">
        <f aca="false">IF($O70="","",IFERROR(VALUE(LEFT($O70,FIND(".",$O70)-1)),""))</f>
        <v/>
      </c>
      <c r="Q70" s="14" t="str">
        <f aca="false">IF($P70="","",IF($P70&lt;=7,"Shoshilinch",IF($P70&lt;=9,"Kechiktirib bo'lmaydigan",IF($P70&lt;=14,"Rejalashtirilgan","Rejali"))))</f>
        <v/>
      </c>
      <c r="R70" s="25"/>
      <c r="S70" s="14" t="str">
        <f aca="false">IF($K70&lt;&gt;"Kesarcha","",IF(OR($O70&lt;&gt;"",$R70="Ha"),"Ha","YO‘Q"))</f>
        <v/>
      </c>
      <c r="T70" s="12"/>
      <c r="U70" s="12"/>
      <c r="V70" s="14" t="str">
        <f aca="false">IF(OR($C70="",$D70="",$B70=""),"",IF(COUNTIFS($C$5:$C$604,$C70,$D$5:$D$604,$D70,$B$5:$B$604,$B70)&gt;1,"Takror",""))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4"/>
      <c r="F71" s="12"/>
      <c r="G71" s="14" t="str">
        <f aca="false">IF(OR($D71="",$B71=""),"",INT(($B71-$D71)/365.25))</f>
        <v/>
      </c>
      <c r="H71" s="14" t="str">
        <f aca="false">IF($G71="","",IF($G71&lt;18,"Ha","Yo'q"))</f>
        <v/>
      </c>
      <c r="I71" s="12"/>
      <c r="J71" s="25"/>
      <c r="K71" s="25"/>
      <c r="L71" s="25"/>
      <c r="M71" s="12"/>
      <c r="N71" s="25"/>
      <c r="O71" s="25"/>
      <c r="P71" s="14" t="str">
        <f aca="false">IF($O71="","",IFERROR(VALUE(LEFT($O71,FIND(".",$O71)-1)),""))</f>
        <v/>
      </c>
      <c r="Q71" s="14" t="str">
        <f aca="false">IF($P71="","",IF($P71&lt;=7,"Shoshilinch",IF($P71&lt;=9,"Kechiktirib bo'lmaydigan",IF($P71&lt;=14,"Rejalashtirilgan","Rejali"))))</f>
        <v/>
      </c>
      <c r="R71" s="25"/>
      <c r="S71" s="14" t="str">
        <f aca="false">IF($K71&lt;&gt;"Kesarcha","",IF(OR($O71&lt;&gt;"",$R71="Ha"),"Ha","YO‘Q"))</f>
        <v/>
      </c>
      <c r="T71" s="12"/>
      <c r="U71" s="12"/>
      <c r="V71" s="14" t="str">
        <f aca="false">IF(OR($C71="",$D71="",$B71=""),"",IF(COUNTIFS($C$5:$C$604,$C71,$D$5:$D$604,$D71,$B$5:$B$604,$B71)&gt;1,"Takror",""))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4"/>
      <c r="F72" s="12"/>
      <c r="G72" s="14" t="str">
        <f aca="false">IF(OR($D72="",$B72=""),"",INT(($B72-$D72)/365.25))</f>
        <v/>
      </c>
      <c r="H72" s="14" t="str">
        <f aca="false">IF($G72="","",IF($G72&lt;18,"Ha","Yo'q"))</f>
        <v/>
      </c>
      <c r="I72" s="12"/>
      <c r="J72" s="25"/>
      <c r="K72" s="25"/>
      <c r="L72" s="25"/>
      <c r="M72" s="12"/>
      <c r="N72" s="25"/>
      <c r="O72" s="25"/>
      <c r="P72" s="14" t="str">
        <f aca="false">IF($O72="","",IFERROR(VALUE(LEFT($O72,FIND(".",$O72)-1)),""))</f>
        <v/>
      </c>
      <c r="Q72" s="14" t="str">
        <f aca="false">IF($P72="","",IF($P72&lt;=7,"Shoshilinch",IF($P72&lt;=9,"Kechiktirib bo'lmaydigan",IF($P72&lt;=14,"Rejalashtirilgan","Rejali"))))</f>
        <v/>
      </c>
      <c r="R72" s="25"/>
      <c r="S72" s="14" t="str">
        <f aca="false">IF($K72&lt;&gt;"Kesarcha","",IF(OR($O72&lt;&gt;"",$R72="Ha"),"Ha","YO‘Q"))</f>
        <v/>
      </c>
      <c r="T72" s="12"/>
      <c r="U72" s="12"/>
      <c r="V72" s="14" t="str">
        <f aca="false">IF(OR($C72="",$D72="",$B72=""),"",IF(COUNTIFS($C$5:$C$604,$C72,$D$5:$D$604,$D72,$B$5:$B$604,$B72)&gt;1,"Takror",""))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4"/>
      <c r="F73" s="12"/>
      <c r="G73" s="14" t="str">
        <f aca="false">IF(OR($D73="",$B73=""),"",INT(($B73-$D73)/365.25))</f>
        <v/>
      </c>
      <c r="H73" s="14" t="str">
        <f aca="false">IF($G73="","",IF($G73&lt;18,"Ha","Yo'q"))</f>
        <v/>
      </c>
      <c r="I73" s="12"/>
      <c r="J73" s="25"/>
      <c r="K73" s="25"/>
      <c r="L73" s="25"/>
      <c r="M73" s="12"/>
      <c r="N73" s="25"/>
      <c r="O73" s="25"/>
      <c r="P73" s="14" t="str">
        <f aca="false">IF($O73="","",IFERROR(VALUE(LEFT($O73,FIND(".",$O73)-1)),""))</f>
        <v/>
      </c>
      <c r="Q73" s="14" t="str">
        <f aca="false">IF($P73="","",IF($P73&lt;=7,"Shoshilinch",IF($P73&lt;=9,"Kechiktirib bo'lmaydigan",IF($P73&lt;=14,"Rejalashtirilgan","Rejali"))))</f>
        <v/>
      </c>
      <c r="R73" s="25"/>
      <c r="S73" s="14" t="str">
        <f aca="false">IF($K73&lt;&gt;"Kesarcha","",IF(OR($O73&lt;&gt;"",$R73="Ha"),"Ha","YO‘Q"))</f>
        <v/>
      </c>
      <c r="T73" s="12"/>
      <c r="U73" s="12"/>
      <c r="V73" s="14" t="str">
        <f aca="false">IF(OR($C73="",$D73="",$B73=""),"",IF(COUNTIFS($C$5:$C$604,$C73,$D$5:$D$604,$D73,$B$5:$B$604,$B73)&gt;1,"Takror",""))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4"/>
      <c r="F74" s="12"/>
      <c r="G74" s="14" t="str">
        <f aca="false">IF(OR($D74="",$B74=""),"",INT(($B74-$D74)/365.25))</f>
        <v/>
      </c>
      <c r="H74" s="14" t="str">
        <f aca="false">IF($G74="","",IF($G74&lt;18,"Ha","Yo'q"))</f>
        <v/>
      </c>
      <c r="I74" s="12"/>
      <c r="J74" s="25"/>
      <c r="K74" s="25"/>
      <c r="L74" s="25"/>
      <c r="M74" s="12"/>
      <c r="N74" s="25"/>
      <c r="O74" s="25"/>
      <c r="P74" s="14" t="str">
        <f aca="false">IF($O74="","",IFERROR(VALUE(LEFT($O74,FIND(".",$O74)-1)),""))</f>
        <v/>
      </c>
      <c r="Q74" s="14" t="str">
        <f aca="false">IF($P74="","",IF($P74&lt;=7,"Shoshilinch",IF($P74&lt;=9,"Kechiktirib bo'lmaydigan",IF($P74&lt;=14,"Rejalashtirilgan","Rejali"))))</f>
        <v/>
      </c>
      <c r="R74" s="25"/>
      <c r="S74" s="14" t="str">
        <f aca="false">IF($K74&lt;&gt;"Kesarcha","",IF(OR($O74&lt;&gt;"",$R74="Ha"),"Ha","YO‘Q"))</f>
        <v/>
      </c>
      <c r="T74" s="12"/>
      <c r="U74" s="12"/>
      <c r="V74" s="14" t="str">
        <f aca="false">IF(OR($C74="",$D74="",$B74=""),"",IF(COUNTIFS($C$5:$C$604,$C74,$D$5:$D$604,$D74,$B$5:$B$604,$B74)&gt;1,"Takror",""))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4"/>
      <c r="F75" s="12"/>
      <c r="G75" s="14" t="str">
        <f aca="false">IF(OR($D75="",$B75=""),"",INT(($B75-$D75)/365.25))</f>
        <v/>
      </c>
      <c r="H75" s="14" t="str">
        <f aca="false">IF($G75="","",IF($G75&lt;18,"Ha","Yo'q"))</f>
        <v/>
      </c>
      <c r="I75" s="12"/>
      <c r="J75" s="25"/>
      <c r="K75" s="25"/>
      <c r="L75" s="25"/>
      <c r="M75" s="12"/>
      <c r="N75" s="25"/>
      <c r="O75" s="25"/>
      <c r="P75" s="14" t="str">
        <f aca="false">IF($O75="","",IFERROR(VALUE(LEFT($O75,FIND(".",$O75)-1)),""))</f>
        <v/>
      </c>
      <c r="Q75" s="14" t="str">
        <f aca="false">IF($P75="","",IF($P75&lt;=7,"Shoshilinch",IF($P75&lt;=9,"Kechiktirib bo'lmaydigan",IF($P75&lt;=14,"Rejalashtirilgan","Rejali"))))</f>
        <v/>
      </c>
      <c r="R75" s="25"/>
      <c r="S75" s="14" t="str">
        <f aca="false">IF($K75&lt;&gt;"Kesarcha","",IF(OR($O75&lt;&gt;"",$R75="Ha"),"Ha","YO‘Q"))</f>
        <v/>
      </c>
      <c r="T75" s="12"/>
      <c r="U75" s="12"/>
      <c r="V75" s="14" t="str">
        <f aca="false">IF(OR($C75="",$D75="",$B75=""),"",IF(COUNTIFS($C$5:$C$604,$C75,$D$5:$D$604,$D75,$B$5:$B$604,$B75)&gt;1,"Takror",""))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4"/>
      <c r="F76" s="12"/>
      <c r="G76" s="14" t="str">
        <f aca="false">IF(OR($D76="",$B76=""),"",INT(($B76-$D76)/365.25))</f>
        <v/>
      </c>
      <c r="H76" s="14" t="str">
        <f aca="false">IF($G76="","",IF($G76&lt;18,"Ha","Yo'q"))</f>
        <v/>
      </c>
      <c r="I76" s="12"/>
      <c r="J76" s="25"/>
      <c r="K76" s="25"/>
      <c r="L76" s="25"/>
      <c r="M76" s="12"/>
      <c r="N76" s="25"/>
      <c r="O76" s="25"/>
      <c r="P76" s="14" t="str">
        <f aca="false">IF($O76="","",IFERROR(VALUE(LEFT($O76,FIND(".",$O76)-1)),""))</f>
        <v/>
      </c>
      <c r="Q76" s="14" t="str">
        <f aca="false">IF($P76="","",IF($P76&lt;=7,"Shoshilinch",IF($P76&lt;=9,"Kechiktirib bo'lmaydigan",IF($P76&lt;=14,"Rejalashtirilgan","Rejali"))))</f>
        <v/>
      </c>
      <c r="R76" s="25"/>
      <c r="S76" s="14" t="str">
        <f aca="false">IF($K76&lt;&gt;"Kesarcha","",IF(OR($O76&lt;&gt;"",$R76="Ha"),"Ha","YO‘Q"))</f>
        <v/>
      </c>
      <c r="T76" s="12"/>
      <c r="U76" s="12"/>
      <c r="V76" s="14" t="str">
        <f aca="false">IF(OR($C76="",$D76="",$B76=""),"",IF(COUNTIFS($C$5:$C$604,$C76,$D$5:$D$604,$D76,$B$5:$B$604,$B76)&gt;1,"Takror",""))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4"/>
      <c r="F77" s="12"/>
      <c r="G77" s="14" t="str">
        <f aca="false">IF(OR($D77="",$B77=""),"",INT(($B77-$D77)/365.25))</f>
        <v/>
      </c>
      <c r="H77" s="14" t="str">
        <f aca="false">IF($G77="","",IF($G77&lt;18,"Ha","Yo'q"))</f>
        <v/>
      </c>
      <c r="I77" s="12"/>
      <c r="J77" s="25"/>
      <c r="K77" s="25"/>
      <c r="L77" s="25"/>
      <c r="M77" s="12"/>
      <c r="N77" s="25"/>
      <c r="O77" s="25"/>
      <c r="P77" s="14" t="str">
        <f aca="false">IF($O77="","",IFERROR(VALUE(LEFT($O77,FIND(".",$O77)-1)),""))</f>
        <v/>
      </c>
      <c r="Q77" s="14" t="str">
        <f aca="false">IF($P77="","",IF($P77&lt;=7,"Shoshilinch",IF($P77&lt;=9,"Kechiktirib bo'lmaydigan",IF($P77&lt;=14,"Rejalashtirilgan","Rejali"))))</f>
        <v/>
      </c>
      <c r="R77" s="25"/>
      <c r="S77" s="14" t="str">
        <f aca="false">IF($K77&lt;&gt;"Kesarcha","",IF(OR($O77&lt;&gt;"",$R77="Ha"),"Ha","YO‘Q"))</f>
        <v/>
      </c>
      <c r="T77" s="12"/>
      <c r="U77" s="12"/>
      <c r="V77" s="14" t="str">
        <f aca="false">IF(OR($C77="",$D77="",$B77=""),"",IF(COUNTIFS($C$5:$C$604,$C77,$D$5:$D$604,$D77,$B$5:$B$604,$B77)&gt;1,"Takror",""))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4"/>
      <c r="F78" s="12"/>
      <c r="G78" s="14" t="str">
        <f aca="false">IF(OR($D78="",$B78=""),"",INT(($B78-$D78)/365.25))</f>
        <v/>
      </c>
      <c r="H78" s="14" t="str">
        <f aca="false">IF($G78="","",IF($G78&lt;18,"Ha","Yo'q"))</f>
        <v/>
      </c>
      <c r="I78" s="12"/>
      <c r="J78" s="25"/>
      <c r="K78" s="25"/>
      <c r="L78" s="25"/>
      <c r="M78" s="12"/>
      <c r="N78" s="25"/>
      <c r="O78" s="25"/>
      <c r="P78" s="14" t="str">
        <f aca="false">IF($O78="","",IFERROR(VALUE(LEFT($O78,FIND(".",$O78)-1)),""))</f>
        <v/>
      </c>
      <c r="Q78" s="14" t="str">
        <f aca="false">IF($P78="","",IF($P78&lt;=7,"Shoshilinch",IF($P78&lt;=9,"Kechiktirib bo'lmaydigan",IF($P78&lt;=14,"Rejalashtirilgan","Rejali"))))</f>
        <v/>
      </c>
      <c r="R78" s="25"/>
      <c r="S78" s="14" t="str">
        <f aca="false">IF($K78&lt;&gt;"Kesarcha","",IF(OR($O78&lt;&gt;"",$R78="Ha"),"Ha","YO‘Q"))</f>
        <v/>
      </c>
      <c r="T78" s="12"/>
      <c r="U78" s="12"/>
      <c r="V78" s="14" t="str">
        <f aca="false">IF(OR($C78="",$D78="",$B78=""),"",IF(COUNTIFS($C$5:$C$604,$C78,$D$5:$D$604,$D78,$B$5:$B$604,$B78)&gt;1,"Takror",""))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4"/>
      <c r="F79" s="12"/>
      <c r="G79" s="14" t="str">
        <f aca="false">IF(OR($D79="",$B79=""),"",INT(($B79-$D79)/365.25))</f>
        <v/>
      </c>
      <c r="H79" s="14" t="str">
        <f aca="false">IF($G79="","",IF($G79&lt;18,"Ha","Yo'q"))</f>
        <v/>
      </c>
      <c r="I79" s="12"/>
      <c r="J79" s="25"/>
      <c r="K79" s="25"/>
      <c r="L79" s="25"/>
      <c r="M79" s="12"/>
      <c r="N79" s="25"/>
      <c r="O79" s="25"/>
      <c r="P79" s="14" t="str">
        <f aca="false">IF($O79="","",IFERROR(VALUE(LEFT($O79,FIND(".",$O79)-1)),""))</f>
        <v/>
      </c>
      <c r="Q79" s="14" t="str">
        <f aca="false">IF($P79="","",IF($P79&lt;=7,"Shoshilinch",IF($P79&lt;=9,"Kechiktirib bo'lmaydigan",IF($P79&lt;=14,"Rejalashtirilgan","Rejali"))))</f>
        <v/>
      </c>
      <c r="R79" s="25"/>
      <c r="S79" s="14" t="str">
        <f aca="false">IF($K79&lt;&gt;"Kesarcha","",IF(OR($O79&lt;&gt;"",$R79="Ha"),"Ha","YO‘Q"))</f>
        <v/>
      </c>
      <c r="T79" s="12"/>
      <c r="U79" s="12"/>
      <c r="V79" s="14" t="str">
        <f aca="false">IF(OR($C79="",$D79="",$B79=""),"",IF(COUNTIFS($C$5:$C$604,$C79,$D$5:$D$604,$D79,$B$5:$B$604,$B79)&gt;1,"Takror",""))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4"/>
      <c r="F80" s="12"/>
      <c r="G80" s="14" t="str">
        <f aca="false">IF(OR($D80="",$B80=""),"",INT(($B80-$D80)/365.25))</f>
        <v/>
      </c>
      <c r="H80" s="14" t="str">
        <f aca="false">IF($G80="","",IF($G80&lt;18,"Ha","Yo'q"))</f>
        <v/>
      </c>
      <c r="I80" s="12"/>
      <c r="J80" s="25"/>
      <c r="K80" s="25"/>
      <c r="L80" s="25"/>
      <c r="M80" s="12"/>
      <c r="N80" s="25"/>
      <c r="O80" s="25"/>
      <c r="P80" s="14" t="str">
        <f aca="false">IF($O80="","",IFERROR(VALUE(LEFT($O80,FIND(".",$O80)-1)),""))</f>
        <v/>
      </c>
      <c r="Q80" s="14" t="str">
        <f aca="false">IF($P80="","",IF($P80&lt;=7,"Shoshilinch",IF($P80&lt;=9,"Kechiktirib bo'lmaydigan",IF($P80&lt;=14,"Rejalashtirilgan","Rejali"))))</f>
        <v/>
      </c>
      <c r="R80" s="25"/>
      <c r="S80" s="14" t="str">
        <f aca="false">IF($K80&lt;&gt;"Kesarcha","",IF(OR($O80&lt;&gt;"",$R80="Ha"),"Ha","YO‘Q"))</f>
        <v/>
      </c>
      <c r="T80" s="12"/>
      <c r="U80" s="12"/>
      <c r="V80" s="14" t="str">
        <f aca="false">IF(OR($C80="",$D80="",$B80=""),"",IF(COUNTIFS($C$5:$C$604,$C80,$D$5:$D$604,$D80,$B$5:$B$604,$B80)&gt;1,"Takror",""))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4"/>
      <c r="F81" s="12"/>
      <c r="G81" s="14" t="str">
        <f aca="false">IF(OR($D81="",$B81=""),"",INT(($B81-$D81)/365.25))</f>
        <v/>
      </c>
      <c r="H81" s="14" t="str">
        <f aca="false">IF($G81="","",IF($G81&lt;18,"Ha","Yo'q"))</f>
        <v/>
      </c>
      <c r="I81" s="12"/>
      <c r="J81" s="25"/>
      <c r="K81" s="25"/>
      <c r="L81" s="25"/>
      <c r="M81" s="12"/>
      <c r="N81" s="25"/>
      <c r="O81" s="25"/>
      <c r="P81" s="14" t="str">
        <f aca="false">IF($O81="","",IFERROR(VALUE(LEFT($O81,FIND(".",$O81)-1)),""))</f>
        <v/>
      </c>
      <c r="Q81" s="14" t="str">
        <f aca="false">IF($P81="","",IF($P81&lt;=7,"Shoshilinch",IF($P81&lt;=9,"Kechiktirib bo'lmaydigan",IF($P81&lt;=14,"Rejalashtirilgan","Rejali"))))</f>
        <v/>
      </c>
      <c r="R81" s="25"/>
      <c r="S81" s="14" t="str">
        <f aca="false">IF($K81&lt;&gt;"Kesarcha","",IF(OR($O81&lt;&gt;"",$R81="Ha"),"Ha","YO‘Q"))</f>
        <v/>
      </c>
      <c r="T81" s="12"/>
      <c r="U81" s="12"/>
      <c r="V81" s="14" t="str">
        <f aca="false">IF(OR($C81="",$D81="",$B81=""),"",IF(COUNTIFS($C$5:$C$604,$C81,$D$5:$D$604,$D81,$B$5:$B$604,$B81)&gt;1,"Takror",""))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4"/>
      <c r="F82" s="12"/>
      <c r="G82" s="14" t="str">
        <f aca="false">IF(OR($D82="",$B82=""),"",INT(($B82-$D82)/365.25))</f>
        <v/>
      </c>
      <c r="H82" s="14" t="str">
        <f aca="false">IF($G82="","",IF($G82&lt;18,"Ha","Yo'q"))</f>
        <v/>
      </c>
      <c r="I82" s="12"/>
      <c r="J82" s="25"/>
      <c r="K82" s="25"/>
      <c r="L82" s="25"/>
      <c r="M82" s="12"/>
      <c r="N82" s="25"/>
      <c r="O82" s="25"/>
      <c r="P82" s="14" t="str">
        <f aca="false">IF($O82="","",IFERROR(VALUE(LEFT($O82,FIND(".",$O82)-1)),""))</f>
        <v/>
      </c>
      <c r="Q82" s="14" t="str">
        <f aca="false">IF($P82="","",IF($P82&lt;=7,"Shoshilinch",IF($P82&lt;=9,"Kechiktirib bo'lmaydigan",IF($P82&lt;=14,"Rejalashtirilgan","Rejali"))))</f>
        <v/>
      </c>
      <c r="R82" s="25"/>
      <c r="S82" s="14" t="str">
        <f aca="false">IF($K82&lt;&gt;"Kesarcha","",IF(OR($O82&lt;&gt;"",$R82="Ha"),"Ha","YO‘Q"))</f>
        <v/>
      </c>
      <c r="T82" s="12"/>
      <c r="U82" s="12"/>
      <c r="V82" s="14" t="str">
        <f aca="false">IF(OR($C82="",$D82="",$B82=""),"",IF(COUNTIFS($C$5:$C$604,$C82,$D$5:$D$604,$D82,$B$5:$B$604,$B82)&gt;1,"Takror",""))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4"/>
      <c r="F83" s="12"/>
      <c r="G83" s="14" t="str">
        <f aca="false">IF(OR($D83="",$B83=""),"",INT(($B83-$D83)/365.25))</f>
        <v/>
      </c>
      <c r="H83" s="14" t="str">
        <f aca="false">IF($G83="","",IF($G83&lt;18,"Ha","Yo'q"))</f>
        <v/>
      </c>
      <c r="I83" s="12"/>
      <c r="J83" s="25"/>
      <c r="K83" s="25"/>
      <c r="L83" s="25"/>
      <c r="M83" s="12"/>
      <c r="N83" s="25"/>
      <c r="O83" s="25"/>
      <c r="P83" s="14" t="str">
        <f aca="false">IF($O83="","",IFERROR(VALUE(LEFT($O83,FIND(".",$O83)-1)),""))</f>
        <v/>
      </c>
      <c r="Q83" s="14" t="str">
        <f aca="false">IF($P83="","",IF($P83&lt;=7,"Shoshilinch",IF($P83&lt;=9,"Kechiktirib bo'lmaydigan",IF($P83&lt;=14,"Rejalashtirilgan","Rejali"))))</f>
        <v/>
      </c>
      <c r="R83" s="25"/>
      <c r="S83" s="14" t="str">
        <f aca="false">IF($K83&lt;&gt;"Kesarcha","",IF(OR($O83&lt;&gt;"",$R83="Ha"),"Ha","YO‘Q"))</f>
        <v/>
      </c>
      <c r="T83" s="12"/>
      <c r="U83" s="12"/>
      <c r="V83" s="14" t="str">
        <f aca="false">IF(OR($C83="",$D83="",$B83=""),"",IF(COUNTIFS($C$5:$C$604,$C83,$D$5:$D$604,$D83,$B$5:$B$604,$B83)&gt;1,"Takror",""))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4"/>
      <c r="F84" s="12"/>
      <c r="G84" s="14" t="str">
        <f aca="false">IF(OR($D84="",$B84=""),"",INT(($B84-$D84)/365.25))</f>
        <v/>
      </c>
      <c r="H84" s="14" t="str">
        <f aca="false">IF($G84="","",IF($G84&lt;18,"Ha","Yo'q"))</f>
        <v/>
      </c>
      <c r="I84" s="12"/>
      <c r="J84" s="25"/>
      <c r="K84" s="25"/>
      <c r="L84" s="25"/>
      <c r="M84" s="12"/>
      <c r="N84" s="25"/>
      <c r="O84" s="25"/>
      <c r="P84" s="14" t="str">
        <f aca="false">IF($O84="","",IFERROR(VALUE(LEFT($O84,FIND(".",$O84)-1)),""))</f>
        <v/>
      </c>
      <c r="Q84" s="14" t="str">
        <f aca="false">IF($P84="","",IF($P84&lt;=7,"Shoshilinch",IF($P84&lt;=9,"Kechiktirib bo'lmaydigan",IF($P84&lt;=14,"Rejalashtirilgan","Rejali"))))</f>
        <v/>
      </c>
      <c r="R84" s="25"/>
      <c r="S84" s="14" t="str">
        <f aca="false">IF($K84&lt;&gt;"Kesarcha","",IF(OR($O84&lt;&gt;"",$R84="Ha"),"Ha","YO‘Q"))</f>
        <v/>
      </c>
      <c r="T84" s="12"/>
      <c r="U84" s="12"/>
      <c r="V84" s="14" t="str">
        <f aca="false">IF(OR($C84="",$D84="",$B84=""),"",IF(COUNTIFS($C$5:$C$604,$C84,$D$5:$D$604,$D84,$B$5:$B$604,$B84)&gt;1,"Takror",""))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4"/>
      <c r="F85" s="12"/>
      <c r="G85" s="14" t="str">
        <f aca="false">IF(OR($D85="",$B85=""),"",INT(($B85-$D85)/365.25))</f>
        <v/>
      </c>
      <c r="H85" s="14" t="str">
        <f aca="false">IF($G85="","",IF($G85&lt;18,"Ha","Yo'q"))</f>
        <v/>
      </c>
      <c r="I85" s="12"/>
      <c r="J85" s="25"/>
      <c r="K85" s="25"/>
      <c r="L85" s="25"/>
      <c r="M85" s="12"/>
      <c r="N85" s="25"/>
      <c r="O85" s="25"/>
      <c r="P85" s="14" t="str">
        <f aca="false">IF($O85="","",IFERROR(VALUE(LEFT($O85,FIND(".",$O85)-1)),""))</f>
        <v/>
      </c>
      <c r="Q85" s="14" t="str">
        <f aca="false">IF($P85="","",IF($P85&lt;=7,"Shoshilinch",IF($P85&lt;=9,"Kechiktirib bo'lmaydigan",IF($P85&lt;=14,"Rejalashtirilgan","Rejali"))))</f>
        <v/>
      </c>
      <c r="R85" s="25"/>
      <c r="S85" s="14" t="str">
        <f aca="false">IF($K85&lt;&gt;"Kesarcha","",IF(OR($O85&lt;&gt;"",$R85="Ha"),"Ha","YO‘Q"))</f>
        <v/>
      </c>
      <c r="T85" s="12"/>
      <c r="U85" s="12"/>
      <c r="V85" s="14" t="str">
        <f aca="false">IF(OR($C85="",$D85="",$B85=""),"",IF(COUNTIFS($C$5:$C$604,$C85,$D$5:$D$604,$D85,$B$5:$B$604,$B85)&gt;1,"Takror",""))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4"/>
      <c r="F86" s="12"/>
      <c r="G86" s="14" t="str">
        <f aca="false">IF(OR($D86="",$B86=""),"",INT(($B86-$D86)/365.25))</f>
        <v/>
      </c>
      <c r="H86" s="14" t="str">
        <f aca="false">IF($G86="","",IF($G86&lt;18,"Ha","Yo'q"))</f>
        <v/>
      </c>
      <c r="I86" s="12"/>
      <c r="J86" s="25"/>
      <c r="K86" s="25"/>
      <c r="L86" s="25"/>
      <c r="M86" s="12"/>
      <c r="N86" s="25"/>
      <c r="O86" s="25"/>
      <c r="P86" s="14" t="str">
        <f aca="false">IF($O86="","",IFERROR(VALUE(LEFT($O86,FIND(".",$O86)-1)),""))</f>
        <v/>
      </c>
      <c r="Q86" s="14" t="str">
        <f aca="false">IF($P86="","",IF($P86&lt;=7,"Shoshilinch",IF($P86&lt;=9,"Kechiktirib bo'lmaydigan",IF($P86&lt;=14,"Rejalashtirilgan","Rejali"))))</f>
        <v/>
      </c>
      <c r="R86" s="25"/>
      <c r="S86" s="14" t="str">
        <f aca="false">IF($K86&lt;&gt;"Kesarcha","",IF(OR($O86&lt;&gt;"",$R86="Ha"),"Ha","YO‘Q"))</f>
        <v/>
      </c>
      <c r="T86" s="12"/>
      <c r="U86" s="12"/>
      <c r="V86" s="14" t="str">
        <f aca="false">IF(OR($C86="",$D86="",$B86=""),"",IF(COUNTIFS($C$5:$C$604,$C86,$D$5:$D$604,$D86,$B$5:$B$604,$B86)&gt;1,"Takror",""))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4"/>
      <c r="F87" s="12"/>
      <c r="G87" s="14" t="str">
        <f aca="false">IF(OR($D87="",$B87=""),"",INT(($B87-$D87)/365.25))</f>
        <v/>
      </c>
      <c r="H87" s="14" t="str">
        <f aca="false">IF($G87="","",IF($G87&lt;18,"Ha","Yo'q"))</f>
        <v/>
      </c>
      <c r="I87" s="12"/>
      <c r="J87" s="25"/>
      <c r="K87" s="25"/>
      <c r="L87" s="25"/>
      <c r="M87" s="12"/>
      <c r="N87" s="25"/>
      <c r="O87" s="25"/>
      <c r="P87" s="14" t="str">
        <f aca="false">IF($O87="","",IFERROR(VALUE(LEFT($O87,FIND(".",$O87)-1)),""))</f>
        <v/>
      </c>
      <c r="Q87" s="14" t="str">
        <f aca="false">IF($P87="","",IF($P87&lt;=7,"Shoshilinch",IF($P87&lt;=9,"Kechiktirib bo'lmaydigan",IF($P87&lt;=14,"Rejalashtirilgan","Rejali"))))</f>
        <v/>
      </c>
      <c r="R87" s="25"/>
      <c r="S87" s="14" t="str">
        <f aca="false">IF($K87&lt;&gt;"Kesarcha","",IF(OR($O87&lt;&gt;"",$R87="Ha"),"Ha","YO‘Q"))</f>
        <v/>
      </c>
      <c r="T87" s="12"/>
      <c r="U87" s="12"/>
      <c r="V87" s="14" t="str">
        <f aca="false">IF(OR($C87="",$D87="",$B87=""),"",IF(COUNTIFS($C$5:$C$604,$C87,$D$5:$D$604,$D87,$B$5:$B$604,$B87)&gt;1,"Takror",""))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4"/>
      <c r="F88" s="12"/>
      <c r="G88" s="14" t="str">
        <f aca="false">IF(OR($D88="",$B88=""),"",INT(($B88-$D88)/365.25))</f>
        <v/>
      </c>
      <c r="H88" s="14" t="str">
        <f aca="false">IF($G88="","",IF($G88&lt;18,"Ha","Yo'q"))</f>
        <v/>
      </c>
      <c r="I88" s="12"/>
      <c r="J88" s="25"/>
      <c r="K88" s="25"/>
      <c r="L88" s="25"/>
      <c r="M88" s="12"/>
      <c r="N88" s="25"/>
      <c r="O88" s="25"/>
      <c r="P88" s="14" t="str">
        <f aca="false">IF($O88="","",IFERROR(VALUE(LEFT($O88,FIND(".",$O88)-1)),""))</f>
        <v/>
      </c>
      <c r="Q88" s="14" t="str">
        <f aca="false">IF($P88="","",IF($P88&lt;=7,"Shoshilinch",IF($P88&lt;=9,"Kechiktirib bo'lmaydigan",IF($P88&lt;=14,"Rejalashtirilgan","Rejali"))))</f>
        <v/>
      </c>
      <c r="R88" s="25"/>
      <c r="S88" s="14" t="str">
        <f aca="false">IF($K88&lt;&gt;"Kesarcha","",IF(OR($O88&lt;&gt;"",$R88="Ha"),"Ha","YO‘Q"))</f>
        <v/>
      </c>
      <c r="T88" s="12"/>
      <c r="U88" s="12"/>
      <c r="V88" s="14" t="str">
        <f aca="false">IF(OR($C88="",$D88="",$B88=""),"",IF(COUNTIFS($C$5:$C$604,$C88,$D$5:$D$604,$D88,$B$5:$B$604,$B88)&gt;1,"Takror",""))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4"/>
      <c r="F89" s="12"/>
      <c r="G89" s="14" t="str">
        <f aca="false">IF(OR($D89="",$B89=""),"",INT(($B89-$D89)/365.25))</f>
        <v/>
      </c>
      <c r="H89" s="14" t="str">
        <f aca="false">IF($G89="","",IF($G89&lt;18,"Ha","Yo'q"))</f>
        <v/>
      </c>
      <c r="I89" s="12"/>
      <c r="J89" s="25"/>
      <c r="K89" s="25"/>
      <c r="L89" s="25"/>
      <c r="M89" s="12"/>
      <c r="N89" s="25"/>
      <c r="O89" s="25"/>
      <c r="P89" s="14" t="str">
        <f aca="false">IF($O89="","",IFERROR(VALUE(LEFT($O89,FIND(".",$O89)-1)),""))</f>
        <v/>
      </c>
      <c r="Q89" s="14" t="str">
        <f aca="false">IF($P89="","",IF($P89&lt;=7,"Shoshilinch",IF($P89&lt;=9,"Kechiktirib bo'lmaydigan",IF($P89&lt;=14,"Rejalashtirilgan","Rejali"))))</f>
        <v/>
      </c>
      <c r="R89" s="25"/>
      <c r="S89" s="14" t="str">
        <f aca="false">IF($K89&lt;&gt;"Kesarcha","",IF(OR($O89&lt;&gt;"",$R89="Ha"),"Ha","YO‘Q"))</f>
        <v/>
      </c>
      <c r="T89" s="12"/>
      <c r="U89" s="12"/>
      <c r="V89" s="14" t="str">
        <f aca="false">IF(OR($C89="",$D89="",$B89=""),"",IF(COUNTIFS($C$5:$C$604,$C89,$D$5:$D$604,$D89,$B$5:$B$604,$B89)&gt;1,"Takror",""))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4"/>
      <c r="F90" s="12"/>
      <c r="G90" s="14" t="str">
        <f aca="false">IF(OR($D90="",$B90=""),"",INT(($B90-$D90)/365.25))</f>
        <v/>
      </c>
      <c r="H90" s="14" t="str">
        <f aca="false">IF($G90="","",IF($G90&lt;18,"Ha","Yo'q"))</f>
        <v/>
      </c>
      <c r="I90" s="12"/>
      <c r="J90" s="25"/>
      <c r="K90" s="25"/>
      <c r="L90" s="25"/>
      <c r="M90" s="12"/>
      <c r="N90" s="25"/>
      <c r="O90" s="25"/>
      <c r="P90" s="14" t="str">
        <f aca="false">IF($O90="","",IFERROR(VALUE(LEFT($O90,FIND(".",$O90)-1)),""))</f>
        <v/>
      </c>
      <c r="Q90" s="14" t="str">
        <f aca="false">IF($P90="","",IF($P90&lt;=7,"Shoshilinch",IF($P90&lt;=9,"Kechiktirib bo'lmaydigan",IF($P90&lt;=14,"Rejalashtirilgan","Rejali"))))</f>
        <v/>
      </c>
      <c r="R90" s="25"/>
      <c r="S90" s="14" t="str">
        <f aca="false">IF($K90&lt;&gt;"Kesarcha","",IF(OR($O90&lt;&gt;"",$R90="Ha"),"Ha","YO‘Q"))</f>
        <v/>
      </c>
      <c r="T90" s="12"/>
      <c r="U90" s="12"/>
      <c r="V90" s="14" t="str">
        <f aca="false">IF(OR($C90="",$D90="",$B90=""),"",IF(COUNTIFS($C$5:$C$604,$C90,$D$5:$D$604,$D90,$B$5:$B$604,$B90)&gt;1,"Takror",""))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4"/>
      <c r="F91" s="12"/>
      <c r="G91" s="14" t="str">
        <f aca="false">IF(OR($D91="",$B91=""),"",INT(($B91-$D91)/365.25))</f>
        <v/>
      </c>
      <c r="H91" s="14" t="str">
        <f aca="false">IF($G91="","",IF($G91&lt;18,"Ha","Yo'q"))</f>
        <v/>
      </c>
      <c r="I91" s="12"/>
      <c r="J91" s="25"/>
      <c r="K91" s="25"/>
      <c r="L91" s="25"/>
      <c r="M91" s="12"/>
      <c r="N91" s="25"/>
      <c r="O91" s="25"/>
      <c r="P91" s="14" t="str">
        <f aca="false">IF($O91="","",IFERROR(VALUE(LEFT($O91,FIND(".",$O91)-1)),""))</f>
        <v/>
      </c>
      <c r="Q91" s="14" t="str">
        <f aca="false">IF($P91="","",IF($P91&lt;=7,"Shoshilinch",IF($P91&lt;=9,"Kechiktirib bo'lmaydigan",IF($P91&lt;=14,"Rejalashtirilgan","Rejali"))))</f>
        <v/>
      </c>
      <c r="R91" s="25"/>
      <c r="S91" s="14" t="str">
        <f aca="false">IF($K91&lt;&gt;"Kesarcha","",IF(OR($O91&lt;&gt;"",$R91="Ha"),"Ha","YO‘Q"))</f>
        <v/>
      </c>
      <c r="T91" s="12"/>
      <c r="U91" s="12"/>
      <c r="V91" s="14" t="str">
        <f aca="false">IF(OR($C91="",$D91="",$B91=""),"",IF(COUNTIFS($C$5:$C$604,$C91,$D$5:$D$604,$D91,$B$5:$B$604,$B91)&gt;1,"Takror",""))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4"/>
      <c r="F92" s="12"/>
      <c r="G92" s="14" t="str">
        <f aca="false">IF(OR($D92="",$B92=""),"",INT(($B92-$D92)/365.25))</f>
        <v/>
      </c>
      <c r="H92" s="14" t="str">
        <f aca="false">IF($G92="","",IF($G92&lt;18,"Ha","Yo'q"))</f>
        <v/>
      </c>
      <c r="I92" s="12"/>
      <c r="J92" s="25"/>
      <c r="K92" s="25"/>
      <c r="L92" s="25"/>
      <c r="M92" s="12"/>
      <c r="N92" s="25"/>
      <c r="O92" s="25"/>
      <c r="P92" s="14" t="str">
        <f aca="false">IF($O92="","",IFERROR(VALUE(LEFT($O92,FIND(".",$O92)-1)),""))</f>
        <v/>
      </c>
      <c r="Q92" s="14" t="str">
        <f aca="false">IF($P92="","",IF($P92&lt;=7,"Shoshilinch",IF($P92&lt;=9,"Kechiktirib bo'lmaydigan",IF($P92&lt;=14,"Rejalashtirilgan","Rejali"))))</f>
        <v/>
      </c>
      <c r="R92" s="25"/>
      <c r="S92" s="14" t="str">
        <f aca="false">IF($K92&lt;&gt;"Kesarcha","",IF(OR($O92&lt;&gt;"",$R92="Ha"),"Ha","YO‘Q"))</f>
        <v/>
      </c>
      <c r="T92" s="12"/>
      <c r="U92" s="12"/>
      <c r="V92" s="14" t="str">
        <f aca="false">IF(OR($C92="",$D92="",$B92=""),"",IF(COUNTIFS($C$5:$C$604,$C92,$D$5:$D$604,$D92,$B$5:$B$604,$B92)&gt;1,"Takror",""))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4"/>
      <c r="F93" s="12"/>
      <c r="G93" s="14" t="str">
        <f aca="false">IF(OR($D93="",$B93=""),"",INT(($B93-$D93)/365.25))</f>
        <v/>
      </c>
      <c r="H93" s="14" t="str">
        <f aca="false">IF($G93="","",IF($G93&lt;18,"Ha","Yo'q"))</f>
        <v/>
      </c>
      <c r="I93" s="12"/>
      <c r="J93" s="25"/>
      <c r="K93" s="25"/>
      <c r="L93" s="25"/>
      <c r="M93" s="12"/>
      <c r="N93" s="25"/>
      <c r="O93" s="25"/>
      <c r="P93" s="14" t="str">
        <f aca="false">IF($O93="","",IFERROR(VALUE(LEFT($O93,FIND(".",$O93)-1)),""))</f>
        <v/>
      </c>
      <c r="Q93" s="14" t="str">
        <f aca="false">IF($P93="","",IF($P93&lt;=7,"Shoshilinch",IF($P93&lt;=9,"Kechiktirib bo'lmaydigan",IF($P93&lt;=14,"Rejalashtirilgan","Rejali"))))</f>
        <v/>
      </c>
      <c r="R93" s="25"/>
      <c r="S93" s="14" t="str">
        <f aca="false">IF($K93&lt;&gt;"Kesarcha","",IF(OR($O93&lt;&gt;"",$R93="Ha"),"Ha","YO‘Q"))</f>
        <v/>
      </c>
      <c r="T93" s="12"/>
      <c r="U93" s="12"/>
      <c r="V93" s="14" t="str">
        <f aca="false">IF(OR($C93="",$D93="",$B93=""),"",IF(COUNTIFS($C$5:$C$604,$C93,$D$5:$D$604,$D93,$B$5:$B$604,$B93)&gt;1,"Takror",""))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4"/>
      <c r="F94" s="12"/>
      <c r="G94" s="14" t="str">
        <f aca="false">IF(OR($D94="",$B94=""),"",INT(($B94-$D94)/365.25))</f>
        <v/>
      </c>
      <c r="H94" s="14" t="str">
        <f aca="false">IF($G94="","",IF($G94&lt;18,"Ha","Yo'q"))</f>
        <v/>
      </c>
      <c r="I94" s="12"/>
      <c r="J94" s="25"/>
      <c r="K94" s="25"/>
      <c r="L94" s="25"/>
      <c r="M94" s="12"/>
      <c r="N94" s="25"/>
      <c r="O94" s="25"/>
      <c r="P94" s="14" t="str">
        <f aca="false">IF($O94="","",IFERROR(VALUE(LEFT($O94,FIND(".",$O94)-1)),""))</f>
        <v/>
      </c>
      <c r="Q94" s="14" t="str">
        <f aca="false">IF($P94="","",IF($P94&lt;=7,"Shoshilinch",IF($P94&lt;=9,"Kechiktirib bo'lmaydigan",IF($P94&lt;=14,"Rejalashtirilgan","Rejali"))))</f>
        <v/>
      </c>
      <c r="R94" s="25"/>
      <c r="S94" s="14" t="str">
        <f aca="false">IF($K94&lt;&gt;"Kesarcha","",IF(OR($O94&lt;&gt;"",$R94="Ha"),"Ha","YO‘Q"))</f>
        <v/>
      </c>
      <c r="T94" s="12"/>
      <c r="U94" s="12"/>
      <c r="V94" s="14" t="str">
        <f aca="false">IF(OR($C94="",$D94="",$B94=""),"",IF(COUNTIFS($C$5:$C$604,$C94,$D$5:$D$604,$D94,$B$5:$B$604,$B94)&gt;1,"Takror",""))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4"/>
      <c r="F95" s="12"/>
      <c r="G95" s="14" t="str">
        <f aca="false">IF(OR($D95="",$B95=""),"",INT(($B95-$D95)/365.25))</f>
        <v/>
      </c>
      <c r="H95" s="14" t="str">
        <f aca="false">IF($G95="","",IF($G95&lt;18,"Ha","Yo'q"))</f>
        <v/>
      </c>
      <c r="I95" s="12"/>
      <c r="J95" s="25"/>
      <c r="K95" s="25"/>
      <c r="L95" s="25"/>
      <c r="M95" s="12"/>
      <c r="N95" s="25"/>
      <c r="O95" s="25"/>
      <c r="P95" s="14" t="str">
        <f aca="false">IF($O95="","",IFERROR(VALUE(LEFT($O95,FIND(".",$O95)-1)),""))</f>
        <v/>
      </c>
      <c r="Q95" s="14" t="str">
        <f aca="false">IF($P95="","",IF($P95&lt;=7,"Shoshilinch",IF($P95&lt;=9,"Kechiktirib bo'lmaydigan",IF($P95&lt;=14,"Rejalashtirilgan","Rejali"))))</f>
        <v/>
      </c>
      <c r="R95" s="25"/>
      <c r="S95" s="14" t="str">
        <f aca="false">IF($K95&lt;&gt;"Kesarcha","",IF(OR($O95&lt;&gt;"",$R95="Ha"),"Ha","YO‘Q"))</f>
        <v/>
      </c>
      <c r="T95" s="12"/>
      <c r="U95" s="12"/>
      <c r="V95" s="14" t="str">
        <f aca="false">IF(OR($C95="",$D95="",$B95=""),"",IF(COUNTIFS($C$5:$C$604,$C95,$D$5:$D$604,$D95,$B$5:$B$604,$B95)&gt;1,"Takror",""))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4"/>
      <c r="F96" s="12"/>
      <c r="G96" s="14" t="str">
        <f aca="false">IF(OR($D96="",$B96=""),"",INT(($B96-$D96)/365.25))</f>
        <v/>
      </c>
      <c r="H96" s="14" t="str">
        <f aca="false">IF($G96="","",IF($G96&lt;18,"Ha","Yo'q"))</f>
        <v/>
      </c>
      <c r="I96" s="12"/>
      <c r="J96" s="25"/>
      <c r="K96" s="25"/>
      <c r="L96" s="25"/>
      <c r="M96" s="12"/>
      <c r="N96" s="25"/>
      <c r="O96" s="25"/>
      <c r="P96" s="14" t="str">
        <f aca="false">IF($O96="","",IFERROR(VALUE(LEFT($O96,FIND(".",$O96)-1)),""))</f>
        <v/>
      </c>
      <c r="Q96" s="14" t="str">
        <f aca="false">IF($P96="","",IF($P96&lt;=7,"Shoshilinch",IF($P96&lt;=9,"Kechiktirib bo'lmaydigan",IF($P96&lt;=14,"Rejalashtirilgan","Rejali"))))</f>
        <v/>
      </c>
      <c r="R96" s="25"/>
      <c r="S96" s="14" t="str">
        <f aca="false">IF($K96&lt;&gt;"Kesarcha","",IF(OR($O96&lt;&gt;"",$R96="Ha"),"Ha","YO‘Q"))</f>
        <v/>
      </c>
      <c r="T96" s="12"/>
      <c r="U96" s="12"/>
      <c r="V96" s="14" t="str">
        <f aca="false">IF(OR($C96="",$D96="",$B96=""),"",IF(COUNTIFS($C$5:$C$604,$C96,$D$5:$D$604,$D96,$B$5:$B$604,$B96)&gt;1,"Takror",""))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4"/>
      <c r="F97" s="12"/>
      <c r="G97" s="14" t="str">
        <f aca="false">IF(OR($D97="",$B97=""),"",INT(($B97-$D97)/365.25))</f>
        <v/>
      </c>
      <c r="H97" s="14" t="str">
        <f aca="false">IF($G97="","",IF($G97&lt;18,"Ha","Yo'q"))</f>
        <v/>
      </c>
      <c r="I97" s="12"/>
      <c r="J97" s="25"/>
      <c r="K97" s="25"/>
      <c r="L97" s="25"/>
      <c r="M97" s="12"/>
      <c r="N97" s="25"/>
      <c r="O97" s="25"/>
      <c r="P97" s="14" t="str">
        <f aca="false">IF($O97="","",IFERROR(VALUE(LEFT($O97,FIND(".",$O97)-1)),""))</f>
        <v/>
      </c>
      <c r="Q97" s="14" t="str">
        <f aca="false">IF($P97="","",IF($P97&lt;=7,"Shoshilinch",IF($P97&lt;=9,"Kechiktirib bo'lmaydigan",IF($P97&lt;=14,"Rejalashtirilgan","Rejali"))))</f>
        <v/>
      </c>
      <c r="R97" s="25"/>
      <c r="S97" s="14" t="str">
        <f aca="false">IF($K97&lt;&gt;"Kesarcha","",IF(OR($O97&lt;&gt;"",$R97="Ha"),"Ha","YO‘Q"))</f>
        <v/>
      </c>
      <c r="T97" s="12"/>
      <c r="U97" s="12"/>
      <c r="V97" s="14" t="str">
        <f aca="false">IF(OR($C97="",$D97="",$B97=""),"",IF(COUNTIFS($C$5:$C$604,$C97,$D$5:$D$604,$D97,$B$5:$B$604,$B97)&gt;1,"Takror",""))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4"/>
      <c r="F98" s="12"/>
      <c r="G98" s="14" t="str">
        <f aca="false">IF(OR($D98="",$B98=""),"",INT(($B98-$D98)/365.25))</f>
        <v/>
      </c>
      <c r="H98" s="14" t="str">
        <f aca="false">IF($G98="","",IF($G98&lt;18,"Ha","Yo'q"))</f>
        <v/>
      </c>
      <c r="I98" s="12"/>
      <c r="J98" s="25"/>
      <c r="K98" s="25"/>
      <c r="L98" s="25"/>
      <c r="M98" s="12"/>
      <c r="N98" s="25"/>
      <c r="O98" s="25"/>
      <c r="P98" s="14" t="str">
        <f aca="false">IF($O98="","",IFERROR(VALUE(LEFT($O98,FIND(".",$O98)-1)),""))</f>
        <v/>
      </c>
      <c r="Q98" s="14" t="str">
        <f aca="false">IF($P98="","",IF($P98&lt;=7,"Shoshilinch",IF($P98&lt;=9,"Kechiktirib bo'lmaydigan",IF($P98&lt;=14,"Rejalashtirilgan","Rejali"))))</f>
        <v/>
      </c>
      <c r="R98" s="25"/>
      <c r="S98" s="14" t="str">
        <f aca="false">IF($K98&lt;&gt;"Kesarcha","",IF(OR($O98&lt;&gt;"",$R98="Ha"),"Ha","YO‘Q"))</f>
        <v/>
      </c>
      <c r="T98" s="12"/>
      <c r="U98" s="12"/>
      <c r="V98" s="14" t="str">
        <f aca="false">IF(OR($C98="",$D98="",$B98=""),"",IF(COUNTIFS($C$5:$C$604,$C98,$D$5:$D$604,$D98,$B$5:$B$604,$B98)&gt;1,"Takror",""))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4"/>
      <c r="F99" s="12"/>
      <c r="G99" s="14" t="str">
        <f aca="false">IF(OR($D99="",$B99=""),"",INT(($B99-$D99)/365.25))</f>
        <v/>
      </c>
      <c r="H99" s="14" t="str">
        <f aca="false">IF($G99="","",IF($G99&lt;18,"Ha","Yo'q"))</f>
        <v/>
      </c>
      <c r="I99" s="12"/>
      <c r="J99" s="25"/>
      <c r="K99" s="25"/>
      <c r="L99" s="25"/>
      <c r="M99" s="12"/>
      <c r="N99" s="25"/>
      <c r="O99" s="25"/>
      <c r="P99" s="14" t="str">
        <f aca="false">IF($O99="","",IFERROR(VALUE(LEFT($O99,FIND(".",$O99)-1)),""))</f>
        <v/>
      </c>
      <c r="Q99" s="14" t="str">
        <f aca="false">IF($P99="","",IF($P99&lt;=7,"Shoshilinch",IF($P99&lt;=9,"Kechiktirib bo'lmaydigan",IF($P99&lt;=14,"Rejalashtirilgan","Rejali"))))</f>
        <v/>
      </c>
      <c r="R99" s="25"/>
      <c r="S99" s="14" t="str">
        <f aca="false">IF($K99&lt;&gt;"Kesarcha","",IF(OR($O99&lt;&gt;"",$R99="Ha"),"Ha","YO‘Q"))</f>
        <v/>
      </c>
      <c r="T99" s="12"/>
      <c r="U99" s="12"/>
      <c r="V99" s="14" t="str">
        <f aca="false">IF(OR($C99="",$D99="",$B99=""),"",IF(COUNTIFS($C$5:$C$604,$C99,$D$5:$D$604,$D99,$B$5:$B$604,$B99)&gt;1,"Takror",""))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4"/>
      <c r="F100" s="12"/>
      <c r="G100" s="14" t="str">
        <f aca="false">IF(OR($D100="",$B100=""),"",INT(($B100-$D100)/365.25))</f>
        <v/>
      </c>
      <c r="H100" s="14" t="str">
        <f aca="false">IF($G100="","",IF($G100&lt;18,"Ha","Yo'q"))</f>
        <v/>
      </c>
      <c r="I100" s="12"/>
      <c r="J100" s="25"/>
      <c r="K100" s="25"/>
      <c r="L100" s="25"/>
      <c r="M100" s="12"/>
      <c r="N100" s="25"/>
      <c r="O100" s="25"/>
      <c r="P100" s="14" t="str">
        <f aca="false">IF($O100="","",IFERROR(VALUE(LEFT($O100,FIND(".",$O100)-1)),""))</f>
        <v/>
      </c>
      <c r="Q100" s="14" t="str">
        <f aca="false">IF($P100="","",IF($P100&lt;=7,"Shoshilinch",IF($P100&lt;=9,"Kechiktirib bo'lmaydigan",IF($P100&lt;=14,"Rejalashtirilgan","Rejali"))))</f>
        <v/>
      </c>
      <c r="R100" s="25"/>
      <c r="S100" s="14" t="str">
        <f aca="false">IF($K100&lt;&gt;"Kesarcha","",IF(OR($O100&lt;&gt;"",$R100="Ha"),"Ha","YO‘Q"))</f>
        <v/>
      </c>
      <c r="T100" s="12"/>
      <c r="U100" s="12"/>
      <c r="V100" s="14" t="str">
        <f aca="false">IF(OR($C100="",$D100="",$B100=""),"",IF(COUNTIFS($C$5:$C$604,$C100,$D$5:$D$604,$D100,$B$5:$B$604,$B100)&gt;1,"Takror",""))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4"/>
      <c r="F101" s="12"/>
      <c r="G101" s="14" t="str">
        <f aca="false">IF(OR($D101="",$B101=""),"",INT(($B101-$D101)/365.25))</f>
        <v/>
      </c>
      <c r="H101" s="14" t="str">
        <f aca="false">IF($G101="","",IF($G101&lt;18,"Ha","Yo'q"))</f>
        <v/>
      </c>
      <c r="I101" s="12"/>
      <c r="J101" s="25"/>
      <c r="K101" s="25"/>
      <c r="L101" s="25"/>
      <c r="M101" s="12"/>
      <c r="N101" s="25"/>
      <c r="O101" s="25"/>
      <c r="P101" s="14" t="str">
        <f aca="false">IF($O101="","",IFERROR(VALUE(LEFT($O101,FIND(".",$O101)-1)),""))</f>
        <v/>
      </c>
      <c r="Q101" s="14" t="str">
        <f aca="false">IF($P101="","",IF($P101&lt;=7,"Shoshilinch",IF($P101&lt;=9,"Kechiktirib bo'lmaydigan",IF($P101&lt;=14,"Rejalashtirilgan","Rejali"))))</f>
        <v/>
      </c>
      <c r="R101" s="25"/>
      <c r="S101" s="14" t="str">
        <f aca="false">IF($K101&lt;&gt;"Kesarcha","",IF(OR($O101&lt;&gt;"",$R101="Ha"),"Ha","YO‘Q"))</f>
        <v/>
      </c>
      <c r="T101" s="12"/>
      <c r="U101" s="12"/>
      <c r="V101" s="14" t="str">
        <f aca="false">IF(OR($C101="",$D101="",$B101=""),"",IF(COUNTIFS($C$5:$C$604,$C101,$D$5:$D$604,$D101,$B$5:$B$604,$B101)&gt;1,"Takror",""))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4"/>
      <c r="F102" s="12"/>
      <c r="G102" s="14" t="str">
        <f aca="false">IF(OR($D102="",$B102=""),"",INT(($B102-$D102)/365.25))</f>
        <v/>
      </c>
      <c r="H102" s="14" t="str">
        <f aca="false">IF($G102="","",IF($G102&lt;18,"Ha","Yo'q"))</f>
        <v/>
      </c>
      <c r="I102" s="12"/>
      <c r="J102" s="25"/>
      <c r="K102" s="25"/>
      <c r="L102" s="25"/>
      <c r="M102" s="12"/>
      <c r="N102" s="25"/>
      <c r="O102" s="25"/>
      <c r="P102" s="14" t="str">
        <f aca="false">IF($O102="","",IFERROR(VALUE(LEFT($O102,FIND(".",$O102)-1)),""))</f>
        <v/>
      </c>
      <c r="Q102" s="14" t="str">
        <f aca="false">IF($P102="","",IF($P102&lt;=7,"Shoshilinch",IF($P102&lt;=9,"Kechiktirib bo'lmaydigan",IF($P102&lt;=14,"Rejalashtirilgan","Rejali"))))</f>
        <v/>
      </c>
      <c r="R102" s="25"/>
      <c r="S102" s="14" t="str">
        <f aca="false">IF($K102&lt;&gt;"Kesarcha","",IF(OR($O102&lt;&gt;"",$R102="Ha"),"Ha","YO‘Q"))</f>
        <v/>
      </c>
      <c r="T102" s="12"/>
      <c r="U102" s="12"/>
      <c r="V102" s="14" t="str">
        <f aca="false">IF(OR($C102="",$D102="",$B102=""),"",IF(COUNTIFS($C$5:$C$604,$C102,$D$5:$D$604,$D102,$B$5:$B$604,$B102)&gt;1,"Takror",""))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4"/>
      <c r="F103" s="12"/>
      <c r="G103" s="14" t="str">
        <f aca="false">IF(OR($D103="",$B103=""),"",INT(($B103-$D103)/365.25))</f>
        <v/>
      </c>
      <c r="H103" s="14" t="str">
        <f aca="false">IF($G103="","",IF($G103&lt;18,"Ha","Yo'q"))</f>
        <v/>
      </c>
      <c r="I103" s="12"/>
      <c r="J103" s="25"/>
      <c r="K103" s="25"/>
      <c r="L103" s="25"/>
      <c r="M103" s="12"/>
      <c r="N103" s="25"/>
      <c r="O103" s="25"/>
      <c r="P103" s="14" t="str">
        <f aca="false">IF($O103="","",IFERROR(VALUE(LEFT($O103,FIND(".",$O103)-1)),""))</f>
        <v/>
      </c>
      <c r="Q103" s="14" t="str">
        <f aca="false">IF($P103="","",IF($P103&lt;=7,"Shoshilinch",IF($P103&lt;=9,"Kechiktirib bo'lmaydigan",IF($P103&lt;=14,"Rejalashtirilgan","Rejali"))))</f>
        <v/>
      </c>
      <c r="R103" s="25"/>
      <c r="S103" s="14" t="str">
        <f aca="false">IF($K103&lt;&gt;"Kesarcha","",IF(OR($O103&lt;&gt;"",$R103="Ha"),"Ha","YO‘Q"))</f>
        <v/>
      </c>
      <c r="T103" s="12"/>
      <c r="U103" s="12"/>
      <c r="V103" s="14" t="str">
        <f aca="false">IF(OR($C103="",$D103="",$B103=""),"",IF(COUNTIFS($C$5:$C$604,$C103,$D$5:$D$604,$D103,$B$5:$B$604,$B103)&gt;1,"Takror",""))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4"/>
      <c r="F104" s="12"/>
      <c r="G104" s="14" t="str">
        <f aca="false">IF(OR($D104="",$B104=""),"",INT(($B104-$D104)/365.25))</f>
        <v/>
      </c>
      <c r="H104" s="14" t="str">
        <f aca="false">IF($G104="","",IF($G104&lt;18,"Ha","Yo'q"))</f>
        <v/>
      </c>
      <c r="I104" s="12"/>
      <c r="J104" s="25"/>
      <c r="K104" s="25"/>
      <c r="L104" s="25"/>
      <c r="M104" s="12"/>
      <c r="N104" s="25"/>
      <c r="O104" s="25"/>
      <c r="P104" s="14" t="str">
        <f aca="false">IF($O104="","",IFERROR(VALUE(LEFT($O104,FIND(".",$O104)-1)),""))</f>
        <v/>
      </c>
      <c r="Q104" s="14" t="str">
        <f aca="false">IF($P104="","",IF($P104&lt;=7,"Shoshilinch",IF($P104&lt;=9,"Kechiktirib bo'lmaydigan",IF($P104&lt;=14,"Rejalashtirilgan","Rejali"))))</f>
        <v/>
      </c>
      <c r="R104" s="25"/>
      <c r="S104" s="14" t="str">
        <f aca="false">IF($K104&lt;&gt;"Kesarcha","",IF(OR($O104&lt;&gt;"",$R104="Ha"),"Ha","YO‘Q"))</f>
        <v/>
      </c>
      <c r="T104" s="12"/>
      <c r="U104" s="12"/>
      <c r="V104" s="14" t="str">
        <f aca="false">IF(OR($C104="",$D104="",$B104=""),"",IF(COUNTIFS($C$5:$C$604,$C104,$D$5:$D$604,$D104,$B$5:$B$604,$B104)&gt;1,"Takror",""))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4"/>
      <c r="F105" s="12"/>
      <c r="G105" s="14" t="str">
        <f aca="false">IF(OR($D105="",$B105=""),"",INT(($B105-$D105)/365.25))</f>
        <v/>
      </c>
      <c r="H105" s="14" t="str">
        <f aca="false">IF($G105="","",IF($G105&lt;18,"Ha","Yo'q"))</f>
        <v/>
      </c>
      <c r="I105" s="12"/>
      <c r="J105" s="25"/>
      <c r="K105" s="25"/>
      <c r="L105" s="25"/>
      <c r="M105" s="12"/>
      <c r="N105" s="25"/>
      <c r="O105" s="25"/>
      <c r="P105" s="14" t="str">
        <f aca="false">IF($O105="","",IFERROR(VALUE(LEFT($O105,FIND(".",$O105)-1)),""))</f>
        <v/>
      </c>
      <c r="Q105" s="14" t="str">
        <f aca="false">IF($P105="","",IF($P105&lt;=7,"Shoshilinch",IF($P105&lt;=9,"Kechiktirib bo'lmaydigan",IF($P105&lt;=14,"Rejalashtirilgan","Rejali"))))</f>
        <v/>
      </c>
      <c r="R105" s="25"/>
      <c r="S105" s="14" t="str">
        <f aca="false">IF($K105&lt;&gt;"Kesarcha","",IF(OR($O105&lt;&gt;"",$R105="Ha"),"Ha","YO‘Q"))</f>
        <v/>
      </c>
      <c r="T105" s="12"/>
      <c r="U105" s="12"/>
      <c r="V105" s="14" t="str">
        <f aca="false">IF(OR($C105="",$D105="",$B105=""),"",IF(COUNTIFS($C$5:$C$604,$C105,$D$5:$D$604,$D105,$B$5:$B$604,$B105)&gt;1,"Takror",""))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4"/>
      <c r="F106" s="12"/>
      <c r="G106" s="14" t="str">
        <f aca="false">IF(OR($D106="",$B106=""),"",INT(($B106-$D106)/365.25))</f>
        <v/>
      </c>
      <c r="H106" s="14" t="str">
        <f aca="false">IF($G106="","",IF($G106&lt;18,"Ha","Yo'q"))</f>
        <v/>
      </c>
      <c r="I106" s="12"/>
      <c r="J106" s="25"/>
      <c r="K106" s="25"/>
      <c r="L106" s="25"/>
      <c r="M106" s="12"/>
      <c r="N106" s="25"/>
      <c r="O106" s="25"/>
      <c r="P106" s="14" t="str">
        <f aca="false">IF($O106="","",IFERROR(VALUE(LEFT($O106,FIND(".",$O106)-1)),""))</f>
        <v/>
      </c>
      <c r="Q106" s="14" t="str">
        <f aca="false">IF($P106="","",IF($P106&lt;=7,"Shoshilinch",IF($P106&lt;=9,"Kechiktirib bo'lmaydigan",IF($P106&lt;=14,"Rejalashtirilgan","Rejali"))))</f>
        <v/>
      </c>
      <c r="R106" s="25"/>
      <c r="S106" s="14" t="str">
        <f aca="false">IF($K106&lt;&gt;"Kesarcha","",IF(OR($O106&lt;&gt;"",$R106="Ha"),"Ha","YO‘Q"))</f>
        <v/>
      </c>
      <c r="T106" s="12"/>
      <c r="U106" s="12"/>
      <c r="V106" s="14" t="str">
        <f aca="false">IF(OR($C106="",$D106="",$B106=""),"",IF(COUNTIFS($C$5:$C$604,$C106,$D$5:$D$604,$D106,$B$5:$B$604,$B106)&gt;1,"Takror",""))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4"/>
      <c r="F107" s="12"/>
      <c r="G107" s="14" t="str">
        <f aca="false">IF(OR($D107="",$B107=""),"",INT(($B107-$D107)/365.25))</f>
        <v/>
      </c>
      <c r="H107" s="14" t="str">
        <f aca="false">IF($G107="","",IF($G107&lt;18,"Ha","Yo'q"))</f>
        <v/>
      </c>
      <c r="I107" s="12"/>
      <c r="J107" s="25"/>
      <c r="K107" s="25"/>
      <c r="L107" s="25"/>
      <c r="M107" s="12"/>
      <c r="N107" s="25"/>
      <c r="O107" s="25"/>
      <c r="P107" s="14" t="str">
        <f aca="false">IF($O107="","",IFERROR(VALUE(LEFT($O107,FIND(".",$O107)-1)),""))</f>
        <v/>
      </c>
      <c r="Q107" s="14" t="str">
        <f aca="false">IF($P107="","",IF($P107&lt;=7,"Shoshilinch",IF($P107&lt;=9,"Kechiktirib bo'lmaydigan",IF($P107&lt;=14,"Rejalashtirilgan","Rejali"))))</f>
        <v/>
      </c>
      <c r="R107" s="25"/>
      <c r="S107" s="14" t="str">
        <f aca="false">IF($K107&lt;&gt;"Kesarcha","",IF(OR($O107&lt;&gt;"",$R107="Ha"),"Ha","YO‘Q"))</f>
        <v/>
      </c>
      <c r="T107" s="12"/>
      <c r="U107" s="12"/>
      <c r="V107" s="14" t="str">
        <f aca="false">IF(OR($C107="",$D107="",$B107=""),"",IF(COUNTIFS($C$5:$C$604,$C107,$D$5:$D$604,$D107,$B$5:$B$604,$B107)&gt;1,"Takror",""))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4"/>
      <c r="F108" s="12"/>
      <c r="G108" s="14" t="str">
        <f aca="false">IF(OR($D108="",$B108=""),"",INT(($B108-$D108)/365.25))</f>
        <v/>
      </c>
      <c r="H108" s="14" t="str">
        <f aca="false">IF($G108="","",IF($G108&lt;18,"Ha","Yo'q"))</f>
        <v/>
      </c>
      <c r="I108" s="12"/>
      <c r="J108" s="25"/>
      <c r="K108" s="25"/>
      <c r="L108" s="25"/>
      <c r="M108" s="12"/>
      <c r="N108" s="25"/>
      <c r="O108" s="25"/>
      <c r="P108" s="14" t="str">
        <f aca="false">IF($O108="","",IFERROR(VALUE(LEFT($O108,FIND(".",$O108)-1)),""))</f>
        <v/>
      </c>
      <c r="Q108" s="14" t="str">
        <f aca="false">IF($P108="","",IF($P108&lt;=7,"Shoshilinch",IF($P108&lt;=9,"Kechiktirib bo'lmaydigan",IF($P108&lt;=14,"Rejalashtirilgan","Rejali"))))</f>
        <v/>
      </c>
      <c r="R108" s="25"/>
      <c r="S108" s="14" t="str">
        <f aca="false">IF($K108&lt;&gt;"Kesarcha","",IF(OR($O108&lt;&gt;"",$R108="Ha"),"Ha","YO‘Q"))</f>
        <v/>
      </c>
      <c r="T108" s="12"/>
      <c r="U108" s="12"/>
      <c r="V108" s="14" t="str">
        <f aca="false">IF(OR($C108="",$D108="",$B108=""),"",IF(COUNTIFS($C$5:$C$604,$C108,$D$5:$D$604,$D108,$B$5:$B$604,$B108)&gt;1,"Takror",""))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4"/>
      <c r="F109" s="12"/>
      <c r="G109" s="14" t="str">
        <f aca="false">IF(OR($D109="",$B109=""),"",INT(($B109-$D109)/365.25))</f>
        <v/>
      </c>
      <c r="H109" s="14" t="str">
        <f aca="false">IF($G109="","",IF($G109&lt;18,"Ha","Yo'q"))</f>
        <v/>
      </c>
      <c r="I109" s="12"/>
      <c r="J109" s="25"/>
      <c r="K109" s="25"/>
      <c r="L109" s="25"/>
      <c r="M109" s="12"/>
      <c r="N109" s="25"/>
      <c r="O109" s="25"/>
      <c r="P109" s="14" t="str">
        <f aca="false">IF($O109="","",IFERROR(VALUE(LEFT($O109,FIND(".",$O109)-1)),""))</f>
        <v/>
      </c>
      <c r="Q109" s="14" t="str">
        <f aca="false">IF($P109="","",IF($P109&lt;=7,"Shoshilinch",IF($P109&lt;=9,"Kechiktirib bo'lmaydigan",IF($P109&lt;=14,"Rejalashtirilgan","Rejali"))))</f>
        <v/>
      </c>
      <c r="R109" s="25"/>
      <c r="S109" s="14" t="str">
        <f aca="false">IF($K109&lt;&gt;"Kesarcha","",IF(OR($O109&lt;&gt;"",$R109="Ha"),"Ha","YO‘Q"))</f>
        <v/>
      </c>
      <c r="T109" s="12"/>
      <c r="U109" s="12"/>
      <c r="V109" s="14" t="str">
        <f aca="false">IF(OR($C109="",$D109="",$B109=""),"",IF(COUNTIFS($C$5:$C$604,$C109,$D$5:$D$604,$D109,$B$5:$B$604,$B109)&gt;1,"Takror",""))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4"/>
      <c r="F110" s="12"/>
      <c r="G110" s="14" t="str">
        <f aca="false">IF(OR($D110="",$B110=""),"",INT(($B110-$D110)/365.25))</f>
        <v/>
      </c>
      <c r="H110" s="14" t="str">
        <f aca="false">IF($G110="","",IF($G110&lt;18,"Ha","Yo'q"))</f>
        <v/>
      </c>
      <c r="I110" s="12"/>
      <c r="J110" s="25"/>
      <c r="K110" s="25"/>
      <c r="L110" s="25"/>
      <c r="M110" s="12"/>
      <c r="N110" s="25"/>
      <c r="O110" s="25"/>
      <c r="P110" s="14" t="str">
        <f aca="false">IF($O110="","",IFERROR(VALUE(LEFT($O110,FIND(".",$O110)-1)),""))</f>
        <v/>
      </c>
      <c r="Q110" s="14" t="str">
        <f aca="false">IF($P110="","",IF($P110&lt;=7,"Shoshilinch",IF($P110&lt;=9,"Kechiktirib bo'lmaydigan",IF($P110&lt;=14,"Rejalashtirilgan","Rejali"))))</f>
        <v/>
      </c>
      <c r="R110" s="25"/>
      <c r="S110" s="14" t="str">
        <f aca="false">IF($K110&lt;&gt;"Kesarcha","",IF(OR($O110&lt;&gt;"",$R110="Ha"),"Ha","YO‘Q"))</f>
        <v/>
      </c>
      <c r="T110" s="12"/>
      <c r="U110" s="12"/>
      <c r="V110" s="14" t="str">
        <f aca="false">IF(OR($C110="",$D110="",$B110=""),"",IF(COUNTIFS($C$5:$C$604,$C110,$D$5:$D$604,$D110,$B$5:$B$604,$B110)&gt;1,"Takror",""))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4"/>
      <c r="F111" s="12"/>
      <c r="G111" s="14" t="str">
        <f aca="false">IF(OR($D111="",$B111=""),"",INT(($B111-$D111)/365.25))</f>
        <v/>
      </c>
      <c r="H111" s="14" t="str">
        <f aca="false">IF($G111="","",IF($G111&lt;18,"Ha","Yo'q"))</f>
        <v/>
      </c>
      <c r="I111" s="12"/>
      <c r="J111" s="25"/>
      <c r="K111" s="25"/>
      <c r="L111" s="25"/>
      <c r="M111" s="12"/>
      <c r="N111" s="25"/>
      <c r="O111" s="25"/>
      <c r="P111" s="14" t="str">
        <f aca="false">IF($O111="","",IFERROR(VALUE(LEFT($O111,FIND(".",$O111)-1)),""))</f>
        <v/>
      </c>
      <c r="Q111" s="14" t="str">
        <f aca="false">IF($P111="","",IF($P111&lt;=7,"Shoshilinch",IF($P111&lt;=9,"Kechiktirib bo'lmaydigan",IF($P111&lt;=14,"Rejalashtirilgan","Rejali"))))</f>
        <v/>
      </c>
      <c r="R111" s="25"/>
      <c r="S111" s="14" t="str">
        <f aca="false">IF($K111&lt;&gt;"Kesarcha","",IF(OR($O111&lt;&gt;"",$R111="Ha"),"Ha","YO‘Q"))</f>
        <v/>
      </c>
      <c r="T111" s="12"/>
      <c r="U111" s="12"/>
      <c r="V111" s="14" t="str">
        <f aca="false">IF(OR($C111="",$D111="",$B111=""),"",IF(COUNTIFS($C$5:$C$604,$C111,$D$5:$D$604,$D111,$B$5:$B$604,$B111)&gt;1,"Takror",""))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4"/>
      <c r="F112" s="12"/>
      <c r="G112" s="14" t="str">
        <f aca="false">IF(OR($D112="",$B112=""),"",INT(($B112-$D112)/365.25))</f>
        <v/>
      </c>
      <c r="H112" s="14" t="str">
        <f aca="false">IF($G112="","",IF($G112&lt;18,"Ha","Yo'q"))</f>
        <v/>
      </c>
      <c r="I112" s="12"/>
      <c r="J112" s="25"/>
      <c r="K112" s="25"/>
      <c r="L112" s="25"/>
      <c r="M112" s="12"/>
      <c r="N112" s="25"/>
      <c r="O112" s="25"/>
      <c r="P112" s="14" t="str">
        <f aca="false">IF($O112="","",IFERROR(VALUE(LEFT($O112,FIND(".",$O112)-1)),""))</f>
        <v/>
      </c>
      <c r="Q112" s="14" t="str">
        <f aca="false">IF($P112="","",IF($P112&lt;=7,"Shoshilinch",IF($P112&lt;=9,"Kechiktirib bo'lmaydigan",IF($P112&lt;=14,"Rejalashtirilgan","Rejali"))))</f>
        <v/>
      </c>
      <c r="R112" s="25"/>
      <c r="S112" s="14" t="str">
        <f aca="false">IF($K112&lt;&gt;"Kesarcha","",IF(OR($O112&lt;&gt;"",$R112="Ha"),"Ha","YO‘Q"))</f>
        <v/>
      </c>
      <c r="T112" s="12"/>
      <c r="U112" s="12"/>
      <c r="V112" s="14" t="str">
        <f aca="false">IF(OR($C112="",$D112="",$B112=""),"",IF(COUNTIFS($C$5:$C$604,$C112,$D$5:$D$604,$D112,$B$5:$B$604,$B112)&gt;1,"Takror",""))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4"/>
      <c r="F113" s="12"/>
      <c r="G113" s="14" t="str">
        <f aca="false">IF(OR($D113="",$B113=""),"",INT(($B113-$D113)/365.25))</f>
        <v/>
      </c>
      <c r="H113" s="14" t="str">
        <f aca="false">IF($G113="","",IF($G113&lt;18,"Ha","Yo'q"))</f>
        <v/>
      </c>
      <c r="I113" s="12"/>
      <c r="J113" s="25"/>
      <c r="K113" s="25"/>
      <c r="L113" s="25"/>
      <c r="M113" s="12"/>
      <c r="N113" s="25"/>
      <c r="O113" s="25"/>
      <c r="P113" s="14" t="str">
        <f aca="false">IF($O113="","",IFERROR(VALUE(LEFT($O113,FIND(".",$O113)-1)),""))</f>
        <v/>
      </c>
      <c r="Q113" s="14" t="str">
        <f aca="false">IF($P113="","",IF($P113&lt;=7,"Shoshilinch",IF($P113&lt;=9,"Kechiktirib bo'lmaydigan",IF($P113&lt;=14,"Rejalashtirilgan","Rejali"))))</f>
        <v/>
      </c>
      <c r="R113" s="25"/>
      <c r="S113" s="14" t="str">
        <f aca="false">IF($K113&lt;&gt;"Kesarcha","",IF(OR($O113&lt;&gt;"",$R113="Ha"),"Ha","YO‘Q"))</f>
        <v/>
      </c>
      <c r="T113" s="12"/>
      <c r="U113" s="12"/>
      <c r="V113" s="14" t="str">
        <f aca="false">IF(OR($C113="",$D113="",$B113=""),"",IF(COUNTIFS($C$5:$C$604,$C113,$D$5:$D$604,$D113,$B$5:$B$604,$B113)&gt;1,"Takror",""))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4"/>
      <c r="F114" s="12"/>
      <c r="G114" s="14" t="str">
        <f aca="false">IF(OR($D114="",$B114=""),"",INT(($B114-$D114)/365.25))</f>
        <v/>
      </c>
      <c r="H114" s="14" t="str">
        <f aca="false">IF($G114="","",IF($G114&lt;18,"Ha","Yo'q"))</f>
        <v/>
      </c>
      <c r="I114" s="12"/>
      <c r="J114" s="25"/>
      <c r="K114" s="25"/>
      <c r="L114" s="25"/>
      <c r="M114" s="12"/>
      <c r="N114" s="25"/>
      <c r="O114" s="25"/>
      <c r="P114" s="14" t="str">
        <f aca="false">IF($O114="","",IFERROR(VALUE(LEFT($O114,FIND(".",$O114)-1)),""))</f>
        <v/>
      </c>
      <c r="Q114" s="14" t="str">
        <f aca="false">IF($P114="","",IF($P114&lt;=7,"Shoshilinch",IF($P114&lt;=9,"Kechiktirib bo'lmaydigan",IF($P114&lt;=14,"Rejalashtirilgan","Rejali"))))</f>
        <v/>
      </c>
      <c r="R114" s="25"/>
      <c r="S114" s="14" t="str">
        <f aca="false">IF($K114&lt;&gt;"Kesarcha","",IF(OR($O114&lt;&gt;"",$R114="Ha"),"Ha","YO‘Q"))</f>
        <v/>
      </c>
      <c r="T114" s="12"/>
      <c r="U114" s="12"/>
      <c r="V114" s="14" t="str">
        <f aca="false">IF(OR($C114="",$D114="",$B114=""),"",IF(COUNTIFS($C$5:$C$604,$C114,$D$5:$D$604,$D114,$B$5:$B$604,$B114)&gt;1,"Takror",""))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4"/>
      <c r="F115" s="12"/>
      <c r="G115" s="14" t="str">
        <f aca="false">IF(OR($D115="",$B115=""),"",INT(($B115-$D115)/365.25))</f>
        <v/>
      </c>
      <c r="H115" s="14" t="str">
        <f aca="false">IF($G115="","",IF($G115&lt;18,"Ha","Yo'q"))</f>
        <v/>
      </c>
      <c r="I115" s="12"/>
      <c r="J115" s="25"/>
      <c r="K115" s="25"/>
      <c r="L115" s="25"/>
      <c r="M115" s="12"/>
      <c r="N115" s="25"/>
      <c r="O115" s="25"/>
      <c r="P115" s="14" t="str">
        <f aca="false">IF($O115="","",IFERROR(VALUE(LEFT($O115,FIND(".",$O115)-1)),""))</f>
        <v/>
      </c>
      <c r="Q115" s="14" t="str">
        <f aca="false">IF($P115="","",IF($P115&lt;=7,"Shoshilinch",IF($P115&lt;=9,"Kechiktirib bo'lmaydigan",IF($P115&lt;=14,"Rejalashtirilgan","Rejali"))))</f>
        <v/>
      </c>
      <c r="R115" s="25"/>
      <c r="S115" s="14" t="str">
        <f aca="false">IF($K115&lt;&gt;"Kesarcha","",IF(OR($O115&lt;&gt;"",$R115="Ha"),"Ha","YO‘Q"))</f>
        <v/>
      </c>
      <c r="T115" s="12"/>
      <c r="U115" s="12"/>
      <c r="V115" s="14" t="str">
        <f aca="false">IF(OR($C115="",$D115="",$B115=""),"",IF(COUNTIFS($C$5:$C$604,$C115,$D$5:$D$604,$D115,$B$5:$B$604,$B115)&gt;1,"Takror",""))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4"/>
      <c r="F116" s="12"/>
      <c r="G116" s="14" t="str">
        <f aca="false">IF(OR($D116="",$B116=""),"",INT(($B116-$D116)/365.25))</f>
        <v/>
      </c>
      <c r="H116" s="14" t="str">
        <f aca="false">IF($G116="","",IF($G116&lt;18,"Ha","Yo'q"))</f>
        <v/>
      </c>
      <c r="I116" s="12"/>
      <c r="J116" s="25"/>
      <c r="K116" s="25"/>
      <c r="L116" s="25"/>
      <c r="M116" s="12"/>
      <c r="N116" s="25"/>
      <c r="O116" s="25"/>
      <c r="P116" s="14" t="str">
        <f aca="false">IF($O116="","",IFERROR(VALUE(LEFT($O116,FIND(".",$O116)-1)),""))</f>
        <v/>
      </c>
      <c r="Q116" s="14" t="str">
        <f aca="false">IF($P116="","",IF($P116&lt;=7,"Shoshilinch",IF($P116&lt;=9,"Kechiktirib bo'lmaydigan",IF($P116&lt;=14,"Rejalashtirilgan","Rejali"))))</f>
        <v/>
      </c>
      <c r="R116" s="25"/>
      <c r="S116" s="14" t="str">
        <f aca="false">IF($K116&lt;&gt;"Kesarcha","",IF(OR($O116&lt;&gt;"",$R116="Ha"),"Ha","YO‘Q"))</f>
        <v/>
      </c>
      <c r="T116" s="12"/>
      <c r="U116" s="12"/>
      <c r="V116" s="14" t="str">
        <f aca="false">IF(OR($C116="",$D116="",$B116=""),"",IF(COUNTIFS($C$5:$C$604,$C116,$D$5:$D$604,$D116,$B$5:$B$604,$B116)&gt;1,"Takror",""))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4"/>
      <c r="F117" s="12"/>
      <c r="G117" s="14" t="str">
        <f aca="false">IF(OR($D117="",$B117=""),"",INT(($B117-$D117)/365.25))</f>
        <v/>
      </c>
      <c r="H117" s="14" t="str">
        <f aca="false">IF($G117="","",IF($G117&lt;18,"Ha","Yo'q"))</f>
        <v/>
      </c>
      <c r="I117" s="12"/>
      <c r="J117" s="25"/>
      <c r="K117" s="25"/>
      <c r="L117" s="25"/>
      <c r="M117" s="12"/>
      <c r="N117" s="25"/>
      <c r="O117" s="25"/>
      <c r="P117" s="14" t="str">
        <f aca="false">IF($O117="","",IFERROR(VALUE(LEFT($O117,FIND(".",$O117)-1)),""))</f>
        <v/>
      </c>
      <c r="Q117" s="14" t="str">
        <f aca="false">IF($P117="","",IF($P117&lt;=7,"Shoshilinch",IF($P117&lt;=9,"Kechiktirib bo'lmaydigan",IF($P117&lt;=14,"Rejalashtirilgan","Rejali"))))</f>
        <v/>
      </c>
      <c r="R117" s="25"/>
      <c r="S117" s="14" t="str">
        <f aca="false">IF($K117&lt;&gt;"Kesarcha","",IF(OR($O117&lt;&gt;"",$R117="Ha"),"Ha","YO‘Q"))</f>
        <v/>
      </c>
      <c r="T117" s="12"/>
      <c r="U117" s="12"/>
      <c r="V117" s="14" t="str">
        <f aca="false">IF(OR($C117="",$D117="",$B117=""),"",IF(COUNTIFS($C$5:$C$604,$C117,$D$5:$D$604,$D117,$B$5:$B$604,$B117)&gt;1,"Takror",""))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4"/>
      <c r="F118" s="12"/>
      <c r="G118" s="14" t="str">
        <f aca="false">IF(OR($D118="",$B118=""),"",INT(($B118-$D118)/365.25))</f>
        <v/>
      </c>
      <c r="H118" s="14" t="str">
        <f aca="false">IF($G118="","",IF($G118&lt;18,"Ha","Yo'q"))</f>
        <v/>
      </c>
      <c r="I118" s="12"/>
      <c r="J118" s="25"/>
      <c r="K118" s="25"/>
      <c r="L118" s="25"/>
      <c r="M118" s="12"/>
      <c r="N118" s="25"/>
      <c r="O118" s="25"/>
      <c r="P118" s="14" t="str">
        <f aca="false">IF($O118="","",IFERROR(VALUE(LEFT($O118,FIND(".",$O118)-1)),""))</f>
        <v/>
      </c>
      <c r="Q118" s="14" t="str">
        <f aca="false">IF($P118="","",IF($P118&lt;=7,"Shoshilinch",IF($P118&lt;=9,"Kechiktirib bo'lmaydigan",IF($P118&lt;=14,"Rejalashtirilgan","Rejali"))))</f>
        <v/>
      </c>
      <c r="R118" s="25"/>
      <c r="S118" s="14" t="str">
        <f aca="false">IF($K118&lt;&gt;"Kesarcha","",IF(OR($O118&lt;&gt;"",$R118="Ha"),"Ha","YO‘Q"))</f>
        <v/>
      </c>
      <c r="T118" s="12"/>
      <c r="U118" s="12"/>
      <c r="V118" s="14" t="str">
        <f aca="false">IF(OR($C118="",$D118="",$B118=""),"",IF(COUNTIFS($C$5:$C$604,$C118,$D$5:$D$604,$D118,$B$5:$B$604,$B118)&gt;1,"Takror",""))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4"/>
      <c r="F119" s="12"/>
      <c r="G119" s="14" t="str">
        <f aca="false">IF(OR($D119="",$B119=""),"",INT(($B119-$D119)/365.25))</f>
        <v/>
      </c>
      <c r="H119" s="14" t="str">
        <f aca="false">IF($G119="","",IF($G119&lt;18,"Ha","Yo'q"))</f>
        <v/>
      </c>
      <c r="I119" s="12"/>
      <c r="J119" s="25"/>
      <c r="K119" s="25"/>
      <c r="L119" s="25"/>
      <c r="M119" s="12"/>
      <c r="N119" s="25"/>
      <c r="O119" s="25"/>
      <c r="P119" s="14" t="str">
        <f aca="false">IF($O119="","",IFERROR(VALUE(LEFT($O119,FIND(".",$O119)-1)),""))</f>
        <v/>
      </c>
      <c r="Q119" s="14" t="str">
        <f aca="false">IF($P119="","",IF($P119&lt;=7,"Shoshilinch",IF($P119&lt;=9,"Kechiktirib bo'lmaydigan",IF($P119&lt;=14,"Rejalashtirilgan","Rejali"))))</f>
        <v/>
      </c>
      <c r="R119" s="25"/>
      <c r="S119" s="14" t="str">
        <f aca="false">IF($K119&lt;&gt;"Kesarcha","",IF(OR($O119&lt;&gt;"",$R119="Ha"),"Ha","YO‘Q"))</f>
        <v/>
      </c>
      <c r="T119" s="12"/>
      <c r="U119" s="12"/>
      <c r="V119" s="14" t="str">
        <f aca="false">IF(OR($C119="",$D119="",$B119=""),"",IF(COUNTIFS($C$5:$C$604,$C119,$D$5:$D$604,$D119,$B$5:$B$604,$B119)&gt;1,"Takror",""))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4"/>
      <c r="F120" s="12"/>
      <c r="G120" s="14" t="str">
        <f aca="false">IF(OR($D120="",$B120=""),"",INT(($B120-$D120)/365.25))</f>
        <v/>
      </c>
      <c r="H120" s="14" t="str">
        <f aca="false">IF($G120="","",IF($G120&lt;18,"Ha","Yo'q"))</f>
        <v/>
      </c>
      <c r="I120" s="12"/>
      <c r="J120" s="25"/>
      <c r="K120" s="25"/>
      <c r="L120" s="25"/>
      <c r="M120" s="12"/>
      <c r="N120" s="25"/>
      <c r="O120" s="25"/>
      <c r="P120" s="14" t="str">
        <f aca="false">IF($O120="","",IFERROR(VALUE(LEFT($O120,FIND(".",$O120)-1)),""))</f>
        <v/>
      </c>
      <c r="Q120" s="14" t="str">
        <f aca="false">IF($P120="","",IF($P120&lt;=7,"Shoshilinch",IF($P120&lt;=9,"Kechiktirib bo'lmaydigan",IF($P120&lt;=14,"Rejalashtirilgan","Rejali"))))</f>
        <v/>
      </c>
      <c r="R120" s="25"/>
      <c r="S120" s="14" t="str">
        <f aca="false">IF($K120&lt;&gt;"Kesarcha","",IF(OR($O120&lt;&gt;"",$R120="Ha"),"Ha","YO‘Q"))</f>
        <v/>
      </c>
      <c r="T120" s="12"/>
      <c r="U120" s="12"/>
      <c r="V120" s="14" t="str">
        <f aca="false">IF(OR($C120="",$D120="",$B120=""),"",IF(COUNTIFS($C$5:$C$604,$C120,$D$5:$D$604,$D120,$B$5:$B$604,$B120)&gt;1,"Takror",""))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4"/>
      <c r="F121" s="12"/>
      <c r="G121" s="14" t="str">
        <f aca="false">IF(OR($D121="",$B121=""),"",INT(($B121-$D121)/365.25))</f>
        <v/>
      </c>
      <c r="H121" s="14" t="str">
        <f aca="false">IF($G121="","",IF($G121&lt;18,"Ha","Yo'q"))</f>
        <v/>
      </c>
      <c r="I121" s="12"/>
      <c r="J121" s="25"/>
      <c r="K121" s="25"/>
      <c r="L121" s="25"/>
      <c r="M121" s="12"/>
      <c r="N121" s="25"/>
      <c r="O121" s="25"/>
      <c r="P121" s="14" t="str">
        <f aca="false">IF($O121="","",IFERROR(VALUE(LEFT($O121,FIND(".",$O121)-1)),""))</f>
        <v/>
      </c>
      <c r="Q121" s="14" t="str">
        <f aca="false">IF($P121="","",IF($P121&lt;=7,"Shoshilinch",IF($P121&lt;=9,"Kechiktirib bo'lmaydigan",IF($P121&lt;=14,"Rejalashtirilgan","Rejali"))))</f>
        <v/>
      </c>
      <c r="R121" s="25"/>
      <c r="S121" s="14" t="str">
        <f aca="false">IF($K121&lt;&gt;"Kesarcha","",IF(OR($O121&lt;&gt;"",$R121="Ha"),"Ha","YO‘Q"))</f>
        <v/>
      </c>
      <c r="T121" s="12"/>
      <c r="U121" s="12"/>
      <c r="V121" s="14" t="str">
        <f aca="false">IF(OR($C121="",$D121="",$B121=""),"",IF(COUNTIFS($C$5:$C$604,$C121,$D$5:$D$604,$D121,$B$5:$B$604,$B121)&gt;1,"Takror",""))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4"/>
      <c r="F122" s="12"/>
      <c r="G122" s="14" t="str">
        <f aca="false">IF(OR($D122="",$B122=""),"",INT(($B122-$D122)/365.25))</f>
        <v/>
      </c>
      <c r="H122" s="14" t="str">
        <f aca="false">IF($G122="","",IF($G122&lt;18,"Ha","Yo'q"))</f>
        <v/>
      </c>
      <c r="I122" s="12"/>
      <c r="J122" s="25"/>
      <c r="K122" s="25"/>
      <c r="L122" s="25"/>
      <c r="M122" s="12"/>
      <c r="N122" s="25"/>
      <c r="O122" s="25"/>
      <c r="P122" s="14" t="str">
        <f aca="false">IF($O122="","",IFERROR(VALUE(LEFT($O122,FIND(".",$O122)-1)),""))</f>
        <v/>
      </c>
      <c r="Q122" s="14" t="str">
        <f aca="false">IF($P122="","",IF($P122&lt;=7,"Shoshilinch",IF($P122&lt;=9,"Kechiktirib bo'lmaydigan",IF($P122&lt;=14,"Rejalashtirilgan","Rejali"))))</f>
        <v/>
      </c>
      <c r="R122" s="25"/>
      <c r="S122" s="14" t="str">
        <f aca="false">IF($K122&lt;&gt;"Kesarcha","",IF(OR($O122&lt;&gt;"",$R122="Ha"),"Ha","YO‘Q"))</f>
        <v/>
      </c>
      <c r="T122" s="12"/>
      <c r="U122" s="12"/>
      <c r="V122" s="14" t="str">
        <f aca="false">IF(OR($C122="",$D122="",$B122=""),"",IF(COUNTIFS($C$5:$C$604,$C122,$D$5:$D$604,$D122,$B$5:$B$604,$B122)&gt;1,"Takror",""))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4"/>
      <c r="F123" s="12"/>
      <c r="G123" s="14" t="str">
        <f aca="false">IF(OR($D123="",$B123=""),"",INT(($B123-$D123)/365.25))</f>
        <v/>
      </c>
      <c r="H123" s="14" t="str">
        <f aca="false">IF($G123="","",IF($G123&lt;18,"Ha","Yo'q"))</f>
        <v/>
      </c>
      <c r="I123" s="12"/>
      <c r="J123" s="25"/>
      <c r="K123" s="25"/>
      <c r="L123" s="25"/>
      <c r="M123" s="12"/>
      <c r="N123" s="25"/>
      <c r="O123" s="25"/>
      <c r="P123" s="14" t="str">
        <f aca="false">IF($O123="","",IFERROR(VALUE(LEFT($O123,FIND(".",$O123)-1)),""))</f>
        <v/>
      </c>
      <c r="Q123" s="14" t="str">
        <f aca="false">IF($P123="","",IF($P123&lt;=7,"Shoshilinch",IF($P123&lt;=9,"Kechiktirib bo'lmaydigan",IF($P123&lt;=14,"Rejalashtirilgan","Rejali"))))</f>
        <v/>
      </c>
      <c r="R123" s="25"/>
      <c r="S123" s="14" t="str">
        <f aca="false">IF($K123&lt;&gt;"Kesarcha","",IF(OR($O123&lt;&gt;"",$R123="Ha"),"Ha","YO‘Q"))</f>
        <v/>
      </c>
      <c r="T123" s="12"/>
      <c r="U123" s="12"/>
      <c r="V123" s="14" t="str">
        <f aca="false">IF(OR($C123="",$D123="",$B123=""),"",IF(COUNTIFS($C$5:$C$604,$C123,$D$5:$D$604,$D123,$B$5:$B$604,$B123)&gt;1,"Takror",""))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4"/>
      <c r="F124" s="12"/>
      <c r="G124" s="14" t="str">
        <f aca="false">IF(OR($D124="",$B124=""),"",INT(($B124-$D124)/365.25))</f>
        <v/>
      </c>
      <c r="H124" s="14" t="str">
        <f aca="false">IF($G124="","",IF($G124&lt;18,"Ha","Yo'q"))</f>
        <v/>
      </c>
      <c r="I124" s="12"/>
      <c r="J124" s="25"/>
      <c r="K124" s="25"/>
      <c r="L124" s="25"/>
      <c r="M124" s="12"/>
      <c r="N124" s="25"/>
      <c r="O124" s="25"/>
      <c r="P124" s="14" t="str">
        <f aca="false">IF($O124="","",IFERROR(VALUE(LEFT($O124,FIND(".",$O124)-1)),""))</f>
        <v/>
      </c>
      <c r="Q124" s="14" t="str">
        <f aca="false">IF($P124="","",IF($P124&lt;=7,"Shoshilinch",IF($P124&lt;=9,"Kechiktirib bo'lmaydigan",IF($P124&lt;=14,"Rejalashtirilgan","Rejali"))))</f>
        <v/>
      </c>
      <c r="R124" s="25"/>
      <c r="S124" s="14" t="str">
        <f aca="false">IF($K124&lt;&gt;"Kesarcha","",IF(OR($O124&lt;&gt;"",$R124="Ha"),"Ha","YO‘Q"))</f>
        <v/>
      </c>
      <c r="T124" s="12"/>
      <c r="U124" s="12"/>
      <c r="V124" s="14" t="str">
        <f aca="false">IF(OR($C124="",$D124="",$B124=""),"",IF(COUNTIFS($C$5:$C$604,$C124,$D$5:$D$604,$D124,$B$5:$B$604,$B124)&gt;1,"Takror",""))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4"/>
      <c r="F125" s="12"/>
      <c r="G125" s="14" t="str">
        <f aca="false">IF(OR($D125="",$B125=""),"",INT(($B125-$D125)/365.25))</f>
        <v/>
      </c>
      <c r="H125" s="14" t="str">
        <f aca="false">IF($G125="","",IF($G125&lt;18,"Ha","Yo'q"))</f>
        <v/>
      </c>
      <c r="I125" s="12"/>
      <c r="J125" s="25"/>
      <c r="K125" s="25"/>
      <c r="L125" s="25"/>
      <c r="M125" s="12"/>
      <c r="N125" s="25"/>
      <c r="O125" s="25"/>
      <c r="P125" s="14" t="str">
        <f aca="false">IF($O125="","",IFERROR(VALUE(LEFT($O125,FIND(".",$O125)-1)),""))</f>
        <v/>
      </c>
      <c r="Q125" s="14" t="str">
        <f aca="false">IF($P125="","",IF($P125&lt;=7,"Shoshilinch",IF($P125&lt;=9,"Kechiktirib bo'lmaydigan",IF($P125&lt;=14,"Rejalashtirilgan","Rejali"))))</f>
        <v/>
      </c>
      <c r="R125" s="25"/>
      <c r="S125" s="14" t="str">
        <f aca="false">IF($K125&lt;&gt;"Kesarcha","",IF(OR($O125&lt;&gt;"",$R125="Ha"),"Ha","YO‘Q"))</f>
        <v/>
      </c>
      <c r="T125" s="12"/>
      <c r="U125" s="12"/>
      <c r="V125" s="14" t="str">
        <f aca="false">IF(OR($C125="",$D125="",$B125=""),"",IF(COUNTIFS($C$5:$C$604,$C125,$D$5:$D$604,$D125,$B$5:$B$604,$B125)&gt;1,"Takror",""))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4"/>
      <c r="F126" s="12"/>
      <c r="G126" s="14" t="str">
        <f aca="false">IF(OR($D126="",$B126=""),"",INT(($B126-$D126)/365.25))</f>
        <v/>
      </c>
      <c r="H126" s="14" t="str">
        <f aca="false">IF($G126="","",IF($G126&lt;18,"Ha","Yo'q"))</f>
        <v/>
      </c>
      <c r="I126" s="12"/>
      <c r="J126" s="25"/>
      <c r="K126" s="25"/>
      <c r="L126" s="25"/>
      <c r="M126" s="12"/>
      <c r="N126" s="25"/>
      <c r="O126" s="25"/>
      <c r="P126" s="14" t="str">
        <f aca="false">IF($O126="","",IFERROR(VALUE(LEFT($O126,FIND(".",$O126)-1)),""))</f>
        <v/>
      </c>
      <c r="Q126" s="14" t="str">
        <f aca="false">IF($P126="","",IF($P126&lt;=7,"Shoshilinch",IF($P126&lt;=9,"Kechiktirib bo'lmaydigan",IF($P126&lt;=14,"Rejalashtirilgan","Rejali"))))</f>
        <v/>
      </c>
      <c r="R126" s="25"/>
      <c r="S126" s="14" t="str">
        <f aca="false">IF($K126&lt;&gt;"Kesarcha","",IF(OR($O126&lt;&gt;"",$R126="Ha"),"Ha","YO‘Q"))</f>
        <v/>
      </c>
      <c r="T126" s="12"/>
      <c r="U126" s="12"/>
      <c r="V126" s="14" t="str">
        <f aca="false">IF(OR($C126="",$D126="",$B126=""),"",IF(COUNTIFS($C$5:$C$604,$C126,$D$5:$D$604,$D126,$B$5:$B$604,$B126)&gt;1,"Takror",""))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4"/>
      <c r="F127" s="12"/>
      <c r="G127" s="14" t="str">
        <f aca="false">IF(OR($D127="",$B127=""),"",INT(($B127-$D127)/365.25))</f>
        <v/>
      </c>
      <c r="H127" s="14" t="str">
        <f aca="false">IF($G127="","",IF($G127&lt;18,"Ha","Yo'q"))</f>
        <v/>
      </c>
      <c r="I127" s="12"/>
      <c r="J127" s="25"/>
      <c r="K127" s="25"/>
      <c r="L127" s="25"/>
      <c r="M127" s="12"/>
      <c r="N127" s="25"/>
      <c r="O127" s="25"/>
      <c r="P127" s="14" t="str">
        <f aca="false">IF($O127="","",IFERROR(VALUE(LEFT($O127,FIND(".",$O127)-1)),""))</f>
        <v/>
      </c>
      <c r="Q127" s="14" t="str">
        <f aca="false">IF($P127="","",IF($P127&lt;=7,"Shoshilinch",IF($P127&lt;=9,"Kechiktirib bo'lmaydigan",IF($P127&lt;=14,"Rejalashtirilgan","Rejali"))))</f>
        <v/>
      </c>
      <c r="R127" s="25"/>
      <c r="S127" s="14" t="str">
        <f aca="false">IF($K127&lt;&gt;"Kesarcha","",IF(OR($O127&lt;&gt;"",$R127="Ha"),"Ha","YO‘Q"))</f>
        <v/>
      </c>
      <c r="T127" s="12"/>
      <c r="U127" s="12"/>
      <c r="V127" s="14" t="str">
        <f aca="false">IF(OR($C127="",$D127="",$B127=""),"",IF(COUNTIFS($C$5:$C$604,$C127,$D$5:$D$604,$D127,$B$5:$B$604,$B127)&gt;1,"Takror",""))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4"/>
      <c r="F128" s="12"/>
      <c r="G128" s="14" t="str">
        <f aca="false">IF(OR($D128="",$B128=""),"",INT(($B128-$D128)/365.25))</f>
        <v/>
      </c>
      <c r="H128" s="14" t="str">
        <f aca="false">IF($G128="","",IF($G128&lt;18,"Ha","Yo'q"))</f>
        <v/>
      </c>
      <c r="I128" s="12"/>
      <c r="J128" s="25"/>
      <c r="K128" s="25"/>
      <c r="L128" s="25"/>
      <c r="M128" s="12"/>
      <c r="N128" s="25"/>
      <c r="O128" s="25"/>
      <c r="P128" s="14" t="str">
        <f aca="false">IF($O128="","",IFERROR(VALUE(LEFT($O128,FIND(".",$O128)-1)),""))</f>
        <v/>
      </c>
      <c r="Q128" s="14" t="str">
        <f aca="false">IF($P128="","",IF($P128&lt;=7,"Shoshilinch",IF($P128&lt;=9,"Kechiktirib bo'lmaydigan",IF($P128&lt;=14,"Rejalashtirilgan","Rejali"))))</f>
        <v/>
      </c>
      <c r="R128" s="25"/>
      <c r="S128" s="14" t="str">
        <f aca="false">IF($K128&lt;&gt;"Kesarcha","",IF(OR($O128&lt;&gt;"",$R128="Ha"),"Ha","YO‘Q"))</f>
        <v/>
      </c>
      <c r="T128" s="12"/>
      <c r="U128" s="12"/>
      <c r="V128" s="14" t="str">
        <f aca="false">IF(OR($C128="",$D128="",$B128=""),"",IF(COUNTIFS($C$5:$C$604,$C128,$D$5:$D$604,$D128,$B$5:$B$604,$B128)&gt;1,"Takror",""))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4"/>
      <c r="F129" s="12"/>
      <c r="G129" s="14" t="str">
        <f aca="false">IF(OR($D129="",$B129=""),"",INT(($B129-$D129)/365.25))</f>
        <v/>
      </c>
      <c r="H129" s="14" t="str">
        <f aca="false">IF($G129="","",IF($G129&lt;18,"Ha","Yo'q"))</f>
        <v/>
      </c>
      <c r="I129" s="12"/>
      <c r="J129" s="25"/>
      <c r="K129" s="25"/>
      <c r="L129" s="25"/>
      <c r="M129" s="12"/>
      <c r="N129" s="25"/>
      <c r="O129" s="25"/>
      <c r="P129" s="14" t="str">
        <f aca="false">IF($O129="","",IFERROR(VALUE(LEFT($O129,FIND(".",$O129)-1)),""))</f>
        <v/>
      </c>
      <c r="Q129" s="14" t="str">
        <f aca="false">IF($P129="","",IF($P129&lt;=7,"Shoshilinch",IF($P129&lt;=9,"Kechiktirib bo'lmaydigan",IF($P129&lt;=14,"Rejalashtirilgan","Rejali"))))</f>
        <v/>
      </c>
      <c r="R129" s="25"/>
      <c r="S129" s="14" t="str">
        <f aca="false">IF($K129&lt;&gt;"Kesarcha","",IF(OR($O129&lt;&gt;"",$R129="Ha"),"Ha","YO‘Q"))</f>
        <v/>
      </c>
      <c r="T129" s="12"/>
      <c r="U129" s="12"/>
      <c r="V129" s="14" t="str">
        <f aca="false">IF(OR($C129="",$D129="",$B129=""),"",IF(COUNTIFS($C$5:$C$604,$C129,$D$5:$D$604,$D129,$B$5:$B$604,$B129)&gt;1,"Takror",""))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4"/>
      <c r="F130" s="12"/>
      <c r="G130" s="14" t="str">
        <f aca="false">IF(OR($D130="",$B130=""),"",INT(($B130-$D130)/365.25))</f>
        <v/>
      </c>
      <c r="H130" s="14" t="str">
        <f aca="false">IF($G130="","",IF($G130&lt;18,"Ha","Yo'q"))</f>
        <v/>
      </c>
      <c r="I130" s="12"/>
      <c r="J130" s="25"/>
      <c r="K130" s="25"/>
      <c r="L130" s="25"/>
      <c r="M130" s="12"/>
      <c r="N130" s="25"/>
      <c r="O130" s="25"/>
      <c r="P130" s="14" t="str">
        <f aca="false">IF($O130="","",IFERROR(VALUE(LEFT($O130,FIND(".",$O130)-1)),""))</f>
        <v/>
      </c>
      <c r="Q130" s="14" t="str">
        <f aca="false">IF($P130="","",IF($P130&lt;=7,"Shoshilinch",IF($P130&lt;=9,"Kechiktirib bo'lmaydigan",IF($P130&lt;=14,"Rejalashtirilgan","Rejali"))))</f>
        <v/>
      </c>
      <c r="R130" s="25"/>
      <c r="S130" s="14" t="str">
        <f aca="false">IF($K130&lt;&gt;"Kesarcha","",IF(OR($O130&lt;&gt;"",$R130="Ha"),"Ha","YO‘Q"))</f>
        <v/>
      </c>
      <c r="T130" s="12"/>
      <c r="U130" s="12"/>
      <c r="V130" s="14" t="str">
        <f aca="false">IF(OR($C130="",$D130="",$B130=""),"",IF(COUNTIFS($C$5:$C$604,$C130,$D$5:$D$604,$D130,$B$5:$B$604,$B130)&gt;1,"Takror",""))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4"/>
      <c r="F131" s="12"/>
      <c r="G131" s="14" t="str">
        <f aca="false">IF(OR($D131="",$B131=""),"",INT(($B131-$D131)/365.25))</f>
        <v/>
      </c>
      <c r="H131" s="14" t="str">
        <f aca="false">IF($G131="","",IF($G131&lt;18,"Ha","Yo'q"))</f>
        <v/>
      </c>
      <c r="I131" s="12"/>
      <c r="J131" s="25"/>
      <c r="K131" s="25"/>
      <c r="L131" s="25"/>
      <c r="M131" s="12"/>
      <c r="N131" s="25"/>
      <c r="O131" s="25"/>
      <c r="P131" s="14" t="str">
        <f aca="false">IF($O131="","",IFERROR(VALUE(LEFT($O131,FIND(".",$O131)-1)),""))</f>
        <v/>
      </c>
      <c r="Q131" s="14" t="str">
        <f aca="false">IF($P131="","",IF($P131&lt;=7,"Shoshilinch",IF($P131&lt;=9,"Kechiktirib bo'lmaydigan",IF($P131&lt;=14,"Rejalashtirilgan","Rejali"))))</f>
        <v/>
      </c>
      <c r="R131" s="25"/>
      <c r="S131" s="14" t="str">
        <f aca="false">IF($K131&lt;&gt;"Kesarcha","",IF(OR($O131&lt;&gt;"",$R131="Ha"),"Ha","YO‘Q"))</f>
        <v/>
      </c>
      <c r="T131" s="12"/>
      <c r="U131" s="12"/>
      <c r="V131" s="14" t="str">
        <f aca="false">IF(OR($C131="",$D131="",$B131=""),"",IF(COUNTIFS($C$5:$C$604,$C131,$D$5:$D$604,$D131,$B$5:$B$604,$B131)&gt;1,"Takror",""))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4"/>
      <c r="F132" s="12"/>
      <c r="G132" s="14" t="str">
        <f aca="false">IF(OR($D132="",$B132=""),"",INT(($B132-$D132)/365.25))</f>
        <v/>
      </c>
      <c r="H132" s="14" t="str">
        <f aca="false">IF($G132="","",IF($G132&lt;18,"Ha","Yo'q"))</f>
        <v/>
      </c>
      <c r="I132" s="12"/>
      <c r="J132" s="25"/>
      <c r="K132" s="25"/>
      <c r="L132" s="25"/>
      <c r="M132" s="12"/>
      <c r="N132" s="25"/>
      <c r="O132" s="25"/>
      <c r="P132" s="14" t="str">
        <f aca="false">IF($O132="","",IFERROR(VALUE(LEFT($O132,FIND(".",$O132)-1)),""))</f>
        <v/>
      </c>
      <c r="Q132" s="14" t="str">
        <f aca="false">IF($P132="","",IF($P132&lt;=7,"Shoshilinch",IF($P132&lt;=9,"Kechiktirib bo'lmaydigan",IF($P132&lt;=14,"Rejalashtirilgan","Rejali"))))</f>
        <v/>
      </c>
      <c r="R132" s="25"/>
      <c r="S132" s="14" t="str">
        <f aca="false">IF($K132&lt;&gt;"Kesarcha","",IF(OR($O132&lt;&gt;"",$R132="Ha"),"Ha","YO‘Q"))</f>
        <v/>
      </c>
      <c r="T132" s="12"/>
      <c r="U132" s="12"/>
      <c r="V132" s="14" t="str">
        <f aca="false">IF(OR($C132="",$D132="",$B132=""),"",IF(COUNTIFS($C$5:$C$604,$C132,$D$5:$D$604,$D132,$B$5:$B$604,$B132)&gt;1,"Takror",""))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4"/>
      <c r="F133" s="12"/>
      <c r="G133" s="14" t="str">
        <f aca="false">IF(OR($D133="",$B133=""),"",INT(($B133-$D133)/365.25))</f>
        <v/>
      </c>
      <c r="H133" s="14" t="str">
        <f aca="false">IF($G133="","",IF($G133&lt;18,"Ha","Yo'q"))</f>
        <v/>
      </c>
      <c r="I133" s="12"/>
      <c r="J133" s="25"/>
      <c r="K133" s="25"/>
      <c r="L133" s="25"/>
      <c r="M133" s="12"/>
      <c r="N133" s="25"/>
      <c r="O133" s="25"/>
      <c r="P133" s="14" t="str">
        <f aca="false">IF($O133="","",IFERROR(VALUE(LEFT($O133,FIND(".",$O133)-1)),""))</f>
        <v/>
      </c>
      <c r="Q133" s="14" t="str">
        <f aca="false">IF($P133="","",IF($P133&lt;=7,"Shoshilinch",IF($P133&lt;=9,"Kechiktirib bo'lmaydigan",IF($P133&lt;=14,"Rejalashtirilgan","Rejali"))))</f>
        <v/>
      </c>
      <c r="R133" s="25"/>
      <c r="S133" s="14" t="str">
        <f aca="false">IF($K133&lt;&gt;"Kesarcha","",IF(OR($O133&lt;&gt;"",$R133="Ha"),"Ha","YO‘Q"))</f>
        <v/>
      </c>
      <c r="T133" s="12"/>
      <c r="U133" s="12"/>
      <c r="V133" s="14" t="str">
        <f aca="false">IF(OR($C133="",$D133="",$B133=""),"",IF(COUNTIFS($C$5:$C$604,$C133,$D$5:$D$604,$D133,$B$5:$B$604,$B133)&gt;1,"Takror",""))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4"/>
      <c r="F134" s="12"/>
      <c r="G134" s="14" t="str">
        <f aca="false">IF(OR($D134="",$B134=""),"",INT(($B134-$D134)/365.25))</f>
        <v/>
      </c>
      <c r="H134" s="14" t="str">
        <f aca="false">IF($G134="","",IF($G134&lt;18,"Ha","Yo'q"))</f>
        <v/>
      </c>
      <c r="I134" s="12"/>
      <c r="J134" s="25"/>
      <c r="K134" s="25"/>
      <c r="L134" s="25"/>
      <c r="M134" s="12"/>
      <c r="N134" s="25"/>
      <c r="O134" s="25"/>
      <c r="P134" s="14" t="str">
        <f aca="false">IF($O134="","",IFERROR(VALUE(LEFT($O134,FIND(".",$O134)-1)),""))</f>
        <v/>
      </c>
      <c r="Q134" s="14" t="str">
        <f aca="false">IF($P134="","",IF($P134&lt;=7,"Shoshilinch",IF($P134&lt;=9,"Kechiktirib bo'lmaydigan",IF($P134&lt;=14,"Rejalashtirilgan","Rejali"))))</f>
        <v/>
      </c>
      <c r="R134" s="25"/>
      <c r="S134" s="14" t="str">
        <f aca="false">IF($K134&lt;&gt;"Kesarcha","",IF(OR($O134&lt;&gt;"",$R134="Ha"),"Ha","YO‘Q"))</f>
        <v/>
      </c>
      <c r="T134" s="12"/>
      <c r="U134" s="12"/>
      <c r="V134" s="14" t="str">
        <f aca="false">IF(OR($C134="",$D134="",$B134=""),"",IF(COUNTIFS($C$5:$C$604,$C134,$D$5:$D$604,$D134,$B$5:$B$604,$B134)&gt;1,"Takror",""))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4"/>
      <c r="F135" s="12"/>
      <c r="G135" s="14" t="str">
        <f aca="false">IF(OR($D135="",$B135=""),"",INT(($B135-$D135)/365.25))</f>
        <v/>
      </c>
      <c r="H135" s="14" t="str">
        <f aca="false">IF($G135="","",IF($G135&lt;18,"Ha","Yo'q"))</f>
        <v/>
      </c>
      <c r="I135" s="12"/>
      <c r="J135" s="25"/>
      <c r="K135" s="25"/>
      <c r="L135" s="25"/>
      <c r="M135" s="12"/>
      <c r="N135" s="25"/>
      <c r="O135" s="25"/>
      <c r="P135" s="14" t="str">
        <f aca="false">IF($O135="","",IFERROR(VALUE(LEFT($O135,FIND(".",$O135)-1)),""))</f>
        <v/>
      </c>
      <c r="Q135" s="14" t="str">
        <f aca="false">IF($P135="","",IF($P135&lt;=7,"Shoshilinch",IF($P135&lt;=9,"Kechiktirib bo'lmaydigan",IF($P135&lt;=14,"Rejalashtirilgan","Rejali"))))</f>
        <v/>
      </c>
      <c r="R135" s="25"/>
      <c r="S135" s="14" t="str">
        <f aca="false">IF($K135&lt;&gt;"Kesarcha","",IF(OR($O135&lt;&gt;"",$R135="Ha"),"Ha","YO‘Q"))</f>
        <v/>
      </c>
      <c r="T135" s="12"/>
      <c r="U135" s="12"/>
      <c r="V135" s="14" t="str">
        <f aca="false">IF(OR($C135="",$D135="",$B135=""),"",IF(COUNTIFS($C$5:$C$604,$C135,$D$5:$D$604,$D135,$B$5:$B$604,$B135)&gt;1,"Takror",""))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4"/>
      <c r="F136" s="12"/>
      <c r="G136" s="14" t="str">
        <f aca="false">IF(OR($D136="",$B136=""),"",INT(($B136-$D136)/365.25))</f>
        <v/>
      </c>
      <c r="H136" s="14" t="str">
        <f aca="false">IF($G136="","",IF($G136&lt;18,"Ha","Yo'q"))</f>
        <v/>
      </c>
      <c r="I136" s="12"/>
      <c r="J136" s="25"/>
      <c r="K136" s="25"/>
      <c r="L136" s="25"/>
      <c r="M136" s="12"/>
      <c r="N136" s="25"/>
      <c r="O136" s="25"/>
      <c r="P136" s="14" t="str">
        <f aca="false">IF($O136="","",IFERROR(VALUE(LEFT($O136,FIND(".",$O136)-1)),""))</f>
        <v/>
      </c>
      <c r="Q136" s="14" t="str">
        <f aca="false">IF($P136="","",IF($P136&lt;=7,"Shoshilinch",IF($P136&lt;=9,"Kechiktirib bo'lmaydigan",IF($P136&lt;=14,"Rejalashtirilgan","Rejali"))))</f>
        <v/>
      </c>
      <c r="R136" s="25"/>
      <c r="S136" s="14" t="str">
        <f aca="false">IF($K136&lt;&gt;"Kesarcha","",IF(OR($O136&lt;&gt;"",$R136="Ha"),"Ha","YO‘Q"))</f>
        <v/>
      </c>
      <c r="T136" s="12"/>
      <c r="U136" s="12"/>
      <c r="V136" s="14" t="str">
        <f aca="false">IF(OR($C136="",$D136="",$B136=""),"",IF(COUNTIFS($C$5:$C$604,$C136,$D$5:$D$604,$D136,$B$5:$B$604,$B136)&gt;1,"Takror",""))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4"/>
      <c r="F137" s="12"/>
      <c r="G137" s="14" t="str">
        <f aca="false">IF(OR($D137="",$B137=""),"",INT(($B137-$D137)/365.25))</f>
        <v/>
      </c>
      <c r="H137" s="14" t="str">
        <f aca="false">IF($G137="","",IF($G137&lt;18,"Ha","Yo'q"))</f>
        <v/>
      </c>
      <c r="I137" s="12"/>
      <c r="J137" s="25"/>
      <c r="K137" s="25"/>
      <c r="L137" s="25"/>
      <c r="M137" s="12"/>
      <c r="N137" s="25"/>
      <c r="O137" s="25"/>
      <c r="P137" s="14" t="str">
        <f aca="false">IF($O137="","",IFERROR(VALUE(LEFT($O137,FIND(".",$O137)-1)),""))</f>
        <v/>
      </c>
      <c r="Q137" s="14" t="str">
        <f aca="false">IF($P137="","",IF($P137&lt;=7,"Shoshilinch",IF($P137&lt;=9,"Kechiktirib bo'lmaydigan",IF($P137&lt;=14,"Rejalashtirilgan","Rejali"))))</f>
        <v/>
      </c>
      <c r="R137" s="25"/>
      <c r="S137" s="14" t="str">
        <f aca="false">IF($K137&lt;&gt;"Kesarcha","",IF(OR($O137&lt;&gt;"",$R137="Ha"),"Ha","YO‘Q"))</f>
        <v/>
      </c>
      <c r="T137" s="12"/>
      <c r="U137" s="12"/>
      <c r="V137" s="14" t="str">
        <f aca="false">IF(OR($C137="",$D137="",$B137=""),"",IF(COUNTIFS($C$5:$C$604,$C137,$D$5:$D$604,$D137,$B$5:$B$604,$B137)&gt;1,"Takror",""))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4"/>
      <c r="F138" s="12"/>
      <c r="G138" s="14" t="str">
        <f aca="false">IF(OR($D138="",$B138=""),"",INT(($B138-$D138)/365.25))</f>
        <v/>
      </c>
      <c r="H138" s="14" t="str">
        <f aca="false">IF($G138="","",IF($G138&lt;18,"Ha","Yo'q"))</f>
        <v/>
      </c>
      <c r="I138" s="12"/>
      <c r="J138" s="25"/>
      <c r="K138" s="25"/>
      <c r="L138" s="25"/>
      <c r="M138" s="12"/>
      <c r="N138" s="25"/>
      <c r="O138" s="25"/>
      <c r="P138" s="14" t="str">
        <f aca="false">IF($O138="","",IFERROR(VALUE(LEFT($O138,FIND(".",$O138)-1)),""))</f>
        <v/>
      </c>
      <c r="Q138" s="14" t="str">
        <f aca="false">IF($P138="","",IF($P138&lt;=7,"Shoshilinch",IF($P138&lt;=9,"Kechiktirib bo'lmaydigan",IF($P138&lt;=14,"Rejalashtirilgan","Rejali"))))</f>
        <v/>
      </c>
      <c r="R138" s="25"/>
      <c r="S138" s="14" t="str">
        <f aca="false">IF($K138&lt;&gt;"Kesarcha","",IF(OR($O138&lt;&gt;"",$R138="Ha"),"Ha","YO‘Q"))</f>
        <v/>
      </c>
      <c r="T138" s="12"/>
      <c r="U138" s="12"/>
      <c r="V138" s="14" t="str">
        <f aca="false">IF(OR($C138="",$D138="",$B138=""),"",IF(COUNTIFS($C$5:$C$604,$C138,$D$5:$D$604,$D138,$B$5:$B$604,$B138)&gt;1,"Takror",""))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4"/>
      <c r="F139" s="12"/>
      <c r="G139" s="14" t="str">
        <f aca="false">IF(OR($D139="",$B139=""),"",INT(($B139-$D139)/365.25))</f>
        <v/>
      </c>
      <c r="H139" s="14" t="str">
        <f aca="false">IF($G139="","",IF($G139&lt;18,"Ha","Yo'q"))</f>
        <v/>
      </c>
      <c r="I139" s="12"/>
      <c r="J139" s="25"/>
      <c r="K139" s="25"/>
      <c r="L139" s="25"/>
      <c r="M139" s="12"/>
      <c r="N139" s="25"/>
      <c r="O139" s="25"/>
      <c r="P139" s="14" t="str">
        <f aca="false">IF($O139="","",IFERROR(VALUE(LEFT($O139,FIND(".",$O139)-1)),""))</f>
        <v/>
      </c>
      <c r="Q139" s="14" t="str">
        <f aca="false">IF($P139="","",IF($P139&lt;=7,"Shoshilinch",IF($P139&lt;=9,"Kechiktirib bo'lmaydigan",IF($P139&lt;=14,"Rejalashtirilgan","Rejali"))))</f>
        <v/>
      </c>
      <c r="R139" s="25"/>
      <c r="S139" s="14" t="str">
        <f aca="false">IF($K139&lt;&gt;"Kesarcha","",IF(OR($O139&lt;&gt;"",$R139="Ha"),"Ha","YO‘Q"))</f>
        <v/>
      </c>
      <c r="T139" s="12"/>
      <c r="U139" s="12"/>
      <c r="V139" s="14" t="str">
        <f aca="false">IF(OR($C139="",$D139="",$B139=""),"",IF(COUNTIFS($C$5:$C$604,$C139,$D$5:$D$604,$D139,$B$5:$B$604,$B139)&gt;1,"Takror",""))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4"/>
      <c r="F140" s="12"/>
      <c r="G140" s="14" t="str">
        <f aca="false">IF(OR($D140="",$B140=""),"",INT(($B140-$D140)/365.25))</f>
        <v/>
      </c>
      <c r="H140" s="14" t="str">
        <f aca="false">IF($G140="","",IF($G140&lt;18,"Ha","Yo'q"))</f>
        <v/>
      </c>
      <c r="I140" s="12"/>
      <c r="J140" s="25"/>
      <c r="K140" s="25"/>
      <c r="L140" s="25"/>
      <c r="M140" s="12"/>
      <c r="N140" s="25"/>
      <c r="O140" s="25"/>
      <c r="P140" s="14" t="str">
        <f aca="false">IF($O140="","",IFERROR(VALUE(LEFT($O140,FIND(".",$O140)-1)),""))</f>
        <v/>
      </c>
      <c r="Q140" s="14" t="str">
        <f aca="false">IF($P140="","",IF($P140&lt;=7,"Shoshilinch",IF($P140&lt;=9,"Kechiktirib bo'lmaydigan",IF($P140&lt;=14,"Rejalashtirilgan","Rejali"))))</f>
        <v/>
      </c>
      <c r="R140" s="25"/>
      <c r="S140" s="14" t="str">
        <f aca="false">IF($K140&lt;&gt;"Kesarcha","",IF(OR($O140&lt;&gt;"",$R140="Ha"),"Ha","YO‘Q"))</f>
        <v/>
      </c>
      <c r="T140" s="12"/>
      <c r="U140" s="12"/>
      <c r="V140" s="14" t="str">
        <f aca="false">IF(OR($C140="",$D140="",$B140=""),"",IF(COUNTIFS($C$5:$C$604,$C140,$D$5:$D$604,$D140,$B$5:$B$604,$B140)&gt;1,"Takror",""))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4"/>
      <c r="F141" s="12"/>
      <c r="G141" s="14" t="str">
        <f aca="false">IF(OR($D141="",$B141=""),"",INT(($B141-$D141)/365.25))</f>
        <v/>
      </c>
      <c r="H141" s="14" t="str">
        <f aca="false">IF($G141="","",IF($G141&lt;18,"Ha","Yo'q"))</f>
        <v/>
      </c>
      <c r="I141" s="12"/>
      <c r="J141" s="25"/>
      <c r="K141" s="25"/>
      <c r="L141" s="25"/>
      <c r="M141" s="12"/>
      <c r="N141" s="25"/>
      <c r="O141" s="25"/>
      <c r="P141" s="14" t="str">
        <f aca="false">IF($O141="","",IFERROR(VALUE(LEFT($O141,FIND(".",$O141)-1)),""))</f>
        <v/>
      </c>
      <c r="Q141" s="14" t="str">
        <f aca="false">IF($P141="","",IF($P141&lt;=7,"Shoshilinch",IF($P141&lt;=9,"Kechiktirib bo'lmaydigan",IF($P141&lt;=14,"Rejalashtirilgan","Rejali"))))</f>
        <v/>
      </c>
      <c r="R141" s="25"/>
      <c r="S141" s="14" t="str">
        <f aca="false">IF($K141&lt;&gt;"Kesarcha","",IF(OR($O141&lt;&gt;"",$R141="Ha"),"Ha","YO‘Q"))</f>
        <v/>
      </c>
      <c r="T141" s="12"/>
      <c r="U141" s="12"/>
      <c r="V141" s="14" t="str">
        <f aca="false">IF(OR($C141="",$D141="",$B141=""),"",IF(COUNTIFS($C$5:$C$604,$C141,$D$5:$D$604,$D141,$B$5:$B$604,$B141)&gt;1,"Takror",""))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4"/>
      <c r="F142" s="12"/>
      <c r="G142" s="14" t="str">
        <f aca="false">IF(OR($D142="",$B142=""),"",INT(($B142-$D142)/365.25))</f>
        <v/>
      </c>
      <c r="H142" s="14" t="str">
        <f aca="false">IF($G142="","",IF($G142&lt;18,"Ha","Yo'q"))</f>
        <v/>
      </c>
      <c r="I142" s="12"/>
      <c r="J142" s="25"/>
      <c r="K142" s="25"/>
      <c r="L142" s="25"/>
      <c r="M142" s="12"/>
      <c r="N142" s="25"/>
      <c r="O142" s="25"/>
      <c r="P142" s="14" t="str">
        <f aca="false">IF($O142="","",IFERROR(VALUE(LEFT($O142,FIND(".",$O142)-1)),""))</f>
        <v/>
      </c>
      <c r="Q142" s="14" t="str">
        <f aca="false">IF($P142="","",IF($P142&lt;=7,"Shoshilinch",IF($P142&lt;=9,"Kechiktirib bo'lmaydigan",IF($P142&lt;=14,"Rejalashtirilgan","Rejali"))))</f>
        <v/>
      </c>
      <c r="R142" s="25"/>
      <c r="S142" s="14" t="str">
        <f aca="false">IF($K142&lt;&gt;"Kesarcha","",IF(OR($O142&lt;&gt;"",$R142="Ha"),"Ha","YO‘Q"))</f>
        <v/>
      </c>
      <c r="T142" s="12"/>
      <c r="U142" s="12"/>
      <c r="V142" s="14" t="str">
        <f aca="false">IF(OR($C142="",$D142="",$B142=""),"",IF(COUNTIFS($C$5:$C$604,$C142,$D$5:$D$604,$D142,$B$5:$B$604,$B142)&gt;1,"Takror",""))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4"/>
      <c r="F143" s="12"/>
      <c r="G143" s="14" t="str">
        <f aca="false">IF(OR($D143="",$B143=""),"",INT(($B143-$D143)/365.25))</f>
        <v/>
      </c>
      <c r="H143" s="14" t="str">
        <f aca="false">IF($G143="","",IF($G143&lt;18,"Ha","Yo'q"))</f>
        <v/>
      </c>
      <c r="I143" s="12"/>
      <c r="J143" s="25"/>
      <c r="K143" s="25"/>
      <c r="L143" s="25"/>
      <c r="M143" s="12"/>
      <c r="N143" s="25"/>
      <c r="O143" s="25"/>
      <c r="P143" s="14" t="str">
        <f aca="false">IF($O143="","",IFERROR(VALUE(LEFT($O143,FIND(".",$O143)-1)),""))</f>
        <v/>
      </c>
      <c r="Q143" s="14" t="str">
        <f aca="false">IF($P143="","",IF($P143&lt;=7,"Shoshilinch",IF($P143&lt;=9,"Kechiktirib bo'lmaydigan",IF($P143&lt;=14,"Rejalashtirilgan","Rejali"))))</f>
        <v/>
      </c>
      <c r="R143" s="25"/>
      <c r="S143" s="14" t="str">
        <f aca="false">IF($K143&lt;&gt;"Kesarcha","",IF(OR($O143&lt;&gt;"",$R143="Ha"),"Ha","YO‘Q"))</f>
        <v/>
      </c>
      <c r="T143" s="12"/>
      <c r="U143" s="12"/>
      <c r="V143" s="14" t="str">
        <f aca="false">IF(OR($C143="",$D143="",$B143=""),"",IF(COUNTIFS($C$5:$C$604,$C143,$D$5:$D$604,$D143,$B$5:$B$604,$B143)&gt;1,"Takror",""))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4"/>
      <c r="F144" s="12"/>
      <c r="G144" s="14" t="str">
        <f aca="false">IF(OR($D144="",$B144=""),"",INT(($B144-$D144)/365.25))</f>
        <v/>
      </c>
      <c r="H144" s="14" t="str">
        <f aca="false">IF($G144="","",IF($G144&lt;18,"Ha","Yo'q"))</f>
        <v/>
      </c>
      <c r="I144" s="12"/>
      <c r="J144" s="25"/>
      <c r="K144" s="25"/>
      <c r="L144" s="25"/>
      <c r="M144" s="12"/>
      <c r="N144" s="25"/>
      <c r="O144" s="25"/>
      <c r="P144" s="14" t="str">
        <f aca="false">IF($O144="","",IFERROR(VALUE(LEFT($O144,FIND(".",$O144)-1)),""))</f>
        <v/>
      </c>
      <c r="Q144" s="14" t="str">
        <f aca="false">IF($P144="","",IF($P144&lt;=7,"Shoshilinch",IF($P144&lt;=9,"Kechiktirib bo'lmaydigan",IF($P144&lt;=14,"Rejalashtirilgan","Rejali"))))</f>
        <v/>
      </c>
      <c r="R144" s="25"/>
      <c r="S144" s="14" t="str">
        <f aca="false">IF($K144&lt;&gt;"Kesarcha","",IF(OR($O144&lt;&gt;"",$R144="Ha"),"Ha","YO‘Q"))</f>
        <v/>
      </c>
      <c r="T144" s="12"/>
      <c r="U144" s="12"/>
      <c r="V144" s="14" t="str">
        <f aca="false">IF(OR($C144="",$D144="",$B144=""),"",IF(COUNTIFS($C$5:$C$604,$C144,$D$5:$D$604,$D144,$B$5:$B$604,$B144)&gt;1,"Takror",""))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4"/>
      <c r="F145" s="12"/>
      <c r="G145" s="14" t="str">
        <f aca="false">IF(OR($D145="",$B145=""),"",INT(($B145-$D145)/365.25))</f>
        <v/>
      </c>
      <c r="H145" s="14" t="str">
        <f aca="false">IF($G145="","",IF($G145&lt;18,"Ha","Yo'q"))</f>
        <v/>
      </c>
      <c r="I145" s="12"/>
      <c r="J145" s="25"/>
      <c r="K145" s="25"/>
      <c r="L145" s="25"/>
      <c r="M145" s="12"/>
      <c r="N145" s="25"/>
      <c r="O145" s="25"/>
      <c r="P145" s="14" t="str">
        <f aca="false">IF($O145="","",IFERROR(VALUE(LEFT($O145,FIND(".",$O145)-1)),""))</f>
        <v/>
      </c>
      <c r="Q145" s="14" t="str">
        <f aca="false">IF($P145="","",IF($P145&lt;=7,"Shoshilinch",IF($P145&lt;=9,"Kechiktirib bo'lmaydigan",IF($P145&lt;=14,"Rejalashtirilgan","Rejali"))))</f>
        <v/>
      </c>
      <c r="R145" s="25"/>
      <c r="S145" s="14" t="str">
        <f aca="false">IF($K145&lt;&gt;"Kesarcha","",IF(OR($O145&lt;&gt;"",$R145="Ha"),"Ha","YO‘Q"))</f>
        <v/>
      </c>
      <c r="T145" s="12"/>
      <c r="U145" s="12"/>
      <c r="V145" s="14" t="str">
        <f aca="false">IF(OR($C145="",$D145="",$B145=""),"",IF(COUNTIFS($C$5:$C$604,$C145,$D$5:$D$604,$D145,$B$5:$B$604,$B145)&gt;1,"Takror",""))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4"/>
      <c r="F146" s="12"/>
      <c r="G146" s="14" t="str">
        <f aca="false">IF(OR($D146="",$B146=""),"",INT(($B146-$D146)/365.25))</f>
        <v/>
      </c>
      <c r="H146" s="14" t="str">
        <f aca="false">IF($G146="","",IF($G146&lt;18,"Ha","Yo'q"))</f>
        <v/>
      </c>
      <c r="I146" s="12"/>
      <c r="J146" s="25"/>
      <c r="K146" s="25"/>
      <c r="L146" s="25"/>
      <c r="M146" s="12"/>
      <c r="N146" s="25"/>
      <c r="O146" s="25"/>
      <c r="P146" s="14" t="str">
        <f aca="false">IF($O146="","",IFERROR(VALUE(LEFT($O146,FIND(".",$O146)-1)),""))</f>
        <v/>
      </c>
      <c r="Q146" s="14" t="str">
        <f aca="false">IF($P146="","",IF($P146&lt;=7,"Shoshilinch",IF($P146&lt;=9,"Kechiktirib bo'lmaydigan",IF($P146&lt;=14,"Rejalashtirilgan","Rejali"))))</f>
        <v/>
      </c>
      <c r="R146" s="25"/>
      <c r="S146" s="14" t="str">
        <f aca="false">IF($K146&lt;&gt;"Kesarcha","",IF(OR($O146&lt;&gt;"",$R146="Ha"),"Ha","YO‘Q"))</f>
        <v/>
      </c>
      <c r="T146" s="12"/>
      <c r="U146" s="12"/>
      <c r="V146" s="14" t="str">
        <f aca="false">IF(OR($C146="",$D146="",$B146=""),"",IF(COUNTIFS($C$5:$C$604,$C146,$D$5:$D$604,$D146,$B$5:$B$604,$B146)&gt;1,"Takror",""))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4"/>
      <c r="F147" s="12"/>
      <c r="G147" s="14" t="str">
        <f aca="false">IF(OR($D147="",$B147=""),"",INT(($B147-$D147)/365.25))</f>
        <v/>
      </c>
      <c r="H147" s="14" t="str">
        <f aca="false">IF($G147="","",IF($G147&lt;18,"Ha","Yo'q"))</f>
        <v/>
      </c>
      <c r="I147" s="12"/>
      <c r="J147" s="25"/>
      <c r="K147" s="25"/>
      <c r="L147" s="25"/>
      <c r="M147" s="12"/>
      <c r="N147" s="25"/>
      <c r="O147" s="25"/>
      <c r="P147" s="14" t="str">
        <f aca="false">IF($O147="","",IFERROR(VALUE(LEFT($O147,FIND(".",$O147)-1)),""))</f>
        <v/>
      </c>
      <c r="Q147" s="14" t="str">
        <f aca="false">IF($P147="","",IF($P147&lt;=7,"Shoshilinch",IF($P147&lt;=9,"Kechiktirib bo'lmaydigan",IF($P147&lt;=14,"Rejalashtirilgan","Rejali"))))</f>
        <v/>
      </c>
      <c r="R147" s="25"/>
      <c r="S147" s="14" t="str">
        <f aca="false">IF($K147&lt;&gt;"Kesarcha","",IF(OR($O147&lt;&gt;"",$R147="Ha"),"Ha","YO‘Q"))</f>
        <v/>
      </c>
      <c r="T147" s="12"/>
      <c r="U147" s="12"/>
      <c r="V147" s="14" t="str">
        <f aca="false">IF(OR($C147="",$D147="",$B147=""),"",IF(COUNTIFS($C$5:$C$604,$C147,$D$5:$D$604,$D147,$B$5:$B$604,$B147)&gt;1,"Takror",""))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4"/>
      <c r="F148" s="12"/>
      <c r="G148" s="14" t="str">
        <f aca="false">IF(OR($D148="",$B148=""),"",INT(($B148-$D148)/365.25))</f>
        <v/>
      </c>
      <c r="H148" s="14" t="str">
        <f aca="false">IF($G148="","",IF($G148&lt;18,"Ha","Yo'q"))</f>
        <v/>
      </c>
      <c r="I148" s="12"/>
      <c r="J148" s="25"/>
      <c r="K148" s="25"/>
      <c r="L148" s="25"/>
      <c r="M148" s="12"/>
      <c r="N148" s="25"/>
      <c r="O148" s="25"/>
      <c r="P148" s="14" t="str">
        <f aca="false">IF($O148="","",IFERROR(VALUE(LEFT($O148,FIND(".",$O148)-1)),""))</f>
        <v/>
      </c>
      <c r="Q148" s="14" t="str">
        <f aca="false">IF($P148="","",IF($P148&lt;=7,"Shoshilinch",IF($P148&lt;=9,"Kechiktirib bo'lmaydigan",IF($P148&lt;=14,"Rejalashtirilgan","Rejali"))))</f>
        <v/>
      </c>
      <c r="R148" s="25"/>
      <c r="S148" s="14" t="str">
        <f aca="false">IF($K148&lt;&gt;"Kesarcha","",IF(OR($O148&lt;&gt;"",$R148="Ha"),"Ha","YO‘Q"))</f>
        <v/>
      </c>
      <c r="T148" s="12"/>
      <c r="U148" s="12"/>
      <c r="V148" s="14" t="str">
        <f aca="false">IF(OR($C148="",$D148="",$B148=""),"",IF(COUNTIFS($C$5:$C$604,$C148,$D$5:$D$604,$D148,$B$5:$B$604,$B148)&gt;1,"Takror",""))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4"/>
      <c r="F149" s="12"/>
      <c r="G149" s="14" t="str">
        <f aca="false">IF(OR($D149="",$B149=""),"",INT(($B149-$D149)/365.25))</f>
        <v/>
      </c>
      <c r="H149" s="14" t="str">
        <f aca="false">IF($G149="","",IF($G149&lt;18,"Ha","Yo'q"))</f>
        <v/>
      </c>
      <c r="I149" s="12"/>
      <c r="J149" s="25"/>
      <c r="K149" s="25"/>
      <c r="L149" s="25"/>
      <c r="M149" s="12"/>
      <c r="N149" s="25"/>
      <c r="O149" s="25"/>
      <c r="P149" s="14" t="str">
        <f aca="false">IF($O149="","",IFERROR(VALUE(LEFT($O149,FIND(".",$O149)-1)),""))</f>
        <v/>
      </c>
      <c r="Q149" s="14" t="str">
        <f aca="false">IF($P149="","",IF($P149&lt;=7,"Shoshilinch",IF($P149&lt;=9,"Kechiktirib bo'lmaydigan",IF($P149&lt;=14,"Rejalashtirilgan","Rejali"))))</f>
        <v/>
      </c>
      <c r="R149" s="25"/>
      <c r="S149" s="14" t="str">
        <f aca="false">IF($K149&lt;&gt;"Kesarcha","",IF(OR($O149&lt;&gt;"",$R149="Ha"),"Ha","YO‘Q"))</f>
        <v/>
      </c>
      <c r="T149" s="12"/>
      <c r="U149" s="12"/>
      <c r="V149" s="14" t="str">
        <f aca="false">IF(OR($C149="",$D149="",$B149=""),"",IF(COUNTIFS($C$5:$C$604,$C149,$D$5:$D$604,$D149,$B$5:$B$604,$B149)&gt;1,"Takror",""))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4"/>
      <c r="F150" s="12"/>
      <c r="G150" s="14" t="str">
        <f aca="false">IF(OR($D150="",$B150=""),"",INT(($B150-$D150)/365.25))</f>
        <v/>
      </c>
      <c r="H150" s="14" t="str">
        <f aca="false">IF($G150="","",IF($G150&lt;18,"Ha","Yo'q"))</f>
        <v/>
      </c>
      <c r="I150" s="12"/>
      <c r="J150" s="25"/>
      <c r="K150" s="25"/>
      <c r="L150" s="25"/>
      <c r="M150" s="12"/>
      <c r="N150" s="25"/>
      <c r="O150" s="25"/>
      <c r="P150" s="14" t="str">
        <f aca="false">IF($O150="","",IFERROR(VALUE(LEFT($O150,FIND(".",$O150)-1)),""))</f>
        <v/>
      </c>
      <c r="Q150" s="14" t="str">
        <f aca="false">IF($P150="","",IF($P150&lt;=7,"Shoshilinch",IF($P150&lt;=9,"Kechiktirib bo'lmaydigan",IF($P150&lt;=14,"Rejalashtirilgan","Rejali"))))</f>
        <v/>
      </c>
      <c r="R150" s="25"/>
      <c r="S150" s="14" t="str">
        <f aca="false">IF($K150&lt;&gt;"Kesarcha","",IF(OR($O150&lt;&gt;"",$R150="Ha"),"Ha","YO‘Q"))</f>
        <v/>
      </c>
      <c r="T150" s="12"/>
      <c r="U150" s="12"/>
      <c r="V150" s="14" t="str">
        <f aca="false">IF(OR($C150="",$D150="",$B150=""),"",IF(COUNTIFS($C$5:$C$604,$C150,$D$5:$D$604,$D150,$B$5:$B$604,$B150)&gt;1,"Takror",""))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4"/>
      <c r="F151" s="12"/>
      <c r="G151" s="14" t="str">
        <f aca="false">IF(OR($D151="",$B151=""),"",INT(($B151-$D151)/365.25))</f>
        <v/>
      </c>
      <c r="H151" s="14" t="str">
        <f aca="false">IF($G151="","",IF($G151&lt;18,"Ha","Yo'q"))</f>
        <v/>
      </c>
      <c r="I151" s="12"/>
      <c r="J151" s="25"/>
      <c r="K151" s="25"/>
      <c r="L151" s="25"/>
      <c r="M151" s="12"/>
      <c r="N151" s="25"/>
      <c r="O151" s="25"/>
      <c r="P151" s="14" t="str">
        <f aca="false">IF($O151="","",IFERROR(VALUE(LEFT($O151,FIND(".",$O151)-1)),""))</f>
        <v/>
      </c>
      <c r="Q151" s="14" t="str">
        <f aca="false">IF($P151="","",IF($P151&lt;=7,"Shoshilinch",IF($P151&lt;=9,"Kechiktirib bo'lmaydigan",IF($P151&lt;=14,"Rejalashtirilgan","Rejali"))))</f>
        <v/>
      </c>
      <c r="R151" s="25"/>
      <c r="S151" s="14" t="str">
        <f aca="false">IF($K151&lt;&gt;"Kesarcha","",IF(OR($O151&lt;&gt;"",$R151="Ha"),"Ha","YO‘Q"))</f>
        <v/>
      </c>
      <c r="T151" s="12"/>
      <c r="U151" s="12"/>
      <c r="V151" s="14" t="str">
        <f aca="false">IF(OR($C151="",$D151="",$B151=""),"",IF(COUNTIFS($C$5:$C$604,$C151,$D$5:$D$604,$D151,$B$5:$B$604,$B151)&gt;1,"Takror",""))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4"/>
      <c r="F152" s="12"/>
      <c r="G152" s="14" t="str">
        <f aca="false">IF(OR($D152="",$B152=""),"",INT(($B152-$D152)/365.25))</f>
        <v/>
      </c>
      <c r="H152" s="14" t="str">
        <f aca="false">IF($G152="","",IF($G152&lt;18,"Ha","Yo'q"))</f>
        <v/>
      </c>
      <c r="I152" s="12"/>
      <c r="J152" s="25"/>
      <c r="K152" s="25"/>
      <c r="L152" s="25"/>
      <c r="M152" s="12"/>
      <c r="N152" s="25"/>
      <c r="O152" s="25"/>
      <c r="P152" s="14" t="str">
        <f aca="false">IF($O152="","",IFERROR(VALUE(LEFT($O152,FIND(".",$O152)-1)),""))</f>
        <v/>
      </c>
      <c r="Q152" s="14" t="str">
        <f aca="false">IF($P152="","",IF($P152&lt;=7,"Shoshilinch",IF($P152&lt;=9,"Kechiktirib bo'lmaydigan",IF($P152&lt;=14,"Rejalashtirilgan","Rejali"))))</f>
        <v/>
      </c>
      <c r="R152" s="25"/>
      <c r="S152" s="14" t="str">
        <f aca="false">IF($K152&lt;&gt;"Kesarcha","",IF(OR($O152&lt;&gt;"",$R152="Ha"),"Ha","YO‘Q"))</f>
        <v/>
      </c>
      <c r="T152" s="12"/>
      <c r="U152" s="12"/>
      <c r="V152" s="14" t="str">
        <f aca="false">IF(OR($C152="",$D152="",$B152=""),"",IF(COUNTIFS($C$5:$C$604,$C152,$D$5:$D$604,$D152,$B$5:$B$604,$B152)&gt;1,"Takror",""))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4"/>
      <c r="F153" s="12"/>
      <c r="G153" s="14" t="str">
        <f aca="false">IF(OR($D153="",$B153=""),"",INT(($B153-$D153)/365.25))</f>
        <v/>
      </c>
      <c r="H153" s="14" t="str">
        <f aca="false">IF($G153="","",IF($G153&lt;18,"Ha","Yo'q"))</f>
        <v/>
      </c>
      <c r="I153" s="12"/>
      <c r="J153" s="25"/>
      <c r="K153" s="25"/>
      <c r="L153" s="25"/>
      <c r="M153" s="12"/>
      <c r="N153" s="25"/>
      <c r="O153" s="25"/>
      <c r="P153" s="14" t="str">
        <f aca="false">IF($O153="","",IFERROR(VALUE(LEFT($O153,FIND(".",$O153)-1)),""))</f>
        <v/>
      </c>
      <c r="Q153" s="14" t="str">
        <f aca="false">IF($P153="","",IF($P153&lt;=7,"Shoshilinch",IF($P153&lt;=9,"Kechiktirib bo'lmaydigan",IF($P153&lt;=14,"Rejalashtirilgan","Rejali"))))</f>
        <v/>
      </c>
      <c r="R153" s="25"/>
      <c r="S153" s="14" t="str">
        <f aca="false">IF($K153&lt;&gt;"Kesarcha","",IF(OR($O153&lt;&gt;"",$R153="Ha"),"Ha","YO‘Q"))</f>
        <v/>
      </c>
      <c r="T153" s="12"/>
      <c r="U153" s="12"/>
      <c r="V153" s="14" t="str">
        <f aca="false">IF(OR($C153="",$D153="",$B153=""),"",IF(COUNTIFS($C$5:$C$604,$C153,$D$5:$D$604,$D153,$B$5:$B$604,$B153)&gt;1,"Takror",""))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4"/>
      <c r="F154" s="12"/>
      <c r="G154" s="14" t="str">
        <f aca="false">IF(OR($D154="",$B154=""),"",INT(($B154-$D154)/365.25))</f>
        <v/>
      </c>
      <c r="H154" s="14" t="str">
        <f aca="false">IF($G154="","",IF($G154&lt;18,"Ha","Yo'q"))</f>
        <v/>
      </c>
      <c r="I154" s="12"/>
      <c r="J154" s="25"/>
      <c r="K154" s="25"/>
      <c r="L154" s="25"/>
      <c r="M154" s="12"/>
      <c r="N154" s="25"/>
      <c r="O154" s="25"/>
      <c r="P154" s="14" t="str">
        <f aca="false">IF($O154="","",IFERROR(VALUE(LEFT($O154,FIND(".",$O154)-1)),""))</f>
        <v/>
      </c>
      <c r="Q154" s="14" t="str">
        <f aca="false">IF($P154="","",IF($P154&lt;=7,"Shoshilinch",IF($P154&lt;=9,"Kechiktirib bo'lmaydigan",IF($P154&lt;=14,"Rejalashtirilgan","Rejali"))))</f>
        <v/>
      </c>
      <c r="R154" s="25"/>
      <c r="S154" s="14" t="str">
        <f aca="false">IF($K154&lt;&gt;"Kesarcha","",IF(OR($O154&lt;&gt;"",$R154="Ha"),"Ha","YO‘Q"))</f>
        <v/>
      </c>
      <c r="T154" s="12"/>
      <c r="U154" s="12"/>
      <c r="V154" s="14" t="str">
        <f aca="false">IF(OR($C154="",$D154="",$B154=""),"",IF(COUNTIFS($C$5:$C$604,$C154,$D$5:$D$604,$D154,$B$5:$B$604,$B154)&gt;1,"Takror",""))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4"/>
      <c r="F155" s="12"/>
      <c r="G155" s="14" t="str">
        <f aca="false">IF(OR($D155="",$B155=""),"",INT(($B155-$D155)/365.25))</f>
        <v/>
      </c>
      <c r="H155" s="14" t="str">
        <f aca="false">IF($G155="","",IF($G155&lt;18,"Ha","Yo'q"))</f>
        <v/>
      </c>
      <c r="I155" s="12"/>
      <c r="J155" s="25"/>
      <c r="K155" s="25"/>
      <c r="L155" s="25"/>
      <c r="M155" s="12"/>
      <c r="N155" s="25"/>
      <c r="O155" s="25"/>
      <c r="P155" s="14" t="str">
        <f aca="false">IF($O155="","",IFERROR(VALUE(LEFT($O155,FIND(".",$O155)-1)),""))</f>
        <v/>
      </c>
      <c r="Q155" s="14" t="str">
        <f aca="false">IF($P155="","",IF($P155&lt;=7,"Shoshilinch",IF($P155&lt;=9,"Kechiktirib bo'lmaydigan",IF($P155&lt;=14,"Rejalashtirilgan","Rejali"))))</f>
        <v/>
      </c>
      <c r="R155" s="25"/>
      <c r="S155" s="14" t="str">
        <f aca="false">IF($K155&lt;&gt;"Kesarcha","",IF(OR($O155&lt;&gt;"",$R155="Ha"),"Ha","YO‘Q"))</f>
        <v/>
      </c>
      <c r="T155" s="12"/>
      <c r="U155" s="12"/>
      <c r="V155" s="14" t="str">
        <f aca="false">IF(OR($C155="",$D155="",$B155=""),"",IF(COUNTIFS($C$5:$C$604,$C155,$D$5:$D$604,$D155,$B$5:$B$604,$B155)&gt;1,"Takror",""))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4"/>
      <c r="F156" s="12"/>
      <c r="G156" s="14" t="str">
        <f aca="false">IF(OR($D156="",$B156=""),"",INT(($B156-$D156)/365.25))</f>
        <v/>
      </c>
      <c r="H156" s="14" t="str">
        <f aca="false">IF($G156="","",IF($G156&lt;18,"Ha","Yo'q"))</f>
        <v/>
      </c>
      <c r="I156" s="12"/>
      <c r="J156" s="25"/>
      <c r="K156" s="25"/>
      <c r="L156" s="25"/>
      <c r="M156" s="12"/>
      <c r="N156" s="25"/>
      <c r="O156" s="25"/>
      <c r="P156" s="14" t="str">
        <f aca="false">IF($O156="","",IFERROR(VALUE(LEFT($O156,FIND(".",$O156)-1)),""))</f>
        <v/>
      </c>
      <c r="Q156" s="14" t="str">
        <f aca="false">IF($P156="","",IF($P156&lt;=7,"Shoshilinch",IF($P156&lt;=9,"Kechiktirib bo'lmaydigan",IF($P156&lt;=14,"Rejalashtirilgan","Rejali"))))</f>
        <v/>
      </c>
      <c r="R156" s="25"/>
      <c r="S156" s="14" t="str">
        <f aca="false">IF($K156&lt;&gt;"Kesarcha","",IF(OR($O156&lt;&gt;"",$R156="Ha"),"Ha","YO‘Q"))</f>
        <v/>
      </c>
      <c r="T156" s="12"/>
      <c r="U156" s="12"/>
      <c r="V156" s="14" t="str">
        <f aca="false">IF(OR($C156="",$D156="",$B156=""),"",IF(COUNTIFS($C$5:$C$604,$C156,$D$5:$D$604,$D156,$B$5:$B$604,$B156)&gt;1,"Takror",""))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4"/>
      <c r="F157" s="12"/>
      <c r="G157" s="14" t="str">
        <f aca="false">IF(OR($D157="",$B157=""),"",INT(($B157-$D157)/365.25))</f>
        <v/>
      </c>
      <c r="H157" s="14" t="str">
        <f aca="false">IF($G157="","",IF($G157&lt;18,"Ha","Yo'q"))</f>
        <v/>
      </c>
      <c r="I157" s="12"/>
      <c r="J157" s="25"/>
      <c r="K157" s="25"/>
      <c r="L157" s="25"/>
      <c r="M157" s="12"/>
      <c r="N157" s="25"/>
      <c r="O157" s="25"/>
      <c r="P157" s="14" t="str">
        <f aca="false">IF($O157="","",IFERROR(VALUE(LEFT($O157,FIND(".",$O157)-1)),""))</f>
        <v/>
      </c>
      <c r="Q157" s="14" t="str">
        <f aca="false">IF($P157="","",IF($P157&lt;=7,"Shoshilinch",IF($P157&lt;=9,"Kechiktirib bo'lmaydigan",IF($P157&lt;=14,"Rejalashtirilgan","Rejali"))))</f>
        <v/>
      </c>
      <c r="R157" s="25"/>
      <c r="S157" s="14" t="str">
        <f aca="false">IF($K157&lt;&gt;"Kesarcha","",IF(OR($O157&lt;&gt;"",$R157="Ha"),"Ha","YO‘Q"))</f>
        <v/>
      </c>
      <c r="T157" s="12"/>
      <c r="U157" s="12"/>
      <c r="V157" s="14" t="str">
        <f aca="false">IF(OR($C157="",$D157="",$B157=""),"",IF(COUNTIFS($C$5:$C$604,$C157,$D$5:$D$604,$D157,$B$5:$B$604,$B157)&gt;1,"Takror",""))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4"/>
      <c r="F158" s="12"/>
      <c r="G158" s="14" t="str">
        <f aca="false">IF(OR($D158="",$B158=""),"",INT(($B158-$D158)/365.25))</f>
        <v/>
      </c>
      <c r="H158" s="14" t="str">
        <f aca="false">IF($G158="","",IF($G158&lt;18,"Ha","Yo'q"))</f>
        <v/>
      </c>
      <c r="I158" s="12"/>
      <c r="J158" s="25"/>
      <c r="K158" s="25"/>
      <c r="L158" s="25"/>
      <c r="M158" s="12"/>
      <c r="N158" s="25"/>
      <c r="O158" s="25"/>
      <c r="P158" s="14" t="str">
        <f aca="false">IF($O158="","",IFERROR(VALUE(LEFT($O158,FIND(".",$O158)-1)),""))</f>
        <v/>
      </c>
      <c r="Q158" s="14" t="str">
        <f aca="false">IF($P158="","",IF($P158&lt;=7,"Shoshilinch",IF($P158&lt;=9,"Kechiktirib bo'lmaydigan",IF($P158&lt;=14,"Rejalashtirilgan","Rejali"))))</f>
        <v/>
      </c>
      <c r="R158" s="25"/>
      <c r="S158" s="14" t="str">
        <f aca="false">IF($K158&lt;&gt;"Kesarcha","",IF(OR($O158&lt;&gt;"",$R158="Ha"),"Ha","YO‘Q"))</f>
        <v/>
      </c>
      <c r="T158" s="12"/>
      <c r="U158" s="12"/>
      <c r="V158" s="14" t="str">
        <f aca="false">IF(OR($C158="",$D158="",$B158=""),"",IF(COUNTIFS($C$5:$C$604,$C158,$D$5:$D$604,$D158,$B$5:$B$604,$B158)&gt;1,"Takror",""))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4"/>
      <c r="F159" s="12"/>
      <c r="G159" s="14" t="str">
        <f aca="false">IF(OR($D159="",$B159=""),"",INT(($B159-$D159)/365.25))</f>
        <v/>
      </c>
      <c r="H159" s="14" t="str">
        <f aca="false">IF($G159="","",IF($G159&lt;18,"Ha","Yo'q"))</f>
        <v/>
      </c>
      <c r="I159" s="12"/>
      <c r="J159" s="25"/>
      <c r="K159" s="25"/>
      <c r="L159" s="25"/>
      <c r="M159" s="12"/>
      <c r="N159" s="25"/>
      <c r="O159" s="25"/>
      <c r="P159" s="14" t="str">
        <f aca="false">IF($O159="","",IFERROR(VALUE(LEFT($O159,FIND(".",$O159)-1)),""))</f>
        <v/>
      </c>
      <c r="Q159" s="14" t="str">
        <f aca="false">IF($P159="","",IF($P159&lt;=7,"Shoshilinch",IF($P159&lt;=9,"Kechiktirib bo'lmaydigan",IF($P159&lt;=14,"Rejalashtirilgan","Rejali"))))</f>
        <v/>
      </c>
      <c r="R159" s="25"/>
      <c r="S159" s="14" t="str">
        <f aca="false">IF($K159&lt;&gt;"Kesarcha","",IF(OR($O159&lt;&gt;"",$R159="Ha"),"Ha","YO‘Q"))</f>
        <v/>
      </c>
      <c r="T159" s="12"/>
      <c r="U159" s="12"/>
      <c r="V159" s="14" t="str">
        <f aca="false">IF(OR($C159="",$D159="",$B159=""),"",IF(COUNTIFS($C$5:$C$604,$C159,$D$5:$D$604,$D159,$B$5:$B$604,$B159)&gt;1,"Takror",""))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4"/>
      <c r="F160" s="12"/>
      <c r="G160" s="14" t="str">
        <f aca="false">IF(OR($D160="",$B160=""),"",INT(($B160-$D160)/365.25))</f>
        <v/>
      </c>
      <c r="H160" s="14" t="str">
        <f aca="false">IF($G160="","",IF($G160&lt;18,"Ha","Yo'q"))</f>
        <v/>
      </c>
      <c r="I160" s="12"/>
      <c r="J160" s="25"/>
      <c r="K160" s="25"/>
      <c r="L160" s="25"/>
      <c r="M160" s="12"/>
      <c r="N160" s="25"/>
      <c r="O160" s="25"/>
      <c r="P160" s="14" t="str">
        <f aca="false">IF($O160="","",IFERROR(VALUE(LEFT($O160,FIND(".",$O160)-1)),""))</f>
        <v/>
      </c>
      <c r="Q160" s="14" t="str">
        <f aca="false">IF($P160="","",IF($P160&lt;=7,"Shoshilinch",IF($P160&lt;=9,"Kechiktirib bo'lmaydigan",IF($P160&lt;=14,"Rejalashtirilgan","Rejali"))))</f>
        <v/>
      </c>
      <c r="R160" s="25"/>
      <c r="S160" s="14" t="str">
        <f aca="false">IF($K160&lt;&gt;"Kesarcha","",IF(OR($O160&lt;&gt;"",$R160="Ha"),"Ha","YO‘Q"))</f>
        <v/>
      </c>
      <c r="T160" s="12"/>
      <c r="U160" s="12"/>
      <c r="V160" s="14" t="str">
        <f aca="false">IF(OR($C160="",$D160="",$B160=""),"",IF(COUNTIFS($C$5:$C$604,$C160,$D$5:$D$604,$D160,$B$5:$B$604,$B160)&gt;1,"Takror",""))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4"/>
      <c r="F161" s="12"/>
      <c r="G161" s="14" t="str">
        <f aca="false">IF(OR($D161="",$B161=""),"",INT(($B161-$D161)/365.25))</f>
        <v/>
      </c>
      <c r="H161" s="14" t="str">
        <f aca="false">IF($G161="","",IF($G161&lt;18,"Ha","Yo'q"))</f>
        <v/>
      </c>
      <c r="I161" s="12"/>
      <c r="J161" s="25"/>
      <c r="K161" s="25"/>
      <c r="L161" s="25"/>
      <c r="M161" s="12"/>
      <c r="N161" s="25"/>
      <c r="O161" s="25"/>
      <c r="P161" s="14" t="str">
        <f aca="false">IF($O161="","",IFERROR(VALUE(LEFT($O161,FIND(".",$O161)-1)),""))</f>
        <v/>
      </c>
      <c r="Q161" s="14" t="str">
        <f aca="false">IF($P161="","",IF($P161&lt;=7,"Shoshilinch",IF($P161&lt;=9,"Kechiktirib bo'lmaydigan",IF($P161&lt;=14,"Rejalashtirilgan","Rejali"))))</f>
        <v/>
      </c>
      <c r="R161" s="25"/>
      <c r="S161" s="14" t="str">
        <f aca="false">IF($K161&lt;&gt;"Kesarcha","",IF(OR($O161&lt;&gt;"",$R161="Ha"),"Ha","YO‘Q"))</f>
        <v/>
      </c>
      <c r="T161" s="12"/>
      <c r="U161" s="12"/>
      <c r="V161" s="14" t="str">
        <f aca="false">IF(OR($C161="",$D161="",$B161=""),"",IF(COUNTIFS($C$5:$C$604,$C161,$D$5:$D$604,$D161,$B$5:$B$604,$B161)&gt;1,"Takror",""))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4"/>
      <c r="F162" s="12"/>
      <c r="G162" s="14" t="str">
        <f aca="false">IF(OR($D162="",$B162=""),"",INT(($B162-$D162)/365.25))</f>
        <v/>
      </c>
      <c r="H162" s="14" t="str">
        <f aca="false">IF($G162="","",IF($G162&lt;18,"Ha","Yo'q"))</f>
        <v/>
      </c>
      <c r="I162" s="12"/>
      <c r="J162" s="25"/>
      <c r="K162" s="25"/>
      <c r="L162" s="25"/>
      <c r="M162" s="12"/>
      <c r="N162" s="25"/>
      <c r="O162" s="25"/>
      <c r="P162" s="14" t="str">
        <f aca="false">IF($O162="","",IFERROR(VALUE(LEFT($O162,FIND(".",$O162)-1)),""))</f>
        <v/>
      </c>
      <c r="Q162" s="14" t="str">
        <f aca="false">IF($P162="","",IF($P162&lt;=7,"Shoshilinch",IF($P162&lt;=9,"Kechiktirib bo'lmaydigan",IF($P162&lt;=14,"Rejalashtirilgan","Rejali"))))</f>
        <v/>
      </c>
      <c r="R162" s="25"/>
      <c r="S162" s="14" t="str">
        <f aca="false">IF($K162&lt;&gt;"Kesarcha","",IF(OR($O162&lt;&gt;"",$R162="Ha"),"Ha","YO‘Q"))</f>
        <v/>
      </c>
      <c r="T162" s="12"/>
      <c r="U162" s="12"/>
      <c r="V162" s="14" t="str">
        <f aca="false">IF(OR($C162="",$D162="",$B162=""),"",IF(COUNTIFS($C$5:$C$604,$C162,$D$5:$D$604,$D162,$B$5:$B$604,$B162)&gt;1,"Takror",""))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4"/>
      <c r="F163" s="12"/>
      <c r="G163" s="14" t="str">
        <f aca="false">IF(OR($D163="",$B163=""),"",INT(($B163-$D163)/365.25))</f>
        <v/>
      </c>
      <c r="H163" s="14" t="str">
        <f aca="false">IF($G163="","",IF($G163&lt;18,"Ha","Yo'q"))</f>
        <v/>
      </c>
      <c r="I163" s="12"/>
      <c r="J163" s="25"/>
      <c r="K163" s="25"/>
      <c r="L163" s="25"/>
      <c r="M163" s="12"/>
      <c r="N163" s="25"/>
      <c r="O163" s="25"/>
      <c r="P163" s="14" t="str">
        <f aca="false">IF($O163="","",IFERROR(VALUE(LEFT($O163,FIND(".",$O163)-1)),""))</f>
        <v/>
      </c>
      <c r="Q163" s="14" t="str">
        <f aca="false">IF($P163="","",IF($P163&lt;=7,"Shoshilinch",IF($P163&lt;=9,"Kechiktirib bo'lmaydigan",IF($P163&lt;=14,"Rejalashtirilgan","Rejali"))))</f>
        <v/>
      </c>
      <c r="R163" s="25"/>
      <c r="S163" s="14" t="str">
        <f aca="false">IF($K163&lt;&gt;"Kesarcha","",IF(OR($O163&lt;&gt;"",$R163="Ha"),"Ha","YO‘Q"))</f>
        <v/>
      </c>
      <c r="T163" s="12"/>
      <c r="U163" s="12"/>
      <c r="V163" s="14" t="str">
        <f aca="false">IF(OR($C163="",$D163="",$B163=""),"",IF(COUNTIFS($C$5:$C$604,$C163,$D$5:$D$604,$D163,$B$5:$B$604,$B163)&gt;1,"Takror",""))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4"/>
      <c r="F164" s="12"/>
      <c r="G164" s="14" t="str">
        <f aca="false">IF(OR($D164="",$B164=""),"",INT(($B164-$D164)/365.25))</f>
        <v/>
      </c>
      <c r="H164" s="14" t="str">
        <f aca="false">IF($G164="","",IF($G164&lt;18,"Ha","Yo'q"))</f>
        <v/>
      </c>
      <c r="I164" s="12"/>
      <c r="J164" s="25"/>
      <c r="K164" s="25"/>
      <c r="L164" s="25"/>
      <c r="M164" s="12"/>
      <c r="N164" s="25"/>
      <c r="O164" s="25"/>
      <c r="P164" s="14" t="str">
        <f aca="false">IF($O164="","",IFERROR(VALUE(LEFT($O164,FIND(".",$O164)-1)),""))</f>
        <v/>
      </c>
      <c r="Q164" s="14" t="str">
        <f aca="false">IF($P164="","",IF($P164&lt;=7,"Shoshilinch",IF($P164&lt;=9,"Kechiktirib bo'lmaydigan",IF($P164&lt;=14,"Rejalashtirilgan","Rejali"))))</f>
        <v/>
      </c>
      <c r="R164" s="25"/>
      <c r="S164" s="14" t="str">
        <f aca="false">IF($K164&lt;&gt;"Kesarcha","",IF(OR($O164&lt;&gt;"",$R164="Ha"),"Ha","YO‘Q"))</f>
        <v/>
      </c>
      <c r="T164" s="12"/>
      <c r="U164" s="12"/>
      <c r="V164" s="14" t="str">
        <f aca="false">IF(OR($C164="",$D164="",$B164=""),"",IF(COUNTIFS($C$5:$C$604,$C164,$D$5:$D$604,$D164,$B$5:$B$604,$B164)&gt;1,"Takror",""))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4"/>
      <c r="F165" s="12"/>
      <c r="G165" s="14" t="str">
        <f aca="false">IF(OR($D165="",$B165=""),"",INT(($B165-$D165)/365.25))</f>
        <v/>
      </c>
      <c r="H165" s="14" t="str">
        <f aca="false">IF($G165="","",IF($G165&lt;18,"Ha","Yo'q"))</f>
        <v/>
      </c>
      <c r="I165" s="12"/>
      <c r="J165" s="25"/>
      <c r="K165" s="25"/>
      <c r="L165" s="25"/>
      <c r="M165" s="12"/>
      <c r="N165" s="25"/>
      <c r="O165" s="25"/>
      <c r="P165" s="14" t="str">
        <f aca="false">IF($O165="","",IFERROR(VALUE(LEFT($O165,FIND(".",$O165)-1)),""))</f>
        <v/>
      </c>
      <c r="Q165" s="14" t="str">
        <f aca="false">IF($P165="","",IF($P165&lt;=7,"Shoshilinch",IF($P165&lt;=9,"Kechiktirib bo'lmaydigan",IF($P165&lt;=14,"Rejalashtirilgan","Rejali"))))</f>
        <v/>
      </c>
      <c r="R165" s="25"/>
      <c r="S165" s="14" t="str">
        <f aca="false">IF($K165&lt;&gt;"Kesarcha","",IF(OR($O165&lt;&gt;"",$R165="Ha"),"Ha","YO‘Q"))</f>
        <v/>
      </c>
      <c r="T165" s="12"/>
      <c r="U165" s="12"/>
      <c r="V165" s="14" t="str">
        <f aca="false">IF(OR($C165="",$D165="",$B165=""),"",IF(COUNTIFS($C$5:$C$604,$C165,$D$5:$D$604,$D165,$B$5:$B$604,$B165)&gt;1,"Takror",""))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4"/>
      <c r="F166" s="12"/>
      <c r="G166" s="14" t="str">
        <f aca="false">IF(OR($D166="",$B166=""),"",INT(($B166-$D166)/365.25))</f>
        <v/>
      </c>
      <c r="H166" s="14" t="str">
        <f aca="false">IF($G166="","",IF($G166&lt;18,"Ha","Yo'q"))</f>
        <v/>
      </c>
      <c r="I166" s="12"/>
      <c r="J166" s="25"/>
      <c r="K166" s="25"/>
      <c r="L166" s="25"/>
      <c r="M166" s="12"/>
      <c r="N166" s="25"/>
      <c r="O166" s="25"/>
      <c r="P166" s="14" t="str">
        <f aca="false">IF($O166="","",IFERROR(VALUE(LEFT($O166,FIND(".",$O166)-1)),""))</f>
        <v/>
      </c>
      <c r="Q166" s="14" t="str">
        <f aca="false">IF($P166="","",IF($P166&lt;=7,"Shoshilinch",IF($P166&lt;=9,"Kechiktirib bo'lmaydigan",IF($P166&lt;=14,"Rejalashtirilgan","Rejali"))))</f>
        <v/>
      </c>
      <c r="R166" s="25"/>
      <c r="S166" s="14" t="str">
        <f aca="false">IF($K166&lt;&gt;"Kesarcha","",IF(OR($O166&lt;&gt;"",$R166="Ha"),"Ha","YO‘Q"))</f>
        <v/>
      </c>
      <c r="T166" s="12"/>
      <c r="U166" s="12"/>
      <c r="V166" s="14" t="str">
        <f aca="false">IF(OR($C166="",$D166="",$B166=""),"",IF(COUNTIFS($C$5:$C$604,$C166,$D$5:$D$604,$D166,$B$5:$B$604,$B166)&gt;1,"Takror",""))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4"/>
      <c r="F167" s="12"/>
      <c r="G167" s="14" t="str">
        <f aca="false">IF(OR($D167="",$B167=""),"",INT(($B167-$D167)/365.25))</f>
        <v/>
      </c>
      <c r="H167" s="14" t="str">
        <f aca="false">IF($G167="","",IF($G167&lt;18,"Ha","Yo'q"))</f>
        <v/>
      </c>
      <c r="I167" s="12"/>
      <c r="J167" s="25"/>
      <c r="K167" s="25"/>
      <c r="L167" s="25"/>
      <c r="M167" s="12"/>
      <c r="N167" s="25"/>
      <c r="O167" s="25"/>
      <c r="P167" s="14" t="str">
        <f aca="false">IF($O167="","",IFERROR(VALUE(LEFT($O167,FIND(".",$O167)-1)),""))</f>
        <v/>
      </c>
      <c r="Q167" s="14" t="str">
        <f aca="false">IF($P167="","",IF($P167&lt;=7,"Shoshilinch",IF($P167&lt;=9,"Kechiktirib bo'lmaydigan",IF($P167&lt;=14,"Rejalashtirilgan","Rejali"))))</f>
        <v/>
      </c>
      <c r="R167" s="25"/>
      <c r="S167" s="14" t="str">
        <f aca="false">IF($K167&lt;&gt;"Kesarcha","",IF(OR($O167&lt;&gt;"",$R167="Ha"),"Ha","YO‘Q"))</f>
        <v/>
      </c>
      <c r="T167" s="12"/>
      <c r="U167" s="12"/>
      <c r="V167" s="14" t="str">
        <f aca="false">IF(OR($C167="",$D167="",$B167=""),"",IF(COUNTIFS($C$5:$C$604,$C167,$D$5:$D$604,$D167,$B$5:$B$604,$B167)&gt;1,"Takror",""))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4"/>
      <c r="F168" s="12"/>
      <c r="G168" s="14" t="str">
        <f aca="false">IF(OR($D168="",$B168=""),"",INT(($B168-$D168)/365.25))</f>
        <v/>
      </c>
      <c r="H168" s="14" t="str">
        <f aca="false">IF($G168="","",IF($G168&lt;18,"Ha","Yo'q"))</f>
        <v/>
      </c>
      <c r="I168" s="12"/>
      <c r="J168" s="25"/>
      <c r="K168" s="25"/>
      <c r="L168" s="25"/>
      <c r="M168" s="12"/>
      <c r="N168" s="25"/>
      <c r="O168" s="25"/>
      <c r="P168" s="14" t="str">
        <f aca="false">IF($O168="","",IFERROR(VALUE(LEFT($O168,FIND(".",$O168)-1)),""))</f>
        <v/>
      </c>
      <c r="Q168" s="14" t="str">
        <f aca="false">IF($P168="","",IF($P168&lt;=7,"Shoshilinch",IF($P168&lt;=9,"Kechiktirib bo'lmaydigan",IF($P168&lt;=14,"Rejalashtirilgan","Rejali"))))</f>
        <v/>
      </c>
      <c r="R168" s="25"/>
      <c r="S168" s="14" t="str">
        <f aca="false">IF($K168&lt;&gt;"Kesarcha","",IF(OR($O168&lt;&gt;"",$R168="Ha"),"Ha","YO‘Q"))</f>
        <v/>
      </c>
      <c r="T168" s="12"/>
      <c r="U168" s="12"/>
      <c r="V168" s="14" t="str">
        <f aca="false">IF(OR($C168="",$D168="",$B168=""),"",IF(COUNTIFS($C$5:$C$604,$C168,$D$5:$D$604,$D168,$B$5:$B$604,$B168)&gt;1,"Takror",""))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4"/>
      <c r="F169" s="12"/>
      <c r="G169" s="14" t="str">
        <f aca="false">IF(OR($D169="",$B169=""),"",INT(($B169-$D169)/365.25))</f>
        <v/>
      </c>
      <c r="H169" s="14" t="str">
        <f aca="false">IF($G169="","",IF($G169&lt;18,"Ha","Yo'q"))</f>
        <v/>
      </c>
      <c r="I169" s="12"/>
      <c r="J169" s="25"/>
      <c r="K169" s="25"/>
      <c r="L169" s="25"/>
      <c r="M169" s="12"/>
      <c r="N169" s="25"/>
      <c r="O169" s="25"/>
      <c r="P169" s="14" t="str">
        <f aca="false">IF($O169="","",IFERROR(VALUE(LEFT($O169,FIND(".",$O169)-1)),""))</f>
        <v/>
      </c>
      <c r="Q169" s="14" t="str">
        <f aca="false">IF($P169="","",IF($P169&lt;=7,"Shoshilinch",IF($P169&lt;=9,"Kechiktirib bo'lmaydigan",IF($P169&lt;=14,"Rejalashtirilgan","Rejali"))))</f>
        <v/>
      </c>
      <c r="R169" s="25"/>
      <c r="S169" s="14" t="str">
        <f aca="false">IF($K169&lt;&gt;"Kesarcha","",IF(OR($O169&lt;&gt;"",$R169="Ha"),"Ha","YO‘Q"))</f>
        <v/>
      </c>
      <c r="T169" s="12"/>
      <c r="U169" s="12"/>
      <c r="V169" s="14" t="str">
        <f aca="false">IF(OR($C169="",$D169="",$B169=""),"",IF(COUNTIFS($C$5:$C$604,$C169,$D$5:$D$604,$D169,$B$5:$B$604,$B169)&gt;1,"Takror",""))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4"/>
      <c r="F170" s="12"/>
      <c r="G170" s="14" t="str">
        <f aca="false">IF(OR($D170="",$B170=""),"",INT(($B170-$D170)/365.25))</f>
        <v/>
      </c>
      <c r="H170" s="14" t="str">
        <f aca="false">IF($G170="","",IF($G170&lt;18,"Ha","Yo'q"))</f>
        <v/>
      </c>
      <c r="I170" s="12"/>
      <c r="J170" s="25"/>
      <c r="K170" s="25"/>
      <c r="L170" s="25"/>
      <c r="M170" s="12"/>
      <c r="N170" s="25"/>
      <c r="O170" s="25"/>
      <c r="P170" s="14" t="str">
        <f aca="false">IF($O170="","",IFERROR(VALUE(LEFT($O170,FIND(".",$O170)-1)),""))</f>
        <v/>
      </c>
      <c r="Q170" s="14" t="str">
        <f aca="false">IF($P170="","",IF($P170&lt;=7,"Shoshilinch",IF($P170&lt;=9,"Kechiktirib bo'lmaydigan",IF($P170&lt;=14,"Rejalashtirilgan","Rejali"))))</f>
        <v/>
      </c>
      <c r="R170" s="25"/>
      <c r="S170" s="14" t="str">
        <f aca="false">IF($K170&lt;&gt;"Kesarcha","",IF(OR($O170&lt;&gt;"",$R170="Ha"),"Ha","YO‘Q"))</f>
        <v/>
      </c>
      <c r="T170" s="12"/>
      <c r="U170" s="12"/>
      <c r="V170" s="14" t="str">
        <f aca="false">IF(OR($C170="",$D170="",$B170=""),"",IF(COUNTIFS($C$5:$C$604,$C170,$D$5:$D$604,$D170,$B$5:$B$604,$B170)&gt;1,"Takror",""))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4"/>
      <c r="F171" s="12"/>
      <c r="G171" s="14" t="str">
        <f aca="false">IF(OR($D171="",$B171=""),"",INT(($B171-$D171)/365.25))</f>
        <v/>
      </c>
      <c r="H171" s="14" t="str">
        <f aca="false">IF($G171="","",IF($G171&lt;18,"Ha","Yo'q"))</f>
        <v/>
      </c>
      <c r="I171" s="12"/>
      <c r="J171" s="25"/>
      <c r="K171" s="25"/>
      <c r="L171" s="25"/>
      <c r="M171" s="12"/>
      <c r="N171" s="25"/>
      <c r="O171" s="25"/>
      <c r="P171" s="14" t="str">
        <f aca="false">IF($O171="","",IFERROR(VALUE(LEFT($O171,FIND(".",$O171)-1)),""))</f>
        <v/>
      </c>
      <c r="Q171" s="14" t="str">
        <f aca="false">IF($P171="","",IF($P171&lt;=7,"Shoshilinch",IF($P171&lt;=9,"Kechiktirib bo'lmaydigan",IF($P171&lt;=14,"Rejalashtirilgan","Rejali"))))</f>
        <v/>
      </c>
      <c r="R171" s="25"/>
      <c r="S171" s="14" t="str">
        <f aca="false">IF($K171&lt;&gt;"Kesarcha","",IF(OR($O171&lt;&gt;"",$R171="Ha"),"Ha","YO‘Q"))</f>
        <v/>
      </c>
      <c r="T171" s="12"/>
      <c r="U171" s="12"/>
      <c r="V171" s="14" t="str">
        <f aca="false">IF(OR($C171="",$D171="",$B171=""),"",IF(COUNTIFS($C$5:$C$604,$C171,$D$5:$D$604,$D171,$B$5:$B$604,$B171)&gt;1,"Takror",""))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4"/>
      <c r="F172" s="12"/>
      <c r="G172" s="14" t="str">
        <f aca="false">IF(OR($D172="",$B172=""),"",INT(($B172-$D172)/365.25))</f>
        <v/>
      </c>
      <c r="H172" s="14" t="str">
        <f aca="false">IF($G172="","",IF($G172&lt;18,"Ha","Yo'q"))</f>
        <v/>
      </c>
      <c r="I172" s="12"/>
      <c r="J172" s="25"/>
      <c r="K172" s="25"/>
      <c r="L172" s="25"/>
      <c r="M172" s="12"/>
      <c r="N172" s="25"/>
      <c r="O172" s="25"/>
      <c r="P172" s="14" t="str">
        <f aca="false">IF($O172="","",IFERROR(VALUE(LEFT($O172,FIND(".",$O172)-1)),""))</f>
        <v/>
      </c>
      <c r="Q172" s="14" t="str">
        <f aca="false">IF($P172="","",IF($P172&lt;=7,"Shoshilinch",IF($P172&lt;=9,"Kechiktirib bo'lmaydigan",IF($P172&lt;=14,"Rejalashtirilgan","Rejali"))))</f>
        <v/>
      </c>
      <c r="R172" s="25"/>
      <c r="S172" s="14" t="str">
        <f aca="false">IF($K172&lt;&gt;"Kesarcha","",IF(OR($O172&lt;&gt;"",$R172="Ha"),"Ha","YO‘Q"))</f>
        <v/>
      </c>
      <c r="T172" s="12"/>
      <c r="U172" s="12"/>
      <c r="V172" s="14" t="str">
        <f aca="false">IF(OR($C172="",$D172="",$B172=""),"",IF(COUNTIFS($C$5:$C$604,$C172,$D$5:$D$604,$D172,$B$5:$B$604,$B172)&gt;1,"Takror",""))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4"/>
      <c r="F173" s="12"/>
      <c r="G173" s="14" t="str">
        <f aca="false">IF(OR($D173="",$B173=""),"",INT(($B173-$D173)/365.25))</f>
        <v/>
      </c>
      <c r="H173" s="14" t="str">
        <f aca="false">IF($G173="","",IF($G173&lt;18,"Ha","Yo'q"))</f>
        <v/>
      </c>
      <c r="I173" s="12"/>
      <c r="J173" s="25"/>
      <c r="K173" s="25"/>
      <c r="L173" s="25"/>
      <c r="M173" s="12"/>
      <c r="N173" s="25"/>
      <c r="O173" s="25"/>
      <c r="P173" s="14" t="str">
        <f aca="false">IF($O173="","",IFERROR(VALUE(LEFT($O173,FIND(".",$O173)-1)),""))</f>
        <v/>
      </c>
      <c r="Q173" s="14" t="str">
        <f aca="false">IF($P173="","",IF($P173&lt;=7,"Shoshilinch",IF($P173&lt;=9,"Kechiktirib bo'lmaydigan",IF($P173&lt;=14,"Rejalashtirilgan","Rejali"))))</f>
        <v/>
      </c>
      <c r="R173" s="25"/>
      <c r="S173" s="14" t="str">
        <f aca="false">IF($K173&lt;&gt;"Kesarcha","",IF(OR($O173&lt;&gt;"",$R173="Ha"),"Ha","YO‘Q"))</f>
        <v/>
      </c>
      <c r="T173" s="12"/>
      <c r="U173" s="12"/>
      <c r="V173" s="14" t="str">
        <f aca="false">IF(OR($C173="",$D173="",$B173=""),"",IF(COUNTIFS($C$5:$C$604,$C173,$D$5:$D$604,$D173,$B$5:$B$604,$B173)&gt;1,"Takror",""))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4"/>
      <c r="F174" s="12"/>
      <c r="G174" s="14" t="str">
        <f aca="false">IF(OR($D174="",$B174=""),"",INT(($B174-$D174)/365.25))</f>
        <v/>
      </c>
      <c r="H174" s="14" t="str">
        <f aca="false">IF($G174="","",IF($G174&lt;18,"Ha","Yo'q"))</f>
        <v/>
      </c>
      <c r="I174" s="12"/>
      <c r="J174" s="25"/>
      <c r="K174" s="25"/>
      <c r="L174" s="25"/>
      <c r="M174" s="12"/>
      <c r="N174" s="25"/>
      <c r="O174" s="25"/>
      <c r="P174" s="14" t="str">
        <f aca="false">IF($O174="","",IFERROR(VALUE(LEFT($O174,FIND(".",$O174)-1)),""))</f>
        <v/>
      </c>
      <c r="Q174" s="14" t="str">
        <f aca="false">IF($P174="","",IF($P174&lt;=7,"Shoshilinch",IF($P174&lt;=9,"Kechiktirib bo'lmaydigan",IF($P174&lt;=14,"Rejalashtirilgan","Rejali"))))</f>
        <v/>
      </c>
      <c r="R174" s="25"/>
      <c r="S174" s="14" t="str">
        <f aca="false">IF($K174&lt;&gt;"Kesarcha","",IF(OR($O174&lt;&gt;"",$R174="Ha"),"Ha","YO‘Q"))</f>
        <v/>
      </c>
      <c r="T174" s="12"/>
      <c r="U174" s="12"/>
      <c r="V174" s="14" t="str">
        <f aca="false">IF(OR($C174="",$D174="",$B174=""),"",IF(COUNTIFS($C$5:$C$604,$C174,$D$5:$D$604,$D174,$B$5:$B$604,$B174)&gt;1,"Takror",""))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4"/>
      <c r="F175" s="12"/>
      <c r="G175" s="14" t="str">
        <f aca="false">IF(OR($D175="",$B175=""),"",INT(($B175-$D175)/365.25))</f>
        <v/>
      </c>
      <c r="H175" s="14" t="str">
        <f aca="false">IF($G175="","",IF($G175&lt;18,"Ha","Yo'q"))</f>
        <v/>
      </c>
      <c r="I175" s="12"/>
      <c r="J175" s="25"/>
      <c r="K175" s="25"/>
      <c r="L175" s="25"/>
      <c r="M175" s="12"/>
      <c r="N175" s="25"/>
      <c r="O175" s="25"/>
      <c r="P175" s="14" t="str">
        <f aca="false">IF($O175="","",IFERROR(VALUE(LEFT($O175,FIND(".",$O175)-1)),""))</f>
        <v/>
      </c>
      <c r="Q175" s="14" t="str">
        <f aca="false">IF($P175="","",IF($P175&lt;=7,"Shoshilinch",IF($P175&lt;=9,"Kechiktirib bo'lmaydigan",IF($P175&lt;=14,"Rejalashtirilgan","Rejali"))))</f>
        <v/>
      </c>
      <c r="R175" s="25"/>
      <c r="S175" s="14" t="str">
        <f aca="false">IF($K175&lt;&gt;"Kesarcha","",IF(OR($O175&lt;&gt;"",$R175="Ha"),"Ha","YO‘Q"))</f>
        <v/>
      </c>
      <c r="T175" s="12"/>
      <c r="U175" s="12"/>
      <c r="V175" s="14" t="str">
        <f aca="false">IF(OR($C175="",$D175="",$B175=""),"",IF(COUNTIFS($C$5:$C$604,$C175,$D$5:$D$604,$D175,$B$5:$B$604,$B175)&gt;1,"Takror",""))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4"/>
      <c r="F176" s="12"/>
      <c r="G176" s="14" t="str">
        <f aca="false">IF(OR($D176="",$B176=""),"",INT(($B176-$D176)/365.25))</f>
        <v/>
      </c>
      <c r="H176" s="14" t="str">
        <f aca="false">IF($G176="","",IF($G176&lt;18,"Ha","Yo'q"))</f>
        <v/>
      </c>
      <c r="I176" s="12"/>
      <c r="J176" s="25"/>
      <c r="K176" s="25"/>
      <c r="L176" s="25"/>
      <c r="M176" s="12"/>
      <c r="N176" s="25"/>
      <c r="O176" s="25"/>
      <c r="P176" s="14" t="str">
        <f aca="false">IF($O176="","",IFERROR(VALUE(LEFT($O176,FIND(".",$O176)-1)),""))</f>
        <v/>
      </c>
      <c r="Q176" s="14" t="str">
        <f aca="false">IF($P176="","",IF($P176&lt;=7,"Shoshilinch",IF($P176&lt;=9,"Kechiktirib bo'lmaydigan",IF($P176&lt;=14,"Rejalashtirilgan","Rejali"))))</f>
        <v/>
      </c>
      <c r="R176" s="25"/>
      <c r="S176" s="14" t="str">
        <f aca="false">IF($K176&lt;&gt;"Kesarcha","",IF(OR($O176&lt;&gt;"",$R176="Ha"),"Ha","YO‘Q"))</f>
        <v/>
      </c>
      <c r="T176" s="12"/>
      <c r="U176" s="12"/>
      <c r="V176" s="14" t="str">
        <f aca="false">IF(OR($C176="",$D176="",$B176=""),"",IF(COUNTIFS($C$5:$C$604,$C176,$D$5:$D$604,$D176,$B$5:$B$604,$B176)&gt;1,"Takror",""))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4"/>
      <c r="F177" s="12"/>
      <c r="G177" s="14" t="str">
        <f aca="false">IF(OR($D177="",$B177=""),"",INT(($B177-$D177)/365.25))</f>
        <v/>
      </c>
      <c r="H177" s="14" t="str">
        <f aca="false">IF($G177="","",IF($G177&lt;18,"Ha","Yo'q"))</f>
        <v/>
      </c>
      <c r="I177" s="12"/>
      <c r="J177" s="25"/>
      <c r="K177" s="25"/>
      <c r="L177" s="25"/>
      <c r="M177" s="12"/>
      <c r="N177" s="25"/>
      <c r="O177" s="25"/>
      <c r="P177" s="14" t="str">
        <f aca="false">IF($O177="","",IFERROR(VALUE(LEFT($O177,FIND(".",$O177)-1)),""))</f>
        <v/>
      </c>
      <c r="Q177" s="14" t="str">
        <f aca="false">IF($P177="","",IF($P177&lt;=7,"Shoshilinch",IF($P177&lt;=9,"Kechiktirib bo'lmaydigan",IF($P177&lt;=14,"Rejalashtirilgan","Rejali"))))</f>
        <v/>
      </c>
      <c r="R177" s="25"/>
      <c r="S177" s="14" t="str">
        <f aca="false">IF($K177&lt;&gt;"Kesarcha","",IF(OR($O177&lt;&gt;"",$R177="Ha"),"Ha","YO‘Q"))</f>
        <v/>
      </c>
      <c r="T177" s="12"/>
      <c r="U177" s="12"/>
      <c r="V177" s="14" t="str">
        <f aca="false">IF(OR($C177="",$D177="",$B177=""),"",IF(COUNTIFS($C$5:$C$604,$C177,$D$5:$D$604,$D177,$B$5:$B$604,$B177)&gt;1,"Takror",""))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4"/>
      <c r="F178" s="12"/>
      <c r="G178" s="14" t="str">
        <f aca="false">IF(OR($D178="",$B178=""),"",INT(($B178-$D178)/365.25))</f>
        <v/>
      </c>
      <c r="H178" s="14" t="str">
        <f aca="false">IF($G178="","",IF($G178&lt;18,"Ha","Yo'q"))</f>
        <v/>
      </c>
      <c r="I178" s="12"/>
      <c r="J178" s="25"/>
      <c r="K178" s="25"/>
      <c r="L178" s="25"/>
      <c r="M178" s="12"/>
      <c r="N178" s="25"/>
      <c r="O178" s="25"/>
      <c r="P178" s="14" t="str">
        <f aca="false">IF($O178="","",IFERROR(VALUE(LEFT($O178,FIND(".",$O178)-1)),""))</f>
        <v/>
      </c>
      <c r="Q178" s="14" t="str">
        <f aca="false">IF($P178="","",IF($P178&lt;=7,"Shoshilinch",IF($P178&lt;=9,"Kechiktirib bo'lmaydigan",IF($P178&lt;=14,"Rejalashtirilgan","Rejali"))))</f>
        <v/>
      </c>
      <c r="R178" s="25"/>
      <c r="S178" s="14" t="str">
        <f aca="false">IF($K178&lt;&gt;"Kesarcha","",IF(OR($O178&lt;&gt;"",$R178="Ha"),"Ha","YO‘Q"))</f>
        <v/>
      </c>
      <c r="T178" s="12"/>
      <c r="U178" s="12"/>
      <c r="V178" s="14" t="str">
        <f aca="false">IF(OR($C178="",$D178="",$B178=""),"",IF(COUNTIFS($C$5:$C$604,$C178,$D$5:$D$604,$D178,$B$5:$B$604,$B178)&gt;1,"Takror",""))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4"/>
      <c r="F179" s="12"/>
      <c r="G179" s="14" t="str">
        <f aca="false">IF(OR($D179="",$B179=""),"",INT(($B179-$D179)/365.25))</f>
        <v/>
      </c>
      <c r="H179" s="14" t="str">
        <f aca="false">IF($G179="","",IF($G179&lt;18,"Ha","Yo'q"))</f>
        <v/>
      </c>
      <c r="I179" s="12"/>
      <c r="J179" s="25"/>
      <c r="K179" s="25"/>
      <c r="L179" s="25"/>
      <c r="M179" s="12"/>
      <c r="N179" s="25"/>
      <c r="O179" s="25"/>
      <c r="P179" s="14" t="str">
        <f aca="false">IF($O179="","",IFERROR(VALUE(LEFT($O179,FIND(".",$O179)-1)),""))</f>
        <v/>
      </c>
      <c r="Q179" s="14" t="str">
        <f aca="false">IF($P179="","",IF($P179&lt;=7,"Shoshilinch",IF($P179&lt;=9,"Kechiktirib bo'lmaydigan",IF($P179&lt;=14,"Rejalashtirilgan","Rejali"))))</f>
        <v/>
      </c>
      <c r="R179" s="25"/>
      <c r="S179" s="14" t="str">
        <f aca="false">IF($K179&lt;&gt;"Kesarcha","",IF(OR($O179&lt;&gt;"",$R179="Ha"),"Ha","YO‘Q"))</f>
        <v/>
      </c>
      <c r="T179" s="12"/>
      <c r="U179" s="12"/>
      <c r="V179" s="14" t="str">
        <f aca="false">IF(OR($C179="",$D179="",$B179=""),"",IF(COUNTIFS($C$5:$C$604,$C179,$D$5:$D$604,$D179,$B$5:$B$604,$B179)&gt;1,"Takror",""))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4"/>
      <c r="F180" s="12"/>
      <c r="G180" s="14" t="str">
        <f aca="false">IF(OR($D180="",$B180=""),"",INT(($B180-$D180)/365.25))</f>
        <v/>
      </c>
      <c r="H180" s="14" t="str">
        <f aca="false">IF($G180="","",IF($G180&lt;18,"Ha","Yo'q"))</f>
        <v/>
      </c>
      <c r="I180" s="12"/>
      <c r="J180" s="25"/>
      <c r="K180" s="25"/>
      <c r="L180" s="25"/>
      <c r="M180" s="12"/>
      <c r="N180" s="25"/>
      <c r="O180" s="25"/>
      <c r="P180" s="14" t="str">
        <f aca="false">IF($O180="","",IFERROR(VALUE(LEFT($O180,FIND(".",$O180)-1)),""))</f>
        <v/>
      </c>
      <c r="Q180" s="14" t="str">
        <f aca="false">IF($P180="","",IF($P180&lt;=7,"Shoshilinch",IF($P180&lt;=9,"Kechiktirib bo'lmaydigan",IF($P180&lt;=14,"Rejalashtirilgan","Rejali"))))</f>
        <v/>
      </c>
      <c r="R180" s="25"/>
      <c r="S180" s="14" t="str">
        <f aca="false">IF($K180&lt;&gt;"Kesarcha","",IF(OR($O180&lt;&gt;"",$R180="Ha"),"Ha","YO‘Q"))</f>
        <v/>
      </c>
      <c r="T180" s="12"/>
      <c r="U180" s="12"/>
      <c r="V180" s="14" t="str">
        <f aca="false">IF(OR($C180="",$D180="",$B180=""),"",IF(COUNTIFS($C$5:$C$604,$C180,$D$5:$D$604,$D180,$B$5:$B$604,$B180)&gt;1,"Takror",""))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4"/>
      <c r="F181" s="12"/>
      <c r="G181" s="14" t="str">
        <f aca="false">IF(OR($D181="",$B181=""),"",INT(($B181-$D181)/365.25))</f>
        <v/>
      </c>
      <c r="H181" s="14" t="str">
        <f aca="false">IF($G181="","",IF($G181&lt;18,"Ha","Yo'q"))</f>
        <v/>
      </c>
      <c r="I181" s="12"/>
      <c r="J181" s="25"/>
      <c r="K181" s="25"/>
      <c r="L181" s="25"/>
      <c r="M181" s="12"/>
      <c r="N181" s="25"/>
      <c r="O181" s="25"/>
      <c r="P181" s="14" t="str">
        <f aca="false">IF($O181="","",IFERROR(VALUE(LEFT($O181,FIND(".",$O181)-1)),""))</f>
        <v/>
      </c>
      <c r="Q181" s="14" t="str">
        <f aca="false">IF($P181="","",IF($P181&lt;=7,"Shoshilinch",IF($P181&lt;=9,"Kechiktirib bo'lmaydigan",IF($P181&lt;=14,"Rejalashtirilgan","Rejali"))))</f>
        <v/>
      </c>
      <c r="R181" s="25"/>
      <c r="S181" s="14" t="str">
        <f aca="false">IF($K181&lt;&gt;"Kesarcha","",IF(OR($O181&lt;&gt;"",$R181="Ha"),"Ha","YO‘Q"))</f>
        <v/>
      </c>
      <c r="T181" s="12"/>
      <c r="U181" s="12"/>
      <c r="V181" s="14" t="str">
        <f aca="false">IF(OR($C181="",$D181="",$B181=""),"",IF(COUNTIFS($C$5:$C$604,$C181,$D$5:$D$604,$D181,$B$5:$B$604,$B181)&gt;1,"Takror",""))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4"/>
      <c r="F182" s="12"/>
      <c r="G182" s="14" t="str">
        <f aca="false">IF(OR($D182="",$B182=""),"",INT(($B182-$D182)/365.25))</f>
        <v/>
      </c>
      <c r="H182" s="14" t="str">
        <f aca="false">IF($G182="","",IF($G182&lt;18,"Ha","Yo'q"))</f>
        <v/>
      </c>
      <c r="I182" s="12"/>
      <c r="J182" s="25"/>
      <c r="K182" s="25"/>
      <c r="L182" s="25"/>
      <c r="M182" s="12"/>
      <c r="N182" s="25"/>
      <c r="O182" s="25"/>
      <c r="P182" s="14" t="str">
        <f aca="false">IF($O182="","",IFERROR(VALUE(LEFT($O182,FIND(".",$O182)-1)),""))</f>
        <v/>
      </c>
      <c r="Q182" s="14" t="str">
        <f aca="false">IF($P182="","",IF($P182&lt;=7,"Shoshilinch",IF($P182&lt;=9,"Kechiktirib bo'lmaydigan",IF($P182&lt;=14,"Rejalashtirilgan","Rejali"))))</f>
        <v/>
      </c>
      <c r="R182" s="25"/>
      <c r="S182" s="14" t="str">
        <f aca="false">IF($K182&lt;&gt;"Kesarcha","",IF(OR($O182&lt;&gt;"",$R182="Ha"),"Ha","YO‘Q"))</f>
        <v/>
      </c>
      <c r="T182" s="12"/>
      <c r="U182" s="12"/>
      <c r="V182" s="14" t="str">
        <f aca="false">IF(OR($C182="",$D182="",$B182=""),"",IF(COUNTIFS($C$5:$C$604,$C182,$D$5:$D$604,$D182,$B$5:$B$604,$B182)&gt;1,"Takror",""))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4"/>
      <c r="F183" s="12"/>
      <c r="G183" s="14" t="str">
        <f aca="false">IF(OR($D183="",$B183=""),"",INT(($B183-$D183)/365.25))</f>
        <v/>
      </c>
      <c r="H183" s="14" t="str">
        <f aca="false">IF($G183="","",IF($G183&lt;18,"Ha","Yo'q"))</f>
        <v/>
      </c>
      <c r="I183" s="12"/>
      <c r="J183" s="25"/>
      <c r="K183" s="25"/>
      <c r="L183" s="25"/>
      <c r="M183" s="12"/>
      <c r="N183" s="25"/>
      <c r="O183" s="25"/>
      <c r="P183" s="14" t="str">
        <f aca="false">IF($O183="","",IFERROR(VALUE(LEFT($O183,FIND(".",$O183)-1)),""))</f>
        <v/>
      </c>
      <c r="Q183" s="14" t="str">
        <f aca="false">IF($P183="","",IF($P183&lt;=7,"Shoshilinch",IF($P183&lt;=9,"Kechiktirib bo'lmaydigan",IF($P183&lt;=14,"Rejalashtirilgan","Rejali"))))</f>
        <v/>
      </c>
      <c r="R183" s="25"/>
      <c r="S183" s="14" t="str">
        <f aca="false">IF($K183&lt;&gt;"Kesarcha","",IF(OR($O183&lt;&gt;"",$R183="Ha"),"Ha","YO‘Q"))</f>
        <v/>
      </c>
      <c r="T183" s="12"/>
      <c r="U183" s="12"/>
      <c r="V183" s="14" t="str">
        <f aca="false">IF(OR($C183="",$D183="",$B183=""),"",IF(COUNTIFS($C$5:$C$604,$C183,$D$5:$D$604,$D183,$B$5:$B$604,$B183)&gt;1,"Takror",""))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4"/>
      <c r="F184" s="12"/>
      <c r="G184" s="14" t="str">
        <f aca="false">IF(OR($D184="",$B184=""),"",INT(($B184-$D184)/365.25))</f>
        <v/>
      </c>
      <c r="H184" s="14" t="str">
        <f aca="false">IF($G184="","",IF($G184&lt;18,"Ha","Yo'q"))</f>
        <v/>
      </c>
      <c r="I184" s="12"/>
      <c r="J184" s="25"/>
      <c r="K184" s="25"/>
      <c r="L184" s="25"/>
      <c r="M184" s="12"/>
      <c r="N184" s="25"/>
      <c r="O184" s="25"/>
      <c r="P184" s="14" t="str">
        <f aca="false">IF($O184="","",IFERROR(VALUE(LEFT($O184,FIND(".",$O184)-1)),""))</f>
        <v/>
      </c>
      <c r="Q184" s="14" t="str">
        <f aca="false">IF($P184="","",IF($P184&lt;=7,"Shoshilinch",IF($P184&lt;=9,"Kechiktirib bo'lmaydigan",IF($P184&lt;=14,"Rejalashtirilgan","Rejali"))))</f>
        <v/>
      </c>
      <c r="R184" s="25"/>
      <c r="S184" s="14" t="str">
        <f aca="false">IF($K184&lt;&gt;"Kesarcha","",IF(OR($O184&lt;&gt;"",$R184="Ha"),"Ha","YO‘Q"))</f>
        <v/>
      </c>
      <c r="T184" s="12"/>
      <c r="U184" s="12"/>
      <c r="V184" s="14" t="str">
        <f aca="false">IF(OR($C184="",$D184="",$B184=""),"",IF(COUNTIFS($C$5:$C$604,$C184,$D$5:$D$604,$D184,$B$5:$B$604,$B184)&gt;1,"Takror",""))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4"/>
      <c r="F185" s="12"/>
      <c r="G185" s="14" t="str">
        <f aca="false">IF(OR($D185="",$B185=""),"",INT(($B185-$D185)/365.25))</f>
        <v/>
      </c>
      <c r="H185" s="14" t="str">
        <f aca="false">IF($G185="","",IF($G185&lt;18,"Ha","Yo'q"))</f>
        <v/>
      </c>
      <c r="I185" s="12"/>
      <c r="J185" s="25"/>
      <c r="K185" s="25"/>
      <c r="L185" s="25"/>
      <c r="M185" s="12"/>
      <c r="N185" s="25"/>
      <c r="O185" s="25"/>
      <c r="P185" s="14" t="str">
        <f aca="false">IF($O185="","",IFERROR(VALUE(LEFT($O185,FIND(".",$O185)-1)),""))</f>
        <v/>
      </c>
      <c r="Q185" s="14" t="str">
        <f aca="false">IF($P185="","",IF($P185&lt;=7,"Shoshilinch",IF($P185&lt;=9,"Kechiktirib bo'lmaydigan",IF($P185&lt;=14,"Rejalashtirilgan","Rejali"))))</f>
        <v/>
      </c>
      <c r="R185" s="25"/>
      <c r="S185" s="14" t="str">
        <f aca="false">IF($K185&lt;&gt;"Kesarcha","",IF(OR($O185&lt;&gt;"",$R185="Ha"),"Ha","YO‘Q"))</f>
        <v/>
      </c>
      <c r="T185" s="12"/>
      <c r="U185" s="12"/>
      <c r="V185" s="14" t="str">
        <f aca="false">IF(OR($C185="",$D185="",$B185=""),"",IF(COUNTIFS($C$5:$C$604,$C185,$D$5:$D$604,$D185,$B$5:$B$604,$B185)&gt;1,"Takror",""))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4"/>
      <c r="F186" s="12"/>
      <c r="G186" s="14" t="str">
        <f aca="false">IF(OR($D186="",$B186=""),"",INT(($B186-$D186)/365.25))</f>
        <v/>
      </c>
      <c r="H186" s="14" t="str">
        <f aca="false">IF($G186="","",IF($G186&lt;18,"Ha","Yo'q"))</f>
        <v/>
      </c>
      <c r="I186" s="12"/>
      <c r="J186" s="25"/>
      <c r="K186" s="25"/>
      <c r="L186" s="25"/>
      <c r="M186" s="12"/>
      <c r="N186" s="25"/>
      <c r="O186" s="25"/>
      <c r="P186" s="14" t="str">
        <f aca="false">IF($O186="","",IFERROR(VALUE(LEFT($O186,FIND(".",$O186)-1)),""))</f>
        <v/>
      </c>
      <c r="Q186" s="14" t="str">
        <f aca="false">IF($P186="","",IF($P186&lt;=7,"Shoshilinch",IF($P186&lt;=9,"Kechiktirib bo'lmaydigan",IF($P186&lt;=14,"Rejalashtirilgan","Rejali"))))</f>
        <v/>
      </c>
      <c r="R186" s="25"/>
      <c r="S186" s="14" t="str">
        <f aca="false">IF($K186&lt;&gt;"Kesarcha","",IF(OR($O186&lt;&gt;"",$R186="Ha"),"Ha","YO‘Q"))</f>
        <v/>
      </c>
      <c r="T186" s="12"/>
      <c r="U186" s="12"/>
      <c r="V186" s="14" t="str">
        <f aca="false">IF(OR($C186="",$D186="",$B186=""),"",IF(COUNTIFS($C$5:$C$604,$C186,$D$5:$D$604,$D186,$B$5:$B$604,$B186)&gt;1,"Takror",""))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4"/>
      <c r="F187" s="12"/>
      <c r="G187" s="14" t="str">
        <f aca="false">IF(OR($D187="",$B187=""),"",INT(($B187-$D187)/365.25))</f>
        <v/>
      </c>
      <c r="H187" s="14" t="str">
        <f aca="false">IF($G187="","",IF($G187&lt;18,"Ha","Yo'q"))</f>
        <v/>
      </c>
      <c r="I187" s="12"/>
      <c r="J187" s="25"/>
      <c r="K187" s="25"/>
      <c r="L187" s="25"/>
      <c r="M187" s="12"/>
      <c r="N187" s="25"/>
      <c r="O187" s="25"/>
      <c r="P187" s="14" t="str">
        <f aca="false">IF($O187="","",IFERROR(VALUE(LEFT($O187,FIND(".",$O187)-1)),""))</f>
        <v/>
      </c>
      <c r="Q187" s="14" t="str">
        <f aca="false">IF($P187="","",IF($P187&lt;=7,"Shoshilinch",IF($P187&lt;=9,"Kechiktirib bo'lmaydigan",IF($P187&lt;=14,"Rejalashtirilgan","Rejali"))))</f>
        <v/>
      </c>
      <c r="R187" s="25"/>
      <c r="S187" s="14" t="str">
        <f aca="false">IF($K187&lt;&gt;"Kesarcha","",IF(OR($O187&lt;&gt;"",$R187="Ha"),"Ha","YO‘Q"))</f>
        <v/>
      </c>
      <c r="T187" s="12"/>
      <c r="U187" s="12"/>
      <c r="V187" s="14" t="str">
        <f aca="false">IF(OR($C187="",$D187="",$B187=""),"",IF(COUNTIFS($C$5:$C$604,$C187,$D$5:$D$604,$D187,$B$5:$B$604,$B187)&gt;1,"Takror",""))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4"/>
      <c r="F188" s="12"/>
      <c r="G188" s="14" t="str">
        <f aca="false">IF(OR($D188="",$B188=""),"",INT(($B188-$D188)/365.25))</f>
        <v/>
      </c>
      <c r="H188" s="14" t="str">
        <f aca="false">IF($G188="","",IF($G188&lt;18,"Ha","Yo'q"))</f>
        <v/>
      </c>
      <c r="I188" s="12"/>
      <c r="J188" s="25"/>
      <c r="K188" s="25"/>
      <c r="L188" s="25"/>
      <c r="M188" s="12"/>
      <c r="N188" s="25"/>
      <c r="O188" s="25"/>
      <c r="P188" s="14" t="str">
        <f aca="false">IF($O188="","",IFERROR(VALUE(LEFT($O188,FIND(".",$O188)-1)),""))</f>
        <v/>
      </c>
      <c r="Q188" s="14" t="str">
        <f aca="false">IF($P188="","",IF($P188&lt;=7,"Shoshilinch",IF($P188&lt;=9,"Kechiktirib bo'lmaydigan",IF($P188&lt;=14,"Rejalashtirilgan","Rejali"))))</f>
        <v/>
      </c>
      <c r="R188" s="25"/>
      <c r="S188" s="14" t="str">
        <f aca="false">IF($K188&lt;&gt;"Kesarcha","",IF(OR($O188&lt;&gt;"",$R188="Ha"),"Ha","YO‘Q"))</f>
        <v/>
      </c>
      <c r="T188" s="12"/>
      <c r="U188" s="12"/>
      <c r="V188" s="14" t="str">
        <f aca="false">IF(OR($C188="",$D188="",$B188=""),"",IF(COUNTIFS($C$5:$C$604,$C188,$D$5:$D$604,$D188,$B$5:$B$604,$B188)&gt;1,"Takror",""))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4"/>
      <c r="F189" s="12"/>
      <c r="G189" s="14" t="str">
        <f aca="false">IF(OR($D189="",$B189=""),"",INT(($B189-$D189)/365.25))</f>
        <v/>
      </c>
      <c r="H189" s="14" t="str">
        <f aca="false">IF($G189="","",IF($G189&lt;18,"Ha","Yo'q"))</f>
        <v/>
      </c>
      <c r="I189" s="12"/>
      <c r="J189" s="25"/>
      <c r="K189" s="25"/>
      <c r="L189" s="25"/>
      <c r="M189" s="12"/>
      <c r="N189" s="25"/>
      <c r="O189" s="25"/>
      <c r="P189" s="14" t="str">
        <f aca="false">IF($O189="","",IFERROR(VALUE(LEFT($O189,FIND(".",$O189)-1)),""))</f>
        <v/>
      </c>
      <c r="Q189" s="14" t="str">
        <f aca="false">IF($P189="","",IF($P189&lt;=7,"Shoshilinch",IF($P189&lt;=9,"Kechiktirib bo'lmaydigan",IF($P189&lt;=14,"Rejalashtirilgan","Rejali"))))</f>
        <v/>
      </c>
      <c r="R189" s="25"/>
      <c r="S189" s="14" t="str">
        <f aca="false">IF($K189&lt;&gt;"Kesarcha","",IF(OR($O189&lt;&gt;"",$R189="Ha"),"Ha","YO‘Q"))</f>
        <v/>
      </c>
      <c r="T189" s="12"/>
      <c r="U189" s="12"/>
      <c r="V189" s="14" t="str">
        <f aca="false">IF(OR($C189="",$D189="",$B189=""),"",IF(COUNTIFS($C$5:$C$604,$C189,$D$5:$D$604,$D189,$B$5:$B$604,$B189)&gt;1,"Takror",""))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4"/>
      <c r="F190" s="12"/>
      <c r="G190" s="14" t="str">
        <f aca="false">IF(OR($D190="",$B190=""),"",INT(($B190-$D190)/365.25))</f>
        <v/>
      </c>
      <c r="H190" s="14" t="str">
        <f aca="false">IF($G190="","",IF($G190&lt;18,"Ha","Yo'q"))</f>
        <v/>
      </c>
      <c r="I190" s="12"/>
      <c r="J190" s="25"/>
      <c r="K190" s="25"/>
      <c r="L190" s="25"/>
      <c r="M190" s="12"/>
      <c r="N190" s="25"/>
      <c r="O190" s="25"/>
      <c r="P190" s="14" t="str">
        <f aca="false">IF($O190="","",IFERROR(VALUE(LEFT($O190,FIND(".",$O190)-1)),""))</f>
        <v/>
      </c>
      <c r="Q190" s="14" t="str">
        <f aca="false">IF($P190="","",IF($P190&lt;=7,"Shoshilinch",IF($P190&lt;=9,"Kechiktirib bo'lmaydigan",IF($P190&lt;=14,"Rejalashtirilgan","Rejali"))))</f>
        <v/>
      </c>
      <c r="R190" s="25"/>
      <c r="S190" s="14" t="str">
        <f aca="false">IF($K190&lt;&gt;"Kesarcha","",IF(OR($O190&lt;&gt;"",$R190="Ha"),"Ha","YO‘Q"))</f>
        <v/>
      </c>
      <c r="T190" s="12"/>
      <c r="U190" s="12"/>
      <c r="V190" s="14" t="str">
        <f aca="false">IF(OR($C190="",$D190="",$B190=""),"",IF(COUNTIFS($C$5:$C$604,$C190,$D$5:$D$604,$D190,$B$5:$B$604,$B190)&gt;1,"Takror",""))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4"/>
      <c r="F191" s="12"/>
      <c r="G191" s="14" t="str">
        <f aca="false">IF(OR($D191="",$B191=""),"",INT(($B191-$D191)/365.25))</f>
        <v/>
      </c>
      <c r="H191" s="14" t="str">
        <f aca="false">IF($G191="","",IF($G191&lt;18,"Ha","Yo'q"))</f>
        <v/>
      </c>
      <c r="I191" s="12"/>
      <c r="J191" s="25"/>
      <c r="K191" s="25"/>
      <c r="L191" s="25"/>
      <c r="M191" s="12"/>
      <c r="N191" s="25"/>
      <c r="O191" s="25"/>
      <c r="P191" s="14" t="str">
        <f aca="false">IF($O191="","",IFERROR(VALUE(LEFT($O191,FIND(".",$O191)-1)),""))</f>
        <v/>
      </c>
      <c r="Q191" s="14" t="str">
        <f aca="false">IF($P191="","",IF($P191&lt;=7,"Shoshilinch",IF($P191&lt;=9,"Kechiktirib bo'lmaydigan",IF($P191&lt;=14,"Rejalashtirilgan","Rejali"))))</f>
        <v/>
      </c>
      <c r="R191" s="25"/>
      <c r="S191" s="14" t="str">
        <f aca="false">IF($K191&lt;&gt;"Kesarcha","",IF(OR($O191&lt;&gt;"",$R191="Ha"),"Ha","YO‘Q"))</f>
        <v/>
      </c>
      <c r="T191" s="12"/>
      <c r="U191" s="12"/>
      <c r="V191" s="14" t="str">
        <f aca="false">IF(OR($C191="",$D191="",$B191=""),"",IF(COUNTIFS($C$5:$C$604,$C191,$D$5:$D$604,$D191,$B$5:$B$604,$B191)&gt;1,"Takror",""))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4"/>
      <c r="F192" s="12"/>
      <c r="G192" s="14" t="str">
        <f aca="false">IF(OR($D192="",$B192=""),"",INT(($B192-$D192)/365.25))</f>
        <v/>
      </c>
      <c r="H192" s="14" t="str">
        <f aca="false">IF($G192="","",IF($G192&lt;18,"Ha","Yo'q"))</f>
        <v/>
      </c>
      <c r="I192" s="12"/>
      <c r="J192" s="25"/>
      <c r="K192" s="25"/>
      <c r="L192" s="25"/>
      <c r="M192" s="12"/>
      <c r="N192" s="25"/>
      <c r="O192" s="25"/>
      <c r="P192" s="14" t="str">
        <f aca="false">IF($O192="","",IFERROR(VALUE(LEFT($O192,FIND(".",$O192)-1)),""))</f>
        <v/>
      </c>
      <c r="Q192" s="14" t="str">
        <f aca="false">IF($P192="","",IF($P192&lt;=7,"Shoshilinch",IF($P192&lt;=9,"Kechiktirib bo'lmaydigan",IF($P192&lt;=14,"Rejalashtirilgan","Rejali"))))</f>
        <v/>
      </c>
      <c r="R192" s="25"/>
      <c r="S192" s="14" t="str">
        <f aca="false">IF($K192&lt;&gt;"Kesarcha","",IF(OR($O192&lt;&gt;"",$R192="Ha"),"Ha","YO‘Q"))</f>
        <v/>
      </c>
      <c r="T192" s="12"/>
      <c r="U192" s="12"/>
      <c r="V192" s="14" t="str">
        <f aca="false">IF(OR($C192="",$D192="",$B192=""),"",IF(COUNTIFS($C$5:$C$604,$C192,$D$5:$D$604,$D192,$B$5:$B$604,$B192)&gt;1,"Takror",""))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4"/>
      <c r="F193" s="12"/>
      <c r="G193" s="14" t="str">
        <f aca="false">IF(OR($D193="",$B193=""),"",INT(($B193-$D193)/365.25))</f>
        <v/>
      </c>
      <c r="H193" s="14" t="str">
        <f aca="false">IF($G193="","",IF($G193&lt;18,"Ha","Yo'q"))</f>
        <v/>
      </c>
      <c r="I193" s="12"/>
      <c r="J193" s="25"/>
      <c r="K193" s="25"/>
      <c r="L193" s="25"/>
      <c r="M193" s="12"/>
      <c r="N193" s="25"/>
      <c r="O193" s="25"/>
      <c r="P193" s="14" t="str">
        <f aca="false">IF($O193="","",IFERROR(VALUE(LEFT($O193,FIND(".",$O193)-1)),""))</f>
        <v/>
      </c>
      <c r="Q193" s="14" t="str">
        <f aca="false">IF($P193="","",IF($P193&lt;=7,"Shoshilinch",IF($P193&lt;=9,"Kechiktirib bo'lmaydigan",IF($P193&lt;=14,"Rejalashtirilgan","Rejali"))))</f>
        <v/>
      </c>
      <c r="R193" s="25"/>
      <c r="S193" s="14" t="str">
        <f aca="false">IF($K193&lt;&gt;"Kesarcha","",IF(OR($O193&lt;&gt;"",$R193="Ha"),"Ha","YO‘Q"))</f>
        <v/>
      </c>
      <c r="T193" s="12"/>
      <c r="U193" s="12"/>
      <c r="V193" s="14" t="str">
        <f aca="false">IF(OR($C193="",$D193="",$B193=""),"",IF(COUNTIFS($C$5:$C$604,$C193,$D$5:$D$604,$D193,$B$5:$B$604,$B193)&gt;1,"Takror",""))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4"/>
      <c r="F194" s="12"/>
      <c r="G194" s="14" t="str">
        <f aca="false">IF(OR($D194="",$B194=""),"",INT(($B194-$D194)/365.25))</f>
        <v/>
      </c>
      <c r="H194" s="14" t="str">
        <f aca="false">IF($G194="","",IF($G194&lt;18,"Ha","Yo'q"))</f>
        <v/>
      </c>
      <c r="I194" s="12"/>
      <c r="J194" s="25"/>
      <c r="K194" s="25"/>
      <c r="L194" s="25"/>
      <c r="M194" s="12"/>
      <c r="N194" s="25"/>
      <c r="O194" s="25"/>
      <c r="P194" s="14" t="str">
        <f aca="false">IF($O194="","",IFERROR(VALUE(LEFT($O194,FIND(".",$O194)-1)),""))</f>
        <v/>
      </c>
      <c r="Q194" s="14" t="str">
        <f aca="false">IF($P194="","",IF($P194&lt;=7,"Shoshilinch",IF($P194&lt;=9,"Kechiktirib bo'lmaydigan",IF($P194&lt;=14,"Rejalashtirilgan","Rejali"))))</f>
        <v/>
      </c>
      <c r="R194" s="25"/>
      <c r="S194" s="14" t="str">
        <f aca="false">IF($K194&lt;&gt;"Kesarcha","",IF(OR($O194&lt;&gt;"",$R194="Ha"),"Ha","YO‘Q"))</f>
        <v/>
      </c>
      <c r="T194" s="12"/>
      <c r="U194" s="12"/>
      <c r="V194" s="14" t="str">
        <f aca="false">IF(OR($C194="",$D194="",$B194=""),"",IF(COUNTIFS($C$5:$C$604,$C194,$D$5:$D$604,$D194,$B$5:$B$604,$B194)&gt;1,"Takror",""))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4"/>
      <c r="F195" s="12"/>
      <c r="G195" s="14" t="str">
        <f aca="false">IF(OR($D195="",$B195=""),"",INT(($B195-$D195)/365.25))</f>
        <v/>
      </c>
      <c r="H195" s="14" t="str">
        <f aca="false">IF($G195="","",IF($G195&lt;18,"Ha","Yo'q"))</f>
        <v/>
      </c>
      <c r="I195" s="12"/>
      <c r="J195" s="25"/>
      <c r="K195" s="25"/>
      <c r="L195" s="25"/>
      <c r="M195" s="12"/>
      <c r="N195" s="25"/>
      <c r="O195" s="25"/>
      <c r="P195" s="14" t="str">
        <f aca="false">IF($O195="","",IFERROR(VALUE(LEFT($O195,FIND(".",$O195)-1)),""))</f>
        <v/>
      </c>
      <c r="Q195" s="14" t="str">
        <f aca="false">IF($P195="","",IF($P195&lt;=7,"Shoshilinch",IF($P195&lt;=9,"Kechiktirib bo'lmaydigan",IF($P195&lt;=14,"Rejalashtirilgan","Rejali"))))</f>
        <v/>
      </c>
      <c r="R195" s="25"/>
      <c r="S195" s="14" t="str">
        <f aca="false">IF($K195&lt;&gt;"Kesarcha","",IF(OR($O195&lt;&gt;"",$R195="Ha"),"Ha","YO‘Q"))</f>
        <v/>
      </c>
      <c r="T195" s="12"/>
      <c r="U195" s="12"/>
      <c r="V195" s="14" t="str">
        <f aca="false">IF(OR($C195="",$D195="",$B195=""),"",IF(COUNTIFS($C$5:$C$604,$C195,$D$5:$D$604,$D195,$B$5:$B$604,$B195)&gt;1,"Takror",""))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4"/>
      <c r="F196" s="12"/>
      <c r="G196" s="14" t="str">
        <f aca="false">IF(OR($D196="",$B196=""),"",INT(($B196-$D196)/365.25))</f>
        <v/>
      </c>
      <c r="H196" s="14" t="str">
        <f aca="false">IF($G196="","",IF($G196&lt;18,"Ha","Yo'q"))</f>
        <v/>
      </c>
      <c r="I196" s="12"/>
      <c r="J196" s="25"/>
      <c r="K196" s="25"/>
      <c r="L196" s="25"/>
      <c r="M196" s="12"/>
      <c r="N196" s="25"/>
      <c r="O196" s="25"/>
      <c r="P196" s="14" t="str">
        <f aca="false">IF($O196="","",IFERROR(VALUE(LEFT($O196,FIND(".",$O196)-1)),""))</f>
        <v/>
      </c>
      <c r="Q196" s="14" t="str">
        <f aca="false">IF($P196="","",IF($P196&lt;=7,"Shoshilinch",IF($P196&lt;=9,"Kechiktirib bo'lmaydigan",IF($P196&lt;=14,"Rejalashtirilgan","Rejali"))))</f>
        <v/>
      </c>
      <c r="R196" s="25"/>
      <c r="S196" s="14" t="str">
        <f aca="false">IF($K196&lt;&gt;"Kesarcha","",IF(OR($O196&lt;&gt;"",$R196="Ha"),"Ha","YO‘Q"))</f>
        <v/>
      </c>
      <c r="T196" s="12"/>
      <c r="U196" s="12"/>
      <c r="V196" s="14" t="str">
        <f aca="false">IF(OR($C196="",$D196="",$B196=""),"",IF(COUNTIFS($C$5:$C$604,$C196,$D$5:$D$604,$D196,$B$5:$B$604,$B196)&gt;1,"Takror",""))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4"/>
      <c r="F197" s="12"/>
      <c r="G197" s="14" t="str">
        <f aca="false">IF(OR($D197="",$B197=""),"",INT(($B197-$D197)/365.25))</f>
        <v/>
      </c>
      <c r="H197" s="14" t="str">
        <f aca="false">IF($G197="","",IF($G197&lt;18,"Ha","Yo'q"))</f>
        <v/>
      </c>
      <c r="I197" s="12"/>
      <c r="J197" s="25"/>
      <c r="K197" s="25"/>
      <c r="L197" s="25"/>
      <c r="M197" s="12"/>
      <c r="N197" s="25"/>
      <c r="O197" s="25"/>
      <c r="P197" s="14" t="str">
        <f aca="false">IF($O197="","",IFERROR(VALUE(LEFT($O197,FIND(".",$O197)-1)),""))</f>
        <v/>
      </c>
      <c r="Q197" s="14" t="str">
        <f aca="false">IF($P197="","",IF($P197&lt;=7,"Shoshilinch",IF($P197&lt;=9,"Kechiktirib bo'lmaydigan",IF($P197&lt;=14,"Rejalashtirilgan","Rejali"))))</f>
        <v/>
      </c>
      <c r="R197" s="25"/>
      <c r="S197" s="14" t="str">
        <f aca="false">IF($K197&lt;&gt;"Kesarcha","",IF(OR($O197&lt;&gt;"",$R197="Ha"),"Ha","YO‘Q"))</f>
        <v/>
      </c>
      <c r="T197" s="12"/>
      <c r="U197" s="12"/>
      <c r="V197" s="14" t="str">
        <f aca="false">IF(OR($C197="",$D197="",$B197=""),"",IF(COUNTIFS($C$5:$C$604,$C197,$D$5:$D$604,$D197,$B$5:$B$604,$B197)&gt;1,"Takror",""))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4"/>
      <c r="F198" s="12"/>
      <c r="G198" s="14" t="str">
        <f aca="false">IF(OR($D198="",$B198=""),"",INT(($B198-$D198)/365.25))</f>
        <v/>
      </c>
      <c r="H198" s="14" t="str">
        <f aca="false">IF($G198="","",IF($G198&lt;18,"Ha","Yo'q"))</f>
        <v/>
      </c>
      <c r="I198" s="12"/>
      <c r="J198" s="25"/>
      <c r="K198" s="25"/>
      <c r="L198" s="25"/>
      <c r="M198" s="12"/>
      <c r="N198" s="25"/>
      <c r="O198" s="25"/>
      <c r="P198" s="14" t="str">
        <f aca="false">IF($O198="","",IFERROR(VALUE(LEFT($O198,FIND(".",$O198)-1)),""))</f>
        <v/>
      </c>
      <c r="Q198" s="14" t="str">
        <f aca="false">IF($P198="","",IF($P198&lt;=7,"Shoshilinch",IF($P198&lt;=9,"Kechiktirib bo'lmaydigan",IF($P198&lt;=14,"Rejalashtirilgan","Rejali"))))</f>
        <v/>
      </c>
      <c r="R198" s="25"/>
      <c r="S198" s="14" t="str">
        <f aca="false">IF($K198&lt;&gt;"Kesarcha","",IF(OR($O198&lt;&gt;"",$R198="Ha"),"Ha","YO‘Q"))</f>
        <v/>
      </c>
      <c r="T198" s="12"/>
      <c r="U198" s="12"/>
      <c r="V198" s="14" t="str">
        <f aca="false">IF(OR($C198="",$D198="",$B198=""),"",IF(COUNTIFS($C$5:$C$604,$C198,$D$5:$D$604,$D198,$B$5:$B$604,$B198)&gt;1,"Takror",""))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4"/>
      <c r="F199" s="12"/>
      <c r="G199" s="14" t="str">
        <f aca="false">IF(OR($D199="",$B199=""),"",INT(($B199-$D199)/365.25))</f>
        <v/>
      </c>
      <c r="H199" s="14" t="str">
        <f aca="false">IF($G199="","",IF($G199&lt;18,"Ha","Yo'q"))</f>
        <v/>
      </c>
      <c r="I199" s="12"/>
      <c r="J199" s="25"/>
      <c r="K199" s="25"/>
      <c r="L199" s="25"/>
      <c r="M199" s="12"/>
      <c r="N199" s="25"/>
      <c r="O199" s="25"/>
      <c r="P199" s="14" t="str">
        <f aca="false">IF($O199="","",IFERROR(VALUE(LEFT($O199,FIND(".",$O199)-1)),""))</f>
        <v/>
      </c>
      <c r="Q199" s="14" t="str">
        <f aca="false">IF($P199="","",IF($P199&lt;=7,"Shoshilinch",IF($P199&lt;=9,"Kechiktirib bo'lmaydigan",IF($P199&lt;=14,"Rejalashtirilgan","Rejali"))))</f>
        <v/>
      </c>
      <c r="R199" s="25"/>
      <c r="S199" s="14" t="str">
        <f aca="false">IF($K199&lt;&gt;"Kesarcha","",IF(OR($O199&lt;&gt;"",$R199="Ha"),"Ha","YO‘Q"))</f>
        <v/>
      </c>
      <c r="T199" s="12"/>
      <c r="U199" s="12"/>
      <c r="V199" s="14" t="str">
        <f aca="false">IF(OR($C199="",$D199="",$B199=""),"",IF(COUNTIFS($C$5:$C$604,$C199,$D$5:$D$604,$D199,$B$5:$B$604,$B199)&gt;1,"Takror",""))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4"/>
      <c r="F200" s="12"/>
      <c r="G200" s="14" t="str">
        <f aca="false">IF(OR($D200="",$B200=""),"",INT(($B200-$D200)/365.25))</f>
        <v/>
      </c>
      <c r="H200" s="14" t="str">
        <f aca="false">IF($G200="","",IF($G200&lt;18,"Ha","Yo'q"))</f>
        <v/>
      </c>
      <c r="I200" s="12"/>
      <c r="J200" s="25"/>
      <c r="K200" s="25"/>
      <c r="L200" s="25"/>
      <c r="M200" s="12"/>
      <c r="N200" s="25"/>
      <c r="O200" s="25"/>
      <c r="P200" s="14" t="str">
        <f aca="false">IF($O200="","",IFERROR(VALUE(LEFT($O200,FIND(".",$O200)-1)),""))</f>
        <v/>
      </c>
      <c r="Q200" s="14" t="str">
        <f aca="false">IF($P200="","",IF($P200&lt;=7,"Shoshilinch",IF($P200&lt;=9,"Kechiktirib bo'lmaydigan",IF($P200&lt;=14,"Rejalashtirilgan","Rejali"))))</f>
        <v/>
      </c>
      <c r="R200" s="25"/>
      <c r="S200" s="14" t="str">
        <f aca="false">IF($K200&lt;&gt;"Kesarcha","",IF(OR($O200&lt;&gt;"",$R200="Ha"),"Ha","YO‘Q"))</f>
        <v/>
      </c>
      <c r="T200" s="12"/>
      <c r="U200" s="12"/>
      <c r="V200" s="14" t="str">
        <f aca="false">IF(OR($C200="",$D200="",$B200=""),"",IF(COUNTIFS($C$5:$C$604,$C200,$D$5:$D$604,$D200,$B$5:$B$604,$B200)&gt;1,"Takror",""))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4"/>
      <c r="F201" s="12"/>
      <c r="G201" s="14" t="str">
        <f aca="false">IF(OR($D201="",$B201=""),"",INT(($B201-$D201)/365.25))</f>
        <v/>
      </c>
      <c r="H201" s="14" t="str">
        <f aca="false">IF($G201="","",IF($G201&lt;18,"Ha","Yo'q"))</f>
        <v/>
      </c>
      <c r="I201" s="12"/>
      <c r="J201" s="25"/>
      <c r="K201" s="25"/>
      <c r="L201" s="25"/>
      <c r="M201" s="12"/>
      <c r="N201" s="25"/>
      <c r="O201" s="25"/>
      <c r="P201" s="14" t="str">
        <f aca="false">IF($O201="","",IFERROR(VALUE(LEFT($O201,FIND(".",$O201)-1)),""))</f>
        <v/>
      </c>
      <c r="Q201" s="14" t="str">
        <f aca="false">IF($P201="","",IF($P201&lt;=7,"Shoshilinch",IF($P201&lt;=9,"Kechiktirib bo'lmaydigan",IF($P201&lt;=14,"Rejalashtirilgan","Rejali"))))</f>
        <v/>
      </c>
      <c r="R201" s="25"/>
      <c r="S201" s="14" t="str">
        <f aca="false">IF($K201&lt;&gt;"Kesarcha","",IF(OR($O201&lt;&gt;"",$R201="Ha"),"Ha","YO‘Q"))</f>
        <v/>
      </c>
      <c r="T201" s="12"/>
      <c r="U201" s="12"/>
      <c r="V201" s="14" t="str">
        <f aca="false">IF(OR($C201="",$D201="",$B201=""),"",IF(COUNTIFS($C$5:$C$604,$C201,$D$5:$D$604,$D201,$B$5:$B$604,$B201)&gt;1,"Takror",""))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4"/>
      <c r="F202" s="12"/>
      <c r="G202" s="14" t="str">
        <f aca="false">IF(OR($D202="",$B202=""),"",INT(($B202-$D202)/365.25))</f>
        <v/>
      </c>
      <c r="H202" s="14" t="str">
        <f aca="false">IF($G202="","",IF($G202&lt;18,"Ha","Yo'q"))</f>
        <v/>
      </c>
      <c r="I202" s="12"/>
      <c r="J202" s="25"/>
      <c r="K202" s="25"/>
      <c r="L202" s="25"/>
      <c r="M202" s="12"/>
      <c r="N202" s="25"/>
      <c r="O202" s="25"/>
      <c r="P202" s="14" t="str">
        <f aca="false">IF($O202="","",IFERROR(VALUE(LEFT($O202,FIND(".",$O202)-1)),""))</f>
        <v/>
      </c>
      <c r="Q202" s="14" t="str">
        <f aca="false">IF($P202="","",IF($P202&lt;=7,"Shoshilinch",IF($P202&lt;=9,"Kechiktirib bo'lmaydigan",IF($P202&lt;=14,"Rejalashtirilgan","Rejali"))))</f>
        <v/>
      </c>
      <c r="R202" s="25"/>
      <c r="S202" s="14" t="str">
        <f aca="false">IF($K202&lt;&gt;"Kesarcha","",IF(OR($O202&lt;&gt;"",$R202="Ha"),"Ha","YO‘Q"))</f>
        <v/>
      </c>
      <c r="T202" s="12"/>
      <c r="U202" s="12"/>
      <c r="V202" s="14" t="str">
        <f aca="false">IF(OR($C202="",$D202="",$B202=""),"",IF(COUNTIFS($C$5:$C$604,$C202,$D$5:$D$604,$D202,$B$5:$B$604,$B202)&gt;1,"Takror",""))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4"/>
      <c r="F203" s="12"/>
      <c r="G203" s="14" t="str">
        <f aca="false">IF(OR($D203="",$B203=""),"",INT(($B203-$D203)/365.25))</f>
        <v/>
      </c>
      <c r="H203" s="14" t="str">
        <f aca="false">IF($G203="","",IF($G203&lt;18,"Ha","Yo'q"))</f>
        <v/>
      </c>
      <c r="I203" s="12"/>
      <c r="J203" s="25"/>
      <c r="K203" s="25"/>
      <c r="L203" s="25"/>
      <c r="M203" s="12"/>
      <c r="N203" s="25"/>
      <c r="O203" s="25"/>
      <c r="P203" s="14" t="str">
        <f aca="false">IF($O203="","",IFERROR(VALUE(LEFT($O203,FIND(".",$O203)-1)),""))</f>
        <v/>
      </c>
      <c r="Q203" s="14" t="str">
        <f aca="false">IF($P203="","",IF($P203&lt;=7,"Shoshilinch",IF($P203&lt;=9,"Kechiktirib bo'lmaydigan",IF($P203&lt;=14,"Rejalashtirilgan","Rejali"))))</f>
        <v/>
      </c>
      <c r="R203" s="25"/>
      <c r="S203" s="14" t="str">
        <f aca="false">IF($K203&lt;&gt;"Kesarcha","",IF(OR($O203&lt;&gt;"",$R203="Ha"),"Ha","YO‘Q"))</f>
        <v/>
      </c>
      <c r="T203" s="12"/>
      <c r="U203" s="12"/>
      <c r="V203" s="14" t="str">
        <f aca="false">IF(OR($C203="",$D203="",$B203=""),"",IF(COUNTIFS($C$5:$C$604,$C203,$D$5:$D$604,$D203,$B$5:$B$604,$B203)&gt;1,"Takror",""))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4"/>
      <c r="F204" s="12"/>
      <c r="G204" s="14" t="str">
        <f aca="false">IF(OR($D204="",$B204=""),"",INT(($B204-$D204)/365.25))</f>
        <v/>
      </c>
      <c r="H204" s="14" t="str">
        <f aca="false">IF($G204="","",IF($G204&lt;18,"Ha","Yo'q"))</f>
        <v/>
      </c>
      <c r="I204" s="12"/>
      <c r="J204" s="25"/>
      <c r="K204" s="25"/>
      <c r="L204" s="25"/>
      <c r="M204" s="12"/>
      <c r="N204" s="25"/>
      <c r="O204" s="25"/>
      <c r="P204" s="14" t="str">
        <f aca="false">IF($O204="","",IFERROR(VALUE(LEFT($O204,FIND(".",$O204)-1)),""))</f>
        <v/>
      </c>
      <c r="Q204" s="14" t="str">
        <f aca="false">IF($P204="","",IF($P204&lt;=7,"Shoshilinch",IF($P204&lt;=9,"Kechiktirib bo'lmaydigan",IF($P204&lt;=14,"Rejalashtirilgan","Rejali"))))</f>
        <v/>
      </c>
      <c r="R204" s="25"/>
      <c r="S204" s="14" t="str">
        <f aca="false">IF($K204&lt;&gt;"Kesarcha","",IF(OR($O204&lt;&gt;"",$R204="Ha"),"Ha","YO‘Q"))</f>
        <v/>
      </c>
      <c r="T204" s="12"/>
      <c r="U204" s="12"/>
      <c r="V204" s="14" t="str">
        <f aca="false">IF(OR($C204="",$D204="",$B204=""),"",IF(COUNTIFS($C$5:$C$604,$C204,$D$5:$D$604,$D204,$B$5:$B$604,$B204)&gt;1,"Takror",""))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4"/>
      <c r="F205" s="12"/>
      <c r="G205" s="14" t="str">
        <f aca="false">IF(OR($D205="",$B205=""),"",INT(($B205-$D205)/365.25))</f>
        <v/>
      </c>
      <c r="H205" s="14" t="str">
        <f aca="false">IF($G205="","",IF($G205&lt;18,"Ha","Yo'q"))</f>
        <v/>
      </c>
      <c r="I205" s="12"/>
      <c r="J205" s="25"/>
      <c r="K205" s="25"/>
      <c r="L205" s="25"/>
      <c r="M205" s="12"/>
      <c r="N205" s="25"/>
      <c r="O205" s="25"/>
      <c r="P205" s="14" t="str">
        <f aca="false">IF($O205="","",IFERROR(VALUE(LEFT($O205,FIND(".",$O205)-1)),""))</f>
        <v/>
      </c>
      <c r="Q205" s="14" t="str">
        <f aca="false">IF($P205="","",IF($P205&lt;=7,"Shoshilinch",IF($P205&lt;=9,"Kechiktirib bo'lmaydigan",IF($P205&lt;=14,"Rejalashtirilgan","Rejali"))))</f>
        <v/>
      </c>
      <c r="R205" s="25"/>
      <c r="S205" s="14" t="str">
        <f aca="false">IF($K205&lt;&gt;"Kesarcha","",IF(OR($O205&lt;&gt;"",$R205="Ha"),"Ha","YO‘Q"))</f>
        <v/>
      </c>
      <c r="T205" s="12"/>
      <c r="U205" s="12"/>
      <c r="V205" s="14" t="str">
        <f aca="false">IF(OR($C205="",$D205="",$B205=""),"",IF(COUNTIFS($C$5:$C$604,$C205,$D$5:$D$604,$D205,$B$5:$B$604,$B205)&gt;1,"Takror",""))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4"/>
      <c r="F206" s="12"/>
      <c r="G206" s="14" t="str">
        <f aca="false">IF(OR($D206="",$B206=""),"",INT(($B206-$D206)/365.25))</f>
        <v/>
      </c>
      <c r="H206" s="14" t="str">
        <f aca="false">IF($G206="","",IF($G206&lt;18,"Ha","Yo'q"))</f>
        <v/>
      </c>
      <c r="I206" s="12"/>
      <c r="J206" s="25"/>
      <c r="K206" s="25"/>
      <c r="L206" s="25"/>
      <c r="M206" s="12"/>
      <c r="N206" s="25"/>
      <c r="O206" s="25"/>
      <c r="P206" s="14" t="str">
        <f aca="false">IF($O206="","",IFERROR(VALUE(LEFT($O206,FIND(".",$O206)-1)),""))</f>
        <v/>
      </c>
      <c r="Q206" s="14" t="str">
        <f aca="false">IF($P206="","",IF($P206&lt;=7,"Shoshilinch",IF($P206&lt;=9,"Kechiktirib bo'lmaydigan",IF($P206&lt;=14,"Rejalashtirilgan","Rejali"))))</f>
        <v/>
      </c>
      <c r="R206" s="25"/>
      <c r="S206" s="14" t="str">
        <f aca="false">IF($K206&lt;&gt;"Kesarcha","",IF(OR($O206&lt;&gt;"",$R206="Ha"),"Ha","YO‘Q"))</f>
        <v/>
      </c>
      <c r="T206" s="12"/>
      <c r="U206" s="12"/>
      <c r="V206" s="14" t="str">
        <f aca="false">IF(OR($C206="",$D206="",$B206=""),"",IF(COUNTIFS($C$5:$C$604,$C206,$D$5:$D$604,$D206,$B$5:$B$604,$B206)&gt;1,"Takror",""))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4"/>
      <c r="F207" s="12"/>
      <c r="G207" s="14" t="str">
        <f aca="false">IF(OR($D207="",$B207=""),"",INT(($B207-$D207)/365.25))</f>
        <v/>
      </c>
      <c r="H207" s="14" t="str">
        <f aca="false">IF($G207="","",IF($G207&lt;18,"Ha","Yo'q"))</f>
        <v/>
      </c>
      <c r="I207" s="12"/>
      <c r="J207" s="25"/>
      <c r="K207" s="25"/>
      <c r="L207" s="25"/>
      <c r="M207" s="12"/>
      <c r="N207" s="25"/>
      <c r="O207" s="25"/>
      <c r="P207" s="14" t="str">
        <f aca="false">IF($O207="","",IFERROR(VALUE(LEFT($O207,FIND(".",$O207)-1)),""))</f>
        <v/>
      </c>
      <c r="Q207" s="14" t="str">
        <f aca="false">IF($P207="","",IF($P207&lt;=7,"Shoshilinch",IF($P207&lt;=9,"Kechiktirib bo'lmaydigan",IF($P207&lt;=14,"Rejalashtirilgan","Rejali"))))</f>
        <v/>
      </c>
      <c r="R207" s="25"/>
      <c r="S207" s="14" t="str">
        <f aca="false">IF($K207&lt;&gt;"Kesarcha","",IF(OR($O207&lt;&gt;"",$R207="Ha"),"Ha","YO‘Q"))</f>
        <v/>
      </c>
      <c r="T207" s="12"/>
      <c r="U207" s="12"/>
      <c r="V207" s="14" t="str">
        <f aca="false">IF(OR($C207="",$D207="",$B207=""),"",IF(COUNTIFS($C$5:$C$604,$C207,$D$5:$D$604,$D207,$B$5:$B$604,$B207)&gt;1,"Takror",""))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4"/>
      <c r="F208" s="12"/>
      <c r="G208" s="14" t="str">
        <f aca="false">IF(OR($D208="",$B208=""),"",INT(($B208-$D208)/365.25))</f>
        <v/>
      </c>
      <c r="H208" s="14" t="str">
        <f aca="false">IF($G208="","",IF($G208&lt;18,"Ha","Yo'q"))</f>
        <v/>
      </c>
      <c r="I208" s="12"/>
      <c r="J208" s="25"/>
      <c r="K208" s="25"/>
      <c r="L208" s="25"/>
      <c r="M208" s="12"/>
      <c r="N208" s="25"/>
      <c r="O208" s="25"/>
      <c r="P208" s="14" t="str">
        <f aca="false">IF($O208="","",IFERROR(VALUE(LEFT($O208,FIND(".",$O208)-1)),""))</f>
        <v/>
      </c>
      <c r="Q208" s="14" t="str">
        <f aca="false">IF($P208="","",IF($P208&lt;=7,"Shoshilinch",IF($P208&lt;=9,"Kechiktirib bo'lmaydigan",IF($P208&lt;=14,"Rejalashtirilgan","Rejali"))))</f>
        <v/>
      </c>
      <c r="R208" s="25"/>
      <c r="S208" s="14" t="str">
        <f aca="false">IF($K208&lt;&gt;"Kesarcha","",IF(OR($O208&lt;&gt;"",$R208="Ha"),"Ha","YO‘Q"))</f>
        <v/>
      </c>
      <c r="T208" s="12"/>
      <c r="U208" s="12"/>
      <c r="V208" s="14" t="str">
        <f aca="false">IF(OR($C208="",$D208="",$B208=""),"",IF(COUNTIFS($C$5:$C$604,$C208,$D$5:$D$604,$D208,$B$5:$B$604,$B208)&gt;1,"Takror",""))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4"/>
      <c r="F209" s="12"/>
      <c r="G209" s="14" t="str">
        <f aca="false">IF(OR($D209="",$B209=""),"",INT(($B209-$D209)/365.25))</f>
        <v/>
      </c>
      <c r="H209" s="14" t="str">
        <f aca="false">IF($G209="","",IF($G209&lt;18,"Ha","Yo'q"))</f>
        <v/>
      </c>
      <c r="I209" s="12"/>
      <c r="J209" s="25"/>
      <c r="K209" s="25"/>
      <c r="L209" s="25"/>
      <c r="M209" s="12"/>
      <c r="N209" s="25"/>
      <c r="O209" s="25"/>
      <c r="P209" s="14" t="str">
        <f aca="false">IF($O209="","",IFERROR(VALUE(LEFT($O209,FIND(".",$O209)-1)),""))</f>
        <v/>
      </c>
      <c r="Q209" s="14" t="str">
        <f aca="false">IF($P209="","",IF($P209&lt;=7,"Shoshilinch",IF($P209&lt;=9,"Kechiktirib bo'lmaydigan",IF($P209&lt;=14,"Rejalashtirilgan","Rejali"))))</f>
        <v/>
      </c>
      <c r="R209" s="25"/>
      <c r="S209" s="14" t="str">
        <f aca="false">IF($K209&lt;&gt;"Kesarcha","",IF(OR($O209&lt;&gt;"",$R209="Ha"),"Ha","YO‘Q"))</f>
        <v/>
      </c>
      <c r="T209" s="12"/>
      <c r="U209" s="12"/>
      <c r="V209" s="14" t="str">
        <f aca="false">IF(OR($C209="",$D209="",$B209=""),"",IF(COUNTIFS($C$5:$C$604,$C209,$D$5:$D$604,$D209,$B$5:$B$604,$B209)&gt;1,"Takror",""))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4"/>
      <c r="F210" s="12"/>
      <c r="G210" s="14" t="str">
        <f aca="false">IF(OR($D210="",$B210=""),"",INT(($B210-$D210)/365.25))</f>
        <v/>
      </c>
      <c r="H210" s="14" t="str">
        <f aca="false">IF($G210="","",IF($G210&lt;18,"Ha","Yo'q"))</f>
        <v/>
      </c>
      <c r="I210" s="12"/>
      <c r="J210" s="25"/>
      <c r="K210" s="25"/>
      <c r="L210" s="25"/>
      <c r="M210" s="12"/>
      <c r="N210" s="25"/>
      <c r="O210" s="25"/>
      <c r="P210" s="14" t="str">
        <f aca="false">IF($O210="","",IFERROR(VALUE(LEFT($O210,FIND(".",$O210)-1)),""))</f>
        <v/>
      </c>
      <c r="Q210" s="14" t="str">
        <f aca="false">IF($P210="","",IF($P210&lt;=7,"Shoshilinch",IF($P210&lt;=9,"Kechiktirib bo'lmaydigan",IF($P210&lt;=14,"Rejalashtirilgan","Rejali"))))</f>
        <v/>
      </c>
      <c r="R210" s="25"/>
      <c r="S210" s="14" t="str">
        <f aca="false">IF($K210&lt;&gt;"Kesarcha","",IF(OR($O210&lt;&gt;"",$R210="Ha"),"Ha","YO‘Q"))</f>
        <v/>
      </c>
      <c r="T210" s="12"/>
      <c r="U210" s="12"/>
      <c r="V210" s="14" t="str">
        <f aca="false">IF(OR($C210="",$D210="",$B210=""),"",IF(COUNTIFS($C$5:$C$604,$C210,$D$5:$D$604,$D210,$B$5:$B$604,$B210)&gt;1,"Takror",""))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4"/>
      <c r="F211" s="12"/>
      <c r="G211" s="14" t="str">
        <f aca="false">IF(OR($D211="",$B211=""),"",INT(($B211-$D211)/365.25))</f>
        <v/>
      </c>
      <c r="H211" s="14" t="str">
        <f aca="false">IF($G211="","",IF($G211&lt;18,"Ha","Yo'q"))</f>
        <v/>
      </c>
      <c r="I211" s="12"/>
      <c r="J211" s="25"/>
      <c r="K211" s="25"/>
      <c r="L211" s="25"/>
      <c r="M211" s="12"/>
      <c r="N211" s="25"/>
      <c r="O211" s="25"/>
      <c r="P211" s="14" t="str">
        <f aca="false">IF($O211="","",IFERROR(VALUE(LEFT($O211,FIND(".",$O211)-1)),""))</f>
        <v/>
      </c>
      <c r="Q211" s="14" t="str">
        <f aca="false">IF($P211="","",IF($P211&lt;=7,"Shoshilinch",IF($P211&lt;=9,"Kechiktirib bo'lmaydigan",IF($P211&lt;=14,"Rejalashtirilgan","Rejali"))))</f>
        <v/>
      </c>
      <c r="R211" s="25"/>
      <c r="S211" s="14" t="str">
        <f aca="false">IF($K211&lt;&gt;"Kesarcha","",IF(OR($O211&lt;&gt;"",$R211="Ha"),"Ha","YO‘Q"))</f>
        <v/>
      </c>
      <c r="T211" s="12"/>
      <c r="U211" s="12"/>
      <c r="V211" s="14" t="str">
        <f aca="false">IF(OR($C211="",$D211="",$B211=""),"",IF(COUNTIFS($C$5:$C$604,$C211,$D$5:$D$604,$D211,$B$5:$B$604,$B211)&gt;1,"Takror",""))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4"/>
      <c r="F212" s="12"/>
      <c r="G212" s="14" t="str">
        <f aca="false">IF(OR($D212="",$B212=""),"",INT(($B212-$D212)/365.25))</f>
        <v/>
      </c>
      <c r="H212" s="14" t="str">
        <f aca="false">IF($G212="","",IF($G212&lt;18,"Ha","Yo'q"))</f>
        <v/>
      </c>
      <c r="I212" s="12"/>
      <c r="J212" s="25"/>
      <c r="K212" s="25"/>
      <c r="L212" s="25"/>
      <c r="M212" s="12"/>
      <c r="N212" s="25"/>
      <c r="O212" s="25"/>
      <c r="P212" s="14" t="str">
        <f aca="false">IF($O212="","",IFERROR(VALUE(LEFT($O212,FIND(".",$O212)-1)),""))</f>
        <v/>
      </c>
      <c r="Q212" s="14" t="str">
        <f aca="false">IF($P212="","",IF($P212&lt;=7,"Shoshilinch",IF($P212&lt;=9,"Kechiktirib bo'lmaydigan",IF($P212&lt;=14,"Rejalashtirilgan","Rejali"))))</f>
        <v/>
      </c>
      <c r="R212" s="25"/>
      <c r="S212" s="14" t="str">
        <f aca="false">IF($K212&lt;&gt;"Kesarcha","",IF(OR($O212&lt;&gt;"",$R212="Ha"),"Ha","YO‘Q"))</f>
        <v/>
      </c>
      <c r="T212" s="12"/>
      <c r="U212" s="12"/>
      <c r="V212" s="14" t="str">
        <f aca="false">IF(OR($C212="",$D212="",$B212=""),"",IF(COUNTIFS($C$5:$C$604,$C212,$D$5:$D$604,$D212,$B$5:$B$604,$B212)&gt;1,"Takror",""))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4"/>
      <c r="F213" s="12"/>
      <c r="G213" s="14" t="str">
        <f aca="false">IF(OR($D213="",$B213=""),"",INT(($B213-$D213)/365.25))</f>
        <v/>
      </c>
      <c r="H213" s="14" t="str">
        <f aca="false">IF($G213="","",IF($G213&lt;18,"Ha","Yo'q"))</f>
        <v/>
      </c>
      <c r="I213" s="12"/>
      <c r="J213" s="25"/>
      <c r="K213" s="25"/>
      <c r="L213" s="25"/>
      <c r="M213" s="12"/>
      <c r="N213" s="25"/>
      <c r="O213" s="25"/>
      <c r="P213" s="14" t="str">
        <f aca="false">IF($O213="","",IFERROR(VALUE(LEFT($O213,FIND(".",$O213)-1)),""))</f>
        <v/>
      </c>
      <c r="Q213" s="14" t="str">
        <f aca="false">IF($P213="","",IF($P213&lt;=7,"Shoshilinch",IF($P213&lt;=9,"Kechiktirib bo'lmaydigan",IF($P213&lt;=14,"Rejalashtirilgan","Rejali"))))</f>
        <v/>
      </c>
      <c r="R213" s="25"/>
      <c r="S213" s="14" t="str">
        <f aca="false">IF($K213&lt;&gt;"Kesarcha","",IF(OR($O213&lt;&gt;"",$R213="Ha"),"Ha","YO‘Q"))</f>
        <v/>
      </c>
      <c r="T213" s="12"/>
      <c r="U213" s="12"/>
      <c r="V213" s="14" t="str">
        <f aca="false">IF(OR($C213="",$D213="",$B213=""),"",IF(COUNTIFS($C$5:$C$604,$C213,$D$5:$D$604,$D213,$B$5:$B$604,$B213)&gt;1,"Takror",""))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4"/>
      <c r="F214" s="12"/>
      <c r="G214" s="14" t="str">
        <f aca="false">IF(OR($D214="",$B214=""),"",INT(($B214-$D214)/365.25))</f>
        <v/>
      </c>
      <c r="H214" s="14" t="str">
        <f aca="false">IF($G214="","",IF($G214&lt;18,"Ha","Yo'q"))</f>
        <v/>
      </c>
      <c r="I214" s="12"/>
      <c r="J214" s="25"/>
      <c r="K214" s="25"/>
      <c r="L214" s="25"/>
      <c r="M214" s="12"/>
      <c r="N214" s="25"/>
      <c r="O214" s="25"/>
      <c r="P214" s="14" t="str">
        <f aca="false">IF($O214="","",IFERROR(VALUE(LEFT($O214,FIND(".",$O214)-1)),""))</f>
        <v/>
      </c>
      <c r="Q214" s="14" t="str">
        <f aca="false">IF($P214="","",IF($P214&lt;=7,"Shoshilinch",IF($P214&lt;=9,"Kechiktirib bo'lmaydigan",IF($P214&lt;=14,"Rejalashtirilgan","Rejali"))))</f>
        <v/>
      </c>
      <c r="R214" s="25"/>
      <c r="S214" s="14" t="str">
        <f aca="false">IF($K214&lt;&gt;"Kesarcha","",IF(OR($O214&lt;&gt;"",$R214="Ha"),"Ha","YO‘Q"))</f>
        <v/>
      </c>
      <c r="T214" s="12"/>
      <c r="U214" s="12"/>
      <c r="V214" s="14" t="str">
        <f aca="false">IF(OR($C214="",$D214="",$B214=""),"",IF(COUNTIFS($C$5:$C$604,$C214,$D$5:$D$604,$D214,$B$5:$B$604,$B214)&gt;1,"Takror",""))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4"/>
      <c r="F215" s="12"/>
      <c r="G215" s="14" t="str">
        <f aca="false">IF(OR($D215="",$B215=""),"",INT(($B215-$D215)/365.25))</f>
        <v/>
      </c>
      <c r="H215" s="14" t="str">
        <f aca="false">IF($G215="","",IF($G215&lt;18,"Ha","Yo'q"))</f>
        <v/>
      </c>
      <c r="I215" s="12"/>
      <c r="J215" s="25"/>
      <c r="K215" s="25"/>
      <c r="L215" s="25"/>
      <c r="M215" s="12"/>
      <c r="N215" s="25"/>
      <c r="O215" s="25"/>
      <c r="P215" s="14" t="str">
        <f aca="false">IF($O215="","",IFERROR(VALUE(LEFT($O215,FIND(".",$O215)-1)),""))</f>
        <v/>
      </c>
      <c r="Q215" s="14" t="str">
        <f aca="false">IF($P215="","",IF($P215&lt;=7,"Shoshilinch",IF($P215&lt;=9,"Kechiktirib bo'lmaydigan",IF($P215&lt;=14,"Rejalashtirilgan","Rejali"))))</f>
        <v/>
      </c>
      <c r="R215" s="25"/>
      <c r="S215" s="14" t="str">
        <f aca="false">IF($K215&lt;&gt;"Kesarcha","",IF(OR($O215&lt;&gt;"",$R215="Ha"),"Ha","YO‘Q"))</f>
        <v/>
      </c>
      <c r="T215" s="12"/>
      <c r="U215" s="12"/>
      <c r="V215" s="14" t="str">
        <f aca="false">IF(OR($C215="",$D215="",$B215=""),"",IF(COUNTIFS($C$5:$C$604,$C215,$D$5:$D$604,$D215,$B$5:$B$604,$B215)&gt;1,"Takror",""))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4"/>
      <c r="F216" s="12"/>
      <c r="G216" s="14" t="str">
        <f aca="false">IF(OR($D216="",$B216=""),"",INT(($B216-$D216)/365.25))</f>
        <v/>
      </c>
      <c r="H216" s="14" t="str">
        <f aca="false">IF($G216="","",IF($G216&lt;18,"Ha","Yo'q"))</f>
        <v/>
      </c>
      <c r="I216" s="12"/>
      <c r="J216" s="25"/>
      <c r="K216" s="25"/>
      <c r="L216" s="25"/>
      <c r="M216" s="12"/>
      <c r="N216" s="25"/>
      <c r="O216" s="25"/>
      <c r="P216" s="14" t="str">
        <f aca="false">IF($O216="","",IFERROR(VALUE(LEFT($O216,FIND(".",$O216)-1)),""))</f>
        <v/>
      </c>
      <c r="Q216" s="14" t="str">
        <f aca="false">IF($P216="","",IF($P216&lt;=7,"Shoshilinch",IF($P216&lt;=9,"Kechiktirib bo'lmaydigan",IF($P216&lt;=14,"Rejalashtirilgan","Rejali"))))</f>
        <v/>
      </c>
      <c r="R216" s="25"/>
      <c r="S216" s="14" t="str">
        <f aca="false">IF($K216&lt;&gt;"Kesarcha","",IF(OR($O216&lt;&gt;"",$R216="Ha"),"Ha","YO‘Q"))</f>
        <v/>
      </c>
      <c r="T216" s="12"/>
      <c r="U216" s="12"/>
      <c r="V216" s="14" t="str">
        <f aca="false">IF(OR($C216="",$D216="",$B216=""),"",IF(COUNTIFS($C$5:$C$604,$C216,$D$5:$D$604,$D216,$B$5:$B$604,$B216)&gt;1,"Takror",""))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4"/>
      <c r="F217" s="12"/>
      <c r="G217" s="14" t="str">
        <f aca="false">IF(OR($D217="",$B217=""),"",INT(($B217-$D217)/365.25))</f>
        <v/>
      </c>
      <c r="H217" s="14" t="str">
        <f aca="false">IF($G217="","",IF($G217&lt;18,"Ha","Yo'q"))</f>
        <v/>
      </c>
      <c r="I217" s="12"/>
      <c r="J217" s="25"/>
      <c r="K217" s="25"/>
      <c r="L217" s="25"/>
      <c r="M217" s="12"/>
      <c r="N217" s="25"/>
      <c r="O217" s="25"/>
      <c r="P217" s="14" t="str">
        <f aca="false">IF($O217="","",IFERROR(VALUE(LEFT($O217,FIND(".",$O217)-1)),""))</f>
        <v/>
      </c>
      <c r="Q217" s="14" t="str">
        <f aca="false">IF($P217="","",IF($P217&lt;=7,"Shoshilinch",IF($P217&lt;=9,"Kechiktirib bo'lmaydigan",IF($P217&lt;=14,"Rejalashtirilgan","Rejali"))))</f>
        <v/>
      </c>
      <c r="R217" s="25"/>
      <c r="S217" s="14" t="str">
        <f aca="false">IF($K217&lt;&gt;"Kesarcha","",IF(OR($O217&lt;&gt;"",$R217="Ha"),"Ha","YO‘Q"))</f>
        <v/>
      </c>
      <c r="T217" s="12"/>
      <c r="U217" s="12"/>
      <c r="V217" s="14" t="str">
        <f aca="false">IF(OR($C217="",$D217="",$B217=""),"",IF(COUNTIFS($C$5:$C$604,$C217,$D$5:$D$604,$D217,$B$5:$B$604,$B217)&gt;1,"Takror",""))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4"/>
      <c r="F218" s="12"/>
      <c r="G218" s="14" t="str">
        <f aca="false">IF(OR($D218="",$B218=""),"",INT(($B218-$D218)/365.25))</f>
        <v/>
      </c>
      <c r="H218" s="14" t="str">
        <f aca="false">IF($G218="","",IF($G218&lt;18,"Ha","Yo'q"))</f>
        <v/>
      </c>
      <c r="I218" s="12"/>
      <c r="J218" s="25"/>
      <c r="K218" s="25"/>
      <c r="L218" s="25"/>
      <c r="M218" s="12"/>
      <c r="N218" s="25"/>
      <c r="O218" s="25"/>
      <c r="P218" s="14" t="str">
        <f aca="false">IF($O218="","",IFERROR(VALUE(LEFT($O218,FIND(".",$O218)-1)),""))</f>
        <v/>
      </c>
      <c r="Q218" s="14" t="str">
        <f aca="false">IF($P218="","",IF($P218&lt;=7,"Shoshilinch",IF($P218&lt;=9,"Kechiktirib bo'lmaydigan",IF($P218&lt;=14,"Rejalashtirilgan","Rejali"))))</f>
        <v/>
      </c>
      <c r="R218" s="25"/>
      <c r="S218" s="14" t="str">
        <f aca="false">IF($K218&lt;&gt;"Kesarcha","",IF(OR($O218&lt;&gt;"",$R218="Ha"),"Ha","YO‘Q"))</f>
        <v/>
      </c>
      <c r="T218" s="12"/>
      <c r="U218" s="12"/>
      <c r="V218" s="14" t="str">
        <f aca="false">IF(OR($C218="",$D218="",$B218=""),"",IF(COUNTIFS($C$5:$C$604,$C218,$D$5:$D$604,$D218,$B$5:$B$604,$B218)&gt;1,"Takror",""))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4"/>
      <c r="F219" s="12"/>
      <c r="G219" s="14" t="str">
        <f aca="false">IF(OR($D219="",$B219=""),"",INT(($B219-$D219)/365.25))</f>
        <v/>
      </c>
      <c r="H219" s="14" t="str">
        <f aca="false">IF($G219="","",IF($G219&lt;18,"Ha","Yo'q"))</f>
        <v/>
      </c>
      <c r="I219" s="12"/>
      <c r="J219" s="25"/>
      <c r="K219" s="25"/>
      <c r="L219" s="25"/>
      <c r="M219" s="12"/>
      <c r="N219" s="25"/>
      <c r="O219" s="25"/>
      <c r="P219" s="14" t="str">
        <f aca="false">IF($O219="","",IFERROR(VALUE(LEFT($O219,FIND(".",$O219)-1)),""))</f>
        <v/>
      </c>
      <c r="Q219" s="14" t="str">
        <f aca="false">IF($P219="","",IF($P219&lt;=7,"Shoshilinch",IF($P219&lt;=9,"Kechiktirib bo'lmaydigan",IF($P219&lt;=14,"Rejalashtirilgan","Rejali"))))</f>
        <v/>
      </c>
      <c r="R219" s="25"/>
      <c r="S219" s="14" t="str">
        <f aca="false">IF($K219&lt;&gt;"Kesarcha","",IF(OR($O219&lt;&gt;"",$R219="Ha"),"Ha","YO‘Q"))</f>
        <v/>
      </c>
      <c r="T219" s="12"/>
      <c r="U219" s="12"/>
      <c r="V219" s="14" t="str">
        <f aca="false">IF(OR($C219="",$D219="",$B219=""),"",IF(COUNTIFS($C$5:$C$604,$C219,$D$5:$D$604,$D219,$B$5:$B$604,$B219)&gt;1,"Takror",""))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4"/>
      <c r="F220" s="12"/>
      <c r="G220" s="14" t="str">
        <f aca="false">IF(OR($D220="",$B220=""),"",INT(($B220-$D220)/365.25))</f>
        <v/>
      </c>
      <c r="H220" s="14" t="str">
        <f aca="false">IF($G220="","",IF($G220&lt;18,"Ha","Yo'q"))</f>
        <v/>
      </c>
      <c r="I220" s="12"/>
      <c r="J220" s="25"/>
      <c r="K220" s="25"/>
      <c r="L220" s="25"/>
      <c r="M220" s="12"/>
      <c r="N220" s="25"/>
      <c r="O220" s="25"/>
      <c r="P220" s="14" t="str">
        <f aca="false">IF($O220="","",IFERROR(VALUE(LEFT($O220,FIND(".",$O220)-1)),""))</f>
        <v/>
      </c>
      <c r="Q220" s="14" t="str">
        <f aca="false">IF($P220="","",IF($P220&lt;=7,"Shoshilinch",IF($P220&lt;=9,"Kechiktirib bo'lmaydigan",IF($P220&lt;=14,"Rejalashtirilgan","Rejali"))))</f>
        <v/>
      </c>
      <c r="R220" s="25"/>
      <c r="S220" s="14" t="str">
        <f aca="false">IF($K220&lt;&gt;"Kesarcha","",IF(OR($O220&lt;&gt;"",$R220="Ha"),"Ha","YO‘Q"))</f>
        <v/>
      </c>
      <c r="T220" s="12"/>
      <c r="U220" s="12"/>
      <c r="V220" s="14" t="str">
        <f aca="false">IF(OR($C220="",$D220="",$B220=""),"",IF(COUNTIFS($C$5:$C$604,$C220,$D$5:$D$604,$D220,$B$5:$B$604,$B220)&gt;1,"Takror",""))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4"/>
      <c r="F221" s="12"/>
      <c r="G221" s="14" t="str">
        <f aca="false">IF(OR($D221="",$B221=""),"",INT(($B221-$D221)/365.25))</f>
        <v/>
      </c>
      <c r="H221" s="14" t="str">
        <f aca="false">IF($G221="","",IF($G221&lt;18,"Ha","Yo'q"))</f>
        <v/>
      </c>
      <c r="I221" s="12"/>
      <c r="J221" s="25"/>
      <c r="K221" s="25"/>
      <c r="L221" s="25"/>
      <c r="M221" s="12"/>
      <c r="N221" s="25"/>
      <c r="O221" s="25"/>
      <c r="P221" s="14" t="str">
        <f aca="false">IF($O221="","",IFERROR(VALUE(LEFT($O221,FIND(".",$O221)-1)),""))</f>
        <v/>
      </c>
      <c r="Q221" s="14" t="str">
        <f aca="false">IF($P221="","",IF($P221&lt;=7,"Shoshilinch",IF($P221&lt;=9,"Kechiktirib bo'lmaydigan",IF($P221&lt;=14,"Rejalashtirilgan","Rejali"))))</f>
        <v/>
      </c>
      <c r="R221" s="25"/>
      <c r="S221" s="14" t="str">
        <f aca="false">IF($K221&lt;&gt;"Kesarcha","",IF(OR($O221&lt;&gt;"",$R221="Ha"),"Ha","YO‘Q"))</f>
        <v/>
      </c>
      <c r="T221" s="12"/>
      <c r="U221" s="12"/>
      <c r="V221" s="14" t="str">
        <f aca="false">IF(OR($C221="",$D221="",$B221=""),"",IF(COUNTIFS($C$5:$C$604,$C221,$D$5:$D$604,$D221,$B$5:$B$604,$B221)&gt;1,"Takror",""))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4"/>
      <c r="F222" s="12"/>
      <c r="G222" s="14" t="str">
        <f aca="false">IF(OR($D222="",$B222=""),"",INT(($B222-$D222)/365.25))</f>
        <v/>
      </c>
      <c r="H222" s="14" t="str">
        <f aca="false">IF($G222="","",IF($G222&lt;18,"Ha","Yo'q"))</f>
        <v/>
      </c>
      <c r="I222" s="12"/>
      <c r="J222" s="25"/>
      <c r="K222" s="25"/>
      <c r="L222" s="25"/>
      <c r="M222" s="12"/>
      <c r="N222" s="25"/>
      <c r="O222" s="25"/>
      <c r="P222" s="14" t="str">
        <f aca="false">IF($O222="","",IFERROR(VALUE(LEFT($O222,FIND(".",$O222)-1)),""))</f>
        <v/>
      </c>
      <c r="Q222" s="14" t="str">
        <f aca="false">IF($P222="","",IF($P222&lt;=7,"Shoshilinch",IF($P222&lt;=9,"Kechiktirib bo'lmaydigan",IF($P222&lt;=14,"Rejalashtirilgan","Rejali"))))</f>
        <v/>
      </c>
      <c r="R222" s="25"/>
      <c r="S222" s="14" t="str">
        <f aca="false">IF($K222&lt;&gt;"Kesarcha","",IF(OR($O222&lt;&gt;"",$R222="Ha"),"Ha","YO‘Q"))</f>
        <v/>
      </c>
      <c r="T222" s="12"/>
      <c r="U222" s="12"/>
      <c r="V222" s="14" t="str">
        <f aca="false">IF(OR($C222="",$D222="",$B222=""),"",IF(COUNTIFS($C$5:$C$604,$C222,$D$5:$D$604,$D222,$B$5:$B$604,$B222)&gt;1,"Takror",""))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4"/>
      <c r="F223" s="12"/>
      <c r="G223" s="14" t="str">
        <f aca="false">IF(OR($D223="",$B223=""),"",INT(($B223-$D223)/365.25))</f>
        <v/>
      </c>
      <c r="H223" s="14" t="str">
        <f aca="false">IF($G223="","",IF($G223&lt;18,"Ha","Yo'q"))</f>
        <v/>
      </c>
      <c r="I223" s="12"/>
      <c r="J223" s="25"/>
      <c r="K223" s="25"/>
      <c r="L223" s="25"/>
      <c r="M223" s="12"/>
      <c r="N223" s="25"/>
      <c r="O223" s="25"/>
      <c r="P223" s="14" t="str">
        <f aca="false">IF($O223="","",IFERROR(VALUE(LEFT($O223,FIND(".",$O223)-1)),""))</f>
        <v/>
      </c>
      <c r="Q223" s="14" t="str">
        <f aca="false">IF($P223="","",IF($P223&lt;=7,"Shoshilinch",IF($P223&lt;=9,"Kechiktirib bo'lmaydigan",IF($P223&lt;=14,"Rejalashtirilgan","Rejali"))))</f>
        <v/>
      </c>
      <c r="R223" s="25"/>
      <c r="S223" s="14" t="str">
        <f aca="false">IF($K223&lt;&gt;"Kesarcha","",IF(OR($O223&lt;&gt;"",$R223="Ha"),"Ha","YO‘Q"))</f>
        <v/>
      </c>
      <c r="T223" s="12"/>
      <c r="U223" s="12"/>
      <c r="V223" s="14" t="str">
        <f aca="false">IF(OR($C223="",$D223="",$B223=""),"",IF(COUNTIFS($C$5:$C$604,$C223,$D$5:$D$604,$D223,$B$5:$B$604,$B223)&gt;1,"Takror",""))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4"/>
      <c r="F224" s="12"/>
      <c r="G224" s="14" t="str">
        <f aca="false">IF(OR($D224="",$B224=""),"",INT(($B224-$D224)/365.25))</f>
        <v/>
      </c>
      <c r="H224" s="14" t="str">
        <f aca="false">IF($G224="","",IF($G224&lt;18,"Ha","Yo'q"))</f>
        <v/>
      </c>
      <c r="I224" s="12"/>
      <c r="J224" s="25"/>
      <c r="K224" s="25"/>
      <c r="L224" s="25"/>
      <c r="M224" s="12"/>
      <c r="N224" s="25"/>
      <c r="O224" s="25"/>
      <c r="P224" s="14" t="str">
        <f aca="false">IF($O224="","",IFERROR(VALUE(LEFT($O224,FIND(".",$O224)-1)),""))</f>
        <v/>
      </c>
      <c r="Q224" s="14" t="str">
        <f aca="false">IF($P224="","",IF($P224&lt;=7,"Shoshilinch",IF($P224&lt;=9,"Kechiktirib bo'lmaydigan",IF($P224&lt;=14,"Rejalashtirilgan","Rejali"))))</f>
        <v/>
      </c>
      <c r="R224" s="25"/>
      <c r="S224" s="14" t="str">
        <f aca="false">IF($K224&lt;&gt;"Kesarcha","",IF(OR($O224&lt;&gt;"",$R224="Ha"),"Ha","YO‘Q"))</f>
        <v/>
      </c>
      <c r="T224" s="12"/>
      <c r="U224" s="12"/>
      <c r="V224" s="14" t="str">
        <f aca="false">IF(OR($C224="",$D224="",$B224=""),"",IF(COUNTIFS($C$5:$C$604,$C224,$D$5:$D$604,$D224,$B$5:$B$604,$B224)&gt;1,"Takror",""))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4"/>
      <c r="F225" s="12"/>
      <c r="G225" s="14" t="str">
        <f aca="false">IF(OR($D225="",$B225=""),"",INT(($B225-$D225)/365.25))</f>
        <v/>
      </c>
      <c r="H225" s="14" t="str">
        <f aca="false">IF($G225="","",IF($G225&lt;18,"Ha","Yo'q"))</f>
        <v/>
      </c>
      <c r="I225" s="12"/>
      <c r="J225" s="25"/>
      <c r="K225" s="25"/>
      <c r="L225" s="25"/>
      <c r="M225" s="12"/>
      <c r="N225" s="25"/>
      <c r="O225" s="25"/>
      <c r="P225" s="14" t="str">
        <f aca="false">IF($O225="","",IFERROR(VALUE(LEFT($O225,FIND(".",$O225)-1)),""))</f>
        <v/>
      </c>
      <c r="Q225" s="14" t="str">
        <f aca="false">IF($P225="","",IF($P225&lt;=7,"Shoshilinch",IF($P225&lt;=9,"Kechiktirib bo'lmaydigan",IF($P225&lt;=14,"Rejalashtirilgan","Rejali"))))</f>
        <v/>
      </c>
      <c r="R225" s="25"/>
      <c r="S225" s="14" t="str">
        <f aca="false">IF($K225&lt;&gt;"Kesarcha","",IF(OR($O225&lt;&gt;"",$R225="Ha"),"Ha","YO‘Q"))</f>
        <v/>
      </c>
      <c r="T225" s="12"/>
      <c r="U225" s="12"/>
      <c r="V225" s="14" t="str">
        <f aca="false">IF(OR($C225="",$D225="",$B225=""),"",IF(COUNTIFS($C$5:$C$604,$C225,$D$5:$D$604,$D225,$B$5:$B$604,$B225)&gt;1,"Takror",""))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4"/>
      <c r="F226" s="12"/>
      <c r="G226" s="14" t="str">
        <f aca="false">IF(OR($D226="",$B226=""),"",INT(($B226-$D226)/365.25))</f>
        <v/>
      </c>
      <c r="H226" s="14" t="str">
        <f aca="false">IF($G226="","",IF($G226&lt;18,"Ha","Yo'q"))</f>
        <v/>
      </c>
      <c r="I226" s="12"/>
      <c r="J226" s="25"/>
      <c r="K226" s="25"/>
      <c r="L226" s="25"/>
      <c r="M226" s="12"/>
      <c r="N226" s="25"/>
      <c r="O226" s="25"/>
      <c r="P226" s="14" t="str">
        <f aca="false">IF($O226="","",IFERROR(VALUE(LEFT($O226,FIND(".",$O226)-1)),""))</f>
        <v/>
      </c>
      <c r="Q226" s="14" t="str">
        <f aca="false">IF($P226="","",IF($P226&lt;=7,"Shoshilinch",IF($P226&lt;=9,"Kechiktirib bo'lmaydigan",IF($P226&lt;=14,"Rejalashtirilgan","Rejali"))))</f>
        <v/>
      </c>
      <c r="R226" s="25"/>
      <c r="S226" s="14" t="str">
        <f aca="false">IF($K226&lt;&gt;"Kesarcha","",IF(OR($O226&lt;&gt;"",$R226="Ha"),"Ha","YO‘Q"))</f>
        <v/>
      </c>
      <c r="T226" s="12"/>
      <c r="U226" s="12"/>
      <c r="V226" s="14" t="str">
        <f aca="false">IF(OR($C226="",$D226="",$B226=""),"",IF(COUNTIFS($C$5:$C$604,$C226,$D$5:$D$604,$D226,$B$5:$B$604,$B226)&gt;1,"Takror",""))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4"/>
      <c r="F227" s="12"/>
      <c r="G227" s="14" t="str">
        <f aca="false">IF(OR($D227="",$B227=""),"",INT(($B227-$D227)/365.25))</f>
        <v/>
      </c>
      <c r="H227" s="14" t="str">
        <f aca="false">IF($G227="","",IF($G227&lt;18,"Ha","Yo'q"))</f>
        <v/>
      </c>
      <c r="I227" s="12"/>
      <c r="J227" s="25"/>
      <c r="K227" s="25"/>
      <c r="L227" s="25"/>
      <c r="M227" s="12"/>
      <c r="N227" s="25"/>
      <c r="O227" s="25"/>
      <c r="P227" s="14" t="str">
        <f aca="false">IF($O227="","",IFERROR(VALUE(LEFT($O227,FIND(".",$O227)-1)),""))</f>
        <v/>
      </c>
      <c r="Q227" s="14" t="str">
        <f aca="false">IF($P227="","",IF($P227&lt;=7,"Shoshilinch",IF($P227&lt;=9,"Kechiktirib bo'lmaydigan",IF($P227&lt;=14,"Rejalashtirilgan","Rejali"))))</f>
        <v/>
      </c>
      <c r="R227" s="25"/>
      <c r="S227" s="14" t="str">
        <f aca="false">IF($K227&lt;&gt;"Kesarcha","",IF(OR($O227&lt;&gt;"",$R227="Ha"),"Ha","YO‘Q"))</f>
        <v/>
      </c>
      <c r="T227" s="12"/>
      <c r="U227" s="12"/>
      <c r="V227" s="14" t="str">
        <f aca="false">IF(OR($C227="",$D227="",$B227=""),"",IF(COUNTIFS($C$5:$C$604,$C227,$D$5:$D$604,$D227,$B$5:$B$604,$B227)&gt;1,"Takror",""))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4"/>
      <c r="F228" s="12"/>
      <c r="G228" s="14" t="str">
        <f aca="false">IF(OR($D228="",$B228=""),"",INT(($B228-$D228)/365.25))</f>
        <v/>
      </c>
      <c r="H228" s="14" t="str">
        <f aca="false">IF($G228="","",IF($G228&lt;18,"Ha","Yo'q"))</f>
        <v/>
      </c>
      <c r="I228" s="12"/>
      <c r="J228" s="25"/>
      <c r="K228" s="25"/>
      <c r="L228" s="25"/>
      <c r="M228" s="12"/>
      <c r="N228" s="25"/>
      <c r="O228" s="25"/>
      <c r="P228" s="14" t="str">
        <f aca="false">IF($O228="","",IFERROR(VALUE(LEFT($O228,FIND(".",$O228)-1)),""))</f>
        <v/>
      </c>
      <c r="Q228" s="14" t="str">
        <f aca="false">IF($P228="","",IF($P228&lt;=7,"Shoshilinch",IF($P228&lt;=9,"Kechiktirib bo'lmaydigan",IF($P228&lt;=14,"Rejalashtirilgan","Rejali"))))</f>
        <v/>
      </c>
      <c r="R228" s="25"/>
      <c r="S228" s="14" t="str">
        <f aca="false">IF($K228&lt;&gt;"Kesarcha","",IF(OR($O228&lt;&gt;"",$R228="Ha"),"Ha","YO‘Q"))</f>
        <v/>
      </c>
      <c r="T228" s="12"/>
      <c r="U228" s="12"/>
      <c r="V228" s="14" t="str">
        <f aca="false">IF(OR($C228="",$D228="",$B228=""),"",IF(COUNTIFS($C$5:$C$604,$C228,$D$5:$D$604,$D228,$B$5:$B$604,$B228)&gt;1,"Takror",""))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4"/>
      <c r="F229" s="12"/>
      <c r="G229" s="14" t="str">
        <f aca="false">IF(OR($D229="",$B229=""),"",INT(($B229-$D229)/365.25))</f>
        <v/>
      </c>
      <c r="H229" s="14" t="str">
        <f aca="false">IF($G229="","",IF($G229&lt;18,"Ha","Yo'q"))</f>
        <v/>
      </c>
      <c r="I229" s="12"/>
      <c r="J229" s="25"/>
      <c r="K229" s="25"/>
      <c r="L229" s="25"/>
      <c r="M229" s="12"/>
      <c r="N229" s="25"/>
      <c r="O229" s="25"/>
      <c r="P229" s="14" t="str">
        <f aca="false">IF($O229="","",IFERROR(VALUE(LEFT($O229,FIND(".",$O229)-1)),""))</f>
        <v/>
      </c>
      <c r="Q229" s="14" t="str">
        <f aca="false">IF($P229="","",IF($P229&lt;=7,"Shoshilinch",IF($P229&lt;=9,"Kechiktirib bo'lmaydigan",IF($P229&lt;=14,"Rejalashtirilgan","Rejali"))))</f>
        <v/>
      </c>
      <c r="R229" s="25"/>
      <c r="S229" s="14" t="str">
        <f aca="false">IF($K229&lt;&gt;"Kesarcha","",IF(OR($O229&lt;&gt;"",$R229="Ha"),"Ha","YO‘Q"))</f>
        <v/>
      </c>
      <c r="T229" s="12"/>
      <c r="U229" s="12"/>
      <c r="V229" s="14" t="str">
        <f aca="false">IF(OR($C229="",$D229="",$B229=""),"",IF(COUNTIFS($C$5:$C$604,$C229,$D$5:$D$604,$D229,$B$5:$B$604,$B229)&gt;1,"Takror",""))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4"/>
      <c r="F230" s="12"/>
      <c r="G230" s="14" t="str">
        <f aca="false">IF(OR($D230="",$B230=""),"",INT(($B230-$D230)/365.25))</f>
        <v/>
      </c>
      <c r="H230" s="14" t="str">
        <f aca="false">IF($G230="","",IF($G230&lt;18,"Ha","Yo'q"))</f>
        <v/>
      </c>
      <c r="I230" s="12"/>
      <c r="J230" s="25"/>
      <c r="K230" s="25"/>
      <c r="L230" s="25"/>
      <c r="M230" s="12"/>
      <c r="N230" s="25"/>
      <c r="O230" s="25"/>
      <c r="P230" s="14" t="str">
        <f aca="false">IF($O230="","",IFERROR(VALUE(LEFT($O230,FIND(".",$O230)-1)),""))</f>
        <v/>
      </c>
      <c r="Q230" s="14" t="str">
        <f aca="false">IF($P230="","",IF($P230&lt;=7,"Shoshilinch",IF($P230&lt;=9,"Kechiktirib bo'lmaydigan",IF($P230&lt;=14,"Rejalashtirilgan","Rejali"))))</f>
        <v/>
      </c>
      <c r="R230" s="25"/>
      <c r="S230" s="14" t="str">
        <f aca="false">IF($K230&lt;&gt;"Kesarcha","",IF(OR($O230&lt;&gt;"",$R230="Ha"),"Ha","YO‘Q"))</f>
        <v/>
      </c>
      <c r="T230" s="12"/>
      <c r="U230" s="12"/>
      <c r="V230" s="14" t="str">
        <f aca="false">IF(OR($C230="",$D230="",$B230=""),"",IF(COUNTIFS($C$5:$C$604,$C230,$D$5:$D$604,$D230,$B$5:$B$604,$B230)&gt;1,"Takror",""))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4"/>
      <c r="F231" s="12"/>
      <c r="G231" s="14" t="str">
        <f aca="false">IF(OR($D231="",$B231=""),"",INT(($B231-$D231)/365.25))</f>
        <v/>
      </c>
      <c r="H231" s="14" t="str">
        <f aca="false">IF($G231="","",IF($G231&lt;18,"Ha","Yo'q"))</f>
        <v/>
      </c>
      <c r="I231" s="12"/>
      <c r="J231" s="25"/>
      <c r="K231" s="25"/>
      <c r="L231" s="25"/>
      <c r="M231" s="12"/>
      <c r="N231" s="25"/>
      <c r="O231" s="25"/>
      <c r="P231" s="14" t="str">
        <f aca="false">IF($O231="","",IFERROR(VALUE(LEFT($O231,FIND(".",$O231)-1)),""))</f>
        <v/>
      </c>
      <c r="Q231" s="14" t="str">
        <f aca="false">IF($P231="","",IF($P231&lt;=7,"Shoshilinch",IF($P231&lt;=9,"Kechiktirib bo'lmaydigan",IF($P231&lt;=14,"Rejalashtirilgan","Rejali"))))</f>
        <v/>
      </c>
      <c r="R231" s="25"/>
      <c r="S231" s="14" t="str">
        <f aca="false">IF($K231&lt;&gt;"Kesarcha","",IF(OR($O231&lt;&gt;"",$R231="Ha"),"Ha","YO‘Q"))</f>
        <v/>
      </c>
      <c r="T231" s="12"/>
      <c r="U231" s="12"/>
      <c r="V231" s="14" t="str">
        <f aca="false">IF(OR($C231="",$D231="",$B231=""),"",IF(COUNTIFS($C$5:$C$604,$C231,$D$5:$D$604,$D231,$B$5:$B$604,$B231)&gt;1,"Takror",""))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4"/>
      <c r="F232" s="12"/>
      <c r="G232" s="14" t="str">
        <f aca="false">IF(OR($D232="",$B232=""),"",INT(($B232-$D232)/365.25))</f>
        <v/>
      </c>
      <c r="H232" s="14" t="str">
        <f aca="false">IF($G232="","",IF($G232&lt;18,"Ha","Yo'q"))</f>
        <v/>
      </c>
      <c r="I232" s="12"/>
      <c r="J232" s="25"/>
      <c r="K232" s="25"/>
      <c r="L232" s="25"/>
      <c r="M232" s="12"/>
      <c r="N232" s="25"/>
      <c r="O232" s="25"/>
      <c r="P232" s="14" t="str">
        <f aca="false">IF($O232="","",IFERROR(VALUE(LEFT($O232,FIND(".",$O232)-1)),""))</f>
        <v/>
      </c>
      <c r="Q232" s="14" t="str">
        <f aca="false">IF($P232="","",IF($P232&lt;=7,"Shoshilinch",IF($P232&lt;=9,"Kechiktirib bo'lmaydigan",IF($P232&lt;=14,"Rejalashtirilgan","Rejali"))))</f>
        <v/>
      </c>
      <c r="R232" s="25"/>
      <c r="S232" s="14" t="str">
        <f aca="false">IF($K232&lt;&gt;"Kesarcha","",IF(OR($O232&lt;&gt;"",$R232="Ha"),"Ha","YO‘Q"))</f>
        <v/>
      </c>
      <c r="T232" s="12"/>
      <c r="U232" s="12"/>
      <c r="V232" s="14" t="str">
        <f aca="false">IF(OR($C232="",$D232="",$B232=""),"",IF(COUNTIFS($C$5:$C$604,$C232,$D$5:$D$604,$D232,$B$5:$B$604,$B232)&gt;1,"Takror",""))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4"/>
      <c r="F233" s="12"/>
      <c r="G233" s="14" t="str">
        <f aca="false">IF(OR($D233="",$B233=""),"",INT(($B233-$D233)/365.25))</f>
        <v/>
      </c>
      <c r="H233" s="14" t="str">
        <f aca="false">IF($G233="","",IF($G233&lt;18,"Ha","Yo'q"))</f>
        <v/>
      </c>
      <c r="I233" s="12"/>
      <c r="J233" s="25"/>
      <c r="K233" s="25"/>
      <c r="L233" s="25"/>
      <c r="M233" s="12"/>
      <c r="N233" s="25"/>
      <c r="O233" s="25"/>
      <c r="P233" s="14" t="str">
        <f aca="false">IF($O233="","",IFERROR(VALUE(LEFT($O233,FIND(".",$O233)-1)),""))</f>
        <v/>
      </c>
      <c r="Q233" s="14" t="str">
        <f aca="false">IF($P233="","",IF($P233&lt;=7,"Shoshilinch",IF($P233&lt;=9,"Kechiktirib bo'lmaydigan",IF($P233&lt;=14,"Rejalashtirilgan","Rejali"))))</f>
        <v/>
      </c>
      <c r="R233" s="25"/>
      <c r="S233" s="14" t="str">
        <f aca="false">IF($K233&lt;&gt;"Kesarcha","",IF(OR($O233&lt;&gt;"",$R233="Ha"),"Ha","YO‘Q"))</f>
        <v/>
      </c>
      <c r="T233" s="12"/>
      <c r="U233" s="12"/>
      <c r="V233" s="14" t="str">
        <f aca="false">IF(OR($C233="",$D233="",$B233=""),"",IF(COUNTIFS($C$5:$C$604,$C233,$D$5:$D$604,$D233,$B$5:$B$604,$B233)&gt;1,"Takror",""))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4"/>
      <c r="F234" s="12"/>
      <c r="G234" s="14" t="str">
        <f aca="false">IF(OR($D234="",$B234=""),"",INT(($B234-$D234)/365.25))</f>
        <v/>
      </c>
      <c r="H234" s="14" t="str">
        <f aca="false">IF($G234="","",IF($G234&lt;18,"Ha","Yo'q"))</f>
        <v/>
      </c>
      <c r="I234" s="12"/>
      <c r="J234" s="25"/>
      <c r="K234" s="25"/>
      <c r="L234" s="25"/>
      <c r="M234" s="12"/>
      <c r="N234" s="25"/>
      <c r="O234" s="25"/>
      <c r="P234" s="14" t="str">
        <f aca="false">IF($O234="","",IFERROR(VALUE(LEFT($O234,FIND(".",$O234)-1)),""))</f>
        <v/>
      </c>
      <c r="Q234" s="14" t="str">
        <f aca="false">IF($P234="","",IF($P234&lt;=7,"Shoshilinch",IF($P234&lt;=9,"Kechiktirib bo'lmaydigan",IF($P234&lt;=14,"Rejalashtirilgan","Rejali"))))</f>
        <v/>
      </c>
      <c r="R234" s="25"/>
      <c r="S234" s="14" t="str">
        <f aca="false">IF($K234&lt;&gt;"Kesarcha","",IF(OR($O234&lt;&gt;"",$R234="Ha"),"Ha","YO‘Q"))</f>
        <v/>
      </c>
      <c r="T234" s="12"/>
      <c r="U234" s="12"/>
      <c r="V234" s="14" t="str">
        <f aca="false">IF(OR($C234="",$D234="",$B234=""),"",IF(COUNTIFS($C$5:$C$604,$C234,$D$5:$D$604,$D234,$B$5:$B$604,$B234)&gt;1,"Takror",""))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4"/>
      <c r="F235" s="12"/>
      <c r="G235" s="14" t="str">
        <f aca="false">IF(OR($D235="",$B235=""),"",INT(($B235-$D235)/365.25))</f>
        <v/>
      </c>
      <c r="H235" s="14" t="str">
        <f aca="false">IF($G235="","",IF($G235&lt;18,"Ha","Yo'q"))</f>
        <v/>
      </c>
      <c r="I235" s="12"/>
      <c r="J235" s="25"/>
      <c r="K235" s="25"/>
      <c r="L235" s="25"/>
      <c r="M235" s="12"/>
      <c r="N235" s="25"/>
      <c r="O235" s="25"/>
      <c r="P235" s="14" t="str">
        <f aca="false">IF($O235="","",IFERROR(VALUE(LEFT($O235,FIND(".",$O235)-1)),""))</f>
        <v/>
      </c>
      <c r="Q235" s="14" t="str">
        <f aca="false">IF($P235="","",IF($P235&lt;=7,"Shoshilinch",IF($P235&lt;=9,"Kechiktirib bo'lmaydigan",IF($P235&lt;=14,"Rejalashtirilgan","Rejali"))))</f>
        <v/>
      </c>
      <c r="R235" s="25"/>
      <c r="S235" s="14" t="str">
        <f aca="false">IF($K235&lt;&gt;"Kesarcha","",IF(OR($O235&lt;&gt;"",$R235="Ha"),"Ha","YO‘Q"))</f>
        <v/>
      </c>
      <c r="T235" s="12"/>
      <c r="U235" s="12"/>
      <c r="V235" s="14" t="str">
        <f aca="false">IF(OR($C235="",$D235="",$B235=""),"",IF(COUNTIFS($C$5:$C$604,$C235,$D$5:$D$604,$D235,$B$5:$B$604,$B235)&gt;1,"Takror",""))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4"/>
      <c r="F236" s="12"/>
      <c r="G236" s="14" t="str">
        <f aca="false">IF(OR($D236="",$B236=""),"",INT(($B236-$D236)/365.25))</f>
        <v/>
      </c>
      <c r="H236" s="14" t="str">
        <f aca="false">IF($G236="","",IF($G236&lt;18,"Ha","Yo'q"))</f>
        <v/>
      </c>
      <c r="I236" s="12"/>
      <c r="J236" s="25"/>
      <c r="K236" s="25"/>
      <c r="L236" s="25"/>
      <c r="M236" s="12"/>
      <c r="N236" s="25"/>
      <c r="O236" s="25"/>
      <c r="P236" s="14" t="str">
        <f aca="false">IF($O236="","",IFERROR(VALUE(LEFT($O236,FIND(".",$O236)-1)),""))</f>
        <v/>
      </c>
      <c r="Q236" s="14" t="str">
        <f aca="false">IF($P236="","",IF($P236&lt;=7,"Shoshilinch",IF($P236&lt;=9,"Kechiktirib bo'lmaydigan",IF($P236&lt;=14,"Rejalashtirilgan","Rejali"))))</f>
        <v/>
      </c>
      <c r="R236" s="25"/>
      <c r="S236" s="14" t="str">
        <f aca="false">IF($K236&lt;&gt;"Kesarcha","",IF(OR($O236&lt;&gt;"",$R236="Ha"),"Ha","YO‘Q"))</f>
        <v/>
      </c>
      <c r="T236" s="12"/>
      <c r="U236" s="12"/>
      <c r="V236" s="14" t="str">
        <f aca="false">IF(OR($C236="",$D236="",$B236=""),"",IF(COUNTIFS($C$5:$C$604,$C236,$D$5:$D$604,$D236,$B$5:$B$604,$B236)&gt;1,"Takror",""))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4"/>
      <c r="F237" s="12"/>
      <c r="G237" s="14" t="str">
        <f aca="false">IF(OR($D237="",$B237=""),"",INT(($B237-$D237)/365.25))</f>
        <v/>
      </c>
      <c r="H237" s="14" t="str">
        <f aca="false">IF($G237="","",IF($G237&lt;18,"Ha","Yo'q"))</f>
        <v/>
      </c>
      <c r="I237" s="12"/>
      <c r="J237" s="25"/>
      <c r="K237" s="25"/>
      <c r="L237" s="25"/>
      <c r="M237" s="12"/>
      <c r="N237" s="25"/>
      <c r="O237" s="25"/>
      <c r="P237" s="14" t="str">
        <f aca="false">IF($O237="","",IFERROR(VALUE(LEFT($O237,FIND(".",$O237)-1)),""))</f>
        <v/>
      </c>
      <c r="Q237" s="14" t="str">
        <f aca="false">IF($P237="","",IF($P237&lt;=7,"Shoshilinch",IF($P237&lt;=9,"Kechiktirib bo'lmaydigan",IF($P237&lt;=14,"Rejalashtirilgan","Rejali"))))</f>
        <v/>
      </c>
      <c r="R237" s="25"/>
      <c r="S237" s="14" t="str">
        <f aca="false">IF($K237&lt;&gt;"Kesarcha","",IF(OR($O237&lt;&gt;"",$R237="Ha"),"Ha","YO‘Q"))</f>
        <v/>
      </c>
      <c r="T237" s="12"/>
      <c r="U237" s="12"/>
      <c r="V237" s="14" t="str">
        <f aca="false">IF(OR($C237="",$D237="",$B237=""),"",IF(COUNTIFS($C$5:$C$604,$C237,$D$5:$D$604,$D237,$B$5:$B$604,$B237)&gt;1,"Takror",""))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4"/>
      <c r="F238" s="12"/>
      <c r="G238" s="14" t="str">
        <f aca="false">IF(OR($D238="",$B238=""),"",INT(($B238-$D238)/365.25))</f>
        <v/>
      </c>
      <c r="H238" s="14" t="str">
        <f aca="false">IF($G238="","",IF($G238&lt;18,"Ha","Yo'q"))</f>
        <v/>
      </c>
      <c r="I238" s="12"/>
      <c r="J238" s="25"/>
      <c r="K238" s="25"/>
      <c r="L238" s="25"/>
      <c r="M238" s="12"/>
      <c r="N238" s="25"/>
      <c r="O238" s="25"/>
      <c r="P238" s="14" t="str">
        <f aca="false">IF($O238="","",IFERROR(VALUE(LEFT($O238,FIND(".",$O238)-1)),""))</f>
        <v/>
      </c>
      <c r="Q238" s="14" t="str">
        <f aca="false">IF($P238="","",IF($P238&lt;=7,"Shoshilinch",IF($P238&lt;=9,"Kechiktirib bo'lmaydigan",IF($P238&lt;=14,"Rejalashtirilgan","Rejali"))))</f>
        <v/>
      </c>
      <c r="R238" s="25"/>
      <c r="S238" s="14" t="str">
        <f aca="false">IF($K238&lt;&gt;"Kesarcha","",IF(OR($O238&lt;&gt;"",$R238="Ha"),"Ha","YO‘Q"))</f>
        <v/>
      </c>
      <c r="T238" s="12"/>
      <c r="U238" s="12"/>
      <c r="V238" s="14" t="str">
        <f aca="false">IF(OR($C238="",$D238="",$B238=""),"",IF(COUNTIFS($C$5:$C$604,$C238,$D$5:$D$604,$D238,$B$5:$B$604,$B238)&gt;1,"Takror",""))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4"/>
      <c r="F239" s="12"/>
      <c r="G239" s="14" t="str">
        <f aca="false">IF(OR($D239="",$B239=""),"",INT(($B239-$D239)/365.25))</f>
        <v/>
      </c>
      <c r="H239" s="14" t="str">
        <f aca="false">IF($G239="","",IF($G239&lt;18,"Ha","Yo'q"))</f>
        <v/>
      </c>
      <c r="I239" s="12"/>
      <c r="J239" s="25"/>
      <c r="K239" s="25"/>
      <c r="L239" s="25"/>
      <c r="M239" s="12"/>
      <c r="N239" s="25"/>
      <c r="O239" s="25"/>
      <c r="P239" s="14" t="str">
        <f aca="false">IF($O239="","",IFERROR(VALUE(LEFT($O239,FIND(".",$O239)-1)),""))</f>
        <v/>
      </c>
      <c r="Q239" s="14" t="str">
        <f aca="false">IF($P239="","",IF($P239&lt;=7,"Shoshilinch",IF($P239&lt;=9,"Kechiktirib bo'lmaydigan",IF($P239&lt;=14,"Rejalashtirilgan","Rejali"))))</f>
        <v/>
      </c>
      <c r="R239" s="25"/>
      <c r="S239" s="14" t="str">
        <f aca="false">IF($K239&lt;&gt;"Kesarcha","",IF(OR($O239&lt;&gt;"",$R239="Ha"),"Ha","YO‘Q"))</f>
        <v/>
      </c>
      <c r="T239" s="12"/>
      <c r="U239" s="12"/>
      <c r="V239" s="14" t="str">
        <f aca="false">IF(OR($C239="",$D239="",$B239=""),"",IF(COUNTIFS($C$5:$C$604,$C239,$D$5:$D$604,$D239,$B$5:$B$604,$B239)&gt;1,"Takror",""))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4"/>
      <c r="F240" s="12"/>
      <c r="G240" s="14" t="str">
        <f aca="false">IF(OR($D240="",$B240=""),"",INT(($B240-$D240)/365.25))</f>
        <v/>
      </c>
      <c r="H240" s="14" t="str">
        <f aca="false">IF($G240="","",IF($G240&lt;18,"Ha","Yo'q"))</f>
        <v/>
      </c>
      <c r="I240" s="12"/>
      <c r="J240" s="25"/>
      <c r="K240" s="25"/>
      <c r="L240" s="25"/>
      <c r="M240" s="12"/>
      <c r="N240" s="25"/>
      <c r="O240" s="25"/>
      <c r="P240" s="14" t="str">
        <f aca="false">IF($O240="","",IFERROR(VALUE(LEFT($O240,FIND(".",$O240)-1)),""))</f>
        <v/>
      </c>
      <c r="Q240" s="14" t="str">
        <f aca="false">IF($P240="","",IF($P240&lt;=7,"Shoshilinch",IF($P240&lt;=9,"Kechiktirib bo'lmaydigan",IF($P240&lt;=14,"Rejalashtirilgan","Rejali"))))</f>
        <v/>
      </c>
      <c r="R240" s="25"/>
      <c r="S240" s="14" t="str">
        <f aca="false">IF($K240&lt;&gt;"Kesarcha","",IF(OR($O240&lt;&gt;"",$R240="Ha"),"Ha","YO‘Q"))</f>
        <v/>
      </c>
      <c r="T240" s="12"/>
      <c r="U240" s="12"/>
      <c r="V240" s="14" t="str">
        <f aca="false">IF(OR($C240="",$D240="",$B240=""),"",IF(COUNTIFS($C$5:$C$604,$C240,$D$5:$D$604,$D240,$B$5:$B$604,$B240)&gt;1,"Takror",""))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4"/>
      <c r="F241" s="12"/>
      <c r="G241" s="14" t="str">
        <f aca="false">IF(OR($D241="",$B241=""),"",INT(($B241-$D241)/365.25))</f>
        <v/>
      </c>
      <c r="H241" s="14" t="str">
        <f aca="false">IF($G241="","",IF($G241&lt;18,"Ha","Yo'q"))</f>
        <v/>
      </c>
      <c r="I241" s="12"/>
      <c r="J241" s="25"/>
      <c r="K241" s="25"/>
      <c r="L241" s="25"/>
      <c r="M241" s="12"/>
      <c r="N241" s="25"/>
      <c r="O241" s="25"/>
      <c r="P241" s="14" t="str">
        <f aca="false">IF($O241="","",IFERROR(VALUE(LEFT($O241,FIND(".",$O241)-1)),""))</f>
        <v/>
      </c>
      <c r="Q241" s="14" t="str">
        <f aca="false">IF($P241="","",IF($P241&lt;=7,"Shoshilinch",IF($P241&lt;=9,"Kechiktirib bo'lmaydigan",IF($P241&lt;=14,"Rejalashtirilgan","Rejali"))))</f>
        <v/>
      </c>
      <c r="R241" s="25"/>
      <c r="S241" s="14" t="str">
        <f aca="false">IF($K241&lt;&gt;"Kesarcha","",IF(OR($O241&lt;&gt;"",$R241="Ha"),"Ha","YO‘Q"))</f>
        <v/>
      </c>
      <c r="T241" s="12"/>
      <c r="U241" s="12"/>
      <c r="V241" s="14" t="str">
        <f aca="false">IF(OR($C241="",$D241="",$B241=""),"",IF(COUNTIFS($C$5:$C$604,$C241,$D$5:$D$604,$D241,$B$5:$B$604,$B241)&gt;1,"Takror",""))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4"/>
      <c r="F242" s="12"/>
      <c r="G242" s="14" t="str">
        <f aca="false">IF(OR($D242="",$B242=""),"",INT(($B242-$D242)/365.25))</f>
        <v/>
      </c>
      <c r="H242" s="14" t="str">
        <f aca="false">IF($G242="","",IF($G242&lt;18,"Ha","Yo'q"))</f>
        <v/>
      </c>
      <c r="I242" s="12"/>
      <c r="J242" s="25"/>
      <c r="K242" s="25"/>
      <c r="L242" s="25"/>
      <c r="M242" s="12"/>
      <c r="N242" s="25"/>
      <c r="O242" s="25"/>
      <c r="P242" s="14" t="str">
        <f aca="false">IF($O242="","",IFERROR(VALUE(LEFT($O242,FIND(".",$O242)-1)),""))</f>
        <v/>
      </c>
      <c r="Q242" s="14" t="str">
        <f aca="false">IF($P242="","",IF($P242&lt;=7,"Shoshilinch",IF($P242&lt;=9,"Kechiktirib bo'lmaydigan",IF($P242&lt;=14,"Rejalashtirilgan","Rejali"))))</f>
        <v/>
      </c>
      <c r="R242" s="25"/>
      <c r="S242" s="14" t="str">
        <f aca="false">IF($K242&lt;&gt;"Kesarcha","",IF(OR($O242&lt;&gt;"",$R242="Ha"),"Ha","YO‘Q"))</f>
        <v/>
      </c>
      <c r="T242" s="12"/>
      <c r="U242" s="12"/>
      <c r="V242" s="14" t="str">
        <f aca="false">IF(OR($C242="",$D242="",$B242=""),"",IF(COUNTIFS($C$5:$C$604,$C242,$D$5:$D$604,$D242,$B$5:$B$604,$B242)&gt;1,"Takror",""))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4"/>
      <c r="F243" s="12"/>
      <c r="G243" s="14" t="str">
        <f aca="false">IF(OR($D243="",$B243=""),"",INT(($B243-$D243)/365.25))</f>
        <v/>
      </c>
      <c r="H243" s="14" t="str">
        <f aca="false">IF($G243="","",IF($G243&lt;18,"Ha","Yo'q"))</f>
        <v/>
      </c>
      <c r="I243" s="12"/>
      <c r="J243" s="25"/>
      <c r="K243" s="25"/>
      <c r="L243" s="25"/>
      <c r="M243" s="12"/>
      <c r="N243" s="25"/>
      <c r="O243" s="25"/>
      <c r="P243" s="14" t="str">
        <f aca="false">IF($O243="","",IFERROR(VALUE(LEFT($O243,FIND(".",$O243)-1)),""))</f>
        <v/>
      </c>
      <c r="Q243" s="14" t="str">
        <f aca="false">IF($P243="","",IF($P243&lt;=7,"Shoshilinch",IF($P243&lt;=9,"Kechiktirib bo'lmaydigan",IF($P243&lt;=14,"Rejalashtirilgan","Rejali"))))</f>
        <v/>
      </c>
      <c r="R243" s="25"/>
      <c r="S243" s="14" t="str">
        <f aca="false">IF($K243&lt;&gt;"Kesarcha","",IF(OR($O243&lt;&gt;"",$R243="Ha"),"Ha","YO‘Q"))</f>
        <v/>
      </c>
      <c r="T243" s="12"/>
      <c r="U243" s="12"/>
      <c r="V243" s="14" t="str">
        <f aca="false">IF(OR($C243="",$D243="",$B243=""),"",IF(COUNTIFS($C$5:$C$604,$C243,$D$5:$D$604,$D243,$B$5:$B$604,$B243)&gt;1,"Takror",""))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4"/>
      <c r="F244" s="12"/>
      <c r="G244" s="14" t="str">
        <f aca="false">IF(OR($D244="",$B244=""),"",INT(($B244-$D244)/365.25))</f>
        <v/>
      </c>
      <c r="H244" s="14" t="str">
        <f aca="false">IF($G244="","",IF($G244&lt;18,"Ha","Yo'q"))</f>
        <v/>
      </c>
      <c r="I244" s="12"/>
      <c r="J244" s="25"/>
      <c r="K244" s="25"/>
      <c r="L244" s="25"/>
      <c r="M244" s="12"/>
      <c r="N244" s="25"/>
      <c r="O244" s="25"/>
      <c r="P244" s="14" t="str">
        <f aca="false">IF($O244="","",IFERROR(VALUE(LEFT($O244,FIND(".",$O244)-1)),""))</f>
        <v/>
      </c>
      <c r="Q244" s="14" t="str">
        <f aca="false">IF($P244="","",IF($P244&lt;=7,"Shoshilinch",IF($P244&lt;=9,"Kechiktirib bo'lmaydigan",IF($P244&lt;=14,"Rejalashtirilgan","Rejali"))))</f>
        <v/>
      </c>
      <c r="R244" s="25"/>
      <c r="S244" s="14" t="str">
        <f aca="false">IF($K244&lt;&gt;"Kesarcha","",IF(OR($O244&lt;&gt;"",$R244="Ha"),"Ha","YO‘Q"))</f>
        <v/>
      </c>
      <c r="T244" s="12"/>
      <c r="U244" s="12"/>
      <c r="V244" s="14" t="str">
        <f aca="false">IF(OR($C244="",$D244="",$B244=""),"",IF(COUNTIFS($C$5:$C$604,$C244,$D$5:$D$604,$D244,$B$5:$B$604,$B244)&gt;1,"Takror",""))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4"/>
      <c r="F245" s="12"/>
      <c r="G245" s="14" t="str">
        <f aca="false">IF(OR($D245="",$B245=""),"",INT(($B245-$D245)/365.25))</f>
        <v/>
      </c>
      <c r="H245" s="14" t="str">
        <f aca="false">IF($G245="","",IF($G245&lt;18,"Ha","Yo'q"))</f>
        <v/>
      </c>
      <c r="I245" s="12"/>
      <c r="J245" s="25"/>
      <c r="K245" s="25"/>
      <c r="L245" s="25"/>
      <c r="M245" s="12"/>
      <c r="N245" s="25"/>
      <c r="O245" s="25"/>
      <c r="P245" s="14" t="str">
        <f aca="false">IF($O245="","",IFERROR(VALUE(LEFT($O245,FIND(".",$O245)-1)),""))</f>
        <v/>
      </c>
      <c r="Q245" s="14" t="str">
        <f aca="false">IF($P245="","",IF($P245&lt;=7,"Shoshilinch",IF($P245&lt;=9,"Kechiktirib bo'lmaydigan",IF($P245&lt;=14,"Rejalashtirilgan","Rejali"))))</f>
        <v/>
      </c>
      <c r="R245" s="25"/>
      <c r="S245" s="14" t="str">
        <f aca="false">IF($K245&lt;&gt;"Kesarcha","",IF(OR($O245&lt;&gt;"",$R245="Ha"),"Ha","YO‘Q"))</f>
        <v/>
      </c>
      <c r="T245" s="12"/>
      <c r="U245" s="12"/>
      <c r="V245" s="14" t="str">
        <f aca="false">IF(OR($C245="",$D245="",$B245=""),"",IF(COUNTIFS($C$5:$C$604,$C245,$D$5:$D$604,$D245,$B$5:$B$604,$B245)&gt;1,"Takror",""))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4"/>
      <c r="F246" s="12"/>
      <c r="G246" s="14" t="str">
        <f aca="false">IF(OR($D246="",$B246=""),"",INT(($B246-$D246)/365.25))</f>
        <v/>
      </c>
      <c r="H246" s="14" t="str">
        <f aca="false">IF($G246="","",IF($G246&lt;18,"Ha","Yo'q"))</f>
        <v/>
      </c>
      <c r="I246" s="12"/>
      <c r="J246" s="25"/>
      <c r="K246" s="25"/>
      <c r="L246" s="25"/>
      <c r="M246" s="12"/>
      <c r="N246" s="25"/>
      <c r="O246" s="25"/>
      <c r="P246" s="14" t="str">
        <f aca="false">IF($O246="","",IFERROR(VALUE(LEFT($O246,FIND(".",$O246)-1)),""))</f>
        <v/>
      </c>
      <c r="Q246" s="14" t="str">
        <f aca="false">IF($P246="","",IF($P246&lt;=7,"Shoshilinch",IF($P246&lt;=9,"Kechiktirib bo'lmaydigan",IF($P246&lt;=14,"Rejalashtirilgan","Rejali"))))</f>
        <v/>
      </c>
      <c r="R246" s="25"/>
      <c r="S246" s="14" t="str">
        <f aca="false">IF($K246&lt;&gt;"Kesarcha","",IF(OR($O246&lt;&gt;"",$R246="Ha"),"Ha","YO‘Q"))</f>
        <v/>
      </c>
      <c r="T246" s="12"/>
      <c r="U246" s="12"/>
      <c r="V246" s="14" t="str">
        <f aca="false">IF(OR($C246="",$D246="",$B246=""),"",IF(COUNTIFS($C$5:$C$604,$C246,$D$5:$D$604,$D246,$B$5:$B$604,$B246)&gt;1,"Takror",""))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4"/>
      <c r="F247" s="12"/>
      <c r="G247" s="14" t="str">
        <f aca="false">IF(OR($D247="",$B247=""),"",INT(($B247-$D247)/365.25))</f>
        <v/>
      </c>
      <c r="H247" s="14" t="str">
        <f aca="false">IF($G247="","",IF($G247&lt;18,"Ha","Yo'q"))</f>
        <v/>
      </c>
      <c r="I247" s="12"/>
      <c r="J247" s="25"/>
      <c r="K247" s="25"/>
      <c r="L247" s="25"/>
      <c r="M247" s="12"/>
      <c r="N247" s="25"/>
      <c r="O247" s="25"/>
      <c r="P247" s="14" t="str">
        <f aca="false">IF($O247="","",IFERROR(VALUE(LEFT($O247,FIND(".",$O247)-1)),""))</f>
        <v/>
      </c>
      <c r="Q247" s="14" t="str">
        <f aca="false">IF($P247="","",IF($P247&lt;=7,"Shoshilinch",IF($P247&lt;=9,"Kechiktirib bo'lmaydigan",IF($P247&lt;=14,"Rejalashtirilgan","Rejali"))))</f>
        <v/>
      </c>
      <c r="R247" s="25"/>
      <c r="S247" s="14" t="str">
        <f aca="false">IF($K247&lt;&gt;"Kesarcha","",IF(OR($O247&lt;&gt;"",$R247="Ha"),"Ha","YO‘Q"))</f>
        <v/>
      </c>
      <c r="T247" s="12"/>
      <c r="U247" s="12"/>
      <c r="V247" s="14" t="str">
        <f aca="false">IF(OR($C247="",$D247="",$B247=""),"",IF(COUNTIFS($C$5:$C$604,$C247,$D$5:$D$604,$D247,$B$5:$B$604,$B247)&gt;1,"Takror",""))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4"/>
      <c r="F248" s="12"/>
      <c r="G248" s="14" t="str">
        <f aca="false">IF(OR($D248="",$B248=""),"",INT(($B248-$D248)/365.25))</f>
        <v/>
      </c>
      <c r="H248" s="14" t="str">
        <f aca="false">IF($G248="","",IF($G248&lt;18,"Ha","Yo'q"))</f>
        <v/>
      </c>
      <c r="I248" s="12"/>
      <c r="J248" s="25"/>
      <c r="K248" s="25"/>
      <c r="L248" s="25"/>
      <c r="M248" s="12"/>
      <c r="N248" s="25"/>
      <c r="O248" s="25"/>
      <c r="P248" s="14" t="str">
        <f aca="false">IF($O248="","",IFERROR(VALUE(LEFT($O248,FIND(".",$O248)-1)),""))</f>
        <v/>
      </c>
      <c r="Q248" s="14" t="str">
        <f aca="false">IF($P248="","",IF($P248&lt;=7,"Shoshilinch",IF($P248&lt;=9,"Kechiktirib bo'lmaydigan",IF($P248&lt;=14,"Rejalashtirilgan","Rejali"))))</f>
        <v/>
      </c>
      <c r="R248" s="25"/>
      <c r="S248" s="14" t="str">
        <f aca="false">IF($K248&lt;&gt;"Kesarcha","",IF(OR($O248&lt;&gt;"",$R248="Ha"),"Ha","YO‘Q"))</f>
        <v/>
      </c>
      <c r="T248" s="12"/>
      <c r="U248" s="12"/>
      <c r="V248" s="14" t="str">
        <f aca="false">IF(OR($C248="",$D248="",$B248=""),"",IF(COUNTIFS($C$5:$C$604,$C248,$D$5:$D$604,$D248,$B$5:$B$604,$B248)&gt;1,"Takror",""))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4"/>
      <c r="F249" s="12"/>
      <c r="G249" s="14" t="str">
        <f aca="false">IF(OR($D249="",$B249=""),"",INT(($B249-$D249)/365.25))</f>
        <v/>
      </c>
      <c r="H249" s="14" t="str">
        <f aca="false">IF($G249="","",IF($G249&lt;18,"Ha","Yo'q"))</f>
        <v/>
      </c>
      <c r="I249" s="12"/>
      <c r="J249" s="25"/>
      <c r="K249" s="25"/>
      <c r="L249" s="25"/>
      <c r="M249" s="12"/>
      <c r="N249" s="25"/>
      <c r="O249" s="25"/>
      <c r="P249" s="14" t="str">
        <f aca="false">IF($O249="","",IFERROR(VALUE(LEFT($O249,FIND(".",$O249)-1)),""))</f>
        <v/>
      </c>
      <c r="Q249" s="14" t="str">
        <f aca="false">IF($P249="","",IF($P249&lt;=7,"Shoshilinch",IF($P249&lt;=9,"Kechiktirib bo'lmaydigan",IF($P249&lt;=14,"Rejalashtirilgan","Rejali"))))</f>
        <v/>
      </c>
      <c r="R249" s="25"/>
      <c r="S249" s="14" t="str">
        <f aca="false">IF($K249&lt;&gt;"Kesarcha","",IF(OR($O249&lt;&gt;"",$R249="Ha"),"Ha","YO‘Q"))</f>
        <v/>
      </c>
      <c r="T249" s="12"/>
      <c r="U249" s="12"/>
      <c r="V249" s="14" t="str">
        <f aca="false">IF(OR($C249="",$D249="",$B249=""),"",IF(COUNTIFS($C$5:$C$604,$C249,$D$5:$D$604,$D249,$B$5:$B$604,$B249)&gt;1,"Takror",""))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4"/>
      <c r="F250" s="12"/>
      <c r="G250" s="14" t="str">
        <f aca="false">IF(OR($D250="",$B250=""),"",INT(($B250-$D250)/365.25))</f>
        <v/>
      </c>
      <c r="H250" s="14" t="str">
        <f aca="false">IF($G250="","",IF($G250&lt;18,"Ha","Yo'q"))</f>
        <v/>
      </c>
      <c r="I250" s="12"/>
      <c r="J250" s="25"/>
      <c r="K250" s="25"/>
      <c r="L250" s="25"/>
      <c r="M250" s="12"/>
      <c r="N250" s="25"/>
      <c r="O250" s="25"/>
      <c r="P250" s="14" t="str">
        <f aca="false">IF($O250="","",IFERROR(VALUE(LEFT($O250,FIND(".",$O250)-1)),""))</f>
        <v/>
      </c>
      <c r="Q250" s="14" t="str">
        <f aca="false">IF($P250="","",IF($P250&lt;=7,"Shoshilinch",IF($P250&lt;=9,"Kechiktirib bo'lmaydigan",IF($P250&lt;=14,"Rejalashtirilgan","Rejali"))))</f>
        <v/>
      </c>
      <c r="R250" s="25"/>
      <c r="S250" s="14" t="str">
        <f aca="false">IF($K250&lt;&gt;"Kesarcha","",IF(OR($O250&lt;&gt;"",$R250="Ha"),"Ha","YO‘Q"))</f>
        <v/>
      </c>
      <c r="T250" s="12"/>
      <c r="U250" s="12"/>
      <c r="V250" s="14" t="str">
        <f aca="false">IF(OR($C250="",$D250="",$B250=""),"",IF(COUNTIFS($C$5:$C$604,$C250,$D$5:$D$604,$D250,$B$5:$B$604,$B250)&gt;1,"Takror",""))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4"/>
      <c r="F251" s="12"/>
      <c r="G251" s="14" t="str">
        <f aca="false">IF(OR($D251="",$B251=""),"",INT(($B251-$D251)/365.25))</f>
        <v/>
      </c>
      <c r="H251" s="14" t="str">
        <f aca="false">IF($G251="","",IF($G251&lt;18,"Ha","Yo'q"))</f>
        <v/>
      </c>
      <c r="I251" s="12"/>
      <c r="J251" s="25"/>
      <c r="K251" s="25"/>
      <c r="L251" s="25"/>
      <c r="M251" s="12"/>
      <c r="N251" s="25"/>
      <c r="O251" s="25"/>
      <c r="P251" s="14" t="str">
        <f aca="false">IF($O251="","",IFERROR(VALUE(LEFT($O251,FIND(".",$O251)-1)),""))</f>
        <v/>
      </c>
      <c r="Q251" s="14" t="str">
        <f aca="false">IF($P251="","",IF($P251&lt;=7,"Shoshilinch",IF($P251&lt;=9,"Kechiktirib bo'lmaydigan",IF($P251&lt;=14,"Rejalashtirilgan","Rejali"))))</f>
        <v/>
      </c>
      <c r="R251" s="25"/>
      <c r="S251" s="14" t="str">
        <f aca="false">IF($K251&lt;&gt;"Kesarcha","",IF(OR($O251&lt;&gt;"",$R251="Ha"),"Ha","YO‘Q"))</f>
        <v/>
      </c>
      <c r="T251" s="12"/>
      <c r="U251" s="12"/>
      <c r="V251" s="14" t="str">
        <f aca="false">IF(OR($C251="",$D251="",$B251=""),"",IF(COUNTIFS($C$5:$C$604,$C251,$D$5:$D$604,$D251,$B$5:$B$604,$B251)&gt;1,"Takror",""))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4"/>
      <c r="F252" s="12"/>
      <c r="G252" s="14" t="str">
        <f aca="false">IF(OR($D252="",$B252=""),"",INT(($B252-$D252)/365.25))</f>
        <v/>
      </c>
      <c r="H252" s="14" t="str">
        <f aca="false">IF($G252="","",IF($G252&lt;18,"Ha","Yo'q"))</f>
        <v/>
      </c>
      <c r="I252" s="12"/>
      <c r="J252" s="25"/>
      <c r="K252" s="25"/>
      <c r="L252" s="25"/>
      <c r="M252" s="12"/>
      <c r="N252" s="25"/>
      <c r="O252" s="25"/>
      <c r="P252" s="14" t="str">
        <f aca="false">IF($O252="","",IFERROR(VALUE(LEFT($O252,FIND(".",$O252)-1)),""))</f>
        <v/>
      </c>
      <c r="Q252" s="14" t="str">
        <f aca="false">IF($P252="","",IF($P252&lt;=7,"Shoshilinch",IF($P252&lt;=9,"Kechiktirib bo'lmaydigan",IF($P252&lt;=14,"Rejalashtirilgan","Rejali"))))</f>
        <v/>
      </c>
      <c r="R252" s="25"/>
      <c r="S252" s="14" t="str">
        <f aca="false">IF($K252&lt;&gt;"Kesarcha","",IF(OR($O252&lt;&gt;"",$R252="Ha"),"Ha","YO‘Q"))</f>
        <v/>
      </c>
      <c r="T252" s="12"/>
      <c r="U252" s="12"/>
      <c r="V252" s="14" t="str">
        <f aca="false">IF(OR($C252="",$D252="",$B252=""),"",IF(COUNTIFS($C$5:$C$604,$C252,$D$5:$D$604,$D252,$B$5:$B$604,$B252)&gt;1,"Takror",""))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4"/>
      <c r="F253" s="12"/>
      <c r="G253" s="14" t="str">
        <f aca="false">IF(OR($D253="",$B253=""),"",INT(($B253-$D253)/365.25))</f>
        <v/>
      </c>
      <c r="H253" s="14" t="str">
        <f aca="false">IF($G253="","",IF($G253&lt;18,"Ha","Yo'q"))</f>
        <v/>
      </c>
      <c r="I253" s="12"/>
      <c r="J253" s="25"/>
      <c r="K253" s="25"/>
      <c r="L253" s="25"/>
      <c r="M253" s="12"/>
      <c r="N253" s="25"/>
      <c r="O253" s="25"/>
      <c r="P253" s="14" t="str">
        <f aca="false">IF($O253="","",IFERROR(VALUE(LEFT($O253,FIND(".",$O253)-1)),""))</f>
        <v/>
      </c>
      <c r="Q253" s="14" t="str">
        <f aca="false">IF($P253="","",IF($P253&lt;=7,"Shoshilinch",IF($P253&lt;=9,"Kechiktirib bo'lmaydigan",IF($P253&lt;=14,"Rejalashtirilgan","Rejali"))))</f>
        <v/>
      </c>
      <c r="R253" s="25"/>
      <c r="S253" s="14" t="str">
        <f aca="false">IF($K253&lt;&gt;"Kesarcha","",IF(OR($O253&lt;&gt;"",$R253="Ha"),"Ha","YO‘Q"))</f>
        <v/>
      </c>
      <c r="T253" s="12"/>
      <c r="U253" s="12"/>
      <c r="V253" s="14" t="str">
        <f aca="false">IF(OR($C253="",$D253="",$B253=""),"",IF(COUNTIFS($C$5:$C$604,$C253,$D$5:$D$604,$D253,$B$5:$B$604,$B253)&gt;1,"Takror",""))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4"/>
      <c r="F254" s="12"/>
      <c r="G254" s="14" t="str">
        <f aca="false">IF(OR($D254="",$B254=""),"",INT(($B254-$D254)/365.25))</f>
        <v/>
      </c>
      <c r="H254" s="14" t="str">
        <f aca="false">IF($G254="","",IF($G254&lt;18,"Ha","Yo'q"))</f>
        <v/>
      </c>
      <c r="I254" s="12"/>
      <c r="J254" s="25"/>
      <c r="K254" s="25"/>
      <c r="L254" s="25"/>
      <c r="M254" s="12"/>
      <c r="N254" s="25"/>
      <c r="O254" s="25"/>
      <c r="P254" s="14" t="str">
        <f aca="false">IF($O254="","",IFERROR(VALUE(LEFT($O254,FIND(".",$O254)-1)),""))</f>
        <v/>
      </c>
      <c r="Q254" s="14" t="str">
        <f aca="false">IF($P254="","",IF($P254&lt;=7,"Shoshilinch",IF($P254&lt;=9,"Kechiktirib bo'lmaydigan",IF($P254&lt;=14,"Rejalashtirilgan","Rejali"))))</f>
        <v/>
      </c>
      <c r="R254" s="25"/>
      <c r="S254" s="14" t="str">
        <f aca="false">IF($K254&lt;&gt;"Kesarcha","",IF(OR($O254&lt;&gt;"",$R254="Ha"),"Ha","YO‘Q"))</f>
        <v/>
      </c>
      <c r="T254" s="12"/>
      <c r="U254" s="12"/>
      <c r="V254" s="14" t="str">
        <f aca="false">IF(OR($C254="",$D254="",$B254=""),"",IF(COUNTIFS($C$5:$C$604,$C254,$D$5:$D$604,$D254,$B$5:$B$604,$B254)&gt;1,"Takror",""))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4"/>
      <c r="F255" s="12"/>
      <c r="G255" s="14" t="str">
        <f aca="false">IF(OR($D255="",$B255=""),"",INT(($B255-$D255)/365.25))</f>
        <v/>
      </c>
      <c r="H255" s="14" t="str">
        <f aca="false">IF($G255="","",IF($G255&lt;18,"Ha","Yo'q"))</f>
        <v/>
      </c>
      <c r="I255" s="12"/>
      <c r="J255" s="25"/>
      <c r="K255" s="25"/>
      <c r="L255" s="25"/>
      <c r="M255" s="12"/>
      <c r="N255" s="25"/>
      <c r="O255" s="25"/>
      <c r="P255" s="14" t="str">
        <f aca="false">IF($O255="","",IFERROR(VALUE(LEFT($O255,FIND(".",$O255)-1)),""))</f>
        <v/>
      </c>
      <c r="Q255" s="14" t="str">
        <f aca="false">IF($P255="","",IF($P255&lt;=7,"Shoshilinch",IF($P255&lt;=9,"Kechiktirib bo'lmaydigan",IF($P255&lt;=14,"Rejalashtirilgan","Rejali"))))</f>
        <v/>
      </c>
      <c r="R255" s="25"/>
      <c r="S255" s="14" t="str">
        <f aca="false">IF($K255&lt;&gt;"Kesarcha","",IF(OR($O255&lt;&gt;"",$R255="Ha"),"Ha","YO‘Q"))</f>
        <v/>
      </c>
      <c r="T255" s="12"/>
      <c r="U255" s="12"/>
      <c r="V255" s="14" t="str">
        <f aca="false">IF(OR($C255="",$D255="",$B255=""),"",IF(COUNTIFS($C$5:$C$604,$C255,$D$5:$D$604,$D255,$B$5:$B$604,$B255)&gt;1,"Takror",""))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4"/>
      <c r="F256" s="12"/>
      <c r="G256" s="14" t="str">
        <f aca="false">IF(OR($D256="",$B256=""),"",INT(($B256-$D256)/365.25))</f>
        <v/>
      </c>
      <c r="H256" s="14" t="str">
        <f aca="false">IF($G256="","",IF($G256&lt;18,"Ha","Yo'q"))</f>
        <v/>
      </c>
      <c r="I256" s="12"/>
      <c r="J256" s="25"/>
      <c r="K256" s="25"/>
      <c r="L256" s="25"/>
      <c r="M256" s="12"/>
      <c r="N256" s="25"/>
      <c r="O256" s="25"/>
      <c r="P256" s="14" t="str">
        <f aca="false">IF($O256="","",IFERROR(VALUE(LEFT($O256,FIND(".",$O256)-1)),""))</f>
        <v/>
      </c>
      <c r="Q256" s="14" t="str">
        <f aca="false">IF($P256="","",IF($P256&lt;=7,"Shoshilinch",IF($P256&lt;=9,"Kechiktirib bo'lmaydigan",IF($P256&lt;=14,"Rejalashtirilgan","Rejali"))))</f>
        <v/>
      </c>
      <c r="R256" s="25"/>
      <c r="S256" s="14" t="str">
        <f aca="false">IF($K256&lt;&gt;"Kesarcha","",IF(OR($O256&lt;&gt;"",$R256="Ha"),"Ha","YO‘Q"))</f>
        <v/>
      </c>
      <c r="T256" s="12"/>
      <c r="U256" s="12"/>
      <c r="V256" s="14" t="str">
        <f aca="false">IF(OR($C256="",$D256="",$B256=""),"",IF(COUNTIFS($C$5:$C$604,$C256,$D$5:$D$604,$D256,$B$5:$B$604,$B256)&gt;1,"Takror",""))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4"/>
      <c r="F257" s="12"/>
      <c r="G257" s="14" t="str">
        <f aca="false">IF(OR($D257="",$B257=""),"",INT(($B257-$D257)/365.25))</f>
        <v/>
      </c>
      <c r="H257" s="14" t="str">
        <f aca="false">IF($G257="","",IF($G257&lt;18,"Ha","Yo'q"))</f>
        <v/>
      </c>
      <c r="I257" s="12"/>
      <c r="J257" s="25"/>
      <c r="K257" s="25"/>
      <c r="L257" s="25"/>
      <c r="M257" s="12"/>
      <c r="N257" s="25"/>
      <c r="O257" s="25"/>
      <c r="P257" s="14" t="str">
        <f aca="false">IF($O257="","",IFERROR(VALUE(LEFT($O257,FIND(".",$O257)-1)),""))</f>
        <v/>
      </c>
      <c r="Q257" s="14" t="str">
        <f aca="false">IF($P257="","",IF($P257&lt;=7,"Shoshilinch",IF($P257&lt;=9,"Kechiktirib bo'lmaydigan",IF($P257&lt;=14,"Rejalashtirilgan","Rejali"))))</f>
        <v/>
      </c>
      <c r="R257" s="25"/>
      <c r="S257" s="14" t="str">
        <f aca="false">IF($K257&lt;&gt;"Kesarcha","",IF(OR($O257&lt;&gt;"",$R257="Ha"),"Ha","YO‘Q"))</f>
        <v/>
      </c>
      <c r="T257" s="12"/>
      <c r="U257" s="12"/>
      <c r="V257" s="14" t="str">
        <f aca="false">IF(OR($C257="",$D257="",$B257=""),"",IF(COUNTIFS($C$5:$C$604,$C257,$D$5:$D$604,$D257,$B$5:$B$604,$B257)&gt;1,"Takror",""))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4"/>
      <c r="F258" s="12"/>
      <c r="G258" s="14" t="str">
        <f aca="false">IF(OR($D258="",$B258=""),"",INT(($B258-$D258)/365.25))</f>
        <v/>
      </c>
      <c r="H258" s="14" t="str">
        <f aca="false">IF($G258="","",IF($G258&lt;18,"Ha","Yo'q"))</f>
        <v/>
      </c>
      <c r="I258" s="12"/>
      <c r="J258" s="25"/>
      <c r="K258" s="25"/>
      <c r="L258" s="25"/>
      <c r="M258" s="12"/>
      <c r="N258" s="25"/>
      <c r="O258" s="25"/>
      <c r="P258" s="14" t="str">
        <f aca="false">IF($O258="","",IFERROR(VALUE(LEFT($O258,FIND(".",$O258)-1)),""))</f>
        <v/>
      </c>
      <c r="Q258" s="14" t="str">
        <f aca="false">IF($P258="","",IF($P258&lt;=7,"Shoshilinch",IF($P258&lt;=9,"Kechiktirib bo'lmaydigan",IF($P258&lt;=14,"Rejalashtirilgan","Rejali"))))</f>
        <v/>
      </c>
      <c r="R258" s="25"/>
      <c r="S258" s="14" t="str">
        <f aca="false">IF($K258&lt;&gt;"Kesarcha","",IF(OR($O258&lt;&gt;"",$R258="Ha"),"Ha","YO‘Q"))</f>
        <v/>
      </c>
      <c r="T258" s="12"/>
      <c r="U258" s="12"/>
      <c r="V258" s="14" t="str">
        <f aca="false">IF(OR($C258="",$D258="",$B258=""),"",IF(COUNTIFS($C$5:$C$604,$C258,$D$5:$D$604,$D258,$B$5:$B$604,$B258)&gt;1,"Takror",""))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4"/>
      <c r="F259" s="12"/>
      <c r="G259" s="14" t="str">
        <f aca="false">IF(OR($D259="",$B259=""),"",INT(($B259-$D259)/365.25))</f>
        <v/>
      </c>
      <c r="H259" s="14" t="str">
        <f aca="false">IF($G259="","",IF($G259&lt;18,"Ha","Yo'q"))</f>
        <v/>
      </c>
      <c r="I259" s="12"/>
      <c r="J259" s="25"/>
      <c r="K259" s="25"/>
      <c r="L259" s="25"/>
      <c r="M259" s="12"/>
      <c r="N259" s="25"/>
      <c r="O259" s="25"/>
      <c r="P259" s="14" t="str">
        <f aca="false">IF($O259="","",IFERROR(VALUE(LEFT($O259,FIND(".",$O259)-1)),""))</f>
        <v/>
      </c>
      <c r="Q259" s="14" t="str">
        <f aca="false">IF($P259="","",IF($P259&lt;=7,"Shoshilinch",IF($P259&lt;=9,"Kechiktirib bo'lmaydigan",IF($P259&lt;=14,"Rejalashtirilgan","Rejali"))))</f>
        <v/>
      </c>
      <c r="R259" s="25"/>
      <c r="S259" s="14" t="str">
        <f aca="false">IF($K259&lt;&gt;"Kesarcha","",IF(OR($O259&lt;&gt;"",$R259="Ha"),"Ha","YO‘Q"))</f>
        <v/>
      </c>
      <c r="T259" s="12"/>
      <c r="U259" s="12"/>
      <c r="V259" s="14" t="str">
        <f aca="false">IF(OR($C259="",$D259="",$B259=""),"",IF(COUNTIFS($C$5:$C$604,$C259,$D$5:$D$604,$D259,$B$5:$B$604,$B259)&gt;1,"Takror",""))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4"/>
      <c r="F260" s="12"/>
      <c r="G260" s="14" t="str">
        <f aca="false">IF(OR($D260="",$B260=""),"",INT(($B260-$D260)/365.25))</f>
        <v/>
      </c>
      <c r="H260" s="14" t="str">
        <f aca="false">IF($G260="","",IF($G260&lt;18,"Ha","Yo'q"))</f>
        <v/>
      </c>
      <c r="I260" s="12"/>
      <c r="J260" s="25"/>
      <c r="K260" s="25"/>
      <c r="L260" s="25"/>
      <c r="M260" s="12"/>
      <c r="N260" s="25"/>
      <c r="O260" s="25"/>
      <c r="P260" s="14" t="str">
        <f aca="false">IF($O260="","",IFERROR(VALUE(LEFT($O260,FIND(".",$O260)-1)),""))</f>
        <v/>
      </c>
      <c r="Q260" s="14" t="str">
        <f aca="false">IF($P260="","",IF($P260&lt;=7,"Shoshilinch",IF($P260&lt;=9,"Kechiktirib bo'lmaydigan",IF($P260&lt;=14,"Rejalashtirilgan","Rejali"))))</f>
        <v/>
      </c>
      <c r="R260" s="25"/>
      <c r="S260" s="14" t="str">
        <f aca="false">IF($K260&lt;&gt;"Kesarcha","",IF(OR($O260&lt;&gt;"",$R260="Ha"),"Ha","YO‘Q"))</f>
        <v/>
      </c>
      <c r="T260" s="12"/>
      <c r="U260" s="12"/>
      <c r="V260" s="14" t="str">
        <f aca="false">IF(OR($C260="",$D260="",$B260=""),"",IF(COUNTIFS($C$5:$C$604,$C260,$D$5:$D$604,$D260,$B$5:$B$604,$B260)&gt;1,"Takror",""))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4"/>
      <c r="F261" s="12"/>
      <c r="G261" s="14" t="str">
        <f aca="false">IF(OR($D261="",$B261=""),"",INT(($B261-$D261)/365.25))</f>
        <v/>
      </c>
      <c r="H261" s="14" t="str">
        <f aca="false">IF($G261="","",IF($G261&lt;18,"Ha","Yo'q"))</f>
        <v/>
      </c>
      <c r="I261" s="12"/>
      <c r="J261" s="25"/>
      <c r="K261" s="25"/>
      <c r="L261" s="25"/>
      <c r="M261" s="12"/>
      <c r="N261" s="25"/>
      <c r="O261" s="25"/>
      <c r="P261" s="14" t="str">
        <f aca="false">IF($O261="","",IFERROR(VALUE(LEFT($O261,FIND(".",$O261)-1)),""))</f>
        <v/>
      </c>
      <c r="Q261" s="14" t="str">
        <f aca="false">IF($P261="","",IF($P261&lt;=7,"Shoshilinch",IF($P261&lt;=9,"Kechiktirib bo'lmaydigan",IF($P261&lt;=14,"Rejalashtirilgan","Rejali"))))</f>
        <v/>
      </c>
      <c r="R261" s="25"/>
      <c r="S261" s="14" t="str">
        <f aca="false">IF($K261&lt;&gt;"Kesarcha","",IF(OR($O261&lt;&gt;"",$R261="Ha"),"Ha","YO‘Q"))</f>
        <v/>
      </c>
      <c r="T261" s="12"/>
      <c r="U261" s="12"/>
      <c r="V261" s="14" t="str">
        <f aca="false">IF(OR($C261="",$D261="",$B261=""),"",IF(COUNTIFS($C$5:$C$604,$C261,$D$5:$D$604,$D261,$B$5:$B$604,$B261)&gt;1,"Takror",""))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4"/>
      <c r="F262" s="12"/>
      <c r="G262" s="14" t="str">
        <f aca="false">IF(OR($D262="",$B262=""),"",INT(($B262-$D262)/365.25))</f>
        <v/>
      </c>
      <c r="H262" s="14" t="str">
        <f aca="false">IF($G262="","",IF($G262&lt;18,"Ha","Yo'q"))</f>
        <v/>
      </c>
      <c r="I262" s="12"/>
      <c r="J262" s="25"/>
      <c r="K262" s="25"/>
      <c r="L262" s="25"/>
      <c r="M262" s="12"/>
      <c r="N262" s="25"/>
      <c r="O262" s="25"/>
      <c r="P262" s="14" t="str">
        <f aca="false">IF($O262="","",IFERROR(VALUE(LEFT($O262,FIND(".",$O262)-1)),""))</f>
        <v/>
      </c>
      <c r="Q262" s="14" t="str">
        <f aca="false">IF($P262="","",IF($P262&lt;=7,"Shoshilinch",IF($P262&lt;=9,"Kechiktirib bo'lmaydigan",IF($P262&lt;=14,"Rejalashtirilgan","Rejali"))))</f>
        <v/>
      </c>
      <c r="R262" s="25"/>
      <c r="S262" s="14" t="str">
        <f aca="false">IF($K262&lt;&gt;"Kesarcha","",IF(OR($O262&lt;&gt;"",$R262="Ha"),"Ha","YO‘Q"))</f>
        <v/>
      </c>
      <c r="T262" s="12"/>
      <c r="U262" s="12"/>
      <c r="V262" s="14" t="str">
        <f aca="false">IF(OR($C262="",$D262="",$B262=""),"",IF(COUNTIFS($C$5:$C$604,$C262,$D$5:$D$604,$D262,$B$5:$B$604,$B262)&gt;1,"Takror",""))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4"/>
      <c r="F263" s="12"/>
      <c r="G263" s="14" t="str">
        <f aca="false">IF(OR($D263="",$B263=""),"",INT(($B263-$D263)/365.25))</f>
        <v/>
      </c>
      <c r="H263" s="14" t="str">
        <f aca="false">IF($G263="","",IF($G263&lt;18,"Ha","Yo'q"))</f>
        <v/>
      </c>
      <c r="I263" s="12"/>
      <c r="J263" s="25"/>
      <c r="K263" s="25"/>
      <c r="L263" s="25"/>
      <c r="M263" s="12"/>
      <c r="N263" s="25"/>
      <c r="O263" s="25"/>
      <c r="P263" s="14" t="str">
        <f aca="false">IF($O263="","",IFERROR(VALUE(LEFT($O263,FIND(".",$O263)-1)),""))</f>
        <v/>
      </c>
      <c r="Q263" s="14" t="str">
        <f aca="false">IF($P263="","",IF($P263&lt;=7,"Shoshilinch",IF($P263&lt;=9,"Kechiktirib bo'lmaydigan",IF($P263&lt;=14,"Rejalashtirilgan","Rejali"))))</f>
        <v/>
      </c>
      <c r="R263" s="25"/>
      <c r="S263" s="14" t="str">
        <f aca="false">IF($K263&lt;&gt;"Kesarcha","",IF(OR($O263&lt;&gt;"",$R263="Ha"),"Ha","YO‘Q"))</f>
        <v/>
      </c>
      <c r="T263" s="12"/>
      <c r="U263" s="12"/>
      <c r="V263" s="14" t="str">
        <f aca="false">IF(OR($C263="",$D263="",$B263=""),"",IF(COUNTIFS($C$5:$C$604,$C263,$D$5:$D$604,$D263,$B$5:$B$604,$B263)&gt;1,"Takror",""))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4"/>
      <c r="F264" s="12"/>
      <c r="G264" s="14" t="str">
        <f aca="false">IF(OR($D264="",$B264=""),"",INT(($B264-$D264)/365.25))</f>
        <v/>
      </c>
      <c r="H264" s="14" t="str">
        <f aca="false">IF($G264="","",IF($G264&lt;18,"Ha","Yo'q"))</f>
        <v/>
      </c>
      <c r="I264" s="12"/>
      <c r="J264" s="25"/>
      <c r="K264" s="25"/>
      <c r="L264" s="25"/>
      <c r="M264" s="12"/>
      <c r="N264" s="25"/>
      <c r="O264" s="25"/>
      <c r="P264" s="14" t="str">
        <f aca="false">IF($O264="","",IFERROR(VALUE(LEFT($O264,FIND(".",$O264)-1)),""))</f>
        <v/>
      </c>
      <c r="Q264" s="14" t="str">
        <f aca="false">IF($P264="","",IF($P264&lt;=7,"Shoshilinch",IF($P264&lt;=9,"Kechiktirib bo'lmaydigan",IF($P264&lt;=14,"Rejalashtirilgan","Rejali"))))</f>
        <v/>
      </c>
      <c r="R264" s="25"/>
      <c r="S264" s="14" t="str">
        <f aca="false">IF($K264&lt;&gt;"Kesarcha","",IF(OR($O264&lt;&gt;"",$R264="Ha"),"Ha","YO‘Q"))</f>
        <v/>
      </c>
      <c r="T264" s="12"/>
      <c r="U264" s="12"/>
      <c r="V264" s="14" t="str">
        <f aca="false">IF(OR($C264="",$D264="",$B264=""),"",IF(COUNTIFS($C$5:$C$604,$C264,$D$5:$D$604,$D264,$B$5:$B$604,$B264)&gt;1,"Takror",""))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4"/>
      <c r="F265" s="12"/>
      <c r="G265" s="14" t="str">
        <f aca="false">IF(OR($D265="",$B265=""),"",INT(($B265-$D265)/365.25))</f>
        <v/>
      </c>
      <c r="H265" s="14" t="str">
        <f aca="false">IF($G265="","",IF($G265&lt;18,"Ha","Yo'q"))</f>
        <v/>
      </c>
      <c r="I265" s="12"/>
      <c r="J265" s="25"/>
      <c r="K265" s="25"/>
      <c r="L265" s="25"/>
      <c r="M265" s="12"/>
      <c r="N265" s="25"/>
      <c r="O265" s="25"/>
      <c r="P265" s="14" t="str">
        <f aca="false">IF($O265="","",IFERROR(VALUE(LEFT($O265,FIND(".",$O265)-1)),""))</f>
        <v/>
      </c>
      <c r="Q265" s="14" t="str">
        <f aca="false">IF($P265="","",IF($P265&lt;=7,"Shoshilinch",IF($P265&lt;=9,"Kechiktirib bo'lmaydigan",IF($P265&lt;=14,"Rejalashtirilgan","Rejali"))))</f>
        <v/>
      </c>
      <c r="R265" s="25"/>
      <c r="S265" s="14" t="str">
        <f aca="false">IF($K265&lt;&gt;"Kesarcha","",IF(OR($O265&lt;&gt;"",$R265="Ha"),"Ha","YO‘Q"))</f>
        <v/>
      </c>
      <c r="T265" s="12"/>
      <c r="U265" s="12"/>
      <c r="V265" s="14" t="str">
        <f aca="false">IF(OR($C265="",$D265="",$B265=""),"",IF(COUNTIFS($C$5:$C$604,$C265,$D$5:$D$604,$D265,$B$5:$B$604,$B265)&gt;1,"Takror",""))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4"/>
      <c r="F266" s="12"/>
      <c r="G266" s="14" t="str">
        <f aca="false">IF(OR($D266="",$B266=""),"",INT(($B266-$D266)/365.25))</f>
        <v/>
      </c>
      <c r="H266" s="14" t="str">
        <f aca="false">IF($G266="","",IF($G266&lt;18,"Ha","Yo'q"))</f>
        <v/>
      </c>
      <c r="I266" s="12"/>
      <c r="J266" s="25"/>
      <c r="K266" s="25"/>
      <c r="L266" s="25"/>
      <c r="M266" s="12"/>
      <c r="N266" s="25"/>
      <c r="O266" s="25"/>
      <c r="P266" s="14" t="str">
        <f aca="false">IF($O266="","",IFERROR(VALUE(LEFT($O266,FIND(".",$O266)-1)),""))</f>
        <v/>
      </c>
      <c r="Q266" s="14" t="str">
        <f aca="false">IF($P266="","",IF($P266&lt;=7,"Shoshilinch",IF($P266&lt;=9,"Kechiktirib bo'lmaydigan",IF($P266&lt;=14,"Rejalashtirilgan","Rejali"))))</f>
        <v/>
      </c>
      <c r="R266" s="25"/>
      <c r="S266" s="14" t="str">
        <f aca="false">IF($K266&lt;&gt;"Kesarcha","",IF(OR($O266&lt;&gt;"",$R266="Ha"),"Ha","YO‘Q"))</f>
        <v/>
      </c>
      <c r="T266" s="12"/>
      <c r="U266" s="12"/>
      <c r="V266" s="14" t="str">
        <f aca="false">IF(OR($C266="",$D266="",$B266=""),"",IF(COUNTIFS($C$5:$C$604,$C266,$D$5:$D$604,$D266,$B$5:$B$604,$B266)&gt;1,"Takror",""))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4"/>
      <c r="F267" s="12"/>
      <c r="G267" s="14" t="str">
        <f aca="false">IF(OR($D267="",$B267=""),"",INT(($B267-$D267)/365.25))</f>
        <v/>
      </c>
      <c r="H267" s="14" t="str">
        <f aca="false">IF($G267="","",IF($G267&lt;18,"Ha","Yo'q"))</f>
        <v/>
      </c>
      <c r="I267" s="12"/>
      <c r="J267" s="25"/>
      <c r="K267" s="25"/>
      <c r="L267" s="25"/>
      <c r="M267" s="12"/>
      <c r="N267" s="25"/>
      <c r="O267" s="25"/>
      <c r="P267" s="14" t="str">
        <f aca="false">IF($O267="","",IFERROR(VALUE(LEFT($O267,FIND(".",$O267)-1)),""))</f>
        <v/>
      </c>
      <c r="Q267" s="14" t="str">
        <f aca="false">IF($P267="","",IF($P267&lt;=7,"Shoshilinch",IF($P267&lt;=9,"Kechiktirib bo'lmaydigan",IF($P267&lt;=14,"Rejalashtirilgan","Rejali"))))</f>
        <v/>
      </c>
      <c r="R267" s="25"/>
      <c r="S267" s="14" t="str">
        <f aca="false">IF($K267&lt;&gt;"Kesarcha","",IF(OR($O267&lt;&gt;"",$R267="Ha"),"Ha","YO‘Q"))</f>
        <v/>
      </c>
      <c r="T267" s="12"/>
      <c r="U267" s="12"/>
      <c r="V267" s="14" t="str">
        <f aca="false">IF(OR($C267="",$D267="",$B267=""),"",IF(COUNTIFS($C$5:$C$604,$C267,$D$5:$D$604,$D267,$B$5:$B$604,$B267)&gt;1,"Takror",""))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4"/>
      <c r="F268" s="12"/>
      <c r="G268" s="14" t="str">
        <f aca="false">IF(OR($D268="",$B268=""),"",INT(($B268-$D268)/365.25))</f>
        <v/>
      </c>
      <c r="H268" s="14" t="str">
        <f aca="false">IF($G268="","",IF($G268&lt;18,"Ha","Yo'q"))</f>
        <v/>
      </c>
      <c r="I268" s="12"/>
      <c r="J268" s="25"/>
      <c r="K268" s="25"/>
      <c r="L268" s="25"/>
      <c r="M268" s="12"/>
      <c r="N268" s="25"/>
      <c r="O268" s="25"/>
      <c r="P268" s="14" t="str">
        <f aca="false">IF($O268="","",IFERROR(VALUE(LEFT($O268,FIND(".",$O268)-1)),""))</f>
        <v/>
      </c>
      <c r="Q268" s="14" t="str">
        <f aca="false">IF($P268="","",IF($P268&lt;=7,"Shoshilinch",IF($P268&lt;=9,"Kechiktirib bo'lmaydigan",IF($P268&lt;=14,"Rejalashtirilgan","Rejali"))))</f>
        <v/>
      </c>
      <c r="R268" s="25"/>
      <c r="S268" s="14" t="str">
        <f aca="false">IF($K268&lt;&gt;"Kesarcha","",IF(OR($O268&lt;&gt;"",$R268="Ha"),"Ha","YO‘Q"))</f>
        <v/>
      </c>
      <c r="T268" s="12"/>
      <c r="U268" s="12"/>
      <c r="V268" s="14" t="str">
        <f aca="false">IF(OR($C268="",$D268="",$B268=""),"",IF(COUNTIFS($C$5:$C$604,$C268,$D$5:$D$604,$D268,$B$5:$B$604,$B268)&gt;1,"Takror",""))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4"/>
      <c r="F269" s="12"/>
      <c r="G269" s="14" t="str">
        <f aca="false">IF(OR($D269="",$B269=""),"",INT(($B269-$D269)/365.25))</f>
        <v/>
      </c>
      <c r="H269" s="14" t="str">
        <f aca="false">IF($G269="","",IF($G269&lt;18,"Ha","Yo'q"))</f>
        <v/>
      </c>
      <c r="I269" s="12"/>
      <c r="J269" s="25"/>
      <c r="K269" s="25"/>
      <c r="L269" s="25"/>
      <c r="M269" s="12"/>
      <c r="N269" s="25"/>
      <c r="O269" s="25"/>
      <c r="P269" s="14" t="str">
        <f aca="false">IF($O269="","",IFERROR(VALUE(LEFT($O269,FIND(".",$O269)-1)),""))</f>
        <v/>
      </c>
      <c r="Q269" s="14" t="str">
        <f aca="false">IF($P269="","",IF($P269&lt;=7,"Shoshilinch",IF($P269&lt;=9,"Kechiktirib bo'lmaydigan",IF($P269&lt;=14,"Rejalashtirilgan","Rejali"))))</f>
        <v/>
      </c>
      <c r="R269" s="25"/>
      <c r="S269" s="14" t="str">
        <f aca="false">IF($K269&lt;&gt;"Kesarcha","",IF(OR($O269&lt;&gt;"",$R269="Ha"),"Ha","YO‘Q"))</f>
        <v/>
      </c>
      <c r="T269" s="12"/>
      <c r="U269" s="12"/>
      <c r="V269" s="14" t="str">
        <f aca="false">IF(OR($C269="",$D269="",$B269=""),"",IF(COUNTIFS($C$5:$C$604,$C269,$D$5:$D$604,$D269,$B$5:$B$604,$B269)&gt;1,"Takror",""))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4"/>
      <c r="F270" s="12"/>
      <c r="G270" s="14" t="str">
        <f aca="false">IF(OR($D270="",$B270=""),"",INT(($B270-$D270)/365.25))</f>
        <v/>
      </c>
      <c r="H270" s="14" t="str">
        <f aca="false">IF($G270="","",IF($G270&lt;18,"Ha","Yo'q"))</f>
        <v/>
      </c>
      <c r="I270" s="12"/>
      <c r="J270" s="25"/>
      <c r="K270" s="25"/>
      <c r="L270" s="25"/>
      <c r="M270" s="12"/>
      <c r="N270" s="25"/>
      <c r="O270" s="25"/>
      <c r="P270" s="14" t="str">
        <f aca="false">IF($O270="","",IFERROR(VALUE(LEFT($O270,FIND(".",$O270)-1)),""))</f>
        <v/>
      </c>
      <c r="Q270" s="14" t="str">
        <f aca="false">IF($P270="","",IF($P270&lt;=7,"Shoshilinch",IF($P270&lt;=9,"Kechiktirib bo'lmaydigan",IF($P270&lt;=14,"Rejalashtirilgan","Rejali"))))</f>
        <v/>
      </c>
      <c r="R270" s="25"/>
      <c r="S270" s="14" t="str">
        <f aca="false">IF($K270&lt;&gt;"Kesarcha","",IF(OR($O270&lt;&gt;"",$R270="Ha"),"Ha","YO‘Q"))</f>
        <v/>
      </c>
      <c r="T270" s="12"/>
      <c r="U270" s="12"/>
      <c r="V270" s="14" t="str">
        <f aca="false">IF(OR($C270="",$D270="",$B270=""),"",IF(COUNTIFS($C$5:$C$604,$C270,$D$5:$D$604,$D270,$B$5:$B$604,$B270)&gt;1,"Takror",""))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4"/>
      <c r="F271" s="12"/>
      <c r="G271" s="14" t="str">
        <f aca="false">IF(OR($D271="",$B271=""),"",INT(($B271-$D271)/365.25))</f>
        <v/>
      </c>
      <c r="H271" s="14" t="str">
        <f aca="false">IF($G271="","",IF($G271&lt;18,"Ha","Yo'q"))</f>
        <v/>
      </c>
      <c r="I271" s="12"/>
      <c r="J271" s="25"/>
      <c r="K271" s="25"/>
      <c r="L271" s="25"/>
      <c r="M271" s="12"/>
      <c r="N271" s="25"/>
      <c r="O271" s="25"/>
      <c r="P271" s="14" t="str">
        <f aca="false">IF($O271="","",IFERROR(VALUE(LEFT($O271,FIND(".",$O271)-1)),""))</f>
        <v/>
      </c>
      <c r="Q271" s="14" t="str">
        <f aca="false">IF($P271="","",IF($P271&lt;=7,"Shoshilinch",IF($P271&lt;=9,"Kechiktirib bo'lmaydigan",IF($P271&lt;=14,"Rejalashtirilgan","Rejali"))))</f>
        <v/>
      </c>
      <c r="R271" s="25"/>
      <c r="S271" s="14" t="str">
        <f aca="false">IF($K271&lt;&gt;"Kesarcha","",IF(OR($O271&lt;&gt;"",$R271="Ha"),"Ha","YO‘Q"))</f>
        <v/>
      </c>
      <c r="T271" s="12"/>
      <c r="U271" s="12"/>
      <c r="V271" s="14" t="str">
        <f aca="false">IF(OR($C271="",$D271="",$B271=""),"",IF(COUNTIFS($C$5:$C$604,$C271,$D$5:$D$604,$D271,$B$5:$B$604,$B271)&gt;1,"Takror",""))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4"/>
      <c r="F272" s="12"/>
      <c r="G272" s="14" t="str">
        <f aca="false">IF(OR($D272="",$B272=""),"",INT(($B272-$D272)/365.25))</f>
        <v/>
      </c>
      <c r="H272" s="14" t="str">
        <f aca="false">IF($G272="","",IF($G272&lt;18,"Ha","Yo'q"))</f>
        <v/>
      </c>
      <c r="I272" s="12"/>
      <c r="J272" s="25"/>
      <c r="K272" s="25"/>
      <c r="L272" s="25"/>
      <c r="M272" s="12"/>
      <c r="N272" s="25"/>
      <c r="O272" s="25"/>
      <c r="P272" s="14" t="str">
        <f aca="false">IF($O272="","",IFERROR(VALUE(LEFT($O272,FIND(".",$O272)-1)),""))</f>
        <v/>
      </c>
      <c r="Q272" s="14" t="str">
        <f aca="false">IF($P272="","",IF($P272&lt;=7,"Shoshilinch",IF($P272&lt;=9,"Kechiktirib bo'lmaydigan",IF($P272&lt;=14,"Rejalashtirilgan","Rejali"))))</f>
        <v/>
      </c>
      <c r="R272" s="25"/>
      <c r="S272" s="14" t="str">
        <f aca="false">IF($K272&lt;&gt;"Kesarcha","",IF(OR($O272&lt;&gt;"",$R272="Ha"),"Ha","YO‘Q"))</f>
        <v/>
      </c>
      <c r="T272" s="12"/>
      <c r="U272" s="12"/>
      <c r="V272" s="14" t="str">
        <f aca="false">IF(OR($C272="",$D272="",$B272=""),"",IF(COUNTIFS($C$5:$C$604,$C272,$D$5:$D$604,$D272,$B$5:$B$604,$B272)&gt;1,"Takror",""))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4"/>
      <c r="F273" s="12"/>
      <c r="G273" s="14" t="str">
        <f aca="false">IF(OR($D273="",$B273=""),"",INT(($B273-$D273)/365.25))</f>
        <v/>
      </c>
      <c r="H273" s="14" t="str">
        <f aca="false">IF($G273="","",IF($G273&lt;18,"Ha","Yo'q"))</f>
        <v/>
      </c>
      <c r="I273" s="12"/>
      <c r="J273" s="25"/>
      <c r="K273" s="25"/>
      <c r="L273" s="25"/>
      <c r="M273" s="12"/>
      <c r="N273" s="25"/>
      <c r="O273" s="25"/>
      <c r="P273" s="14" t="str">
        <f aca="false">IF($O273="","",IFERROR(VALUE(LEFT($O273,FIND(".",$O273)-1)),""))</f>
        <v/>
      </c>
      <c r="Q273" s="14" t="str">
        <f aca="false">IF($P273="","",IF($P273&lt;=7,"Shoshilinch",IF($P273&lt;=9,"Kechiktirib bo'lmaydigan",IF($P273&lt;=14,"Rejalashtirilgan","Rejali"))))</f>
        <v/>
      </c>
      <c r="R273" s="25"/>
      <c r="S273" s="14" t="str">
        <f aca="false">IF($K273&lt;&gt;"Kesarcha","",IF(OR($O273&lt;&gt;"",$R273="Ha"),"Ha","YO‘Q"))</f>
        <v/>
      </c>
      <c r="T273" s="12"/>
      <c r="U273" s="12"/>
      <c r="V273" s="14" t="str">
        <f aca="false">IF(OR($C273="",$D273="",$B273=""),"",IF(COUNTIFS($C$5:$C$604,$C273,$D$5:$D$604,$D273,$B$5:$B$604,$B273)&gt;1,"Takror",""))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4"/>
      <c r="F274" s="12"/>
      <c r="G274" s="14" t="str">
        <f aca="false">IF(OR($D274="",$B274=""),"",INT(($B274-$D274)/365.25))</f>
        <v/>
      </c>
      <c r="H274" s="14" t="str">
        <f aca="false">IF($G274="","",IF($G274&lt;18,"Ha","Yo'q"))</f>
        <v/>
      </c>
      <c r="I274" s="12"/>
      <c r="J274" s="25"/>
      <c r="K274" s="25"/>
      <c r="L274" s="25"/>
      <c r="M274" s="12"/>
      <c r="N274" s="25"/>
      <c r="O274" s="25"/>
      <c r="P274" s="14" t="str">
        <f aca="false">IF($O274="","",IFERROR(VALUE(LEFT($O274,FIND(".",$O274)-1)),""))</f>
        <v/>
      </c>
      <c r="Q274" s="14" t="str">
        <f aca="false">IF($P274="","",IF($P274&lt;=7,"Shoshilinch",IF($P274&lt;=9,"Kechiktirib bo'lmaydigan",IF($P274&lt;=14,"Rejalashtirilgan","Rejali"))))</f>
        <v/>
      </c>
      <c r="R274" s="25"/>
      <c r="S274" s="14" t="str">
        <f aca="false">IF($K274&lt;&gt;"Kesarcha","",IF(OR($O274&lt;&gt;"",$R274="Ha"),"Ha","YO‘Q"))</f>
        <v/>
      </c>
      <c r="T274" s="12"/>
      <c r="U274" s="12"/>
      <c r="V274" s="14" t="str">
        <f aca="false">IF(OR($C274="",$D274="",$B274=""),"",IF(COUNTIFS($C$5:$C$604,$C274,$D$5:$D$604,$D274,$B$5:$B$604,$B274)&gt;1,"Takror",""))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4"/>
      <c r="F275" s="12"/>
      <c r="G275" s="14" t="str">
        <f aca="false">IF(OR($D275="",$B275=""),"",INT(($B275-$D275)/365.25))</f>
        <v/>
      </c>
      <c r="H275" s="14" t="str">
        <f aca="false">IF($G275="","",IF($G275&lt;18,"Ha","Yo'q"))</f>
        <v/>
      </c>
      <c r="I275" s="12"/>
      <c r="J275" s="25"/>
      <c r="K275" s="25"/>
      <c r="L275" s="25"/>
      <c r="M275" s="12"/>
      <c r="N275" s="25"/>
      <c r="O275" s="25"/>
      <c r="P275" s="14" t="str">
        <f aca="false">IF($O275="","",IFERROR(VALUE(LEFT($O275,FIND(".",$O275)-1)),""))</f>
        <v/>
      </c>
      <c r="Q275" s="14" t="str">
        <f aca="false">IF($P275="","",IF($P275&lt;=7,"Shoshilinch",IF($P275&lt;=9,"Kechiktirib bo'lmaydigan",IF($P275&lt;=14,"Rejalashtirilgan","Rejali"))))</f>
        <v/>
      </c>
      <c r="R275" s="25"/>
      <c r="S275" s="14" t="str">
        <f aca="false">IF($K275&lt;&gt;"Kesarcha","",IF(OR($O275&lt;&gt;"",$R275="Ha"),"Ha","YO‘Q"))</f>
        <v/>
      </c>
      <c r="T275" s="12"/>
      <c r="U275" s="12"/>
      <c r="V275" s="14" t="str">
        <f aca="false">IF(OR($C275="",$D275="",$B275=""),"",IF(COUNTIFS($C$5:$C$604,$C275,$D$5:$D$604,$D275,$B$5:$B$604,$B275)&gt;1,"Takror",""))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4"/>
      <c r="F276" s="12"/>
      <c r="G276" s="14" t="str">
        <f aca="false">IF(OR($D276="",$B276=""),"",INT(($B276-$D276)/365.25))</f>
        <v/>
      </c>
      <c r="H276" s="14" t="str">
        <f aca="false">IF($G276="","",IF($G276&lt;18,"Ha","Yo'q"))</f>
        <v/>
      </c>
      <c r="I276" s="12"/>
      <c r="J276" s="25"/>
      <c r="K276" s="25"/>
      <c r="L276" s="25"/>
      <c r="M276" s="12"/>
      <c r="N276" s="25"/>
      <c r="O276" s="25"/>
      <c r="P276" s="14" t="str">
        <f aca="false">IF($O276="","",IFERROR(VALUE(LEFT($O276,FIND(".",$O276)-1)),""))</f>
        <v/>
      </c>
      <c r="Q276" s="14" t="str">
        <f aca="false">IF($P276="","",IF($P276&lt;=7,"Shoshilinch",IF($P276&lt;=9,"Kechiktirib bo'lmaydigan",IF($P276&lt;=14,"Rejalashtirilgan","Rejali"))))</f>
        <v/>
      </c>
      <c r="R276" s="25"/>
      <c r="S276" s="14" t="str">
        <f aca="false">IF($K276&lt;&gt;"Kesarcha","",IF(OR($O276&lt;&gt;"",$R276="Ha"),"Ha","YO‘Q"))</f>
        <v/>
      </c>
      <c r="T276" s="12"/>
      <c r="U276" s="12"/>
      <c r="V276" s="14" t="str">
        <f aca="false">IF(OR($C276="",$D276="",$B276=""),"",IF(COUNTIFS($C$5:$C$604,$C276,$D$5:$D$604,$D276,$B$5:$B$604,$B276)&gt;1,"Takror",""))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4"/>
      <c r="F277" s="12"/>
      <c r="G277" s="14" t="str">
        <f aca="false">IF(OR($D277="",$B277=""),"",INT(($B277-$D277)/365.25))</f>
        <v/>
      </c>
      <c r="H277" s="14" t="str">
        <f aca="false">IF($G277="","",IF($G277&lt;18,"Ha","Yo'q"))</f>
        <v/>
      </c>
      <c r="I277" s="12"/>
      <c r="J277" s="25"/>
      <c r="K277" s="25"/>
      <c r="L277" s="25"/>
      <c r="M277" s="12"/>
      <c r="N277" s="25"/>
      <c r="O277" s="25"/>
      <c r="P277" s="14" t="str">
        <f aca="false">IF($O277="","",IFERROR(VALUE(LEFT($O277,FIND(".",$O277)-1)),""))</f>
        <v/>
      </c>
      <c r="Q277" s="14" t="str">
        <f aca="false">IF($P277="","",IF($P277&lt;=7,"Shoshilinch",IF($P277&lt;=9,"Kechiktirib bo'lmaydigan",IF($P277&lt;=14,"Rejalashtirilgan","Rejali"))))</f>
        <v/>
      </c>
      <c r="R277" s="25"/>
      <c r="S277" s="14" t="str">
        <f aca="false">IF($K277&lt;&gt;"Kesarcha","",IF(OR($O277&lt;&gt;"",$R277="Ha"),"Ha","YO‘Q"))</f>
        <v/>
      </c>
      <c r="T277" s="12"/>
      <c r="U277" s="12"/>
      <c r="V277" s="14" t="str">
        <f aca="false">IF(OR($C277="",$D277="",$B277=""),"",IF(COUNTIFS($C$5:$C$604,$C277,$D$5:$D$604,$D277,$B$5:$B$604,$B277)&gt;1,"Takror",""))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4"/>
      <c r="F278" s="12"/>
      <c r="G278" s="14" t="str">
        <f aca="false">IF(OR($D278="",$B278=""),"",INT(($B278-$D278)/365.25))</f>
        <v/>
      </c>
      <c r="H278" s="14" t="str">
        <f aca="false">IF($G278="","",IF($G278&lt;18,"Ha","Yo'q"))</f>
        <v/>
      </c>
      <c r="I278" s="12"/>
      <c r="J278" s="25"/>
      <c r="K278" s="25"/>
      <c r="L278" s="25"/>
      <c r="M278" s="12"/>
      <c r="N278" s="25"/>
      <c r="O278" s="25"/>
      <c r="P278" s="14" t="str">
        <f aca="false">IF($O278="","",IFERROR(VALUE(LEFT($O278,FIND(".",$O278)-1)),""))</f>
        <v/>
      </c>
      <c r="Q278" s="14" t="str">
        <f aca="false">IF($P278="","",IF($P278&lt;=7,"Shoshilinch",IF($P278&lt;=9,"Kechiktirib bo'lmaydigan",IF($P278&lt;=14,"Rejalashtirilgan","Rejali"))))</f>
        <v/>
      </c>
      <c r="R278" s="25"/>
      <c r="S278" s="14" t="str">
        <f aca="false">IF($K278&lt;&gt;"Kesarcha","",IF(OR($O278&lt;&gt;"",$R278="Ha"),"Ha","YO‘Q"))</f>
        <v/>
      </c>
      <c r="T278" s="12"/>
      <c r="U278" s="12"/>
      <c r="V278" s="14" t="str">
        <f aca="false">IF(OR($C278="",$D278="",$B278=""),"",IF(COUNTIFS($C$5:$C$604,$C278,$D$5:$D$604,$D278,$B$5:$B$604,$B278)&gt;1,"Takror",""))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4"/>
      <c r="F279" s="12"/>
      <c r="G279" s="14" t="str">
        <f aca="false">IF(OR($D279="",$B279=""),"",INT(($B279-$D279)/365.25))</f>
        <v/>
      </c>
      <c r="H279" s="14" t="str">
        <f aca="false">IF($G279="","",IF($G279&lt;18,"Ha","Yo'q"))</f>
        <v/>
      </c>
      <c r="I279" s="12"/>
      <c r="J279" s="25"/>
      <c r="K279" s="25"/>
      <c r="L279" s="25"/>
      <c r="M279" s="12"/>
      <c r="N279" s="25"/>
      <c r="O279" s="25"/>
      <c r="P279" s="14" t="str">
        <f aca="false">IF($O279="","",IFERROR(VALUE(LEFT($O279,FIND(".",$O279)-1)),""))</f>
        <v/>
      </c>
      <c r="Q279" s="14" t="str">
        <f aca="false">IF($P279="","",IF($P279&lt;=7,"Shoshilinch",IF($P279&lt;=9,"Kechiktirib bo'lmaydigan",IF($P279&lt;=14,"Rejalashtirilgan","Rejali"))))</f>
        <v/>
      </c>
      <c r="R279" s="25"/>
      <c r="S279" s="14" t="str">
        <f aca="false">IF($K279&lt;&gt;"Kesarcha","",IF(OR($O279&lt;&gt;"",$R279="Ha"),"Ha","YO‘Q"))</f>
        <v/>
      </c>
      <c r="T279" s="12"/>
      <c r="U279" s="12"/>
      <c r="V279" s="14" t="str">
        <f aca="false">IF(OR($C279="",$D279="",$B279=""),"",IF(COUNTIFS($C$5:$C$604,$C279,$D$5:$D$604,$D279,$B$5:$B$604,$B279)&gt;1,"Takror",""))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4"/>
      <c r="F280" s="12"/>
      <c r="G280" s="14" t="str">
        <f aca="false">IF(OR($D280="",$B280=""),"",INT(($B280-$D280)/365.25))</f>
        <v/>
      </c>
      <c r="H280" s="14" t="str">
        <f aca="false">IF($G280="","",IF($G280&lt;18,"Ha","Yo'q"))</f>
        <v/>
      </c>
      <c r="I280" s="12"/>
      <c r="J280" s="25"/>
      <c r="K280" s="25"/>
      <c r="L280" s="25"/>
      <c r="M280" s="12"/>
      <c r="N280" s="25"/>
      <c r="O280" s="25"/>
      <c r="P280" s="14" t="str">
        <f aca="false">IF($O280="","",IFERROR(VALUE(LEFT($O280,FIND(".",$O280)-1)),""))</f>
        <v/>
      </c>
      <c r="Q280" s="14" t="str">
        <f aca="false">IF($P280="","",IF($P280&lt;=7,"Shoshilinch",IF($P280&lt;=9,"Kechiktirib bo'lmaydigan",IF($P280&lt;=14,"Rejalashtirilgan","Rejali"))))</f>
        <v/>
      </c>
      <c r="R280" s="25"/>
      <c r="S280" s="14" t="str">
        <f aca="false">IF($K280&lt;&gt;"Kesarcha","",IF(OR($O280&lt;&gt;"",$R280="Ha"),"Ha","YO‘Q"))</f>
        <v/>
      </c>
      <c r="T280" s="12"/>
      <c r="U280" s="12"/>
      <c r="V280" s="14" t="str">
        <f aca="false">IF(OR($C280="",$D280="",$B280=""),"",IF(COUNTIFS($C$5:$C$604,$C280,$D$5:$D$604,$D280,$B$5:$B$604,$B280)&gt;1,"Takror",""))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4"/>
      <c r="F281" s="12"/>
      <c r="G281" s="14" t="str">
        <f aca="false">IF(OR($D281="",$B281=""),"",INT(($B281-$D281)/365.25))</f>
        <v/>
      </c>
      <c r="H281" s="14" t="str">
        <f aca="false">IF($G281="","",IF($G281&lt;18,"Ha","Yo'q"))</f>
        <v/>
      </c>
      <c r="I281" s="12"/>
      <c r="J281" s="25"/>
      <c r="K281" s="25"/>
      <c r="L281" s="25"/>
      <c r="M281" s="12"/>
      <c r="N281" s="25"/>
      <c r="O281" s="25"/>
      <c r="P281" s="14" t="str">
        <f aca="false">IF($O281="","",IFERROR(VALUE(LEFT($O281,FIND(".",$O281)-1)),""))</f>
        <v/>
      </c>
      <c r="Q281" s="14" t="str">
        <f aca="false">IF($P281="","",IF($P281&lt;=7,"Shoshilinch",IF($P281&lt;=9,"Kechiktirib bo'lmaydigan",IF($P281&lt;=14,"Rejalashtirilgan","Rejali"))))</f>
        <v/>
      </c>
      <c r="R281" s="25"/>
      <c r="S281" s="14" t="str">
        <f aca="false">IF($K281&lt;&gt;"Kesarcha","",IF(OR($O281&lt;&gt;"",$R281="Ha"),"Ha","YO‘Q"))</f>
        <v/>
      </c>
      <c r="T281" s="12"/>
      <c r="U281" s="12"/>
      <c r="V281" s="14" t="str">
        <f aca="false">IF(OR($C281="",$D281="",$B281=""),"",IF(COUNTIFS($C$5:$C$604,$C281,$D$5:$D$604,$D281,$B$5:$B$604,$B281)&gt;1,"Takror",""))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4"/>
      <c r="F282" s="12"/>
      <c r="G282" s="14" t="str">
        <f aca="false">IF(OR($D282="",$B282=""),"",INT(($B282-$D282)/365.25))</f>
        <v/>
      </c>
      <c r="H282" s="14" t="str">
        <f aca="false">IF($G282="","",IF($G282&lt;18,"Ha","Yo'q"))</f>
        <v/>
      </c>
      <c r="I282" s="12"/>
      <c r="J282" s="25"/>
      <c r="K282" s="25"/>
      <c r="L282" s="25"/>
      <c r="M282" s="12"/>
      <c r="N282" s="25"/>
      <c r="O282" s="25"/>
      <c r="P282" s="14" t="str">
        <f aca="false">IF($O282="","",IFERROR(VALUE(LEFT($O282,FIND(".",$O282)-1)),""))</f>
        <v/>
      </c>
      <c r="Q282" s="14" t="str">
        <f aca="false">IF($P282="","",IF($P282&lt;=7,"Shoshilinch",IF($P282&lt;=9,"Kechiktirib bo'lmaydigan",IF($P282&lt;=14,"Rejalashtirilgan","Rejali"))))</f>
        <v/>
      </c>
      <c r="R282" s="25"/>
      <c r="S282" s="14" t="str">
        <f aca="false">IF($K282&lt;&gt;"Kesarcha","",IF(OR($O282&lt;&gt;"",$R282="Ha"),"Ha","YO‘Q"))</f>
        <v/>
      </c>
      <c r="T282" s="12"/>
      <c r="U282" s="12"/>
      <c r="V282" s="14" t="str">
        <f aca="false">IF(OR($C282="",$D282="",$B282=""),"",IF(COUNTIFS($C$5:$C$604,$C282,$D$5:$D$604,$D282,$B$5:$B$604,$B282)&gt;1,"Takror",""))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4"/>
      <c r="F283" s="12"/>
      <c r="G283" s="14" t="str">
        <f aca="false">IF(OR($D283="",$B283=""),"",INT(($B283-$D283)/365.25))</f>
        <v/>
      </c>
      <c r="H283" s="14" t="str">
        <f aca="false">IF($G283="","",IF($G283&lt;18,"Ha","Yo'q"))</f>
        <v/>
      </c>
      <c r="I283" s="12"/>
      <c r="J283" s="25"/>
      <c r="K283" s="25"/>
      <c r="L283" s="25"/>
      <c r="M283" s="12"/>
      <c r="N283" s="25"/>
      <c r="O283" s="25"/>
      <c r="P283" s="14" t="str">
        <f aca="false">IF($O283="","",IFERROR(VALUE(LEFT($O283,FIND(".",$O283)-1)),""))</f>
        <v/>
      </c>
      <c r="Q283" s="14" t="str">
        <f aca="false">IF($P283="","",IF($P283&lt;=7,"Shoshilinch",IF($P283&lt;=9,"Kechiktirib bo'lmaydigan",IF($P283&lt;=14,"Rejalashtirilgan","Rejali"))))</f>
        <v/>
      </c>
      <c r="R283" s="25"/>
      <c r="S283" s="14" t="str">
        <f aca="false">IF($K283&lt;&gt;"Kesarcha","",IF(OR($O283&lt;&gt;"",$R283="Ha"),"Ha","YO‘Q"))</f>
        <v/>
      </c>
      <c r="T283" s="12"/>
      <c r="U283" s="12"/>
      <c r="V283" s="14" t="str">
        <f aca="false">IF(OR($C283="",$D283="",$B283=""),"",IF(COUNTIFS($C$5:$C$604,$C283,$D$5:$D$604,$D283,$B$5:$B$604,$B283)&gt;1,"Takror",""))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4"/>
      <c r="F284" s="12"/>
      <c r="G284" s="14" t="str">
        <f aca="false">IF(OR($D284="",$B284=""),"",INT(($B284-$D284)/365.25))</f>
        <v/>
      </c>
      <c r="H284" s="14" t="str">
        <f aca="false">IF($G284="","",IF($G284&lt;18,"Ha","Yo'q"))</f>
        <v/>
      </c>
      <c r="I284" s="12"/>
      <c r="J284" s="25"/>
      <c r="K284" s="25"/>
      <c r="L284" s="25"/>
      <c r="M284" s="12"/>
      <c r="N284" s="25"/>
      <c r="O284" s="25"/>
      <c r="P284" s="14" t="str">
        <f aca="false">IF($O284="","",IFERROR(VALUE(LEFT($O284,FIND(".",$O284)-1)),""))</f>
        <v/>
      </c>
      <c r="Q284" s="14" t="str">
        <f aca="false">IF($P284="","",IF($P284&lt;=7,"Shoshilinch",IF($P284&lt;=9,"Kechiktirib bo'lmaydigan",IF($P284&lt;=14,"Rejalashtirilgan","Rejali"))))</f>
        <v/>
      </c>
      <c r="R284" s="25"/>
      <c r="S284" s="14" t="str">
        <f aca="false">IF($K284&lt;&gt;"Kesarcha","",IF(OR($O284&lt;&gt;"",$R284="Ha"),"Ha","YO‘Q"))</f>
        <v/>
      </c>
      <c r="T284" s="12"/>
      <c r="U284" s="12"/>
      <c r="V284" s="14" t="str">
        <f aca="false">IF(OR($C284="",$D284="",$B284=""),"",IF(COUNTIFS($C$5:$C$604,$C284,$D$5:$D$604,$D284,$B$5:$B$604,$B284)&gt;1,"Takror",""))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4"/>
      <c r="F285" s="12"/>
      <c r="G285" s="14" t="str">
        <f aca="false">IF(OR($D285="",$B285=""),"",INT(($B285-$D285)/365.25))</f>
        <v/>
      </c>
      <c r="H285" s="14" t="str">
        <f aca="false">IF($G285="","",IF($G285&lt;18,"Ha","Yo'q"))</f>
        <v/>
      </c>
      <c r="I285" s="12"/>
      <c r="J285" s="25"/>
      <c r="K285" s="25"/>
      <c r="L285" s="25"/>
      <c r="M285" s="12"/>
      <c r="N285" s="25"/>
      <c r="O285" s="25"/>
      <c r="P285" s="14" t="str">
        <f aca="false">IF($O285="","",IFERROR(VALUE(LEFT($O285,FIND(".",$O285)-1)),""))</f>
        <v/>
      </c>
      <c r="Q285" s="14" t="str">
        <f aca="false">IF($P285="","",IF($P285&lt;=7,"Shoshilinch",IF($P285&lt;=9,"Kechiktirib bo'lmaydigan",IF($P285&lt;=14,"Rejalashtirilgan","Rejali"))))</f>
        <v/>
      </c>
      <c r="R285" s="25"/>
      <c r="S285" s="14" t="str">
        <f aca="false">IF($K285&lt;&gt;"Kesarcha","",IF(OR($O285&lt;&gt;"",$R285="Ha"),"Ha","YO‘Q"))</f>
        <v/>
      </c>
      <c r="T285" s="12"/>
      <c r="U285" s="12"/>
      <c r="V285" s="14" t="str">
        <f aca="false">IF(OR($C285="",$D285="",$B285=""),"",IF(COUNTIFS($C$5:$C$604,$C285,$D$5:$D$604,$D285,$B$5:$B$604,$B285)&gt;1,"Takror",""))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4"/>
      <c r="F286" s="12"/>
      <c r="G286" s="14" t="str">
        <f aca="false">IF(OR($D286="",$B286=""),"",INT(($B286-$D286)/365.25))</f>
        <v/>
      </c>
      <c r="H286" s="14" t="str">
        <f aca="false">IF($G286="","",IF($G286&lt;18,"Ha","Yo'q"))</f>
        <v/>
      </c>
      <c r="I286" s="12"/>
      <c r="J286" s="25"/>
      <c r="K286" s="25"/>
      <c r="L286" s="25"/>
      <c r="M286" s="12"/>
      <c r="N286" s="25"/>
      <c r="O286" s="25"/>
      <c r="P286" s="14" t="str">
        <f aca="false">IF($O286="","",IFERROR(VALUE(LEFT($O286,FIND(".",$O286)-1)),""))</f>
        <v/>
      </c>
      <c r="Q286" s="14" t="str">
        <f aca="false">IF($P286="","",IF($P286&lt;=7,"Shoshilinch",IF($P286&lt;=9,"Kechiktirib bo'lmaydigan",IF($P286&lt;=14,"Rejalashtirilgan","Rejali"))))</f>
        <v/>
      </c>
      <c r="R286" s="25"/>
      <c r="S286" s="14" t="str">
        <f aca="false">IF($K286&lt;&gt;"Kesarcha","",IF(OR($O286&lt;&gt;"",$R286="Ha"),"Ha","YO‘Q"))</f>
        <v/>
      </c>
      <c r="T286" s="12"/>
      <c r="U286" s="12"/>
      <c r="V286" s="14" t="str">
        <f aca="false">IF(OR($C286="",$D286="",$B286=""),"",IF(COUNTIFS($C$5:$C$604,$C286,$D$5:$D$604,$D286,$B$5:$B$604,$B286)&gt;1,"Takror",""))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4"/>
      <c r="F287" s="12"/>
      <c r="G287" s="14" t="str">
        <f aca="false">IF(OR($D287="",$B287=""),"",INT(($B287-$D287)/365.25))</f>
        <v/>
      </c>
      <c r="H287" s="14" t="str">
        <f aca="false">IF($G287="","",IF($G287&lt;18,"Ha","Yo'q"))</f>
        <v/>
      </c>
      <c r="I287" s="12"/>
      <c r="J287" s="25"/>
      <c r="K287" s="25"/>
      <c r="L287" s="25"/>
      <c r="M287" s="12"/>
      <c r="N287" s="25"/>
      <c r="O287" s="25"/>
      <c r="P287" s="14" t="str">
        <f aca="false">IF($O287="","",IFERROR(VALUE(LEFT($O287,FIND(".",$O287)-1)),""))</f>
        <v/>
      </c>
      <c r="Q287" s="14" t="str">
        <f aca="false">IF($P287="","",IF($P287&lt;=7,"Shoshilinch",IF($P287&lt;=9,"Kechiktirib bo'lmaydigan",IF($P287&lt;=14,"Rejalashtirilgan","Rejali"))))</f>
        <v/>
      </c>
      <c r="R287" s="25"/>
      <c r="S287" s="14" t="str">
        <f aca="false">IF($K287&lt;&gt;"Kesarcha","",IF(OR($O287&lt;&gt;"",$R287="Ha"),"Ha","YO‘Q"))</f>
        <v/>
      </c>
      <c r="T287" s="12"/>
      <c r="U287" s="12"/>
      <c r="V287" s="14" t="str">
        <f aca="false">IF(OR($C287="",$D287="",$B287=""),"",IF(COUNTIFS($C$5:$C$604,$C287,$D$5:$D$604,$D287,$B$5:$B$604,$B287)&gt;1,"Takror",""))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4"/>
      <c r="F288" s="12"/>
      <c r="G288" s="14" t="str">
        <f aca="false">IF(OR($D288="",$B288=""),"",INT(($B288-$D288)/365.25))</f>
        <v/>
      </c>
      <c r="H288" s="14" t="str">
        <f aca="false">IF($G288="","",IF($G288&lt;18,"Ha","Yo'q"))</f>
        <v/>
      </c>
      <c r="I288" s="12"/>
      <c r="J288" s="25"/>
      <c r="K288" s="25"/>
      <c r="L288" s="25"/>
      <c r="M288" s="12"/>
      <c r="N288" s="25"/>
      <c r="O288" s="25"/>
      <c r="P288" s="14" t="str">
        <f aca="false">IF($O288="","",IFERROR(VALUE(LEFT($O288,FIND(".",$O288)-1)),""))</f>
        <v/>
      </c>
      <c r="Q288" s="14" t="str">
        <f aca="false">IF($P288="","",IF($P288&lt;=7,"Shoshilinch",IF($P288&lt;=9,"Kechiktirib bo'lmaydigan",IF($P288&lt;=14,"Rejalashtirilgan","Rejali"))))</f>
        <v/>
      </c>
      <c r="R288" s="25"/>
      <c r="S288" s="14" t="str">
        <f aca="false">IF($K288&lt;&gt;"Kesarcha","",IF(OR($O288&lt;&gt;"",$R288="Ha"),"Ha","YO‘Q"))</f>
        <v/>
      </c>
      <c r="T288" s="12"/>
      <c r="U288" s="12"/>
      <c r="V288" s="14" t="str">
        <f aca="false">IF(OR($C288="",$D288="",$B288=""),"",IF(COUNTIFS($C$5:$C$604,$C288,$D$5:$D$604,$D288,$B$5:$B$604,$B288)&gt;1,"Takror",""))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4"/>
      <c r="F289" s="12"/>
      <c r="G289" s="14" t="str">
        <f aca="false">IF(OR($D289="",$B289=""),"",INT(($B289-$D289)/365.25))</f>
        <v/>
      </c>
      <c r="H289" s="14" t="str">
        <f aca="false">IF($G289="","",IF($G289&lt;18,"Ha","Yo'q"))</f>
        <v/>
      </c>
      <c r="I289" s="12"/>
      <c r="J289" s="25"/>
      <c r="K289" s="25"/>
      <c r="L289" s="25"/>
      <c r="M289" s="12"/>
      <c r="N289" s="25"/>
      <c r="O289" s="25"/>
      <c r="P289" s="14" t="str">
        <f aca="false">IF($O289="","",IFERROR(VALUE(LEFT($O289,FIND(".",$O289)-1)),""))</f>
        <v/>
      </c>
      <c r="Q289" s="14" t="str">
        <f aca="false">IF($P289="","",IF($P289&lt;=7,"Shoshilinch",IF($P289&lt;=9,"Kechiktirib bo'lmaydigan",IF($P289&lt;=14,"Rejalashtirilgan","Rejali"))))</f>
        <v/>
      </c>
      <c r="R289" s="25"/>
      <c r="S289" s="14" t="str">
        <f aca="false">IF($K289&lt;&gt;"Kesarcha","",IF(OR($O289&lt;&gt;"",$R289="Ha"),"Ha","YO‘Q"))</f>
        <v/>
      </c>
      <c r="T289" s="12"/>
      <c r="U289" s="12"/>
      <c r="V289" s="14" t="str">
        <f aca="false">IF(OR($C289="",$D289="",$B289=""),"",IF(COUNTIFS($C$5:$C$604,$C289,$D$5:$D$604,$D289,$B$5:$B$604,$B289)&gt;1,"Takror",""))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4"/>
      <c r="F290" s="12"/>
      <c r="G290" s="14" t="str">
        <f aca="false">IF(OR($D290="",$B290=""),"",INT(($B290-$D290)/365.25))</f>
        <v/>
      </c>
      <c r="H290" s="14" t="str">
        <f aca="false">IF($G290="","",IF($G290&lt;18,"Ha","Yo'q"))</f>
        <v/>
      </c>
      <c r="I290" s="12"/>
      <c r="J290" s="25"/>
      <c r="K290" s="25"/>
      <c r="L290" s="25"/>
      <c r="M290" s="12"/>
      <c r="N290" s="25"/>
      <c r="O290" s="25"/>
      <c r="P290" s="14" t="str">
        <f aca="false">IF($O290="","",IFERROR(VALUE(LEFT($O290,FIND(".",$O290)-1)),""))</f>
        <v/>
      </c>
      <c r="Q290" s="14" t="str">
        <f aca="false">IF($P290="","",IF($P290&lt;=7,"Shoshilinch",IF($P290&lt;=9,"Kechiktirib bo'lmaydigan",IF($P290&lt;=14,"Rejalashtirilgan","Rejali"))))</f>
        <v/>
      </c>
      <c r="R290" s="25"/>
      <c r="S290" s="14" t="str">
        <f aca="false">IF($K290&lt;&gt;"Kesarcha","",IF(OR($O290&lt;&gt;"",$R290="Ha"),"Ha","YO‘Q"))</f>
        <v/>
      </c>
      <c r="T290" s="12"/>
      <c r="U290" s="12"/>
      <c r="V290" s="14" t="str">
        <f aca="false">IF(OR($C290="",$D290="",$B290=""),"",IF(COUNTIFS($C$5:$C$604,$C290,$D$5:$D$604,$D290,$B$5:$B$604,$B290)&gt;1,"Takror",""))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4"/>
      <c r="F291" s="12"/>
      <c r="G291" s="14" t="str">
        <f aca="false">IF(OR($D291="",$B291=""),"",INT(($B291-$D291)/365.25))</f>
        <v/>
      </c>
      <c r="H291" s="14" t="str">
        <f aca="false">IF($G291="","",IF($G291&lt;18,"Ha","Yo'q"))</f>
        <v/>
      </c>
      <c r="I291" s="12"/>
      <c r="J291" s="25"/>
      <c r="K291" s="25"/>
      <c r="L291" s="25"/>
      <c r="M291" s="12"/>
      <c r="N291" s="25"/>
      <c r="O291" s="25"/>
      <c r="P291" s="14" t="str">
        <f aca="false">IF($O291="","",IFERROR(VALUE(LEFT($O291,FIND(".",$O291)-1)),""))</f>
        <v/>
      </c>
      <c r="Q291" s="14" t="str">
        <f aca="false">IF($P291="","",IF($P291&lt;=7,"Shoshilinch",IF($P291&lt;=9,"Kechiktirib bo'lmaydigan",IF($P291&lt;=14,"Rejalashtirilgan","Rejali"))))</f>
        <v/>
      </c>
      <c r="R291" s="25"/>
      <c r="S291" s="14" t="str">
        <f aca="false">IF($K291&lt;&gt;"Kesarcha","",IF(OR($O291&lt;&gt;"",$R291="Ha"),"Ha","YO‘Q"))</f>
        <v/>
      </c>
      <c r="T291" s="12"/>
      <c r="U291" s="12"/>
      <c r="V291" s="14" t="str">
        <f aca="false">IF(OR($C291="",$D291="",$B291=""),"",IF(COUNTIFS($C$5:$C$604,$C291,$D$5:$D$604,$D291,$B$5:$B$604,$B291)&gt;1,"Takror",""))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4"/>
      <c r="F292" s="12"/>
      <c r="G292" s="14" t="str">
        <f aca="false">IF(OR($D292="",$B292=""),"",INT(($B292-$D292)/365.25))</f>
        <v/>
      </c>
      <c r="H292" s="14" t="str">
        <f aca="false">IF($G292="","",IF($G292&lt;18,"Ha","Yo'q"))</f>
        <v/>
      </c>
      <c r="I292" s="12"/>
      <c r="J292" s="25"/>
      <c r="K292" s="25"/>
      <c r="L292" s="25"/>
      <c r="M292" s="12"/>
      <c r="N292" s="25"/>
      <c r="O292" s="25"/>
      <c r="P292" s="14" t="str">
        <f aca="false">IF($O292="","",IFERROR(VALUE(LEFT($O292,FIND(".",$O292)-1)),""))</f>
        <v/>
      </c>
      <c r="Q292" s="14" t="str">
        <f aca="false">IF($P292="","",IF($P292&lt;=7,"Shoshilinch",IF($P292&lt;=9,"Kechiktirib bo'lmaydigan",IF($P292&lt;=14,"Rejalashtirilgan","Rejali"))))</f>
        <v/>
      </c>
      <c r="R292" s="25"/>
      <c r="S292" s="14" t="str">
        <f aca="false">IF($K292&lt;&gt;"Kesarcha","",IF(OR($O292&lt;&gt;"",$R292="Ha"),"Ha","YO‘Q"))</f>
        <v/>
      </c>
      <c r="T292" s="12"/>
      <c r="U292" s="12"/>
      <c r="V292" s="14" t="str">
        <f aca="false">IF(OR($C292="",$D292="",$B292=""),"",IF(COUNTIFS($C$5:$C$604,$C292,$D$5:$D$604,$D292,$B$5:$B$604,$B292)&gt;1,"Takror",""))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4"/>
      <c r="F293" s="12"/>
      <c r="G293" s="14" t="str">
        <f aca="false">IF(OR($D293="",$B293=""),"",INT(($B293-$D293)/365.25))</f>
        <v/>
      </c>
      <c r="H293" s="14" t="str">
        <f aca="false">IF($G293="","",IF($G293&lt;18,"Ha","Yo'q"))</f>
        <v/>
      </c>
      <c r="I293" s="12"/>
      <c r="J293" s="25"/>
      <c r="K293" s="25"/>
      <c r="L293" s="25"/>
      <c r="M293" s="12"/>
      <c r="N293" s="25"/>
      <c r="O293" s="25"/>
      <c r="P293" s="14" t="str">
        <f aca="false">IF($O293="","",IFERROR(VALUE(LEFT($O293,FIND(".",$O293)-1)),""))</f>
        <v/>
      </c>
      <c r="Q293" s="14" t="str">
        <f aca="false">IF($P293="","",IF($P293&lt;=7,"Shoshilinch",IF($P293&lt;=9,"Kechiktirib bo'lmaydigan",IF($P293&lt;=14,"Rejalashtirilgan","Rejali"))))</f>
        <v/>
      </c>
      <c r="R293" s="25"/>
      <c r="S293" s="14" t="str">
        <f aca="false">IF($K293&lt;&gt;"Kesarcha","",IF(OR($O293&lt;&gt;"",$R293="Ha"),"Ha","YO‘Q"))</f>
        <v/>
      </c>
      <c r="T293" s="12"/>
      <c r="U293" s="12"/>
      <c r="V293" s="14" t="str">
        <f aca="false">IF(OR($C293="",$D293="",$B293=""),"",IF(COUNTIFS($C$5:$C$604,$C293,$D$5:$D$604,$D293,$B$5:$B$604,$B293)&gt;1,"Takror",""))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4"/>
      <c r="F294" s="12"/>
      <c r="G294" s="14" t="str">
        <f aca="false">IF(OR($D294="",$B294=""),"",INT(($B294-$D294)/365.25))</f>
        <v/>
      </c>
      <c r="H294" s="14" t="str">
        <f aca="false">IF($G294="","",IF($G294&lt;18,"Ha","Yo'q"))</f>
        <v/>
      </c>
      <c r="I294" s="12"/>
      <c r="J294" s="25"/>
      <c r="K294" s="25"/>
      <c r="L294" s="25"/>
      <c r="M294" s="12"/>
      <c r="N294" s="25"/>
      <c r="O294" s="25"/>
      <c r="P294" s="14" t="str">
        <f aca="false">IF($O294="","",IFERROR(VALUE(LEFT($O294,FIND(".",$O294)-1)),""))</f>
        <v/>
      </c>
      <c r="Q294" s="14" t="str">
        <f aca="false">IF($P294="","",IF($P294&lt;=7,"Shoshilinch",IF($P294&lt;=9,"Kechiktirib bo'lmaydigan",IF($P294&lt;=14,"Rejalashtirilgan","Rejali"))))</f>
        <v/>
      </c>
      <c r="R294" s="25"/>
      <c r="S294" s="14" t="str">
        <f aca="false">IF($K294&lt;&gt;"Kesarcha","",IF(OR($O294&lt;&gt;"",$R294="Ha"),"Ha","YO‘Q"))</f>
        <v/>
      </c>
      <c r="T294" s="12"/>
      <c r="U294" s="12"/>
      <c r="V294" s="14" t="str">
        <f aca="false">IF(OR($C294="",$D294="",$B294=""),"",IF(COUNTIFS($C$5:$C$604,$C294,$D$5:$D$604,$D294,$B$5:$B$604,$B294)&gt;1,"Takror",""))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4"/>
      <c r="F295" s="12"/>
      <c r="G295" s="14" t="str">
        <f aca="false">IF(OR($D295="",$B295=""),"",INT(($B295-$D295)/365.25))</f>
        <v/>
      </c>
      <c r="H295" s="14" t="str">
        <f aca="false">IF($G295="","",IF($G295&lt;18,"Ha","Yo'q"))</f>
        <v/>
      </c>
      <c r="I295" s="12"/>
      <c r="J295" s="25"/>
      <c r="K295" s="25"/>
      <c r="L295" s="25"/>
      <c r="M295" s="12"/>
      <c r="N295" s="25"/>
      <c r="O295" s="25"/>
      <c r="P295" s="14" t="str">
        <f aca="false">IF($O295="","",IFERROR(VALUE(LEFT($O295,FIND(".",$O295)-1)),""))</f>
        <v/>
      </c>
      <c r="Q295" s="14" t="str">
        <f aca="false">IF($P295="","",IF($P295&lt;=7,"Shoshilinch",IF($P295&lt;=9,"Kechiktirib bo'lmaydigan",IF($P295&lt;=14,"Rejalashtirilgan","Rejali"))))</f>
        <v/>
      </c>
      <c r="R295" s="25"/>
      <c r="S295" s="14" t="str">
        <f aca="false">IF($K295&lt;&gt;"Kesarcha","",IF(OR($O295&lt;&gt;"",$R295="Ha"),"Ha","YO‘Q"))</f>
        <v/>
      </c>
      <c r="T295" s="12"/>
      <c r="U295" s="12"/>
      <c r="V295" s="14" t="str">
        <f aca="false">IF(OR($C295="",$D295="",$B295=""),"",IF(COUNTIFS($C$5:$C$604,$C295,$D$5:$D$604,$D295,$B$5:$B$604,$B295)&gt;1,"Takror",""))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4"/>
      <c r="F296" s="12"/>
      <c r="G296" s="14" t="str">
        <f aca="false">IF(OR($D296="",$B296=""),"",INT(($B296-$D296)/365.25))</f>
        <v/>
      </c>
      <c r="H296" s="14" t="str">
        <f aca="false">IF($G296="","",IF($G296&lt;18,"Ha","Yo'q"))</f>
        <v/>
      </c>
      <c r="I296" s="12"/>
      <c r="J296" s="25"/>
      <c r="K296" s="25"/>
      <c r="L296" s="25"/>
      <c r="M296" s="12"/>
      <c r="N296" s="25"/>
      <c r="O296" s="25"/>
      <c r="P296" s="14" t="str">
        <f aca="false">IF($O296="","",IFERROR(VALUE(LEFT($O296,FIND(".",$O296)-1)),""))</f>
        <v/>
      </c>
      <c r="Q296" s="14" t="str">
        <f aca="false">IF($P296="","",IF($P296&lt;=7,"Shoshilinch",IF($P296&lt;=9,"Kechiktirib bo'lmaydigan",IF($P296&lt;=14,"Rejalashtirilgan","Rejali"))))</f>
        <v/>
      </c>
      <c r="R296" s="25"/>
      <c r="S296" s="14" t="str">
        <f aca="false">IF($K296&lt;&gt;"Kesarcha","",IF(OR($O296&lt;&gt;"",$R296="Ha"),"Ha","YO‘Q"))</f>
        <v/>
      </c>
      <c r="T296" s="12"/>
      <c r="U296" s="12"/>
      <c r="V296" s="14" t="str">
        <f aca="false">IF(OR($C296="",$D296="",$B296=""),"",IF(COUNTIFS($C$5:$C$604,$C296,$D$5:$D$604,$D296,$B$5:$B$604,$B296)&gt;1,"Takror",""))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4"/>
      <c r="F297" s="12"/>
      <c r="G297" s="14" t="str">
        <f aca="false">IF(OR($D297="",$B297=""),"",INT(($B297-$D297)/365.25))</f>
        <v/>
      </c>
      <c r="H297" s="14" t="str">
        <f aca="false">IF($G297="","",IF($G297&lt;18,"Ha","Yo'q"))</f>
        <v/>
      </c>
      <c r="I297" s="12"/>
      <c r="J297" s="25"/>
      <c r="K297" s="25"/>
      <c r="L297" s="25"/>
      <c r="M297" s="12"/>
      <c r="N297" s="25"/>
      <c r="O297" s="25"/>
      <c r="P297" s="14" t="str">
        <f aca="false">IF($O297="","",IFERROR(VALUE(LEFT($O297,FIND(".",$O297)-1)),""))</f>
        <v/>
      </c>
      <c r="Q297" s="14" t="str">
        <f aca="false">IF($P297="","",IF($P297&lt;=7,"Shoshilinch",IF($P297&lt;=9,"Kechiktirib bo'lmaydigan",IF($P297&lt;=14,"Rejalashtirilgan","Rejali"))))</f>
        <v/>
      </c>
      <c r="R297" s="25"/>
      <c r="S297" s="14" t="str">
        <f aca="false">IF($K297&lt;&gt;"Kesarcha","",IF(OR($O297&lt;&gt;"",$R297="Ha"),"Ha","YO‘Q"))</f>
        <v/>
      </c>
      <c r="T297" s="12"/>
      <c r="U297" s="12"/>
      <c r="V297" s="14" t="str">
        <f aca="false">IF(OR($C297="",$D297="",$B297=""),"",IF(COUNTIFS($C$5:$C$604,$C297,$D$5:$D$604,$D297,$B$5:$B$604,$B297)&gt;1,"Takror",""))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4"/>
      <c r="F298" s="12"/>
      <c r="G298" s="14" t="str">
        <f aca="false">IF(OR($D298="",$B298=""),"",INT(($B298-$D298)/365.25))</f>
        <v/>
      </c>
      <c r="H298" s="14" t="str">
        <f aca="false">IF($G298="","",IF($G298&lt;18,"Ha","Yo'q"))</f>
        <v/>
      </c>
      <c r="I298" s="12"/>
      <c r="J298" s="25"/>
      <c r="K298" s="25"/>
      <c r="L298" s="25"/>
      <c r="M298" s="12"/>
      <c r="N298" s="25"/>
      <c r="O298" s="25"/>
      <c r="P298" s="14" t="str">
        <f aca="false">IF($O298="","",IFERROR(VALUE(LEFT($O298,FIND(".",$O298)-1)),""))</f>
        <v/>
      </c>
      <c r="Q298" s="14" t="str">
        <f aca="false">IF($P298="","",IF($P298&lt;=7,"Shoshilinch",IF($P298&lt;=9,"Kechiktirib bo'lmaydigan",IF($P298&lt;=14,"Rejalashtirilgan","Rejali"))))</f>
        <v/>
      </c>
      <c r="R298" s="25"/>
      <c r="S298" s="14" t="str">
        <f aca="false">IF($K298&lt;&gt;"Kesarcha","",IF(OR($O298&lt;&gt;"",$R298="Ha"),"Ha","YO‘Q"))</f>
        <v/>
      </c>
      <c r="T298" s="12"/>
      <c r="U298" s="12"/>
      <c r="V298" s="14" t="str">
        <f aca="false">IF(OR($C298="",$D298="",$B298=""),"",IF(COUNTIFS($C$5:$C$604,$C298,$D$5:$D$604,$D298,$B$5:$B$604,$B298)&gt;1,"Takror",""))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4"/>
      <c r="F299" s="12"/>
      <c r="G299" s="14" t="str">
        <f aca="false">IF(OR($D299="",$B299=""),"",INT(($B299-$D299)/365.25))</f>
        <v/>
      </c>
      <c r="H299" s="14" t="str">
        <f aca="false">IF($G299="","",IF($G299&lt;18,"Ha","Yo'q"))</f>
        <v/>
      </c>
      <c r="I299" s="12"/>
      <c r="J299" s="25"/>
      <c r="K299" s="25"/>
      <c r="L299" s="25"/>
      <c r="M299" s="12"/>
      <c r="N299" s="25"/>
      <c r="O299" s="25"/>
      <c r="P299" s="14" t="str">
        <f aca="false">IF($O299="","",IFERROR(VALUE(LEFT($O299,FIND(".",$O299)-1)),""))</f>
        <v/>
      </c>
      <c r="Q299" s="14" t="str">
        <f aca="false">IF($P299="","",IF($P299&lt;=7,"Shoshilinch",IF($P299&lt;=9,"Kechiktirib bo'lmaydigan",IF($P299&lt;=14,"Rejalashtirilgan","Rejali"))))</f>
        <v/>
      </c>
      <c r="R299" s="25"/>
      <c r="S299" s="14" t="str">
        <f aca="false">IF($K299&lt;&gt;"Kesarcha","",IF(OR($O299&lt;&gt;"",$R299="Ha"),"Ha","YO‘Q"))</f>
        <v/>
      </c>
      <c r="T299" s="12"/>
      <c r="U299" s="12"/>
      <c r="V299" s="14" t="str">
        <f aca="false">IF(OR($C299="",$D299="",$B299=""),"",IF(COUNTIFS($C$5:$C$604,$C299,$D$5:$D$604,$D299,$B$5:$B$604,$B299)&gt;1,"Takror",""))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4"/>
      <c r="F300" s="12"/>
      <c r="G300" s="14" t="str">
        <f aca="false">IF(OR($D300="",$B300=""),"",INT(($B300-$D300)/365.25))</f>
        <v/>
      </c>
      <c r="H300" s="14" t="str">
        <f aca="false">IF($G300="","",IF($G300&lt;18,"Ha","Yo'q"))</f>
        <v/>
      </c>
      <c r="I300" s="12"/>
      <c r="J300" s="25"/>
      <c r="K300" s="25"/>
      <c r="L300" s="25"/>
      <c r="M300" s="12"/>
      <c r="N300" s="25"/>
      <c r="O300" s="25"/>
      <c r="P300" s="14" t="str">
        <f aca="false">IF($O300="","",IFERROR(VALUE(LEFT($O300,FIND(".",$O300)-1)),""))</f>
        <v/>
      </c>
      <c r="Q300" s="14" t="str">
        <f aca="false">IF($P300="","",IF($P300&lt;=7,"Shoshilinch",IF($P300&lt;=9,"Kechiktirib bo'lmaydigan",IF($P300&lt;=14,"Rejalashtirilgan","Rejali"))))</f>
        <v/>
      </c>
      <c r="R300" s="25"/>
      <c r="S300" s="14" t="str">
        <f aca="false">IF($K300&lt;&gt;"Kesarcha","",IF(OR($O300&lt;&gt;"",$R300="Ha"),"Ha","YO‘Q"))</f>
        <v/>
      </c>
      <c r="T300" s="12"/>
      <c r="U300" s="12"/>
      <c r="V300" s="14" t="str">
        <f aca="false">IF(OR($C300="",$D300="",$B300=""),"",IF(COUNTIFS($C$5:$C$604,$C300,$D$5:$D$604,$D300,$B$5:$B$604,$B300)&gt;1,"Takror",""))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4"/>
      <c r="F301" s="12"/>
      <c r="G301" s="14" t="str">
        <f aca="false">IF(OR($D301="",$B301=""),"",INT(($B301-$D301)/365.25))</f>
        <v/>
      </c>
      <c r="H301" s="14" t="str">
        <f aca="false">IF($G301="","",IF($G301&lt;18,"Ha","Yo'q"))</f>
        <v/>
      </c>
      <c r="I301" s="12"/>
      <c r="J301" s="25"/>
      <c r="K301" s="25"/>
      <c r="L301" s="25"/>
      <c r="M301" s="12"/>
      <c r="N301" s="25"/>
      <c r="O301" s="25"/>
      <c r="P301" s="14" t="str">
        <f aca="false">IF($O301="","",IFERROR(VALUE(LEFT($O301,FIND(".",$O301)-1)),""))</f>
        <v/>
      </c>
      <c r="Q301" s="14" t="str">
        <f aca="false">IF($P301="","",IF($P301&lt;=7,"Shoshilinch",IF($P301&lt;=9,"Kechiktirib bo'lmaydigan",IF($P301&lt;=14,"Rejalashtirilgan","Rejali"))))</f>
        <v/>
      </c>
      <c r="R301" s="25"/>
      <c r="S301" s="14" t="str">
        <f aca="false">IF($K301&lt;&gt;"Kesarcha","",IF(OR($O301&lt;&gt;"",$R301="Ha"),"Ha","YO‘Q"))</f>
        <v/>
      </c>
      <c r="T301" s="12"/>
      <c r="U301" s="12"/>
      <c r="V301" s="14" t="str">
        <f aca="false">IF(OR($C301="",$D301="",$B301=""),"",IF(COUNTIFS($C$5:$C$604,$C301,$D$5:$D$604,$D301,$B$5:$B$604,$B301)&gt;1,"Takror",""))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4"/>
      <c r="F302" s="12"/>
      <c r="G302" s="14" t="str">
        <f aca="false">IF(OR($D302="",$B302=""),"",INT(($B302-$D302)/365.25))</f>
        <v/>
      </c>
      <c r="H302" s="14" t="str">
        <f aca="false">IF($G302="","",IF($G302&lt;18,"Ha","Yo'q"))</f>
        <v/>
      </c>
      <c r="I302" s="12"/>
      <c r="J302" s="25"/>
      <c r="K302" s="25"/>
      <c r="L302" s="25"/>
      <c r="M302" s="12"/>
      <c r="N302" s="25"/>
      <c r="O302" s="25"/>
      <c r="P302" s="14" t="str">
        <f aca="false">IF($O302="","",IFERROR(VALUE(LEFT($O302,FIND(".",$O302)-1)),""))</f>
        <v/>
      </c>
      <c r="Q302" s="14" t="str">
        <f aca="false">IF($P302="","",IF($P302&lt;=7,"Shoshilinch",IF($P302&lt;=9,"Kechiktirib bo'lmaydigan",IF($P302&lt;=14,"Rejalashtirilgan","Rejali"))))</f>
        <v/>
      </c>
      <c r="R302" s="25"/>
      <c r="S302" s="14" t="str">
        <f aca="false">IF($K302&lt;&gt;"Kesarcha","",IF(OR($O302&lt;&gt;"",$R302="Ha"),"Ha","YO‘Q"))</f>
        <v/>
      </c>
      <c r="T302" s="12"/>
      <c r="U302" s="12"/>
      <c r="V302" s="14" t="str">
        <f aca="false">IF(OR($C302="",$D302="",$B302=""),"",IF(COUNTIFS($C$5:$C$604,$C302,$D$5:$D$604,$D302,$B$5:$B$604,$B302)&gt;1,"Takror",""))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4"/>
      <c r="F303" s="12"/>
      <c r="G303" s="14" t="str">
        <f aca="false">IF(OR($D303="",$B303=""),"",INT(($B303-$D303)/365.25))</f>
        <v/>
      </c>
      <c r="H303" s="14" t="str">
        <f aca="false">IF($G303="","",IF($G303&lt;18,"Ha","Yo'q"))</f>
        <v/>
      </c>
      <c r="I303" s="12"/>
      <c r="J303" s="25"/>
      <c r="K303" s="25"/>
      <c r="L303" s="25"/>
      <c r="M303" s="12"/>
      <c r="N303" s="25"/>
      <c r="O303" s="25"/>
      <c r="P303" s="14" t="str">
        <f aca="false">IF($O303="","",IFERROR(VALUE(LEFT($O303,FIND(".",$O303)-1)),""))</f>
        <v/>
      </c>
      <c r="Q303" s="14" t="str">
        <f aca="false">IF($P303="","",IF($P303&lt;=7,"Shoshilinch",IF($P303&lt;=9,"Kechiktirib bo'lmaydigan",IF($P303&lt;=14,"Rejalashtirilgan","Rejali"))))</f>
        <v/>
      </c>
      <c r="R303" s="25"/>
      <c r="S303" s="14" t="str">
        <f aca="false">IF($K303&lt;&gt;"Kesarcha","",IF(OR($O303&lt;&gt;"",$R303="Ha"),"Ha","YO‘Q"))</f>
        <v/>
      </c>
      <c r="T303" s="12"/>
      <c r="U303" s="12"/>
      <c r="V303" s="14" t="str">
        <f aca="false">IF(OR($C303="",$D303="",$B303=""),"",IF(COUNTIFS($C$5:$C$604,$C303,$D$5:$D$604,$D303,$B$5:$B$604,$B303)&gt;1,"Takror",""))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4"/>
      <c r="F304" s="12"/>
      <c r="G304" s="14" t="str">
        <f aca="false">IF(OR($D304="",$B304=""),"",INT(($B304-$D304)/365.25))</f>
        <v/>
      </c>
      <c r="H304" s="14" t="str">
        <f aca="false">IF($G304="","",IF($G304&lt;18,"Ha","Yo'q"))</f>
        <v/>
      </c>
      <c r="I304" s="12"/>
      <c r="J304" s="25"/>
      <c r="K304" s="25"/>
      <c r="L304" s="25"/>
      <c r="M304" s="12"/>
      <c r="N304" s="25"/>
      <c r="O304" s="25"/>
      <c r="P304" s="14" t="str">
        <f aca="false">IF($O304="","",IFERROR(VALUE(LEFT($O304,FIND(".",$O304)-1)),""))</f>
        <v/>
      </c>
      <c r="Q304" s="14" t="str">
        <f aca="false">IF($P304="","",IF($P304&lt;=7,"Shoshilinch",IF($P304&lt;=9,"Kechiktirib bo'lmaydigan",IF($P304&lt;=14,"Rejalashtirilgan","Rejali"))))</f>
        <v/>
      </c>
      <c r="R304" s="25"/>
      <c r="S304" s="14" t="str">
        <f aca="false">IF($K304&lt;&gt;"Kesarcha","",IF(OR($O304&lt;&gt;"",$R304="Ha"),"Ha","YO‘Q"))</f>
        <v/>
      </c>
      <c r="T304" s="12"/>
      <c r="U304" s="12"/>
      <c r="V304" s="14" t="str">
        <f aca="false">IF(OR($C304="",$D304="",$B304=""),"",IF(COUNTIFS($C$5:$C$604,$C304,$D$5:$D$604,$D304,$B$5:$B$604,$B304)&gt;1,"Takror",""))</f>
        <v/>
      </c>
    </row>
    <row r="305" customFormat="false" ht="15" hidden="false" customHeight="false" outlineLevel="0" collapsed="false">
      <c r="A305" s="8" t="n">
        <v>301</v>
      </c>
      <c r="B305" s="13"/>
      <c r="C305" s="12"/>
      <c r="D305" s="13"/>
      <c r="E305" s="24"/>
      <c r="F305" s="12"/>
      <c r="G305" s="14" t="str">
        <f aca="false">IF(OR($D305="",$B305=""),"",INT(($B305-$D305)/365.25))</f>
        <v/>
      </c>
      <c r="H305" s="14" t="str">
        <f aca="false">IF($G305="","",IF($G305&lt;18,"Ha","Yo'q"))</f>
        <v/>
      </c>
      <c r="I305" s="12"/>
      <c r="J305" s="25"/>
      <c r="K305" s="25"/>
      <c r="L305" s="25"/>
      <c r="M305" s="12"/>
      <c r="N305" s="25"/>
      <c r="O305" s="25"/>
      <c r="P305" s="14" t="str">
        <f aca="false">IF($O305="","",IFERROR(VALUE(LEFT($O305,FIND(".",$O305)-1)),""))</f>
        <v/>
      </c>
      <c r="Q305" s="14" t="str">
        <f aca="false">IF($P305="","",IF($P305&lt;=7,"Shoshilinch",IF($P305&lt;=9,"Kechiktirib bo'lmaydigan",IF($P305&lt;=14,"Rejalashtirilgan","Rejali"))))</f>
        <v/>
      </c>
      <c r="R305" s="25"/>
      <c r="S305" s="14" t="str">
        <f aca="false">IF($K305&lt;&gt;"Kesarcha","",IF(OR($O305&lt;&gt;"",$R305="Ha"),"Ha","YO‘Q"))</f>
        <v/>
      </c>
      <c r="T305" s="12"/>
      <c r="U305" s="12"/>
      <c r="V305" s="14" t="str">
        <f aca="false">IF(OR($C305="",$D305="",$B305=""),"",IF(COUNTIFS($C$5:$C$604,$C305,$D$5:$D$604,$D305,$B$5:$B$604,$B305)&gt;1,"Takror",""))</f>
        <v/>
      </c>
    </row>
    <row r="306" customFormat="false" ht="15" hidden="false" customHeight="false" outlineLevel="0" collapsed="false">
      <c r="A306" s="8" t="n">
        <v>302</v>
      </c>
      <c r="B306" s="13"/>
      <c r="C306" s="12"/>
      <c r="D306" s="13"/>
      <c r="E306" s="24"/>
      <c r="F306" s="12"/>
      <c r="G306" s="14" t="str">
        <f aca="false">IF(OR($D306="",$B306=""),"",INT(($B306-$D306)/365.25))</f>
        <v/>
      </c>
      <c r="H306" s="14" t="str">
        <f aca="false">IF($G306="","",IF($G306&lt;18,"Ha","Yo'q"))</f>
        <v/>
      </c>
      <c r="I306" s="12"/>
      <c r="J306" s="25"/>
      <c r="K306" s="25"/>
      <c r="L306" s="25"/>
      <c r="M306" s="12"/>
      <c r="N306" s="25"/>
      <c r="O306" s="25"/>
      <c r="P306" s="14" t="str">
        <f aca="false">IF($O306="","",IFERROR(VALUE(LEFT($O306,FIND(".",$O306)-1)),""))</f>
        <v/>
      </c>
      <c r="Q306" s="14" t="str">
        <f aca="false">IF($P306="","",IF($P306&lt;=7,"Shoshilinch",IF($P306&lt;=9,"Kechiktirib bo'lmaydigan",IF($P306&lt;=14,"Rejalashtirilgan","Rejali"))))</f>
        <v/>
      </c>
      <c r="R306" s="25"/>
      <c r="S306" s="14" t="str">
        <f aca="false">IF($K306&lt;&gt;"Kesarcha","",IF(OR($O306&lt;&gt;"",$R306="Ha"),"Ha","YO‘Q"))</f>
        <v/>
      </c>
      <c r="T306" s="12"/>
      <c r="U306" s="12"/>
      <c r="V306" s="14" t="str">
        <f aca="false">IF(OR($C306="",$D306="",$B306=""),"",IF(COUNTIFS($C$5:$C$604,$C306,$D$5:$D$604,$D306,$B$5:$B$604,$B306)&gt;1,"Takror",""))</f>
        <v/>
      </c>
    </row>
    <row r="307" customFormat="false" ht="15" hidden="false" customHeight="false" outlineLevel="0" collapsed="false">
      <c r="A307" s="8" t="n">
        <v>303</v>
      </c>
      <c r="B307" s="13"/>
      <c r="C307" s="12"/>
      <c r="D307" s="13"/>
      <c r="E307" s="24"/>
      <c r="F307" s="12"/>
      <c r="G307" s="14" t="str">
        <f aca="false">IF(OR($D307="",$B307=""),"",INT(($B307-$D307)/365.25))</f>
        <v/>
      </c>
      <c r="H307" s="14" t="str">
        <f aca="false">IF($G307="","",IF($G307&lt;18,"Ha","Yo'q"))</f>
        <v/>
      </c>
      <c r="I307" s="12"/>
      <c r="J307" s="25"/>
      <c r="K307" s="25"/>
      <c r="L307" s="25"/>
      <c r="M307" s="12"/>
      <c r="N307" s="25"/>
      <c r="O307" s="25"/>
      <c r="P307" s="14" t="str">
        <f aca="false">IF($O307="","",IFERROR(VALUE(LEFT($O307,FIND(".",$O307)-1)),""))</f>
        <v/>
      </c>
      <c r="Q307" s="14" t="str">
        <f aca="false">IF($P307="","",IF($P307&lt;=7,"Shoshilinch",IF($P307&lt;=9,"Kechiktirib bo'lmaydigan",IF($P307&lt;=14,"Rejalashtirilgan","Rejali"))))</f>
        <v/>
      </c>
      <c r="R307" s="25"/>
      <c r="S307" s="14" t="str">
        <f aca="false">IF($K307&lt;&gt;"Kesarcha","",IF(OR($O307&lt;&gt;"",$R307="Ha"),"Ha","YO‘Q"))</f>
        <v/>
      </c>
      <c r="T307" s="12"/>
      <c r="U307" s="12"/>
      <c r="V307" s="14" t="str">
        <f aca="false">IF(OR($C307="",$D307="",$B307=""),"",IF(COUNTIFS($C$5:$C$604,$C307,$D$5:$D$604,$D307,$B$5:$B$604,$B307)&gt;1,"Takror",""))</f>
        <v/>
      </c>
    </row>
    <row r="308" customFormat="false" ht="15" hidden="false" customHeight="false" outlineLevel="0" collapsed="false">
      <c r="A308" s="8" t="n">
        <v>304</v>
      </c>
      <c r="B308" s="13"/>
      <c r="C308" s="12"/>
      <c r="D308" s="13"/>
      <c r="E308" s="24"/>
      <c r="F308" s="12"/>
      <c r="G308" s="14" t="str">
        <f aca="false">IF(OR($D308="",$B308=""),"",INT(($B308-$D308)/365.25))</f>
        <v/>
      </c>
      <c r="H308" s="14" t="str">
        <f aca="false">IF($G308="","",IF($G308&lt;18,"Ha","Yo'q"))</f>
        <v/>
      </c>
      <c r="I308" s="12"/>
      <c r="J308" s="25"/>
      <c r="K308" s="25"/>
      <c r="L308" s="25"/>
      <c r="M308" s="12"/>
      <c r="N308" s="25"/>
      <c r="O308" s="25"/>
      <c r="P308" s="14" t="str">
        <f aca="false">IF($O308="","",IFERROR(VALUE(LEFT($O308,FIND(".",$O308)-1)),""))</f>
        <v/>
      </c>
      <c r="Q308" s="14" t="str">
        <f aca="false">IF($P308="","",IF($P308&lt;=7,"Shoshilinch",IF($P308&lt;=9,"Kechiktirib bo'lmaydigan",IF($P308&lt;=14,"Rejalashtirilgan","Rejali"))))</f>
        <v/>
      </c>
      <c r="R308" s="25"/>
      <c r="S308" s="14" t="str">
        <f aca="false">IF($K308&lt;&gt;"Kesarcha","",IF(OR($O308&lt;&gt;"",$R308="Ha"),"Ha","YO‘Q"))</f>
        <v/>
      </c>
      <c r="T308" s="12"/>
      <c r="U308" s="12"/>
      <c r="V308" s="14" t="str">
        <f aca="false">IF(OR($C308="",$D308="",$B308=""),"",IF(COUNTIFS($C$5:$C$604,$C308,$D$5:$D$604,$D308,$B$5:$B$604,$B308)&gt;1,"Takror",""))</f>
        <v/>
      </c>
    </row>
    <row r="309" customFormat="false" ht="15" hidden="false" customHeight="false" outlineLevel="0" collapsed="false">
      <c r="A309" s="8" t="n">
        <v>305</v>
      </c>
      <c r="B309" s="13"/>
      <c r="C309" s="12"/>
      <c r="D309" s="13"/>
      <c r="E309" s="24"/>
      <c r="F309" s="12"/>
      <c r="G309" s="14" t="str">
        <f aca="false">IF(OR($D309="",$B309=""),"",INT(($B309-$D309)/365.25))</f>
        <v/>
      </c>
      <c r="H309" s="14" t="str">
        <f aca="false">IF($G309="","",IF($G309&lt;18,"Ha","Yo'q"))</f>
        <v/>
      </c>
      <c r="I309" s="12"/>
      <c r="J309" s="25"/>
      <c r="K309" s="25"/>
      <c r="L309" s="25"/>
      <c r="M309" s="12"/>
      <c r="N309" s="25"/>
      <c r="O309" s="25"/>
      <c r="P309" s="14" t="str">
        <f aca="false">IF($O309="","",IFERROR(VALUE(LEFT($O309,FIND(".",$O309)-1)),""))</f>
        <v/>
      </c>
      <c r="Q309" s="14" t="str">
        <f aca="false">IF($P309="","",IF($P309&lt;=7,"Shoshilinch",IF($P309&lt;=9,"Kechiktirib bo'lmaydigan",IF($P309&lt;=14,"Rejalashtirilgan","Rejali"))))</f>
        <v/>
      </c>
      <c r="R309" s="25"/>
      <c r="S309" s="14" t="str">
        <f aca="false">IF($K309&lt;&gt;"Kesarcha","",IF(OR($O309&lt;&gt;"",$R309="Ha"),"Ha","YO‘Q"))</f>
        <v/>
      </c>
      <c r="T309" s="12"/>
      <c r="U309" s="12"/>
      <c r="V309" s="14" t="str">
        <f aca="false">IF(OR($C309="",$D309="",$B309=""),"",IF(COUNTIFS($C$5:$C$604,$C309,$D$5:$D$604,$D309,$B$5:$B$604,$B309)&gt;1,"Takror",""))</f>
        <v/>
      </c>
    </row>
    <row r="310" customFormat="false" ht="15" hidden="false" customHeight="false" outlineLevel="0" collapsed="false">
      <c r="A310" s="8" t="n">
        <v>306</v>
      </c>
      <c r="B310" s="13"/>
      <c r="C310" s="12"/>
      <c r="D310" s="13"/>
      <c r="E310" s="24"/>
      <c r="F310" s="12"/>
      <c r="G310" s="14" t="str">
        <f aca="false">IF(OR($D310="",$B310=""),"",INT(($B310-$D310)/365.25))</f>
        <v/>
      </c>
      <c r="H310" s="14" t="str">
        <f aca="false">IF($G310="","",IF($G310&lt;18,"Ha","Yo'q"))</f>
        <v/>
      </c>
      <c r="I310" s="12"/>
      <c r="J310" s="25"/>
      <c r="K310" s="25"/>
      <c r="L310" s="25"/>
      <c r="M310" s="12"/>
      <c r="N310" s="25"/>
      <c r="O310" s="25"/>
      <c r="P310" s="14" t="str">
        <f aca="false">IF($O310="","",IFERROR(VALUE(LEFT($O310,FIND(".",$O310)-1)),""))</f>
        <v/>
      </c>
      <c r="Q310" s="14" t="str">
        <f aca="false">IF($P310="","",IF($P310&lt;=7,"Shoshilinch",IF($P310&lt;=9,"Kechiktirib bo'lmaydigan",IF($P310&lt;=14,"Rejalashtirilgan","Rejali"))))</f>
        <v/>
      </c>
      <c r="R310" s="25"/>
      <c r="S310" s="14" t="str">
        <f aca="false">IF($K310&lt;&gt;"Kesarcha","",IF(OR($O310&lt;&gt;"",$R310="Ha"),"Ha","YO‘Q"))</f>
        <v/>
      </c>
      <c r="T310" s="12"/>
      <c r="U310" s="12"/>
      <c r="V310" s="14" t="str">
        <f aca="false">IF(OR($C310="",$D310="",$B310=""),"",IF(COUNTIFS($C$5:$C$604,$C310,$D$5:$D$604,$D310,$B$5:$B$604,$B310)&gt;1,"Takror",""))</f>
        <v/>
      </c>
    </row>
    <row r="311" customFormat="false" ht="15" hidden="false" customHeight="false" outlineLevel="0" collapsed="false">
      <c r="A311" s="8" t="n">
        <v>307</v>
      </c>
      <c r="B311" s="13"/>
      <c r="C311" s="12"/>
      <c r="D311" s="13"/>
      <c r="E311" s="24"/>
      <c r="F311" s="12"/>
      <c r="G311" s="14" t="str">
        <f aca="false">IF(OR($D311="",$B311=""),"",INT(($B311-$D311)/365.25))</f>
        <v/>
      </c>
      <c r="H311" s="14" t="str">
        <f aca="false">IF($G311="","",IF($G311&lt;18,"Ha","Yo'q"))</f>
        <v/>
      </c>
      <c r="I311" s="12"/>
      <c r="J311" s="25"/>
      <c r="K311" s="25"/>
      <c r="L311" s="25"/>
      <c r="M311" s="12"/>
      <c r="N311" s="25"/>
      <c r="O311" s="25"/>
      <c r="P311" s="14" t="str">
        <f aca="false">IF($O311="","",IFERROR(VALUE(LEFT($O311,FIND(".",$O311)-1)),""))</f>
        <v/>
      </c>
      <c r="Q311" s="14" t="str">
        <f aca="false">IF($P311="","",IF($P311&lt;=7,"Shoshilinch",IF($P311&lt;=9,"Kechiktirib bo'lmaydigan",IF($P311&lt;=14,"Rejalashtirilgan","Rejali"))))</f>
        <v/>
      </c>
      <c r="R311" s="25"/>
      <c r="S311" s="14" t="str">
        <f aca="false">IF($K311&lt;&gt;"Kesarcha","",IF(OR($O311&lt;&gt;"",$R311="Ha"),"Ha","YO‘Q"))</f>
        <v/>
      </c>
      <c r="T311" s="12"/>
      <c r="U311" s="12"/>
      <c r="V311" s="14" t="str">
        <f aca="false">IF(OR($C311="",$D311="",$B311=""),"",IF(COUNTIFS($C$5:$C$604,$C311,$D$5:$D$604,$D311,$B$5:$B$604,$B311)&gt;1,"Takror",""))</f>
        <v/>
      </c>
    </row>
    <row r="312" customFormat="false" ht="15" hidden="false" customHeight="false" outlineLevel="0" collapsed="false">
      <c r="A312" s="8" t="n">
        <v>308</v>
      </c>
      <c r="B312" s="13"/>
      <c r="C312" s="12"/>
      <c r="D312" s="13"/>
      <c r="E312" s="24"/>
      <c r="F312" s="12"/>
      <c r="G312" s="14" t="str">
        <f aca="false">IF(OR($D312="",$B312=""),"",INT(($B312-$D312)/365.25))</f>
        <v/>
      </c>
      <c r="H312" s="14" t="str">
        <f aca="false">IF($G312="","",IF($G312&lt;18,"Ha","Yo'q"))</f>
        <v/>
      </c>
      <c r="I312" s="12"/>
      <c r="J312" s="25"/>
      <c r="K312" s="25"/>
      <c r="L312" s="25"/>
      <c r="M312" s="12"/>
      <c r="N312" s="25"/>
      <c r="O312" s="25"/>
      <c r="P312" s="14" t="str">
        <f aca="false">IF($O312="","",IFERROR(VALUE(LEFT($O312,FIND(".",$O312)-1)),""))</f>
        <v/>
      </c>
      <c r="Q312" s="14" t="str">
        <f aca="false">IF($P312="","",IF($P312&lt;=7,"Shoshilinch",IF($P312&lt;=9,"Kechiktirib bo'lmaydigan",IF($P312&lt;=14,"Rejalashtirilgan","Rejali"))))</f>
        <v/>
      </c>
      <c r="R312" s="25"/>
      <c r="S312" s="14" t="str">
        <f aca="false">IF($K312&lt;&gt;"Kesarcha","",IF(OR($O312&lt;&gt;"",$R312="Ha"),"Ha","YO‘Q"))</f>
        <v/>
      </c>
      <c r="T312" s="12"/>
      <c r="U312" s="12"/>
      <c r="V312" s="14" t="str">
        <f aca="false">IF(OR($C312="",$D312="",$B312=""),"",IF(COUNTIFS($C$5:$C$604,$C312,$D$5:$D$604,$D312,$B$5:$B$604,$B312)&gt;1,"Takror",""))</f>
        <v/>
      </c>
    </row>
    <row r="313" customFormat="false" ht="15" hidden="false" customHeight="false" outlineLevel="0" collapsed="false">
      <c r="A313" s="8" t="n">
        <v>309</v>
      </c>
      <c r="B313" s="13"/>
      <c r="C313" s="12"/>
      <c r="D313" s="13"/>
      <c r="E313" s="24"/>
      <c r="F313" s="12"/>
      <c r="G313" s="14" t="str">
        <f aca="false">IF(OR($D313="",$B313=""),"",INT(($B313-$D313)/365.25))</f>
        <v/>
      </c>
      <c r="H313" s="14" t="str">
        <f aca="false">IF($G313="","",IF($G313&lt;18,"Ha","Yo'q"))</f>
        <v/>
      </c>
      <c r="I313" s="12"/>
      <c r="J313" s="25"/>
      <c r="K313" s="25"/>
      <c r="L313" s="25"/>
      <c r="M313" s="12"/>
      <c r="N313" s="25"/>
      <c r="O313" s="25"/>
      <c r="P313" s="14" t="str">
        <f aca="false">IF($O313="","",IFERROR(VALUE(LEFT($O313,FIND(".",$O313)-1)),""))</f>
        <v/>
      </c>
      <c r="Q313" s="14" t="str">
        <f aca="false">IF($P313="","",IF($P313&lt;=7,"Shoshilinch",IF($P313&lt;=9,"Kechiktirib bo'lmaydigan",IF($P313&lt;=14,"Rejalashtirilgan","Rejali"))))</f>
        <v/>
      </c>
      <c r="R313" s="25"/>
      <c r="S313" s="14" t="str">
        <f aca="false">IF($K313&lt;&gt;"Kesarcha","",IF(OR($O313&lt;&gt;"",$R313="Ha"),"Ha","YO‘Q"))</f>
        <v/>
      </c>
      <c r="T313" s="12"/>
      <c r="U313" s="12"/>
      <c r="V313" s="14" t="str">
        <f aca="false">IF(OR($C313="",$D313="",$B313=""),"",IF(COUNTIFS($C$5:$C$604,$C313,$D$5:$D$604,$D313,$B$5:$B$604,$B313)&gt;1,"Takror",""))</f>
        <v/>
      </c>
    </row>
    <row r="314" customFormat="false" ht="15" hidden="false" customHeight="false" outlineLevel="0" collapsed="false">
      <c r="A314" s="8" t="n">
        <v>310</v>
      </c>
      <c r="B314" s="13"/>
      <c r="C314" s="12"/>
      <c r="D314" s="13"/>
      <c r="E314" s="24"/>
      <c r="F314" s="12"/>
      <c r="G314" s="14" t="str">
        <f aca="false">IF(OR($D314="",$B314=""),"",INT(($B314-$D314)/365.25))</f>
        <v/>
      </c>
      <c r="H314" s="14" t="str">
        <f aca="false">IF($G314="","",IF($G314&lt;18,"Ha","Yo'q"))</f>
        <v/>
      </c>
      <c r="I314" s="12"/>
      <c r="J314" s="25"/>
      <c r="K314" s="25"/>
      <c r="L314" s="25"/>
      <c r="M314" s="12"/>
      <c r="N314" s="25"/>
      <c r="O314" s="25"/>
      <c r="P314" s="14" t="str">
        <f aca="false">IF($O314="","",IFERROR(VALUE(LEFT($O314,FIND(".",$O314)-1)),""))</f>
        <v/>
      </c>
      <c r="Q314" s="14" t="str">
        <f aca="false">IF($P314="","",IF($P314&lt;=7,"Shoshilinch",IF($P314&lt;=9,"Kechiktirib bo'lmaydigan",IF($P314&lt;=14,"Rejalashtirilgan","Rejali"))))</f>
        <v/>
      </c>
      <c r="R314" s="25"/>
      <c r="S314" s="14" t="str">
        <f aca="false">IF($K314&lt;&gt;"Kesarcha","",IF(OR($O314&lt;&gt;"",$R314="Ha"),"Ha","YO‘Q"))</f>
        <v/>
      </c>
      <c r="T314" s="12"/>
      <c r="U314" s="12"/>
      <c r="V314" s="14" t="str">
        <f aca="false">IF(OR($C314="",$D314="",$B314=""),"",IF(COUNTIFS($C$5:$C$604,$C314,$D$5:$D$604,$D314,$B$5:$B$604,$B314)&gt;1,"Takror",""))</f>
        <v/>
      </c>
    </row>
    <row r="315" customFormat="false" ht="15" hidden="false" customHeight="false" outlineLevel="0" collapsed="false">
      <c r="A315" s="8" t="n">
        <v>311</v>
      </c>
      <c r="B315" s="13"/>
      <c r="C315" s="12"/>
      <c r="D315" s="13"/>
      <c r="E315" s="24"/>
      <c r="F315" s="12"/>
      <c r="G315" s="14" t="str">
        <f aca="false">IF(OR($D315="",$B315=""),"",INT(($B315-$D315)/365.25))</f>
        <v/>
      </c>
      <c r="H315" s="14" t="str">
        <f aca="false">IF($G315="","",IF($G315&lt;18,"Ha","Yo'q"))</f>
        <v/>
      </c>
      <c r="I315" s="12"/>
      <c r="J315" s="25"/>
      <c r="K315" s="25"/>
      <c r="L315" s="25"/>
      <c r="M315" s="12"/>
      <c r="N315" s="25"/>
      <c r="O315" s="25"/>
      <c r="P315" s="14" t="str">
        <f aca="false">IF($O315="","",IFERROR(VALUE(LEFT($O315,FIND(".",$O315)-1)),""))</f>
        <v/>
      </c>
      <c r="Q315" s="14" t="str">
        <f aca="false">IF($P315="","",IF($P315&lt;=7,"Shoshilinch",IF($P315&lt;=9,"Kechiktirib bo'lmaydigan",IF($P315&lt;=14,"Rejalashtirilgan","Rejali"))))</f>
        <v/>
      </c>
      <c r="R315" s="25"/>
      <c r="S315" s="14" t="str">
        <f aca="false">IF($K315&lt;&gt;"Kesarcha","",IF(OR($O315&lt;&gt;"",$R315="Ha"),"Ha","YO‘Q"))</f>
        <v/>
      </c>
      <c r="T315" s="12"/>
      <c r="U315" s="12"/>
      <c r="V315" s="14" t="str">
        <f aca="false">IF(OR($C315="",$D315="",$B315=""),"",IF(COUNTIFS($C$5:$C$604,$C315,$D$5:$D$604,$D315,$B$5:$B$604,$B315)&gt;1,"Takror",""))</f>
        <v/>
      </c>
    </row>
    <row r="316" customFormat="false" ht="15" hidden="false" customHeight="false" outlineLevel="0" collapsed="false">
      <c r="A316" s="8" t="n">
        <v>312</v>
      </c>
      <c r="B316" s="13"/>
      <c r="C316" s="12"/>
      <c r="D316" s="13"/>
      <c r="E316" s="24"/>
      <c r="F316" s="12"/>
      <c r="G316" s="14" t="str">
        <f aca="false">IF(OR($D316="",$B316=""),"",INT(($B316-$D316)/365.25))</f>
        <v/>
      </c>
      <c r="H316" s="14" t="str">
        <f aca="false">IF($G316="","",IF($G316&lt;18,"Ha","Yo'q"))</f>
        <v/>
      </c>
      <c r="I316" s="12"/>
      <c r="J316" s="25"/>
      <c r="K316" s="25"/>
      <c r="L316" s="25"/>
      <c r="M316" s="12"/>
      <c r="N316" s="25"/>
      <c r="O316" s="25"/>
      <c r="P316" s="14" t="str">
        <f aca="false">IF($O316="","",IFERROR(VALUE(LEFT($O316,FIND(".",$O316)-1)),""))</f>
        <v/>
      </c>
      <c r="Q316" s="14" t="str">
        <f aca="false">IF($P316="","",IF($P316&lt;=7,"Shoshilinch",IF($P316&lt;=9,"Kechiktirib bo'lmaydigan",IF($P316&lt;=14,"Rejalashtirilgan","Rejali"))))</f>
        <v/>
      </c>
      <c r="R316" s="25"/>
      <c r="S316" s="14" t="str">
        <f aca="false">IF($K316&lt;&gt;"Kesarcha","",IF(OR($O316&lt;&gt;"",$R316="Ha"),"Ha","YO‘Q"))</f>
        <v/>
      </c>
      <c r="T316" s="12"/>
      <c r="U316" s="12"/>
      <c r="V316" s="14" t="str">
        <f aca="false">IF(OR($C316="",$D316="",$B316=""),"",IF(COUNTIFS($C$5:$C$604,$C316,$D$5:$D$604,$D316,$B$5:$B$604,$B316)&gt;1,"Takror",""))</f>
        <v/>
      </c>
    </row>
    <row r="317" customFormat="false" ht="15" hidden="false" customHeight="false" outlineLevel="0" collapsed="false">
      <c r="A317" s="8" t="n">
        <v>313</v>
      </c>
      <c r="B317" s="13"/>
      <c r="C317" s="12"/>
      <c r="D317" s="13"/>
      <c r="E317" s="24"/>
      <c r="F317" s="12"/>
      <c r="G317" s="14" t="str">
        <f aca="false">IF(OR($D317="",$B317=""),"",INT(($B317-$D317)/365.25))</f>
        <v/>
      </c>
      <c r="H317" s="14" t="str">
        <f aca="false">IF($G317="","",IF($G317&lt;18,"Ha","Yo'q"))</f>
        <v/>
      </c>
      <c r="I317" s="12"/>
      <c r="J317" s="25"/>
      <c r="K317" s="25"/>
      <c r="L317" s="25"/>
      <c r="M317" s="12"/>
      <c r="N317" s="25"/>
      <c r="O317" s="25"/>
      <c r="P317" s="14" t="str">
        <f aca="false">IF($O317="","",IFERROR(VALUE(LEFT($O317,FIND(".",$O317)-1)),""))</f>
        <v/>
      </c>
      <c r="Q317" s="14" t="str">
        <f aca="false">IF($P317="","",IF($P317&lt;=7,"Shoshilinch",IF($P317&lt;=9,"Kechiktirib bo'lmaydigan",IF($P317&lt;=14,"Rejalashtirilgan","Rejali"))))</f>
        <v/>
      </c>
      <c r="R317" s="25"/>
      <c r="S317" s="14" t="str">
        <f aca="false">IF($K317&lt;&gt;"Kesarcha","",IF(OR($O317&lt;&gt;"",$R317="Ha"),"Ha","YO‘Q"))</f>
        <v/>
      </c>
      <c r="T317" s="12"/>
      <c r="U317" s="12"/>
      <c r="V317" s="14" t="str">
        <f aca="false">IF(OR($C317="",$D317="",$B317=""),"",IF(COUNTIFS($C$5:$C$604,$C317,$D$5:$D$604,$D317,$B$5:$B$604,$B317)&gt;1,"Takror",""))</f>
        <v/>
      </c>
    </row>
    <row r="318" customFormat="false" ht="15" hidden="false" customHeight="false" outlineLevel="0" collapsed="false">
      <c r="A318" s="8" t="n">
        <v>314</v>
      </c>
      <c r="B318" s="13"/>
      <c r="C318" s="12"/>
      <c r="D318" s="13"/>
      <c r="E318" s="24"/>
      <c r="F318" s="12"/>
      <c r="G318" s="14" t="str">
        <f aca="false">IF(OR($D318="",$B318=""),"",INT(($B318-$D318)/365.25))</f>
        <v/>
      </c>
      <c r="H318" s="14" t="str">
        <f aca="false">IF($G318="","",IF($G318&lt;18,"Ha","Yo'q"))</f>
        <v/>
      </c>
      <c r="I318" s="12"/>
      <c r="J318" s="25"/>
      <c r="K318" s="25"/>
      <c r="L318" s="25"/>
      <c r="M318" s="12"/>
      <c r="N318" s="25"/>
      <c r="O318" s="25"/>
      <c r="P318" s="14" t="str">
        <f aca="false">IF($O318="","",IFERROR(VALUE(LEFT($O318,FIND(".",$O318)-1)),""))</f>
        <v/>
      </c>
      <c r="Q318" s="14" t="str">
        <f aca="false">IF($P318="","",IF($P318&lt;=7,"Shoshilinch",IF($P318&lt;=9,"Kechiktirib bo'lmaydigan",IF($P318&lt;=14,"Rejalashtirilgan","Rejali"))))</f>
        <v/>
      </c>
      <c r="R318" s="25"/>
      <c r="S318" s="14" t="str">
        <f aca="false">IF($K318&lt;&gt;"Kesarcha","",IF(OR($O318&lt;&gt;"",$R318="Ha"),"Ha","YO‘Q"))</f>
        <v/>
      </c>
      <c r="T318" s="12"/>
      <c r="U318" s="12"/>
      <c r="V318" s="14" t="str">
        <f aca="false">IF(OR($C318="",$D318="",$B318=""),"",IF(COUNTIFS($C$5:$C$604,$C318,$D$5:$D$604,$D318,$B$5:$B$604,$B318)&gt;1,"Takror",""))</f>
        <v/>
      </c>
    </row>
    <row r="319" customFormat="false" ht="15" hidden="false" customHeight="false" outlineLevel="0" collapsed="false">
      <c r="A319" s="8" t="n">
        <v>315</v>
      </c>
      <c r="B319" s="13"/>
      <c r="C319" s="12"/>
      <c r="D319" s="13"/>
      <c r="E319" s="24"/>
      <c r="F319" s="12"/>
      <c r="G319" s="14" t="str">
        <f aca="false">IF(OR($D319="",$B319=""),"",INT(($B319-$D319)/365.25))</f>
        <v/>
      </c>
      <c r="H319" s="14" t="str">
        <f aca="false">IF($G319="","",IF($G319&lt;18,"Ha","Yo'q"))</f>
        <v/>
      </c>
      <c r="I319" s="12"/>
      <c r="J319" s="25"/>
      <c r="K319" s="25"/>
      <c r="L319" s="25"/>
      <c r="M319" s="12"/>
      <c r="N319" s="25"/>
      <c r="O319" s="25"/>
      <c r="P319" s="14" t="str">
        <f aca="false">IF($O319="","",IFERROR(VALUE(LEFT($O319,FIND(".",$O319)-1)),""))</f>
        <v/>
      </c>
      <c r="Q319" s="14" t="str">
        <f aca="false">IF($P319="","",IF($P319&lt;=7,"Shoshilinch",IF($P319&lt;=9,"Kechiktirib bo'lmaydigan",IF($P319&lt;=14,"Rejalashtirilgan","Rejali"))))</f>
        <v/>
      </c>
      <c r="R319" s="25"/>
      <c r="S319" s="14" t="str">
        <f aca="false">IF($K319&lt;&gt;"Kesarcha","",IF(OR($O319&lt;&gt;"",$R319="Ha"),"Ha","YO‘Q"))</f>
        <v/>
      </c>
      <c r="T319" s="12"/>
      <c r="U319" s="12"/>
      <c r="V319" s="14" t="str">
        <f aca="false">IF(OR($C319="",$D319="",$B319=""),"",IF(COUNTIFS($C$5:$C$604,$C319,$D$5:$D$604,$D319,$B$5:$B$604,$B319)&gt;1,"Takror",""))</f>
        <v/>
      </c>
    </row>
    <row r="320" customFormat="false" ht="15" hidden="false" customHeight="false" outlineLevel="0" collapsed="false">
      <c r="A320" s="8" t="n">
        <v>316</v>
      </c>
      <c r="B320" s="13"/>
      <c r="C320" s="12"/>
      <c r="D320" s="13"/>
      <c r="E320" s="24"/>
      <c r="F320" s="12"/>
      <c r="G320" s="14" t="str">
        <f aca="false">IF(OR($D320="",$B320=""),"",INT(($B320-$D320)/365.25))</f>
        <v/>
      </c>
      <c r="H320" s="14" t="str">
        <f aca="false">IF($G320="","",IF($G320&lt;18,"Ha","Yo'q"))</f>
        <v/>
      </c>
      <c r="I320" s="12"/>
      <c r="J320" s="25"/>
      <c r="K320" s="25"/>
      <c r="L320" s="25"/>
      <c r="M320" s="12"/>
      <c r="N320" s="25"/>
      <c r="O320" s="25"/>
      <c r="P320" s="14" t="str">
        <f aca="false">IF($O320="","",IFERROR(VALUE(LEFT($O320,FIND(".",$O320)-1)),""))</f>
        <v/>
      </c>
      <c r="Q320" s="14" t="str">
        <f aca="false">IF($P320="","",IF($P320&lt;=7,"Shoshilinch",IF($P320&lt;=9,"Kechiktirib bo'lmaydigan",IF($P320&lt;=14,"Rejalashtirilgan","Rejali"))))</f>
        <v/>
      </c>
      <c r="R320" s="25"/>
      <c r="S320" s="14" t="str">
        <f aca="false">IF($K320&lt;&gt;"Kesarcha","",IF(OR($O320&lt;&gt;"",$R320="Ha"),"Ha","YO‘Q"))</f>
        <v/>
      </c>
      <c r="T320" s="12"/>
      <c r="U320" s="12"/>
      <c r="V320" s="14" t="str">
        <f aca="false">IF(OR($C320="",$D320="",$B320=""),"",IF(COUNTIFS($C$5:$C$604,$C320,$D$5:$D$604,$D320,$B$5:$B$604,$B320)&gt;1,"Takror",""))</f>
        <v/>
      </c>
    </row>
    <row r="321" customFormat="false" ht="15" hidden="false" customHeight="false" outlineLevel="0" collapsed="false">
      <c r="A321" s="8" t="n">
        <v>317</v>
      </c>
      <c r="B321" s="13"/>
      <c r="C321" s="12"/>
      <c r="D321" s="13"/>
      <c r="E321" s="24"/>
      <c r="F321" s="12"/>
      <c r="G321" s="14" t="str">
        <f aca="false">IF(OR($D321="",$B321=""),"",INT(($B321-$D321)/365.25))</f>
        <v/>
      </c>
      <c r="H321" s="14" t="str">
        <f aca="false">IF($G321="","",IF($G321&lt;18,"Ha","Yo'q"))</f>
        <v/>
      </c>
      <c r="I321" s="12"/>
      <c r="J321" s="25"/>
      <c r="K321" s="25"/>
      <c r="L321" s="25"/>
      <c r="M321" s="12"/>
      <c r="N321" s="25"/>
      <c r="O321" s="25"/>
      <c r="P321" s="14" t="str">
        <f aca="false">IF($O321="","",IFERROR(VALUE(LEFT($O321,FIND(".",$O321)-1)),""))</f>
        <v/>
      </c>
      <c r="Q321" s="14" t="str">
        <f aca="false">IF($P321="","",IF($P321&lt;=7,"Shoshilinch",IF($P321&lt;=9,"Kechiktirib bo'lmaydigan",IF($P321&lt;=14,"Rejalashtirilgan","Rejali"))))</f>
        <v/>
      </c>
      <c r="R321" s="25"/>
      <c r="S321" s="14" t="str">
        <f aca="false">IF($K321&lt;&gt;"Kesarcha","",IF(OR($O321&lt;&gt;"",$R321="Ha"),"Ha","YO‘Q"))</f>
        <v/>
      </c>
      <c r="T321" s="12"/>
      <c r="U321" s="12"/>
      <c r="V321" s="14" t="str">
        <f aca="false">IF(OR($C321="",$D321="",$B321=""),"",IF(COUNTIFS($C$5:$C$604,$C321,$D$5:$D$604,$D321,$B$5:$B$604,$B321)&gt;1,"Takror",""))</f>
        <v/>
      </c>
    </row>
    <row r="322" customFormat="false" ht="15" hidden="false" customHeight="false" outlineLevel="0" collapsed="false">
      <c r="A322" s="8" t="n">
        <v>318</v>
      </c>
      <c r="B322" s="13"/>
      <c r="C322" s="12"/>
      <c r="D322" s="13"/>
      <c r="E322" s="24"/>
      <c r="F322" s="12"/>
      <c r="G322" s="14" t="str">
        <f aca="false">IF(OR($D322="",$B322=""),"",INT(($B322-$D322)/365.25))</f>
        <v/>
      </c>
      <c r="H322" s="14" t="str">
        <f aca="false">IF($G322="","",IF($G322&lt;18,"Ha","Yo'q"))</f>
        <v/>
      </c>
      <c r="I322" s="12"/>
      <c r="J322" s="25"/>
      <c r="K322" s="25"/>
      <c r="L322" s="25"/>
      <c r="M322" s="12"/>
      <c r="N322" s="25"/>
      <c r="O322" s="25"/>
      <c r="P322" s="14" t="str">
        <f aca="false">IF($O322="","",IFERROR(VALUE(LEFT($O322,FIND(".",$O322)-1)),""))</f>
        <v/>
      </c>
      <c r="Q322" s="14" t="str">
        <f aca="false">IF($P322="","",IF($P322&lt;=7,"Shoshilinch",IF($P322&lt;=9,"Kechiktirib bo'lmaydigan",IF($P322&lt;=14,"Rejalashtirilgan","Rejali"))))</f>
        <v/>
      </c>
      <c r="R322" s="25"/>
      <c r="S322" s="14" t="str">
        <f aca="false">IF($K322&lt;&gt;"Kesarcha","",IF(OR($O322&lt;&gt;"",$R322="Ha"),"Ha","YO‘Q"))</f>
        <v/>
      </c>
      <c r="T322" s="12"/>
      <c r="U322" s="12"/>
      <c r="V322" s="14" t="str">
        <f aca="false">IF(OR($C322="",$D322="",$B322=""),"",IF(COUNTIFS($C$5:$C$604,$C322,$D$5:$D$604,$D322,$B$5:$B$604,$B322)&gt;1,"Takror",""))</f>
        <v/>
      </c>
    </row>
    <row r="323" customFormat="false" ht="15" hidden="false" customHeight="false" outlineLevel="0" collapsed="false">
      <c r="A323" s="8" t="n">
        <v>319</v>
      </c>
      <c r="B323" s="13"/>
      <c r="C323" s="12"/>
      <c r="D323" s="13"/>
      <c r="E323" s="24"/>
      <c r="F323" s="12"/>
      <c r="G323" s="14" t="str">
        <f aca="false">IF(OR($D323="",$B323=""),"",INT(($B323-$D323)/365.25))</f>
        <v/>
      </c>
      <c r="H323" s="14" t="str">
        <f aca="false">IF($G323="","",IF($G323&lt;18,"Ha","Yo'q"))</f>
        <v/>
      </c>
      <c r="I323" s="12"/>
      <c r="J323" s="25"/>
      <c r="K323" s="25"/>
      <c r="L323" s="25"/>
      <c r="M323" s="12"/>
      <c r="N323" s="25"/>
      <c r="O323" s="25"/>
      <c r="P323" s="14" t="str">
        <f aca="false">IF($O323="","",IFERROR(VALUE(LEFT($O323,FIND(".",$O323)-1)),""))</f>
        <v/>
      </c>
      <c r="Q323" s="14" t="str">
        <f aca="false">IF($P323="","",IF($P323&lt;=7,"Shoshilinch",IF($P323&lt;=9,"Kechiktirib bo'lmaydigan",IF($P323&lt;=14,"Rejalashtirilgan","Rejali"))))</f>
        <v/>
      </c>
      <c r="R323" s="25"/>
      <c r="S323" s="14" t="str">
        <f aca="false">IF($K323&lt;&gt;"Kesarcha","",IF(OR($O323&lt;&gt;"",$R323="Ha"),"Ha","YO‘Q"))</f>
        <v/>
      </c>
      <c r="T323" s="12"/>
      <c r="U323" s="12"/>
      <c r="V323" s="14" t="str">
        <f aca="false">IF(OR($C323="",$D323="",$B323=""),"",IF(COUNTIFS($C$5:$C$604,$C323,$D$5:$D$604,$D323,$B$5:$B$604,$B323)&gt;1,"Takror",""))</f>
        <v/>
      </c>
    </row>
    <row r="324" customFormat="false" ht="15" hidden="false" customHeight="false" outlineLevel="0" collapsed="false">
      <c r="A324" s="8" t="n">
        <v>320</v>
      </c>
      <c r="B324" s="13"/>
      <c r="C324" s="12"/>
      <c r="D324" s="13"/>
      <c r="E324" s="24"/>
      <c r="F324" s="12"/>
      <c r="G324" s="14" t="str">
        <f aca="false">IF(OR($D324="",$B324=""),"",INT(($B324-$D324)/365.25))</f>
        <v/>
      </c>
      <c r="H324" s="14" t="str">
        <f aca="false">IF($G324="","",IF($G324&lt;18,"Ha","Yo'q"))</f>
        <v/>
      </c>
      <c r="I324" s="12"/>
      <c r="J324" s="25"/>
      <c r="K324" s="25"/>
      <c r="L324" s="25"/>
      <c r="M324" s="12"/>
      <c r="N324" s="25"/>
      <c r="O324" s="25"/>
      <c r="P324" s="14" t="str">
        <f aca="false">IF($O324="","",IFERROR(VALUE(LEFT($O324,FIND(".",$O324)-1)),""))</f>
        <v/>
      </c>
      <c r="Q324" s="14" t="str">
        <f aca="false">IF($P324="","",IF($P324&lt;=7,"Shoshilinch",IF($P324&lt;=9,"Kechiktirib bo'lmaydigan",IF($P324&lt;=14,"Rejalashtirilgan","Rejali"))))</f>
        <v/>
      </c>
      <c r="R324" s="25"/>
      <c r="S324" s="14" t="str">
        <f aca="false">IF($K324&lt;&gt;"Kesarcha","",IF(OR($O324&lt;&gt;"",$R324="Ha"),"Ha","YO‘Q"))</f>
        <v/>
      </c>
      <c r="T324" s="12"/>
      <c r="U324" s="12"/>
      <c r="V324" s="14" t="str">
        <f aca="false">IF(OR($C324="",$D324="",$B324=""),"",IF(COUNTIFS($C$5:$C$604,$C324,$D$5:$D$604,$D324,$B$5:$B$604,$B324)&gt;1,"Takror",""))</f>
        <v/>
      </c>
    </row>
    <row r="325" customFormat="false" ht="15" hidden="false" customHeight="false" outlineLevel="0" collapsed="false">
      <c r="A325" s="8" t="n">
        <v>321</v>
      </c>
      <c r="B325" s="13"/>
      <c r="C325" s="12"/>
      <c r="D325" s="13"/>
      <c r="E325" s="24"/>
      <c r="F325" s="12"/>
      <c r="G325" s="14" t="str">
        <f aca="false">IF(OR($D325="",$B325=""),"",INT(($B325-$D325)/365.25))</f>
        <v/>
      </c>
      <c r="H325" s="14" t="str">
        <f aca="false">IF($G325="","",IF($G325&lt;18,"Ha","Yo'q"))</f>
        <v/>
      </c>
      <c r="I325" s="12"/>
      <c r="J325" s="25"/>
      <c r="K325" s="25"/>
      <c r="L325" s="25"/>
      <c r="M325" s="12"/>
      <c r="N325" s="25"/>
      <c r="O325" s="25"/>
      <c r="P325" s="14" t="str">
        <f aca="false">IF($O325="","",IFERROR(VALUE(LEFT($O325,FIND(".",$O325)-1)),""))</f>
        <v/>
      </c>
      <c r="Q325" s="14" t="str">
        <f aca="false">IF($P325="","",IF($P325&lt;=7,"Shoshilinch",IF($P325&lt;=9,"Kechiktirib bo'lmaydigan",IF($P325&lt;=14,"Rejalashtirilgan","Rejali"))))</f>
        <v/>
      </c>
      <c r="R325" s="25"/>
      <c r="S325" s="14" t="str">
        <f aca="false">IF($K325&lt;&gt;"Kesarcha","",IF(OR($O325&lt;&gt;"",$R325="Ha"),"Ha","YO‘Q"))</f>
        <v/>
      </c>
      <c r="T325" s="12"/>
      <c r="U325" s="12"/>
      <c r="V325" s="14" t="str">
        <f aca="false">IF(OR($C325="",$D325="",$B325=""),"",IF(COUNTIFS($C$5:$C$604,$C325,$D$5:$D$604,$D325,$B$5:$B$604,$B325)&gt;1,"Takror",""))</f>
        <v/>
      </c>
    </row>
    <row r="326" customFormat="false" ht="15" hidden="false" customHeight="false" outlineLevel="0" collapsed="false">
      <c r="A326" s="8" t="n">
        <v>322</v>
      </c>
      <c r="B326" s="13"/>
      <c r="C326" s="12"/>
      <c r="D326" s="13"/>
      <c r="E326" s="24"/>
      <c r="F326" s="12"/>
      <c r="G326" s="14" t="str">
        <f aca="false">IF(OR($D326="",$B326=""),"",INT(($B326-$D326)/365.25))</f>
        <v/>
      </c>
      <c r="H326" s="14" t="str">
        <f aca="false">IF($G326="","",IF($G326&lt;18,"Ha","Yo'q"))</f>
        <v/>
      </c>
      <c r="I326" s="12"/>
      <c r="J326" s="25"/>
      <c r="K326" s="25"/>
      <c r="L326" s="25"/>
      <c r="M326" s="12"/>
      <c r="N326" s="25"/>
      <c r="O326" s="25"/>
      <c r="P326" s="14" t="str">
        <f aca="false">IF($O326="","",IFERROR(VALUE(LEFT($O326,FIND(".",$O326)-1)),""))</f>
        <v/>
      </c>
      <c r="Q326" s="14" t="str">
        <f aca="false">IF($P326="","",IF($P326&lt;=7,"Shoshilinch",IF($P326&lt;=9,"Kechiktirib bo'lmaydigan",IF($P326&lt;=14,"Rejalashtirilgan","Rejali"))))</f>
        <v/>
      </c>
      <c r="R326" s="25"/>
      <c r="S326" s="14" t="str">
        <f aca="false">IF($K326&lt;&gt;"Kesarcha","",IF(OR($O326&lt;&gt;"",$R326="Ha"),"Ha","YO‘Q"))</f>
        <v/>
      </c>
      <c r="T326" s="12"/>
      <c r="U326" s="12"/>
      <c r="V326" s="14" t="str">
        <f aca="false">IF(OR($C326="",$D326="",$B326=""),"",IF(COUNTIFS($C$5:$C$604,$C326,$D$5:$D$604,$D326,$B$5:$B$604,$B326)&gt;1,"Takror",""))</f>
        <v/>
      </c>
    </row>
    <row r="327" customFormat="false" ht="15" hidden="false" customHeight="false" outlineLevel="0" collapsed="false">
      <c r="A327" s="8" t="n">
        <v>323</v>
      </c>
      <c r="B327" s="13"/>
      <c r="C327" s="12"/>
      <c r="D327" s="13"/>
      <c r="E327" s="24"/>
      <c r="F327" s="12"/>
      <c r="G327" s="14" t="str">
        <f aca="false">IF(OR($D327="",$B327=""),"",INT(($B327-$D327)/365.25))</f>
        <v/>
      </c>
      <c r="H327" s="14" t="str">
        <f aca="false">IF($G327="","",IF($G327&lt;18,"Ha","Yo'q"))</f>
        <v/>
      </c>
      <c r="I327" s="12"/>
      <c r="J327" s="25"/>
      <c r="K327" s="25"/>
      <c r="L327" s="25"/>
      <c r="M327" s="12"/>
      <c r="N327" s="25"/>
      <c r="O327" s="25"/>
      <c r="P327" s="14" t="str">
        <f aca="false">IF($O327="","",IFERROR(VALUE(LEFT($O327,FIND(".",$O327)-1)),""))</f>
        <v/>
      </c>
      <c r="Q327" s="14" t="str">
        <f aca="false">IF($P327="","",IF($P327&lt;=7,"Shoshilinch",IF($P327&lt;=9,"Kechiktirib bo'lmaydigan",IF($P327&lt;=14,"Rejalashtirilgan","Rejali"))))</f>
        <v/>
      </c>
      <c r="R327" s="25"/>
      <c r="S327" s="14" t="str">
        <f aca="false">IF($K327&lt;&gt;"Kesarcha","",IF(OR($O327&lt;&gt;"",$R327="Ha"),"Ha","YO‘Q"))</f>
        <v/>
      </c>
      <c r="T327" s="12"/>
      <c r="U327" s="12"/>
      <c r="V327" s="14" t="str">
        <f aca="false">IF(OR($C327="",$D327="",$B327=""),"",IF(COUNTIFS($C$5:$C$604,$C327,$D$5:$D$604,$D327,$B$5:$B$604,$B327)&gt;1,"Takror",""))</f>
        <v/>
      </c>
    </row>
    <row r="328" customFormat="false" ht="15" hidden="false" customHeight="false" outlineLevel="0" collapsed="false">
      <c r="A328" s="8" t="n">
        <v>324</v>
      </c>
      <c r="B328" s="13"/>
      <c r="C328" s="12"/>
      <c r="D328" s="13"/>
      <c r="E328" s="24"/>
      <c r="F328" s="12"/>
      <c r="G328" s="14" t="str">
        <f aca="false">IF(OR($D328="",$B328=""),"",INT(($B328-$D328)/365.25))</f>
        <v/>
      </c>
      <c r="H328" s="14" t="str">
        <f aca="false">IF($G328="","",IF($G328&lt;18,"Ha","Yo'q"))</f>
        <v/>
      </c>
      <c r="I328" s="12"/>
      <c r="J328" s="25"/>
      <c r="K328" s="25"/>
      <c r="L328" s="25"/>
      <c r="M328" s="12"/>
      <c r="N328" s="25"/>
      <c r="O328" s="25"/>
      <c r="P328" s="14" t="str">
        <f aca="false">IF($O328="","",IFERROR(VALUE(LEFT($O328,FIND(".",$O328)-1)),""))</f>
        <v/>
      </c>
      <c r="Q328" s="14" t="str">
        <f aca="false">IF($P328="","",IF($P328&lt;=7,"Shoshilinch",IF($P328&lt;=9,"Kechiktirib bo'lmaydigan",IF($P328&lt;=14,"Rejalashtirilgan","Rejali"))))</f>
        <v/>
      </c>
      <c r="R328" s="25"/>
      <c r="S328" s="14" t="str">
        <f aca="false">IF($K328&lt;&gt;"Kesarcha","",IF(OR($O328&lt;&gt;"",$R328="Ha"),"Ha","YO‘Q"))</f>
        <v/>
      </c>
      <c r="T328" s="12"/>
      <c r="U328" s="12"/>
      <c r="V328" s="14" t="str">
        <f aca="false">IF(OR($C328="",$D328="",$B328=""),"",IF(COUNTIFS($C$5:$C$604,$C328,$D$5:$D$604,$D328,$B$5:$B$604,$B328)&gt;1,"Takror",""))</f>
        <v/>
      </c>
    </row>
    <row r="329" customFormat="false" ht="15" hidden="false" customHeight="false" outlineLevel="0" collapsed="false">
      <c r="A329" s="8" t="n">
        <v>325</v>
      </c>
      <c r="B329" s="13"/>
      <c r="C329" s="12"/>
      <c r="D329" s="13"/>
      <c r="E329" s="24"/>
      <c r="F329" s="12"/>
      <c r="G329" s="14" t="str">
        <f aca="false">IF(OR($D329="",$B329=""),"",INT(($B329-$D329)/365.25))</f>
        <v/>
      </c>
      <c r="H329" s="14" t="str">
        <f aca="false">IF($G329="","",IF($G329&lt;18,"Ha","Yo'q"))</f>
        <v/>
      </c>
      <c r="I329" s="12"/>
      <c r="J329" s="25"/>
      <c r="K329" s="25"/>
      <c r="L329" s="25"/>
      <c r="M329" s="12"/>
      <c r="N329" s="25"/>
      <c r="O329" s="25"/>
      <c r="P329" s="14" t="str">
        <f aca="false">IF($O329="","",IFERROR(VALUE(LEFT($O329,FIND(".",$O329)-1)),""))</f>
        <v/>
      </c>
      <c r="Q329" s="14" t="str">
        <f aca="false">IF($P329="","",IF($P329&lt;=7,"Shoshilinch",IF($P329&lt;=9,"Kechiktirib bo'lmaydigan",IF($P329&lt;=14,"Rejalashtirilgan","Rejali"))))</f>
        <v/>
      </c>
      <c r="R329" s="25"/>
      <c r="S329" s="14" t="str">
        <f aca="false">IF($K329&lt;&gt;"Kesarcha","",IF(OR($O329&lt;&gt;"",$R329="Ha"),"Ha","YO‘Q"))</f>
        <v/>
      </c>
      <c r="T329" s="12"/>
      <c r="U329" s="12"/>
      <c r="V329" s="14" t="str">
        <f aca="false">IF(OR($C329="",$D329="",$B329=""),"",IF(COUNTIFS($C$5:$C$604,$C329,$D$5:$D$604,$D329,$B$5:$B$604,$B329)&gt;1,"Takror",""))</f>
        <v/>
      </c>
    </row>
    <row r="330" customFormat="false" ht="15" hidden="false" customHeight="false" outlineLevel="0" collapsed="false">
      <c r="A330" s="8" t="n">
        <v>326</v>
      </c>
      <c r="B330" s="13"/>
      <c r="C330" s="12"/>
      <c r="D330" s="13"/>
      <c r="E330" s="24"/>
      <c r="F330" s="12"/>
      <c r="G330" s="14" t="str">
        <f aca="false">IF(OR($D330="",$B330=""),"",INT(($B330-$D330)/365.25))</f>
        <v/>
      </c>
      <c r="H330" s="14" t="str">
        <f aca="false">IF($G330="","",IF($G330&lt;18,"Ha","Yo'q"))</f>
        <v/>
      </c>
      <c r="I330" s="12"/>
      <c r="J330" s="25"/>
      <c r="K330" s="25"/>
      <c r="L330" s="25"/>
      <c r="M330" s="12"/>
      <c r="N330" s="25"/>
      <c r="O330" s="25"/>
      <c r="P330" s="14" t="str">
        <f aca="false">IF($O330="","",IFERROR(VALUE(LEFT($O330,FIND(".",$O330)-1)),""))</f>
        <v/>
      </c>
      <c r="Q330" s="14" t="str">
        <f aca="false">IF($P330="","",IF($P330&lt;=7,"Shoshilinch",IF($P330&lt;=9,"Kechiktirib bo'lmaydigan",IF($P330&lt;=14,"Rejalashtirilgan","Rejali"))))</f>
        <v/>
      </c>
      <c r="R330" s="25"/>
      <c r="S330" s="14" t="str">
        <f aca="false">IF($K330&lt;&gt;"Kesarcha","",IF(OR($O330&lt;&gt;"",$R330="Ha"),"Ha","YO‘Q"))</f>
        <v/>
      </c>
      <c r="T330" s="12"/>
      <c r="U330" s="12"/>
      <c r="V330" s="14" t="str">
        <f aca="false">IF(OR($C330="",$D330="",$B330=""),"",IF(COUNTIFS($C$5:$C$604,$C330,$D$5:$D$604,$D330,$B$5:$B$604,$B330)&gt;1,"Takror",""))</f>
        <v/>
      </c>
    </row>
    <row r="331" customFormat="false" ht="15" hidden="false" customHeight="false" outlineLevel="0" collapsed="false">
      <c r="A331" s="8" t="n">
        <v>327</v>
      </c>
      <c r="B331" s="13"/>
      <c r="C331" s="12"/>
      <c r="D331" s="13"/>
      <c r="E331" s="24"/>
      <c r="F331" s="12"/>
      <c r="G331" s="14" t="str">
        <f aca="false">IF(OR($D331="",$B331=""),"",INT(($B331-$D331)/365.25))</f>
        <v/>
      </c>
      <c r="H331" s="14" t="str">
        <f aca="false">IF($G331="","",IF($G331&lt;18,"Ha","Yo'q"))</f>
        <v/>
      </c>
      <c r="I331" s="12"/>
      <c r="J331" s="25"/>
      <c r="K331" s="25"/>
      <c r="L331" s="25"/>
      <c r="M331" s="12"/>
      <c r="N331" s="25"/>
      <c r="O331" s="25"/>
      <c r="P331" s="14" t="str">
        <f aca="false">IF($O331="","",IFERROR(VALUE(LEFT($O331,FIND(".",$O331)-1)),""))</f>
        <v/>
      </c>
      <c r="Q331" s="14" t="str">
        <f aca="false">IF($P331="","",IF($P331&lt;=7,"Shoshilinch",IF($P331&lt;=9,"Kechiktirib bo'lmaydigan",IF($P331&lt;=14,"Rejalashtirilgan","Rejali"))))</f>
        <v/>
      </c>
      <c r="R331" s="25"/>
      <c r="S331" s="14" t="str">
        <f aca="false">IF($K331&lt;&gt;"Kesarcha","",IF(OR($O331&lt;&gt;"",$R331="Ha"),"Ha","YO‘Q"))</f>
        <v/>
      </c>
      <c r="T331" s="12"/>
      <c r="U331" s="12"/>
      <c r="V331" s="14" t="str">
        <f aca="false">IF(OR($C331="",$D331="",$B331=""),"",IF(COUNTIFS($C$5:$C$604,$C331,$D$5:$D$604,$D331,$B$5:$B$604,$B331)&gt;1,"Takror",""))</f>
        <v/>
      </c>
    </row>
    <row r="332" customFormat="false" ht="15" hidden="false" customHeight="false" outlineLevel="0" collapsed="false">
      <c r="A332" s="8" t="n">
        <v>328</v>
      </c>
      <c r="B332" s="13"/>
      <c r="C332" s="12"/>
      <c r="D332" s="13"/>
      <c r="E332" s="24"/>
      <c r="F332" s="12"/>
      <c r="G332" s="14" t="str">
        <f aca="false">IF(OR($D332="",$B332=""),"",INT(($B332-$D332)/365.25))</f>
        <v/>
      </c>
      <c r="H332" s="14" t="str">
        <f aca="false">IF($G332="","",IF($G332&lt;18,"Ha","Yo'q"))</f>
        <v/>
      </c>
      <c r="I332" s="12"/>
      <c r="J332" s="25"/>
      <c r="K332" s="25"/>
      <c r="L332" s="25"/>
      <c r="M332" s="12"/>
      <c r="N332" s="25"/>
      <c r="O332" s="25"/>
      <c r="P332" s="14" t="str">
        <f aca="false">IF($O332="","",IFERROR(VALUE(LEFT($O332,FIND(".",$O332)-1)),""))</f>
        <v/>
      </c>
      <c r="Q332" s="14" t="str">
        <f aca="false">IF($P332="","",IF($P332&lt;=7,"Shoshilinch",IF($P332&lt;=9,"Kechiktirib bo'lmaydigan",IF($P332&lt;=14,"Rejalashtirilgan","Rejali"))))</f>
        <v/>
      </c>
      <c r="R332" s="25"/>
      <c r="S332" s="14" t="str">
        <f aca="false">IF($K332&lt;&gt;"Kesarcha","",IF(OR($O332&lt;&gt;"",$R332="Ha"),"Ha","YO‘Q"))</f>
        <v/>
      </c>
      <c r="T332" s="12"/>
      <c r="U332" s="12"/>
      <c r="V332" s="14" t="str">
        <f aca="false">IF(OR($C332="",$D332="",$B332=""),"",IF(COUNTIFS($C$5:$C$604,$C332,$D$5:$D$604,$D332,$B$5:$B$604,$B332)&gt;1,"Takror",""))</f>
        <v/>
      </c>
    </row>
    <row r="333" customFormat="false" ht="15" hidden="false" customHeight="false" outlineLevel="0" collapsed="false">
      <c r="A333" s="8" t="n">
        <v>329</v>
      </c>
      <c r="B333" s="13"/>
      <c r="C333" s="12"/>
      <c r="D333" s="13"/>
      <c r="E333" s="24"/>
      <c r="F333" s="12"/>
      <c r="G333" s="14" t="str">
        <f aca="false">IF(OR($D333="",$B333=""),"",INT(($B333-$D333)/365.25))</f>
        <v/>
      </c>
      <c r="H333" s="14" t="str">
        <f aca="false">IF($G333="","",IF($G333&lt;18,"Ha","Yo'q"))</f>
        <v/>
      </c>
      <c r="I333" s="12"/>
      <c r="J333" s="25"/>
      <c r="K333" s="25"/>
      <c r="L333" s="25"/>
      <c r="M333" s="12"/>
      <c r="N333" s="25"/>
      <c r="O333" s="25"/>
      <c r="P333" s="14" t="str">
        <f aca="false">IF($O333="","",IFERROR(VALUE(LEFT($O333,FIND(".",$O333)-1)),""))</f>
        <v/>
      </c>
      <c r="Q333" s="14" t="str">
        <f aca="false">IF($P333="","",IF($P333&lt;=7,"Shoshilinch",IF($P333&lt;=9,"Kechiktirib bo'lmaydigan",IF($P333&lt;=14,"Rejalashtirilgan","Rejali"))))</f>
        <v/>
      </c>
      <c r="R333" s="25"/>
      <c r="S333" s="14" t="str">
        <f aca="false">IF($K333&lt;&gt;"Kesarcha","",IF(OR($O333&lt;&gt;"",$R333="Ha"),"Ha","YO‘Q"))</f>
        <v/>
      </c>
      <c r="T333" s="12"/>
      <c r="U333" s="12"/>
      <c r="V333" s="14" t="str">
        <f aca="false">IF(OR($C333="",$D333="",$B333=""),"",IF(COUNTIFS($C$5:$C$604,$C333,$D$5:$D$604,$D333,$B$5:$B$604,$B333)&gt;1,"Takror",""))</f>
        <v/>
      </c>
    </row>
    <row r="334" customFormat="false" ht="15" hidden="false" customHeight="false" outlineLevel="0" collapsed="false">
      <c r="A334" s="8" t="n">
        <v>330</v>
      </c>
      <c r="B334" s="13"/>
      <c r="C334" s="12"/>
      <c r="D334" s="13"/>
      <c r="E334" s="24"/>
      <c r="F334" s="12"/>
      <c r="G334" s="14" t="str">
        <f aca="false">IF(OR($D334="",$B334=""),"",INT(($B334-$D334)/365.25))</f>
        <v/>
      </c>
      <c r="H334" s="14" t="str">
        <f aca="false">IF($G334="","",IF($G334&lt;18,"Ha","Yo'q"))</f>
        <v/>
      </c>
      <c r="I334" s="12"/>
      <c r="J334" s="25"/>
      <c r="K334" s="25"/>
      <c r="L334" s="25"/>
      <c r="M334" s="12"/>
      <c r="N334" s="25"/>
      <c r="O334" s="25"/>
      <c r="P334" s="14" t="str">
        <f aca="false">IF($O334="","",IFERROR(VALUE(LEFT($O334,FIND(".",$O334)-1)),""))</f>
        <v/>
      </c>
      <c r="Q334" s="14" t="str">
        <f aca="false">IF($P334="","",IF($P334&lt;=7,"Shoshilinch",IF($P334&lt;=9,"Kechiktirib bo'lmaydigan",IF($P334&lt;=14,"Rejalashtirilgan","Rejali"))))</f>
        <v/>
      </c>
      <c r="R334" s="25"/>
      <c r="S334" s="14" t="str">
        <f aca="false">IF($K334&lt;&gt;"Kesarcha","",IF(OR($O334&lt;&gt;"",$R334="Ha"),"Ha","YO‘Q"))</f>
        <v/>
      </c>
      <c r="T334" s="12"/>
      <c r="U334" s="12"/>
      <c r="V334" s="14" t="str">
        <f aca="false">IF(OR($C334="",$D334="",$B334=""),"",IF(COUNTIFS($C$5:$C$604,$C334,$D$5:$D$604,$D334,$B$5:$B$604,$B334)&gt;1,"Takror",""))</f>
        <v/>
      </c>
    </row>
    <row r="335" customFormat="false" ht="15" hidden="false" customHeight="false" outlineLevel="0" collapsed="false">
      <c r="A335" s="8" t="n">
        <v>331</v>
      </c>
      <c r="B335" s="13"/>
      <c r="C335" s="12"/>
      <c r="D335" s="13"/>
      <c r="E335" s="24"/>
      <c r="F335" s="12"/>
      <c r="G335" s="14" t="str">
        <f aca="false">IF(OR($D335="",$B335=""),"",INT(($B335-$D335)/365.25))</f>
        <v/>
      </c>
      <c r="H335" s="14" t="str">
        <f aca="false">IF($G335="","",IF($G335&lt;18,"Ha","Yo'q"))</f>
        <v/>
      </c>
      <c r="I335" s="12"/>
      <c r="J335" s="25"/>
      <c r="K335" s="25"/>
      <c r="L335" s="25"/>
      <c r="M335" s="12"/>
      <c r="N335" s="25"/>
      <c r="O335" s="25"/>
      <c r="P335" s="14" t="str">
        <f aca="false">IF($O335="","",IFERROR(VALUE(LEFT($O335,FIND(".",$O335)-1)),""))</f>
        <v/>
      </c>
      <c r="Q335" s="14" t="str">
        <f aca="false">IF($P335="","",IF($P335&lt;=7,"Shoshilinch",IF($P335&lt;=9,"Kechiktirib bo'lmaydigan",IF($P335&lt;=14,"Rejalashtirilgan","Rejali"))))</f>
        <v/>
      </c>
      <c r="R335" s="25"/>
      <c r="S335" s="14" t="str">
        <f aca="false">IF($K335&lt;&gt;"Kesarcha","",IF(OR($O335&lt;&gt;"",$R335="Ha"),"Ha","YO‘Q"))</f>
        <v/>
      </c>
      <c r="T335" s="12"/>
      <c r="U335" s="12"/>
      <c r="V335" s="14" t="str">
        <f aca="false">IF(OR($C335="",$D335="",$B335=""),"",IF(COUNTIFS($C$5:$C$604,$C335,$D$5:$D$604,$D335,$B$5:$B$604,$B335)&gt;1,"Takror",""))</f>
        <v/>
      </c>
    </row>
    <row r="336" customFormat="false" ht="15" hidden="false" customHeight="false" outlineLevel="0" collapsed="false">
      <c r="A336" s="8" t="n">
        <v>332</v>
      </c>
      <c r="B336" s="13"/>
      <c r="C336" s="12"/>
      <c r="D336" s="13"/>
      <c r="E336" s="24"/>
      <c r="F336" s="12"/>
      <c r="G336" s="14" t="str">
        <f aca="false">IF(OR($D336="",$B336=""),"",INT(($B336-$D336)/365.25))</f>
        <v/>
      </c>
      <c r="H336" s="14" t="str">
        <f aca="false">IF($G336="","",IF($G336&lt;18,"Ha","Yo'q"))</f>
        <v/>
      </c>
      <c r="I336" s="12"/>
      <c r="J336" s="25"/>
      <c r="K336" s="25"/>
      <c r="L336" s="25"/>
      <c r="M336" s="12"/>
      <c r="N336" s="25"/>
      <c r="O336" s="25"/>
      <c r="P336" s="14" t="str">
        <f aca="false">IF($O336="","",IFERROR(VALUE(LEFT($O336,FIND(".",$O336)-1)),""))</f>
        <v/>
      </c>
      <c r="Q336" s="14" t="str">
        <f aca="false">IF($P336="","",IF($P336&lt;=7,"Shoshilinch",IF($P336&lt;=9,"Kechiktirib bo'lmaydigan",IF($P336&lt;=14,"Rejalashtirilgan","Rejali"))))</f>
        <v/>
      </c>
      <c r="R336" s="25"/>
      <c r="S336" s="14" t="str">
        <f aca="false">IF($K336&lt;&gt;"Kesarcha","",IF(OR($O336&lt;&gt;"",$R336="Ha"),"Ha","YO‘Q"))</f>
        <v/>
      </c>
      <c r="T336" s="12"/>
      <c r="U336" s="12"/>
      <c r="V336" s="14" t="str">
        <f aca="false">IF(OR($C336="",$D336="",$B336=""),"",IF(COUNTIFS($C$5:$C$604,$C336,$D$5:$D$604,$D336,$B$5:$B$604,$B336)&gt;1,"Takror",""))</f>
        <v/>
      </c>
    </row>
    <row r="337" customFormat="false" ht="15" hidden="false" customHeight="false" outlineLevel="0" collapsed="false">
      <c r="A337" s="8" t="n">
        <v>333</v>
      </c>
      <c r="B337" s="13"/>
      <c r="C337" s="12"/>
      <c r="D337" s="13"/>
      <c r="E337" s="24"/>
      <c r="F337" s="12"/>
      <c r="G337" s="14" t="str">
        <f aca="false">IF(OR($D337="",$B337=""),"",INT(($B337-$D337)/365.25))</f>
        <v/>
      </c>
      <c r="H337" s="14" t="str">
        <f aca="false">IF($G337="","",IF($G337&lt;18,"Ha","Yo'q"))</f>
        <v/>
      </c>
      <c r="I337" s="12"/>
      <c r="J337" s="25"/>
      <c r="K337" s="25"/>
      <c r="L337" s="25"/>
      <c r="M337" s="12"/>
      <c r="N337" s="25"/>
      <c r="O337" s="25"/>
      <c r="P337" s="14" t="str">
        <f aca="false">IF($O337="","",IFERROR(VALUE(LEFT($O337,FIND(".",$O337)-1)),""))</f>
        <v/>
      </c>
      <c r="Q337" s="14" t="str">
        <f aca="false">IF($P337="","",IF($P337&lt;=7,"Shoshilinch",IF($P337&lt;=9,"Kechiktirib bo'lmaydigan",IF($P337&lt;=14,"Rejalashtirilgan","Rejali"))))</f>
        <v/>
      </c>
      <c r="R337" s="25"/>
      <c r="S337" s="14" t="str">
        <f aca="false">IF($K337&lt;&gt;"Kesarcha","",IF(OR($O337&lt;&gt;"",$R337="Ha"),"Ha","YO‘Q"))</f>
        <v/>
      </c>
      <c r="T337" s="12"/>
      <c r="U337" s="12"/>
      <c r="V337" s="14" t="str">
        <f aca="false">IF(OR($C337="",$D337="",$B337=""),"",IF(COUNTIFS($C$5:$C$604,$C337,$D$5:$D$604,$D337,$B$5:$B$604,$B337)&gt;1,"Takror",""))</f>
        <v/>
      </c>
    </row>
    <row r="338" customFormat="false" ht="15" hidden="false" customHeight="false" outlineLevel="0" collapsed="false">
      <c r="A338" s="8" t="n">
        <v>334</v>
      </c>
      <c r="B338" s="13"/>
      <c r="C338" s="12"/>
      <c r="D338" s="13"/>
      <c r="E338" s="24"/>
      <c r="F338" s="12"/>
      <c r="G338" s="14" t="str">
        <f aca="false">IF(OR($D338="",$B338=""),"",INT(($B338-$D338)/365.25))</f>
        <v/>
      </c>
      <c r="H338" s="14" t="str">
        <f aca="false">IF($G338="","",IF($G338&lt;18,"Ha","Yo'q"))</f>
        <v/>
      </c>
      <c r="I338" s="12"/>
      <c r="J338" s="25"/>
      <c r="K338" s="25"/>
      <c r="L338" s="25"/>
      <c r="M338" s="12"/>
      <c r="N338" s="25"/>
      <c r="O338" s="25"/>
      <c r="P338" s="14" t="str">
        <f aca="false">IF($O338="","",IFERROR(VALUE(LEFT($O338,FIND(".",$O338)-1)),""))</f>
        <v/>
      </c>
      <c r="Q338" s="14" t="str">
        <f aca="false">IF($P338="","",IF($P338&lt;=7,"Shoshilinch",IF($P338&lt;=9,"Kechiktirib bo'lmaydigan",IF($P338&lt;=14,"Rejalashtirilgan","Rejali"))))</f>
        <v/>
      </c>
      <c r="R338" s="25"/>
      <c r="S338" s="14" t="str">
        <f aca="false">IF($K338&lt;&gt;"Kesarcha","",IF(OR($O338&lt;&gt;"",$R338="Ha"),"Ha","YO‘Q"))</f>
        <v/>
      </c>
      <c r="T338" s="12"/>
      <c r="U338" s="12"/>
      <c r="V338" s="14" t="str">
        <f aca="false">IF(OR($C338="",$D338="",$B338=""),"",IF(COUNTIFS($C$5:$C$604,$C338,$D$5:$D$604,$D338,$B$5:$B$604,$B338)&gt;1,"Takror",""))</f>
        <v/>
      </c>
    </row>
    <row r="339" customFormat="false" ht="15" hidden="false" customHeight="false" outlineLevel="0" collapsed="false">
      <c r="A339" s="8" t="n">
        <v>335</v>
      </c>
      <c r="B339" s="13"/>
      <c r="C339" s="12"/>
      <c r="D339" s="13"/>
      <c r="E339" s="24"/>
      <c r="F339" s="12"/>
      <c r="G339" s="14" t="str">
        <f aca="false">IF(OR($D339="",$B339=""),"",INT(($B339-$D339)/365.25))</f>
        <v/>
      </c>
      <c r="H339" s="14" t="str">
        <f aca="false">IF($G339="","",IF($G339&lt;18,"Ha","Yo'q"))</f>
        <v/>
      </c>
      <c r="I339" s="12"/>
      <c r="J339" s="25"/>
      <c r="K339" s="25"/>
      <c r="L339" s="25"/>
      <c r="M339" s="12"/>
      <c r="N339" s="25"/>
      <c r="O339" s="25"/>
      <c r="P339" s="14" t="str">
        <f aca="false">IF($O339="","",IFERROR(VALUE(LEFT($O339,FIND(".",$O339)-1)),""))</f>
        <v/>
      </c>
      <c r="Q339" s="14" t="str">
        <f aca="false">IF($P339="","",IF($P339&lt;=7,"Shoshilinch",IF($P339&lt;=9,"Kechiktirib bo'lmaydigan",IF($P339&lt;=14,"Rejalashtirilgan","Rejali"))))</f>
        <v/>
      </c>
      <c r="R339" s="25"/>
      <c r="S339" s="14" t="str">
        <f aca="false">IF($K339&lt;&gt;"Kesarcha","",IF(OR($O339&lt;&gt;"",$R339="Ha"),"Ha","YO‘Q"))</f>
        <v/>
      </c>
      <c r="T339" s="12"/>
      <c r="U339" s="12"/>
      <c r="V339" s="14" t="str">
        <f aca="false">IF(OR($C339="",$D339="",$B339=""),"",IF(COUNTIFS($C$5:$C$604,$C339,$D$5:$D$604,$D339,$B$5:$B$604,$B339)&gt;1,"Takror",""))</f>
        <v/>
      </c>
    </row>
    <row r="340" customFormat="false" ht="15" hidden="false" customHeight="false" outlineLevel="0" collapsed="false">
      <c r="A340" s="8" t="n">
        <v>336</v>
      </c>
      <c r="B340" s="13"/>
      <c r="C340" s="12"/>
      <c r="D340" s="13"/>
      <c r="E340" s="24"/>
      <c r="F340" s="12"/>
      <c r="G340" s="14" t="str">
        <f aca="false">IF(OR($D340="",$B340=""),"",INT(($B340-$D340)/365.25))</f>
        <v/>
      </c>
      <c r="H340" s="14" t="str">
        <f aca="false">IF($G340="","",IF($G340&lt;18,"Ha","Yo'q"))</f>
        <v/>
      </c>
      <c r="I340" s="12"/>
      <c r="J340" s="25"/>
      <c r="K340" s="25"/>
      <c r="L340" s="25"/>
      <c r="M340" s="12"/>
      <c r="N340" s="25"/>
      <c r="O340" s="25"/>
      <c r="P340" s="14" t="str">
        <f aca="false">IF($O340="","",IFERROR(VALUE(LEFT($O340,FIND(".",$O340)-1)),""))</f>
        <v/>
      </c>
      <c r="Q340" s="14" t="str">
        <f aca="false">IF($P340="","",IF($P340&lt;=7,"Shoshilinch",IF($P340&lt;=9,"Kechiktirib bo'lmaydigan",IF($P340&lt;=14,"Rejalashtirilgan","Rejali"))))</f>
        <v/>
      </c>
      <c r="R340" s="25"/>
      <c r="S340" s="14" t="str">
        <f aca="false">IF($K340&lt;&gt;"Kesarcha","",IF(OR($O340&lt;&gt;"",$R340="Ha"),"Ha","YO‘Q"))</f>
        <v/>
      </c>
      <c r="T340" s="12"/>
      <c r="U340" s="12"/>
      <c r="V340" s="14" t="str">
        <f aca="false">IF(OR($C340="",$D340="",$B340=""),"",IF(COUNTIFS($C$5:$C$604,$C340,$D$5:$D$604,$D340,$B$5:$B$604,$B340)&gt;1,"Takror",""))</f>
        <v/>
      </c>
    </row>
    <row r="341" customFormat="false" ht="15" hidden="false" customHeight="false" outlineLevel="0" collapsed="false">
      <c r="A341" s="8" t="n">
        <v>337</v>
      </c>
      <c r="B341" s="13"/>
      <c r="C341" s="12"/>
      <c r="D341" s="13"/>
      <c r="E341" s="24"/>
      <c r="F341" s="12"/>
      <c r="G341" s="14" t="str">
        <f aca="false">IF(OR($D341="",$B341=""),"",INT(($B341-$D341)/365.25))</f>
        <v/>
      </c>
      <c r="H341" s="14" t="str">
        <f aca="false">IF($G341="","",IF($G341&lt;18,"Ha","Yo'q"))</f>
        <v/>
      </c>
      <c r="I341" s="12"/>
      <c r="J341" s="25"/>
      <c r="K341" s="25"/>
      <c r="L341" s="25"/>
      <c r="M341" s="12"/>
      <c r="N341" s="25"/>
      <c r="O341" s="25"/>
      <c r="P341" s="14" t="str">
        <f aca="false">IF($O341="","",IFERROR(VALUE(LEFT($O341,FIND(".",$O341)-1)),""))</f>
        <v/>
      </c>
      <c r="Q341" s="14" t="str">
        <f aca="false">IF($P341="","",IF($P341&lt;=7,"Shoshilinch",IF($P341&lt;=9,"Kechiktirib bo'lmaydigan",IF($P341&lt;=14,"Rejalashtirilgan","Rejali"))))</f>
        <v/>
      </c>
      <c r="R341" s="25"/>
      <c r="S341" s="14" t="str">
        <f aca="false">IF($K341&lt;&gt;"Kesarcha","",IF(OR($O341&lt;&gt;"",$R341="Ha"),"Ha","YO‘Q"))</f>
        <v/>
      </c>
      <c r="T341" s="12"/>
      <c r="U341" s="12"/>
      <c r="V341" s="14" t="str">
        <f aca="false">IF(OR($C341="",$D341="",$B341=""),"",IF(COUNTIFS($C$5:$C$604,$C341,$D$5:$D$604,$D341,$B$5:$B$604,$B341)&gt;1,"Takror",""))</f>
        <v/>
      </c>
    </row>
    <row r="342" customFormat="false" ht="15" hidden="false" customHeight="false" outlineLevel="0" collapsed="false">
      <c r="A342" s="8" t="n">
        <v>338</v>
      </c>
      <c r="B342" s="13"/>
      <c r="C342" s="12"/>
      <c r="D342" s="13"/>
      <c r="E342" s="24"/>
      <c r="F342" s="12"/>
      <c r="G342" s="14" t="str">
        <f aca="false">IF(OR($D342="",$B342=""),"",INT(($B342-$D342)/365.25))</f>
        <v/>
      </c>
      <c r="H342" s="14" t="str">
        <f aca="false">IF($G342="","",IF($G342&lt;18,"Ha","Yo'q"))</f>
        <v/>
      </c>
      <c r="I342" s="12"/>
      <c r="J342" s="25"/>
      <c r="K342" s="25"/>
      <c r="L342" s="25"/>
      <c r="M342" s="12"/>
      <c r="N342" s="25"/>
      <c r="O342" s="25"/>
      <c r="P342" s="14" t="str">
        <f aca="false">IF($O342="","",IFERROR(VALUE(LEFT($O342,FIND(".",$O342)-1)),""))</f>
        <v/>
      </c>
      <c r="Q342" s="14" t="str">
        <f aca="false">IF($P342="","",IF($P342&lt;=7,"Shoshilinch",IF($P342&lt;=9,"Kechiktirib bo'lmaydigan",IF($P342&lt;=14,"Rejalashtirilgan","Rejali"))))</f>
        <v/>
      </c>
      <c r="R342" s="25"/>
      <c r="S342" s="14" t="str">
        <f aca="false">IF($K342&lt;&gt;"Kesarcha","",IF(OR($O342&lt;&gt;"",$R342="Ha"),"Ha","YO‘Q"))</f>
        <v/>
      </c>
      <c r="T342" s="12"/>
      <c r="U342" s="12"/>
      <c r="V342" s="14" t="str">
        <f aca="false">IF(OR($C342="",$D342="",$B342=""),"",IF(COUNTIFS($C$5:$C$604,$C342,$D$5:$D$604,$D342,$B$5:$B$604,$B342)&gt;1,"Takror",""))</f>
        <v/>
      </c>
    </row>
    <row r="343" customFormat="false" ht="15" hidden="false" customHeight="false" outlineLevel="0" collapsed="false">
      <c r="A343" s="8" t="n">
        <v>339</v>
      </c>
      <c r="B343" s="13"/>
      <c r="C343" s="12"/>
      <c r="D343" s="13"/>
      <c r="E343" s="24"/>
      <c r="F343" s="12"/>
      <c r="G343" s="14" t="str">
        <f aca="false">IF(OR($D343="",$B343=""),"",INT(($B343-$D343)/365.25))</f>
        <v/>
      </c>
      <c r="H343" s="14" t="str">
        <f aca="false">IF($G343="","",IF($G343&lt;18,"Ha","Yo'q"))</f>
        <v/>
      </c>
      <c r="I343" s="12"/>
      <c r="J343" s="25"/>
      <c r="K343" s="25"/>
      <c r="L343" s="25"/>
      <c r="M343" s="12"/>
      <c r="N343" s="25"/>
      <c r="O343" s="25"/>
      <c r="P343" s="14" t="str">
        <f aca="false">IF($O343="","",IFERROR(VALUE(LEFT($O343,FIND(".",$O343)-1)),""))</f>
        <v/>
      </c>
      <c r="Q343" s="14" t="str">
        <f aca="false">IF($P343="","",IF($P343&lt;=7,"Shoshilinch",IF($P343&lt;=9,"Kechiktirib bo'lmaydigan",IF($P343&lt;=14,"Rejalashtirilgan","Rejali"))))</f>
        <v/>
      </c>
      <c r="R343" s="25"/>
      <c r="S343" s="14" t="str">
        <f aca="false">IF($K343&lt;&gt;"Kesarcha","",IF(OR($O343&lt;&gt;"",$R343="Ha"),"Ha","YO‘Q"))</f>
        <v/>
      </c>
      <c r="T343" s="12"/>
      <c r="U343" s="12"/>
      <c r="V343" s="14" t="str">
        <f aca="false">IF(OR($C343="",$D343="",$B343=""),"",IF(COUNTIFS($C$5:$C$604,$C343,$D$5:$D$604,$D343,$B$5:$B$604,$B343)&gt;1,"Takror",""))</f>
        <v/>
      </c>
    </row>
    <row r="344" customFormat="false" ht="15" hidden="false" customHeight="false" outlineLevel="0" collapsed="false">
      <c r="A344" s="8" t="n">
        <v>340</v>
      </c>
      <c r="B344" s="13"/>
      <c r="C344" s="12"/>
      <c r="D344" s="13"/>
      <c r="E344" s="24"/>
      <c r="F344" s="12"/>
      <c r="G344" s="14" t="str">
        <f aca="false">IF(OR($D344="",$B344=""),"",INT(($B344-$D344)/365.25))</f>
        <v/>
      </c>
      <c r="H344" s="14" t="str">
        <f aca="false">IF($G344="","",IF($G344&lt;18,"Ha","Yo'q"))</f>
        <v/>
      </c>
      <c r="I344" s="12"/>
      <c r="J344" s="25"/>
      <c r="K344" s="25"/>
      <c r="L344" s="25"/>
      <c r="M344" s="12"/>
      <c r="N344" s="25"/>
      <c r="O344" s="25"/>
      <c r="P344" s="14" t="str">
        <f aca="false">IF($O344="","",IFERROR(VALUE(LEFT($O344,FIND(".",$O344)-1)),""))</f>
        <v/>
      </c>
      <c r="Q344" s="14" t="str">
        <f aca="false">IF($P344="","",IF($P344&lt;=7,"Shoshilinch",IF($P344&lt;=9,"Kechiktirib bo'lmaydigan",IF($P344&lt;=14,"Rejalashtirilgan","Rejali"))))</f>
        <v/>
      </c>
      <c r="R344" s="25"/>
      <c r="S344" s="14" t="str">
        <f aca="false">IF($K344&lt;&gt;"Kesarcha","",IF(OR($O344&lt;&gt;"",$R344="Ha"),"Ha","YO‘Q"))</f>
        <v/>
      </c>
      <c r="T344" s="12"/>
      <c r="U344" s="12"/>
      <c r="V344" s="14" t="str">
        <f aca="false">IF(OR($C344="",$D344="",$B344=""),"",IF(COUNTIFS($C$5:$C$604,$C344,$D$5:$D$604,$D344,$B$5:$B$604,$B344)&gt;1,"Takror",""))</f>
        <v/>
      </c>
    </row>
    <row r="345" customFormat="false" ht="15" hidden="false" customHeight="false" outlineLevel="0" collapsed="false">
      <c r="A345" s="8" t="n">
        <v>341</v>
      </c>
      <c r="B345" s="13"/>
      <c r="C345" s="12"/>
      <c r="D345" s="13"/>
      <c r="E345" s="24"/>
      <c r="F345" s="12"/>
      <c r="G345" s="14" t="str">
        <f aca="false">IF(OR($D345="",$B345=""),"",INT(($B345-$D345)/365.25))</f>
        <v/>
      </c>
      <c r="H345" s="14" t="str">
        <f aca="false">IF($G345="","",IF($G345&lt;18,"Ha","Yo'q"))</f>
        <v/>
      </c>
      <c r="I345" s="12"/>
      <c r="J345" s="25"/>
      <c r="K345" s="25"/>
      <c r="L345" s="25"/>
      <c r="M345" s="12"/>
      <c r="N345" s="25"/>
      <c r="O345" s="25"/>
      <c r="P345" s="14" t="str">
        <f aca="false">IF($O345="","",IFERROR(VALUE(LEFT($O345,FIND(".",$O345)-1)),""))</f>
        <v/>
      </c>
      <c r="Q345" s="14" t="str">
        <f aca="false">IF($P345="","",IF($P345&lt;=7,"Shoshilinch",IF($P345&lt;=9,"Kechiktirib bo'lmaydigan",IF($P345&lt;=14,"Rejalashtirilgan","Rejali"))))</f>
        <v/>
      </c>
      <c r="R345" s="25"/>
      <c r="S345" s="14" t="str">
        <f aca="false">IF($K345&lt;&gt;"Kesarcha","",IF(OR($O345&lt;&gt;"",$R345="Ha"),"Ha","YO‘Q"))</f>
        <v/>
      </c>
      <c r="T345" s="12"/>
      <c r="U345" s="12"/>
      <c r="V345" s="14" t="str">
        <f aca="false">IF(OR($C345="",$D345="",$B345=""),"",IF(COUNTIFS($C$5:$C$604,$C345,$D$5:$D$604,$D345,$B$5:$B$604,$B345)&gt;1,"Takror",""))</f>
        <v/>
      </c>
    </row>
    <row r="346" customFormat="false" ht="15" hidden="false" customHeight="false" outlineLevel="0" collapsed="false">
      <c r="A346" s="8" t="n">
        <v>342</v>
      </c>
      <c r="B346" s="13"/>
      <c r="C346" s="12"/>
      <c r="D346" s="13"/>
      <c r="E346" s="24"/>
      <c r="F346" s="12"/>
      <c r="G346" s="14" t="str">
        <f aca="false">IF(OR($D346="",$B346=""),"",INT(($B346-$D346)/365.25))</f>
        <v/>
      </c>
      <c r="H346" s="14" t="str">
        <f aca="false">IF($G346="","",IF($G346&lt;18,"Ha","Yo'q"))</f>
        <v/>
      </c>
      <c r="I346" s="12"/>
      <c r="J346" s="25"/>
      <c r="K346" s="25"/>
      <c r="L346" s="25"/>
      <c r="M346" s="12"/>
      <c r="N346" s="25"/>
      <c r="O346" s="25"/>
      <c r="P346" s="14" t="str">
        <f aca="false">IF($O346="","",IFERROR(VALUE(LEFT($O346,FIND(".",$O346)-1)),""))</f>
        <v/>
      </c>
      <c r="Q346" s="14" t="str">
        <f aca="false">IF($P346="","",IF($P346&lt;=7,"Shoshilinch",IF($P346&lt;=9,"Kechiktirib bo'lmaydigan",IF($P346&lt;=14,"Rejalashtirilgan","Rejali"))))</f>
        <v/>
      </c>
      <c r="R346" s="25"/>
      <c r="S346" s="14" t="str">
        <f aca="false">IF($K346&lt;&gt;"Kesarcha","",IF(OR($O346&lt;&gt;"",$R346="Ha"),"Ha","YO‘Q"))</f>
        <v/>
      </c>
      <c r="T346" s="12"/>
      <c r="U346" s="12"/>
      <c r="V346" s="14" t="str">
        <f aca="false">IF(OR($C346="",$D346="",$B346=""),"",IF(COUNTIFS($C$5:$C$604,$C346,$D$5:$D$604,$D346,$B$5:$B$604,$B346)&gt;1,"Takror",""))</f>
        <v/>
      </c>
    </row>
    <row r="347" customFormat="false" ht="15" hidden="false" customHeight="false" outlineLevel="0" collapsed="false">
      <c r="A347" s="8" t="n">
        <v>343</v>
      </c>
      <c r="B347" s="13"/>
      <c r="C347" s="12"/>
      <c r="D347" s="13"/>
      <c r="E347" s="24"/>
      <c r="F347" s="12"/>
      <c r="G347" s="14" t="str">
        <f aca="false">IF(OR($D347="",$B347=""),"",INT(($B347-$D347)/365.25))</f>
        <v/>
      </c>
      <c r="H347" s="14" t="str">
        <f aca="false">IF($G347="","",IF($G347&lt;18,"Ha","Yo'q"))</f>
        <v/>
      </c>
      <c r="I347" s="12"/>
      <c r="J347" s="25"/>
      <c r="K347" s="25"/>
      <c r="L347" s="25"/>
      <c r="M347" s="12"/>
      <c r="N347" s="25"/>
      <c r="O347" s="25"/>
      <c r="P347" s="14" t="str">
        <f aca="false">IF($O347="","",IFERROR(VALUE(LEFT($O347,FIND(".",$O347)-1)),""))</f>
        <v/>
      </c>
      <c r="Q347" s="14" t="str">
        <f aca="false">IF($P347="","",IF($P347&lt;=7,"Shoshilinch",IF($P347&lt;=9,"Kechiktirib bo'lmaydigan",IF($P347&lt;=14,"Rejalashtirilgan","Rejali"))))</f>
        <v/>
      </c>
      <c r="R347" s="25"/>
      <c r="S347" s="14" t="str">
        <f aca="false">IF($K347&lt;&gt;"Kesarcha","",IF(OR($O347&lt;&gt;"",$R347="Ha"),"Ha","YO‘Q"))</f>
        <v/>
      </c>
      <c r="T347" s="12"/>
      <c r="U347" s="12"/>
      <c r="V347" s="14" t="str">
        <f aca="false">IF(OR($C347="",$D347="",$B347=""),"",IF(COUNTIFS($C$5:$C$604,$C347,$D$5:$D$604,$D347,$B$5:$B$604,$B347)&gt;1,"Takror",""))</f>
        <v/>
      </c>
    </row>
    <row r="348" customFormat="false" ht="15" hidden="false" customHeight="false" outlineLevel="0" collapsed="false">
      <c r="A348" s="8" t="n">
        <v>344</v>
      </c>
      <c r="B348" s="13"/>
      <c r="C348" s="12"/>
      <c r="D348" s="13"/>
      <c r="E348" s="24"/>
      <c r="F348" s="12"/>
      <c r="G348" s="14" t="str">
        <f aca="false">IF(OR($D348="",$B348=""),"",INT(($B348-$D348)/365.25))</f>
        <v/>
      </c>
      <c r="H348" s="14" t="str">
        <f aca="false">IF($G348="","",IF($G348&lt;18,"Ha","Yo'q"))</f>
        <v/>
      </c>
      <c r="I348" s="12"/>
      <c r="J348" s="25"/>
      <c r="K348" s="25"/>
      <c r="L348" s="25"/>
      <c r="M348" s="12"/>
      <c r="N348" s="25"/>
      <c r="O348" s="25"/>
      <c r="P348" s="14" t="str">
        <f aca="false">IF($O348="","",IFERROR(VALUE(LEFT($O348,FIND(".",$O348)-1)),""))</f>
        <v/>
      </c>
      <c r="Q348" s="14" t="str">
        <f aca="false">IF($P348="","",IF($P348&lt;=7,"Shoshilinch",IF($P348&lt;=9,"Kechiktirib bo'lmaydigan",IF($P348&lt;=14,"Rejalashtirilgan","Rejali"))))</f>
        <v/>
      </c>
      <c r="R348" s="25"/>
      <c r="S348" s="14" t="str">
        <f aca="false">IF($K348&lt;&gt;"Kesarcha","",IF(OR($O348&lt;&gt;"",$R348="Ha"),"Ha","YO‘Q"))</f>
        <v/>
      </c>
      <c r="T348" s="12"/>
      <c r="U348" s="12"/>
      <c r="V348" s="14" t="str">
        <f aca="false">IF(OR($C348="",$D348="",$B348=""),"",IF(COUNTIFS($C$5:$C$604,$C348,$D$5:$D$604,$D348,$B$5:$B$604,$B348)&gt;1,"Takror",""))</f>
        <v/>
      </c>
    </row>
    <row r="349" customFormat="false" ht="15" hidden="false" customHeight="false" outlineLevel="0" collapsed="false">
      <c r="A349" s="8" t="n">
        <v>345</v>
      </c>
      <c r="B349" s="13"/>
      <c r="C349" s="12"/>
      <c r="D349" s="13"/>
      <c r="E349" s="24"/>
      <c r="F349" s="12"/>
      <c r="G349" s="14" t="str">
        <f aca="false">IF(OR($D349="",$B349=""),"",INT(($B349-$D349)/365.25))</f>
        <v/>
      </c>
      <c r="H349" s="14" t="str">
        <f aca="false">IF($G349="","",IF($G349&lt;18,"Ha","Yo'q"))</f>
        <v/>
      </c>
      <c r="I349" s="12"/>
      <c r="J349" s="25"/>
      <c r="K349" s="25"/>
      <c r="L349" s="25"/>
      <c r="M349" s="12"/>
      <c r="N349" s="25"/>
      <c r="O349" s="25"/>
      <c r="P349" s="14" t="str">
        <f aca="false">IF($O349="","",IFERROR(VALUE(LEFT($O349,FIND(".",$O349)-1)),""))</f>
        <v/>
      </c>
      <c r="Q349" s="14" t="str">
        <f aca="false">IF($P349="","",IF($P349&lt;=7,"Shoshilinch",IF($P349&lt;=9,"Kechiktirib bo'lmaydigan",IF($P349&lt;=14,"Rejalashtirilgan","Rejali"))))</f>
        <v/>
      </c>
      <c r="R349" s="25"/>
      <c r="S349" s="14" t="str">
        <f aca="false">IF($K349&lt;&gt;"Kesarcha","",IF(OR($O349&lt;&gt;"",$R349="Ha"),"Ha","YO‘Q"))</f>
        <v/>
      </c>
      <c r="T349" s="12"/>
      <c r="U349" s="12"/>
      <c r="V349" s="14" t="str">
        <f aca="false">IF(OR($C349="",$D349="",$B349=""),"",IF(COUNTIFS($C$5:$C$604,$C349,$D$5:$D$604,$D349,$B$5:$B$604,$B349)&gt;1,"Takror",""))</f>
        <v/>
      </c>
    </row>
    <row r="350" customFormat="false" ht="15" hidden="false" customHeight="false" outlineLevel="0" collapsed="false">
      <c r="A350" s="8" t="n">
        <v>346</v>
      </c>
      <c r="B350" s="13"/>
      <c r="C350" s="12"/>
      <c r="D350" s="13"/>
      <c r="E350" s="24"/>
      <c r="F350" s="12"/>
      <c r="G350" s="14" t="str">
        <f aca="false">IF(OR($D350="",$B350=""),"",INT(($B350-$D350)/365.25))</f>
        <v/>
      </c>
      <c r="H350" s="14" t="str">
        <f aca="false">IF($G350="","",IF($G350&lt;18,"Ha","Yo'q"))</f>
        <v/>
      </c>
      <c r="I350" s="12"/>
      <c r="J350" s="25"/>
      <c r="K350" s="25"/>
      <c r="L350" s="25"/>
      <c r="M350" s="12"/>
      <c r="N350" s="25"/>
      <c r="O350" s="25"/>
      <c r="P350" s="14" t="str">
        <f aca="false">IF($O350="","",IFERROR(VALUE(LEFT($O350,FIND(".",$O350)-1)),""))</f>
        <v/>
      </c>
      <c r="Q350" s="14" t="str">
        <f aca="false">IF($P350="","",IF($P350&lt;=7,"Shoshilinch",IF($P350&lt;=9,"Kechiktirib bo'lmaydigan",IF($P350&lt;=14,"Rejalashtirilgan","Rejali"))))</f>
        <v/>
      </c>
      <c r="R350" s="25"/>
      <c r="S350" s="14" t="str">
        <f aca="false">IF($K350&lt;&gt;"Kesarcha","",IF(OR($O350&lt;&gt;"",$R350="Ha"),"Ha","YO‘Q"))</f>
        <v/>
      </c>
      <c r="T350" s="12"/>
      <c r="U350" s="12"/>
      <c r="V350" s="14" t="str">
        <f aca="false">IF(OR($C350="",$D350="",$B350=""),"",IF(COUNTIFS($C$5:$C$604,$C350,$D$5:$D$604,$D350,$B$5:$B$604,$B350)&gt;1,"Takror",""))</f>
        <v/>
      </c>
    </row>
    <row r="351" customFormat="false" ht="15" hidden="false" customHeight="false" outlineLevel="0" collapsed="false">
      <c r="A351" s="8" t="n">
        <v>347</v>
      </c>
      <c r="B351" s="13"/>
      <c r="C351" s="12"/>
      <c r="D351" s="13"/>
      <c r="E351" s="24"/>
      <c r="F351" s="12"/>
      <c r="G351" s="14" t="str">
        <f aca="false">IF(OR($D351="",$B351=""),"",INT(($B351-$D351)/365.25))</f>
        <v/>
      </c>
      <c r="H351" s="14" t="str">
        <f aca="false">IF($G351="","",IF($G351&lt;18,"Ha","Yo'q"))</f>
        <v/>
      </c>
      <c r="I351" s="12"/>
      <c r="J351" s="25"/>
      <c r="K351" s="25"/>
      <c r="L351" s="25"/>
      <c r="M351" s="12"/>
      <c r="N351" s="25"/>
      <c r="O351" s="25"/>
      <c r="P351" s="14" t="str">
        <f aca="false">IF($O351="","",IFERROR(VALUE(LEFT($O351,FIND(".",$O351)-1)),""))</f>
        <v/>
      </c>
      <c r="Q351" s="14" t="str">
        <f aca="false">IF($P351="","",IF($P351&lt;=7,"Shoshilinch",IF($P351&lt;=9,"Kechiktirib bo'lmaydigan",IF($P351&lt;=14,"Rejalashtirilgan","Rejali"))))</f>
        <v/>
      </c>
      <c r="R351" s="25"/>
      <c r="S351" s="14" t="str">
        <f aca="false">IF($K351&lt;&gt;"Kesarcha","",IF(OR($O351&lt;&gt;"",$R351="Ha"),"Ha","YO‘Q"))</f>
        <v/>
      </c>
      <c r="T351" s="12"/>
      <c r="U351" s="12"/>
      <c r="V351" s="14" t="str">
        <f aca="false">IF(OR($C351="",$D351="",$B351=""),"",IF(COUNTIFS($C$5:$C$604,$C351,$D$5:$D$604,$D351,$B$5:$B$604,$B351)&gt;1,"Takror",""))</f>
        <v/>
      </c>
    </row>
    <row r="352" customFormat="false" ht="15" hidden="false" customHeight="false" outlineLevel="0" collapsed="false">
      <c r="A352" s="8" t="n">
        <v>348</v>
      </c>
      <c r="B352" s="13"/>
      <c r="C352" s="12"/>
      <c r="D352" s="13"/>
      <c r="E352" s="24"/>
      <c r="F352" s="12"/>
      <c r="G352" s="14" t="str">
        <f aca="false">IF(OR($D352="",$B352=""),"",INT(($B352-$D352)/365.25))</f>
        <v/>
      </c>
      <c r="H352" s="14" t="str">
        <f aca="false">IF($G352="","",IF($G352&lt;18,"Ha","Yo'q"))</f>
        <v/>
      </c>
      <c r="I352" s="12"/>
      <c r="J352" s="25"/>
      <c r="K352" s="25"/>
      <c r="L352" s="25"/>
      <c r="M352" s="12"/>
      <c r="N352" s="25"/>
      <c r="O352" s="25"/>
      <c r="P352" s="14" t="str">
        <f aca="false">IF($O352="","",IFERROR(VALUE(LEFT($O352,FIND(".",$O352)-1)),""))</f>
        <v/>
      </c>
      <c r="Q352" s="14" t="str">
        <f aca="false">IF($P352="","",IF($P352&lt;=7,"Shoshilinch",IF($P352&lt;=9,"Kechiktirib bo'lmaydigan",IF($P352&lt;=14,"Rejalashtirilgan","Rejali"))))</f>
        <v/>
      </c>
      <c r="R352" s="25"/>
      <c r="S352" s="14" t="str">
        <f aca="false">IF($K352&lt;&gt;"Kesarcha","",IF(OR($O352&lt;&gt;"",$R352="Ha"),"Ha","YO‘Q"))</f>
        <v/>
      </c>
      <c r="T352" s="12"/>
      <c r="U352" s="12"/>
      <c r="V352" s="14" t="str">
        <f aca="false">IF(OR($C352="",$D352="",$B352=""),"",IF(COUNTIFS($C$5:$C$604,$C352,$D$5:$D$604,$D352,$B$5:$B$604,$B352)&gt;1,"Takror",""))</f>
        <v/>
      </c>
    </row>
    <row r="353" customFormat="false" ht="15" hidden="false" customHeight="false" outlineLevel="0" collapsed="false">
      <c r="A353" s="8" t="n">
        <v>349</v>
      </c>
      <c r="B353" s="13"/>
      <c r="C353" s="12"/>
      <c r="D353" s="13"/>
      <c r="E353" s="24"/>
      <c r="F353" s="12"/>
      <c r="G353" s="14" t="str">
        <f aca="false">IF(OR($D353="",$B353=""),"",INT(($B353-$D353)/365.25))</f>
        <v/>
      </c>
      <c r="H353" s="14" t="str">
        <f aca="false">IF($G353="","",IF($G353&lt;18,"Ha","Yo'q"))</f>
        <v/>
      </c>
      <c r="I353" s="12"/>
      <c r="J353" s="25"/>
      <c r="K353" s="25"/>
      <c r="L353" s="25"/>
      <c r="M353" s="12"/>
      <c r="N353" s="25"/>
      <c r="O353" s="25"/>
      <c r="P353" s="14" t="str">
        <f aca="false">IF($O353="","",IFERROR(VALUE(LEFT($O353,FIND(".",$O353)-1)),""))</f>
        <v/>
      </c>
      <c r="Q353" s="14" t="str">
        <f aca="false">IF($P353="","",IF($P353&lt;=7,"Shoshilinch",IF($P353&lt;=9,"Kechiktirib bo'lmaydigan",IF($P353&lt;=14,"Rejalashtirilgan","Rejali"))))</f>
        <v/>
      </c>
      <c r="R353" s="25"/>
      <c r="S353" s="14" t="str">
        <f aca="false">IF($K353&lt;&gt;"Kesarcha","",IF(OR($O353&lt;&gt;"",$R353="Ha"),"Ha","YO‘Q"))</f>
        <v/>
      </c>
      <c r="T353" s="12"/>
      <c r="U353" s="12"/>
      <c r="V353" s="14" t="str">
        <f aca="false">IF(OR($C353="",$D353="",$B353=""),"",IF(COUNTIFS($C$5:$C$604,$C353,$D$5:$D$604,$D353,$B$5:$B$604,$B353)&gt;1,"Takror",""))</f>
        <v/>
      </c>
    </row>
    <row r="354" customFormat="false" ht="15" hidden="false" customHeight="false" outlineLevel="0" collapsed="false">
      <c r="A354" s="8" t="n">
        <v>350</v>
      </c>
      <c r="B354" s="13"/>
      <c r="C354" s="12"/>
      <c r="D354" s="13"/>
      <c r="E354" s="24"/>
      <c r="F354" s="12"/>
      <c r="G354" s="14" t="str">
        <f aca="false">IF(OR($D354="",$B354=""),"",INT(($B354-$D354)/365.25))</f>
        <v/>
      </c>
      <c r="H354" s="14" t="str">
        <f aca="false">IF($G354="","",IF($G354&lt;18,"Ha","Yo'q"))</f>
        <v/>
      </c>
      <c r="I354" s="12"/>
      <c r="J354" s="25"/>
      <c r="K354" s="25"/>
      <c r="L354" s="25"/>
      <c r="M354" s="12"/>
      <c r="N354" s="25"/>
      <c r="O354" s="25"/>
      <c r="P354" s="14" t="str">
        <f aca="false">IF($O354="","",IFERROR(VALUE(LEFT($O354,FIND(".",$O354)-1)),""))</f>
        <v/>
      </c>
      <c r="Q354" s="14" t="str">
        <f aca="false">IF($P354="","",IF($P354&lt;=7,"Shoshilinch",IF($P354&lt;=9,"Kechiktirib bo'lmaydigan",IF($P354&lt;=14,"Rejalashtirilgan","Rejali"))))</f>
        <v/>
      </c>
      <c r="R354" s="25"/>
      <c r="S354" s="14" t="str">
        <f aca="false">IF($K354&lt;&gt;"Kesarcha","",IF(OR($O354&lt;&gt;"",$R354="Ha"),"Ha","YO‘Q"))</f>
        <v/>
      </c>
      <c r="T354" s="12"/>
      <c r="U354" s="12"/>
      <c r="V354" s="14" t="str">
        <f aca="false">IF(OR($C354="",$D354="",$B354=""),"",IF(COUNTIFS($C$5:$C$604,$C354,$D$5:$D$604,$D354,$B$5:$B$604,$B354)&gt;1,"Takror",""))</f>
        <v/>
      </c>
    </row>
    <row r="355" customFormat="false" ht="15" hidden="false" customHeight="false" outlineLevel="0" collapsed="false">
      <c r="A355" s="8" t="n">
        <v>351</v>
      </c>
      <c r="B355" s="13"/>
      <c r="C355" s="12"/>
      <c r="D355" s="13"/>
      <c r="E355" s="24"/>
      <c r="F355" s="12"/>
      <c r="G355" s="14" t="str">
        <f aca="false">IF(OR($D355="",$B355=""),"",INT(($B355-$D355)/365.25))</f>
        <v/>
      </c>
      <c r="H355" s="14" t="str">
        <f aca="false">IF($G355="","",IF($G355&lt;18,"Ha","Yo'q"))</f>
        <v/>
      </c>
      <c r="I355" s="12"/>
      <c r="J355" s="25"/>
      <c r="K355" s="25"/>
      <c r="L355" s="25"/>
      <c r="M355" s="12"/>
      <c r="N355" s="25"/>
      <c r="O355" s="25"/>
      <c r="P355" s="14" t="str">
        <f aca="false">IF($O355="","",IFERROR(VALUE(LEFT($O355,FIND(".",$O355)-1)),""))</f>
        <v/>
      </c>
      <c r="Q355" s="14" t="str">
        <f aca="false">IF($P355="","",IF($P355&lt;=7,"Shoshilinch",IF($P355&lt;=9,"Kechiktirib bo'lmaydigan",IF($P355&lt;=14,"Rejalashtirilgan","Rejali"))))</f>
        <v/>
      </c>
      <c r="R355" s="25"/>
      <c r="S355" s="14" t="str">
        <f aca="false">IF($K355&lt;&gt;"Kesarcha","",IF(OR($O355&lt;&gt;"",$R355="Ha"),"Ha","YO‘Q"))</f>
        <v/>
      </c>
      <c r="T355" s="12"/>
      <c r="U355" s="12"/>
      <c r="V355" s="14" t="str">
        <f aca="false">IF(OR($C355="",$D355="",$B355=""),"",IF(COUNTIFS($C$5:$C$604,$C355,$D$5:$D$604,$D355,$B$5:$B$604,$B355)&gt;1,"Takror",""))</f>
        <v/>
      </c>
    </row>
    <row r="356" customFormat="false" ht="15" hidden="false" customHeight="false" outlineLevel="0" collapsed="false">
      <c r="A356" s="8" t="n">
        <v>352</v>
      </c>
      <c r="B356" s="13"/>
      <c r="C356" s="12"/>
      <c r="D356" s="13"/>
      <c r="E356" s="24"/>
      <c r="F356" s="12"/>
      <c r="G356" s="14" t="str">
        <f aca="false">IF(OR($D356="",$B356=""),"",INT(($B356-$D356)/365.25))</f>
        <v/>
      </c>
      <c r="H356" s="14" t="str">
        <f aca="false">IF($G356="","",IF($G356&lt;18,"Ha","Yo'q"))</f>
        <v/>
      </c>
      <c r="I356" s="12"/>
      <c r="J356" s="25"/>
      <c r="K356" s="25"/>
      <c r="L356" s="25"/>
      <c r="M356" s="12"/>
      <c r="N356" s="25"/>
      <c r="O356" s="25"/>
      <c r="P356" s="14" t="str">
        <f aca="false">IF($O356="","",IFERROR(VALUE(LEFT($O356,FIND(".",$O356)-1)),""))</f>
        <v/>
      </c>
      <c r="Q356" s="14" t="str">
        <f aca="false">IF($P356="","",IF($P356&lt;=7,"Shoshilinch",IF($P356&lt;=9,"Kechiktirib bo'lmaydigan",IF($P356&lt;=14,"Rejalashtirilgan","Rejali"))))</f>
        <v/>
      </c>
      <c r="R356" s="25"/>
      <c r="S356" s="14" t="str">
        <f aca="false">IF($K356&lt;&gt;"Kesarcha","",IF(OR($O356&lt;&gt;"",$R356="Ha"),"Ha","YO‘Q"))</f>
        <v/>
      </c>
      <c r="T356" s="12"/>
      <c r="U356" s="12"/>
      <c r="V356" s="14" t="str">
        <f aca="false">IF(OR($C356="",$D356="",$B356=""),"",IF(COUNTIFS($C$5:$C$604,$C356,$D$5:$D$604,$D356,$B$5:$B$604,$B356)&gt;1,"Takror",""))</f>
        <v/>
      </c>
    </row>
    <row r="357" customFormat="false" ht="15" hidden="false" customHeight="false" outlineLevel="0" collapsed="false">
      <c r="A357" s="8" t="n">
        <v>353</v>
      </c>
      <c r="B357" s="13"/>
      <c r="C357" s="12"/>
      <c r="D357" s="13"/>
      <c r="E357" s="24"/>
      <c r="F357" s="12"/>
      <c r="G357" s="14" t="str">
        <f aca="false">IF(OR($D357="",$B357=""),"",INT(($B357-$D357)/365.25))</f>
        <v/>
      </c>
      <c r="H357" s="14" t="str">
        <f aca="false">IF($G357="","",IF($G357&lt;18,"Ha","Yo'q"))</f>
        <v/>
      </c>
      <c r="I357" s="12"/>
      <c r="J357" s="25"/>
      <c r="K357" s="25"/>
      <c r="L357" s="25"/>
      <c r="M357" s="12"/>
      <c r="N357" s="25"/>
      <c r="O357" s="25"/>
      <c r="P357" s="14" t="str">
        <f aca="false">IF($O357="","",IFERROR(VALUE(LEFT($O357,FIND(".",$O357)-1)),""))</f>
        <v/>
      </c>
      <c r="Q357" s="14" t="str">
        <f aca="false">IF($P357="","",IF($P357&lt;=7,"Shoshilinch",IF($P357&lt;=9,"Kechiktirib bo'lmaydigan",IF($P357&lt;=14,"Rejalashtirilgan","Rejali"))))</f>
        <v/>
      </c>
      <c r="R357" s="25"/>
      <c r="S357" s="14" t="str">
        <f aca="false">IF($K357&lt;&gt;"Kesarcha","",IF(OR($O357&lt;&gt;"",$R357="Ha"),"Ha","YO‘Q"))</f>
        <v/>
      </c>
      <c r="T357" s="12"/>
      <c r="U357" s="12"/>
      <c r="V357" s="14" t="str">
        <f aca="false">IF(OR($C357="",$D357="",$B357=""),"",IF(COUNTIFS($C$5:$C$604,$C357,$D$5:$D$604,$D357,$B$5:$B$604,$B357)&gt;1,"Takror",""))</f>
        <v/>
      </c>
    </row>
    <row r="358" customFormat="false" ht="15" hidden="false" customHeight="false" outlineLevel="0" collapsed="false">
      <c r="A358" s="8" t="n">
        <v>354</v>
      </c>
      <c r="B358" s="13"/>
      <c r="C358" s="12"/>
      <c r="D358" s="13"/>
      <c r="E358" s="24"/>
      <c r="F358" s="12"/>
      <c r="G358" s="14" t="str">
        <f aca="false">IF(OR($D358="",$B358=""),"",INT(($B358-$D358)/365.25))</f>
        <v/>
      </c>
      <c r="H358" s="14" t="str">
        <f aca="false">IF($G358="","",IF($G358&lt;18,"Ha","Yo'q"))</f>
        <v/>
      </c>
      <c r="I358" s="12"/>
      <c r="J358" s="25"/>
      <c r="K358" s="25"/>
      <c r="L358" s="25"/>
      <c r="M358" s="12"/>
      <c r="N358" s="25"/>
      <c r="O358" s="25"/>
      <c r="P358" s="14" t="str">
        <f aca="false">IF($O358="","",IFERROR(VALUE(LEFT($O358,FIND(".",$O358)-1)),""))</f>
        <v/>
      </c>
      <c r="Q358" s="14" t="str">
        <f aca="false">IF($P358="","",IF($P358&lt;=7,"Shoshilinch",IF($P358&lt;=9,"Kechiktirib bo'lmaydigan",IF($P358&lt;=14,"Rejalashtirilgan","Rejali"))))</f>
        <v/>
      </c>
      <c r="R358" s="25"/>
      <c r="S358" s="14" t="str">
        <f aca="false">IF($K358&lt;&gt;"Kesarcha","",IF(OR($O358&lt;&gt;"",$R358="Ha"),"Ha","YO‘Q"))</f>
        <v/>
      </c>
      <c r="T358" s="12"/>
      <c r="U358" s="12"/>
      <c r="V358" s="14" t="str">
        <f aca="false">IF(OR($C358="",$D358="",$B358=""),"",IF(COUNTIFS($C$5:$C$604,$C358,$D$5:$D$604,$D358,$B$5:$B$604,$B358)&gt;1,"Takror",""))</f>
        <v/>
      </c>
    </row>
    <row r="359" customFormat="false" ht="15" hidden="false" customHeight="false" outlineLevel="0" collapsed="false">
      <c r="A359" s="8" t="n">
        <v>355</v>
      </c>
      <c r="B359" s="13"/>
      <c r="C359" s="12"/>
      <c r="D359" s="13"/>
      <c r="E359" s="24"/>
      <c r="F359" s="12"/>
      <c r="G359" s="14" t="str">
        <f aca="false">IF(OR($D359="",$B359=""),"",INT(($B359-$D359)/365.25))</f>
        <v/>
      </c>
      <c r="H359" s="14" t="str">
        <f aca="false">IF($G359="","",IF($G359&lt;18,"Ha","Yo'q"))</f>
        <v/>
      </c>
      <c r="I359" s="12"/>
      <c r="J359" s="25"/>
      <c r="K359" s="25"/>
      <c r="L359" s="25"/>
      <c r="M359" s="12"/>
      <c r="N359" s="25"/>
      <c r="O359" s="25"/>
      <c r="P359" s="14" t="str">
        <f aca="false">IF($O359="","",IFERROR(VALUE(LEFT($O359,FIND(".",$O359)-1)),""))</f>
        <v/>
      </c>
      <c r="Q359" s="14" t="str">
        <f aca="false">IF($P359="","",IF($P359&lt;=7,"Shoshilinch",IF($P359&lt;=9,"Kechiktirib bo'lmaydigan",IF($P359&lt;=14,"Rejalashtirilgan","Rejali"))))</f>
        <v/>
      </c>
      <c r="R359" s="25"/>
      <c r="S359" s="14" t="str">
        <f aca="false">IF($K359&lt;&gt;"Kesarcha","",IF(OR($O359&lt;&gt;"",$R359="Ha"),"Ha","YO‘Q"))</f>
        <v/>
      </c>
      <c r="T359" s="12"/>
      <c r="U359" s="12"/>
      <c r="V359" s="14" t="str">
        <f aca="false">IF(OR($C359="",$D359="",$B359=""),"",IF(COUNTIFS($C$5:$C$604,$C359,$D$5:$D$604,$D359,$B$5:$B$604,$B359)&gt;1,"Takror",""))</f>
        <v/>
      </c>
    </row>
    <row r="360" customFormat="false" ht="15" hidden="false" customHeight="false" outlineLevel="0" collapsed="false">
      <c r="A360" s="8" t="n">
        <v>356</v>
      </c>
      <c r="B360" s="13"/>
      <c r="C360" s="12"/>
      <c r="D360" s="13"/>
      <c r="E360" s="24"/>
      <c r="F360" s="12"/>
      <c r="G360" s="14" t="str">
        <f aca="false">IF(OR($D360="",$B360=""),"",INT(($B360-$D360)/365.25))</f>
        <v/>
      </c>
      <c r="H360" s="14" t="str">
        <f aca="false">IF($G360="","",IF($G360&lt;18,"Ha","Yo'q"))</f>
        <v/>
      </c>
      <c r="I360" s="12"/>
      <c r="J360" s="25"/>
      <c r="K360" s="25"/>
      <c r="L360" s="25"/>
      <c r="M360" s="12"/>
      <c r="N360" s="25"/>
      <c r="O360" s="25"/>
      <c r="P360" s="14" t="str">
        <f aca="false">IF($O360="","",IFERROR(VALUE(LEFT($O360,FIND(".",$O360)-1)),""))</f>
        <v/>
      </c>
      <c r="Q360" s="14" t="str">
        <f aca="false">IF($P360="","",IF($P360&lt;=7,"Shoshilinch",IF($P360&lt;=9,"Kechiktirib bo'lmaydigan",IF($P360&lt;=14,"Rejalashtirilgan","Rejali"))))</f>
        <v/>
      </c>
      <c r="R360" s="25"/>
      <c r="S360" s="14" t="str">
        <f aca="false">IF($K360&lt;&gt;"Kesarcha","",IF(OR($O360&lt;&gt;"",$R360="Ha"),"Ha","YO‘Q"))</f>
        <v/>
      </c>
      <c r="T360" s="12"/>
      <c r="U360" s="12"/>
      <c r="V360" s="14" t="str">
        <f aca="false">IF(OR($C360="",$D360="",$B360=""),"",IF(COUNTIFS($C$5:$C$604,$C360,$D$5:$D$604,$D360,$B$5:$B$604,$B360)&gt;1,"Takror",""))</f>
        <v/>
      </c>
    </row>
    <row r="361" customFormat="false" ht="15" hidden="false" customHeight="false" outlineLevel="0" collapsed="false">
      <c r="A361" s="8" t="n">
        <v>357</v>
      </c>
      <c r="B361" s="13"/>
      <c r="C361" s="12"/>
      <c r="D361" s="13"/>
      <c r="E361" s="24"/>
      <c r="F361" s="12"/>
      <c r="G361" s="14" t="str">
        <f aca="false">IF(OR($D361="",$B361=""),"",INT(($B361-$D361)/365.25))</f>
        <v/>
      </c>
      <c r="H361" s="14" t="str">
        <f aca="false">IF($G361="","",IF($G361&lt;18,"Ha","Yo'q"))</f>
        <v/>
      </c>
      <c r="I361" s="12"/>
      <c r="J361" s="25"/>
      <c r="K361" s="25"/>
      <c r="L361" s="25"/>
      <c r="M361" s="12"/>
      <c r="N361" s="25"/>
      <c r="O361" s="25"/>
      <c r="P361" s="14" t="str">
        <f aca="false">IF($O361="","",IFERROR(VALUE(LEFT($O361,FIND(".",$O361)-1)),""))</f>
        <v/>
      </c>
      <c r="Q361" s="14" t="str">
        <f aca="false">IF($P361="","",IF($P361&lt;=7,"Shoshilinch",IF($P361&lt;=9,"Kechiktirib bo'lmaydigan",IF($P361&lt;=14,"Rejalashtirilgan","Rejali"))))</f>
        <v/>
      </c>
      <c r="R361" s="25"/>
      <c r="S361" s="14" t="str">
        <f aca="false">IF($K361&lt;&gt;"Kesarcha","",IF(OR($O361&lt;&gt;"",$R361="Ha"),"Ha","YO‘Q"))</f>
        <v/>
      </c>
      <c r="T361" s="12"/>
      <c r="U361" s="12"/>
      <c r="V361" s="14" t="str">
        <f aca="false">IF(OR($C361="",$D361="",$B361=""),"",IF(COUNTIFS($C$5:$C$604,$C361,$D$5:$D$604,$D361,$B$5:$B$604,$B361)&gt;1,"Takror",""))</f>
        <v/>
      </c>
    </row>
    <row r="362" customFormat="false" ht="15" hidden="false" customHeight="false" outlineLevel="0" collapsed="false">
      <c r="A362" s="8" t="n">
        <v>358</v>
      </c>
      <c r="B362" s="13"/>
      <c r="C362" s="12"/>
      <c r="D362" s="13"/>
      <c r="E362" s="24"/>
      <c r="F362" s="12"/>
      <c r="G362" s="14" t="str">
        <f aca="false">IF(OR($D362="",$B362=""),"",INT(($B362-$D362)/365.25))</f>
        <v/>
      </c>
      <c r="H362" s="14" t="str">
        <f aca="false">IF($G362="","",IF($G362&lt;18,"Ha","Yo'q"))</f>
        <v/>
      </c>
      <c r="I362" s="12"/>
      <c r="J362" s="25"/>
      <c r="K362" s="25"/>
      <c r="L362" s="25"/>
      <c r="M362" s="12"/>
      <c r="N362" s="25"/>
      <c r="O362" s="25"/>
      <c r="P362" s="14" t="str">
        <f aca="false">IF($O362="","",IFERROR(VALUE(LEFT($O362,FIND(".",$O362)-1)),""))</f>
        <v/>
      </c>
      <c r="Q362" s="14" t="str">
        <f aca="false">IF($P362="","",IF($P362&lt;=7,"Shoshilinch",IF($P362&lt;=9,"Kechiktirib bo'lmaydigan",IF($P362&lt;=14,"Rejalashtirilgan","Rejali"))))</f>
        <v/>
      </c>
      <c r="R362" s="25"/>
      <c r="S362" s="14" t="str">
        <f aca="false">IF($K362&lt;&gt;"Kesarcha","",IF(OR($O362&lt;&gt;"",$R362="Ha"),"Ha","YO‘Q"))</f>
        <v/>
      </c>
      <c r="T362" s="12"/>
      <c r="U362" s="12"/>
      <c r="V362" s="14" t="str">
        <f aca="false">IF(OR($C362="",$D362="",$B362=""),"",IF(COUNTIFS($C$5:$C$604,$C362,$D$5:$D$604,$D362,$B$5:$B$604,$B362)&gt;1,"Takror",""))</f>
        <v/>
      </c>
    </row>
    <row r="363" customFormat="false" ht="15" hidden="false" customHeight="false" outlineLevel="0" collapsed="false">
      <c r="A363" s="8" t="n">
        <v>359</v>
      </c>
      <c r="B363" s="13"/>
      <c r="C363" s="12"/>
      <c r="D363" s="13"/>
      <c r="E363" s="24"/>
      <c r="F363" s="12"/>
      <c r="G363" s="14" t="str">
        <f aca="false">IF(OR($D363="",$B363=""),"",INT(($B363-$D363)/365.25))</f>
        <v/>
      </c>
      <c r="H363" s="14" t="str">
        <f aca="false">IF($G363="","",IF($G363&lt;18,"Ha","Yo'q"))</f>
        <v/>
      </c>
      <c r="I363" s="12"/>
      <c r="J363" s="25"/>
      <c r="K363" s="25"/>
      <c r="L363" s="25"/>
      <c r="M363" s="12"/>
      <c r="N363" s="25"/>
      <c r="O363" s="25"/>
      <c r="P363" s="14" t="str">
        <f aca="false">IF($O363="","",IFERROR(VALUE(LEFT($O363,FIND(".",$O363)-1)),""))</f>
        <v/>
      </c>
      <c r="Q363" s="14" t="str">
        <f aca="false">IF($P363="","",IF($P363&lt;=7,"Shoshilinch",IF($P363&lt;=9,"Kechiktirib bo'lmaydigan",IF($P363&lt;=14,"Rejalashtirilgan","Rejali"))))</f>
        <v/>
      </c>
      <c r="R363" s="25"/>
      <c r="S363" s="14" t="str">
        <f aca="false">IF($K363&lt;&gt;"Kesarcha","",IF(OR($O363&lt;&gt;"",$R363="Ha"),"Ha","YO‘Q"))</f>
        <v/>
      </c>
      <c r="T363" s="12"/>
      <c r="U363" s="12"/>
      <c r="V363" s="14" t="str">
        <f aca="false">IF(OR($C363="",$D363="",$B363=""),"",IF(COUNTIFS($C$5:$C$604,$C363,$D$5:$D$604,$D363,$B$5:$B$604,$B363)&gt;1,"Takror",""))</f>
        <v/>
      </c>
    </row>
    <row r="364" customFormat="false" ht="15" hidden="false" customHeight="false" outlineLevel="0" collapsed="false">
      <c r="A364" s="8" t="n">
        <v>360</v>
      </c>
      <c r="B364" s="13"/>
      <c r="C364" s="12"/>
      <c r="D364" s="13"/>
      <c r="E364" s="24"/>
      <c r="F364" s="12"/>
      <c r="G364" s="14" t="str">
        <f aca="false">IF(OR($D364="",$B364=""),"",INT(($B364-$D364)/365.25))</f>
        <v/>
      </c>
      <c r="H364" s="14" t="str">
        <f aca="false">IF($G364="","",IF($G364&lt;18,"Ha","Yo'q"))</f>
        <v/>
      </c>
      <c r="I364" s="12"/>
      <c r="J364" s="25"/>
      <c r="K364" s="25"/>
      <c r="L364" s="25"/>
      <c r="M364" s="12"/>
      <c r="N364" s="25"/>
      <c r="O364" s="25"/>
      <c r="P364" s="14" t="str">
        <f aca="false">IF($O364="","",IFERROR(VALUE(LEFT($O364,FIND(".",$O364)-1)),""))</f>
        <v/>
      </c>
      <c r="Q364" s="14" t="str">
        <f aca="false">IF($P364="","",IF($P364&lt;=7,"Shoshilinch",IF($P364&lt;=9,"Kechiktirib bo'lmaydigan",IF($P364&lt;=14,"Rejalashtirilgan","Rejali"))))</f>
        <v/>
      </c>
      <c r="R364" s="25"/>
      <c r="S364" s="14" t="str">
        <f aca="false">IF($K364&lt;&gt;"Kesarcha","",IF(OR($O364&lt;&gt;"",$R364="Ha"),"Ha","YO‘Q"))</f>
        <v/>
      </c>
      <c r="T364" s="12"/>
      <c r="U364" s="12"/>
      <c r="V364" s="14" t="str">
        <f aca="false">IF(OR($C364="",$D364="",$B364=""),"",IF(COUNTIFS($C$5:$C$604,$C364,$D$5:$D$604,$D364,$B$5:$B$604,$B364)&gt;1,"Takror",""))</f>
        <v/>
      </c>
    </row>
    <row r="365" customFormat="false" ht="15" hidden="false" customHeight="false" outlineLevel="0" collapsed="false">
      <c r="A365" s="8" t="n">
        <v>361</v>
      </c>
      <c r="B365" s="13"/>
      <c r="C365" s="12"/>
      <c r="D365" s="13"/>
      <c r="E365" s="24"/>
      <c r="F365" s="12"/>
      <c r="G365" s="14" t="str">
        <f aca="false">IF(OR($D365="",$B365=""),"",INT(($B365-$D365)/365.25))</f>
        <v/>
      </c>
      <c r="H365" s="14" t="str">
        <f aca="false">IF($G365="","",IF($G365&lt;18,"Ha","Yo'q"))</f>
        <v/>
      </c>
      <c r="I365" s="12"/>
      <c r="J365" s="25"/>
      <c r="K365" s="25"/>
      <c r="L365" s="25"/>
      <c r="M365" s="12"/>
      <c r="N365" s="25"/>
      <c r="O365" s="25"/>
      <c r="P365" s="14" t="str">
        <f aca="false">IF($O365="","",IFERROR(VALUE(LEFT($O365,FIND(".",$O365)-1)),""))</f>
        <v/>
      </c>
      <c r="Q365" s="14" t="str">
        <f aca="false">IF($P365="","",IF($P365&lt;=7,"Shoshilinch",IF($P365&lt;=9,"Kechiktirib bo'lmaydigan",IF($P365&lt;=14,"Rejalashtirilgan","Rejali"))))</f>
        <v/>
      </c>
      <c r="R365" s="25"/>
      <c r="S365" s="14" t="str">
        <f aca="false">IF($K365&lt;&gt;"Kesarcha","",IF(OR($O365&lt;&gt;"",$R365="Ha"),"Ha","YO‘Q"))</f>
        <v/>
      </c>
      <c r="T365" s="12"/>
      <c r="U365" s="12"/>
      <c r="V365" s="14" t="str">
        <f aca="false">IF(OR($C365="",$D365="",$B365=""),"",IF(COUNTIFS($C$5:$C$604,$C365,$D$5:$D$604,$D365,$B$5:$B$604,$B365)&gt;1,"Takror",""))</f>
        <v/>
      </c>
    </row>
    <row r="366" customFormat="false" ht="15" hidden="false" customHeight="false" outlineLevel="0" collapsed="false">
      <c r="A366" s="8" t="n">
        <v>362</v>
      </c>
      <c r="B366" s="13"/>
      <c r="C366" s="12"/>
      <c r="D366" s="13"/>
      <c r="E366" s="24"/>
      <c r="F366" s="12"/>
      <c r="G366" s="14" t="str">
        <f aca="false">IF(OR($D366="",$B366=""),"",INT(($B366-$D366)/365.25))</f>
        <v/>
      </c>
      <c r="H366" s="14" t="str">
        <f aca="false">IF($G366="","",IF($G366&lt;18,"Ha","Yo'q"))</f>
        <v/>
      </c>
      <c r="I366" s="12"/>
      <c r="J366" s="25"/>
      <c r="K366" s="25"/>
      <c r="L366" s="25"/>
      <c r="M366" s="12"/>
      <c r="N366" s="25"/>
      <c r="O366" s="25"/>
      <c r="P366" s="14" t="str">
        <f aca="false">IF($O366="","",IFERROR(VALUE(LEFT($O366,FIND(".",$O366)-1)),""))</f>
        <v/>
      </c>
      <c r="Q366" s="14" t="str">
        <f aca="false">IF($P366="","",IF($P366&lt;=7,"Shoshilinch",IF($P366&lt;=9,"Kechiktirib bo'lmaydigan",IF($P366&lt;=14,"Rejalashtirilgan","Rejali"))))</f>
        <v/>
      </c>
      <c r="R366" s="25"/>
      <c r="S366" s="14" t="str">
        <f aca="false">IF($K366&lt;&gt;"Kesarcha","",IF(OR($O366&lt;&gt;"",$R366="Ha"),"Ha","YO‘Q"))</f>
        <v/>
      </c>
      <c r="T366" s="12"/>
      <c r="U366" s="12"/>
      <c r="V366" s="14" t="str">
        <f aca="false">IF(OR($C366="",$D366="",$B366=""),"",IF(COUNTIFS($C$5:$C$604,$C366,$D$5:$D$604,$D366,$B$5:$B$604,$B366)&gt;1,"Takror",""))</f>
        <v/>
      </c>
    </row>
    <row r="367" customFormat="false" ht="15" hidden="false" customHeight="false" outlineLevel="0" collapsed="false">
      <c r="A367" s="8" t="n">
        <v>363</v>
      </c>
      <c r="B367" s="13"/>
      <c r="C367" s="12"/>
      <c r="D367" s="13"/>
      <c r="E367" s="24"/>
      <c r="F367" s="12"/>
      <c r="G367" s="14" t="str">
        <f aca="false">IF(OR($D367="",$B367=""),"",INT(($B367-$D367)/365.25))</f>
        <v/>
      </c>
      <c r="H367" s="14" t="str">
        <f aca="false">IF($G367="","",IF($G367&lt;18,"Ha","Yo'q"))</f>
        <v/>
      </c>
      <c r="I367" s="12"/>
      <c r="J367" s="25"/>
      <c r="K367" s="25"/>
      <c r="L367" s="25"/>
      <c r="M367" s="12"/>
      <c r="N367" s="25"/>
      <c r="O367" s="25"/>
      <c r="P367" s="14" t="str">
        <f aca="false">IF($O367="","",IFERROR(VALUE(LEFT($O367,FIND(".",$O367)-1)),""))</f>
        <v/>
      </c>
      <c r="Q367" s="14" t="str">
        <f aca="false">IF($P367="","",IF($P367&lt;=7,"Shoshilinch",IF($P367&lt;=9,"Kechiktirib bo'lmaydigan",IF($P367&lt;=14,"Rejalashtirilgan","Rejali"))))</f>
        <v/>
      </c>
      <c r="R367" s="25"/>
      <c r="S367" s="14" t="str">
        <f aca="false">IF($K367&lt;&gt;"Kesarcha","",IF(OR($O367&lt;&gt;"",$R367="Ha"),"Ha","YO‘Q"))</f>
        <v/>
      </c>
      <c r="T367" s="12"/>
      <c r="U367" s="12"/>
      <c r="V367" s="14" t="str">
        <f aca="false">IF(OR($C367="",$D367="",$B367=""),"",IF(COUNTIFS($C$5:$C$604,$C367,$D$5:$D$604,$D367,$B$5:$B$604,$B367)&gt;1,"Takror",""))</f>
        <v/>
      </c>
    </row>
    <row r="368" customFormat="false" ht="15" hidden="false" customHeight="false" outlineLevel="0" collapsed="false">
      <c r="A368" s="8" t="n">
        <v>364</v>
      </c>
      <c r="B368" s="13"/>
      <c r="C368" s="12"/>
      <c r="D368" s="13"/>
      <c r="E368" s="24"/>
      <c r="F368" s="12"/>
      <c r="G368" s="14" t="str">
        <f aca="false">IF(OR($D368="",$B368=""),"",INT(($B368-$D368)/365.25))</f>
        <v/>
      </c>
      <c r="H368" s="14" t="str">
        <f aca="false">IF($G368="","",IF($G368&lt;18,"Ha","Yo'q"))</f>
        <v/>
      </c>
      <c r="I368" s="12"/>
      <c r="J368" s="25"/>
      <c r="K368" s="25"/>
      <c r="L368" s="25"/>
      <c r="M368" s="12"/>
      <c r="N368" s="25"/>
      <c r="O368" s="25"/>
      <c r="P368" s="14" t="str">
        <f aca="false">IF($O368="","",IFERROR(VALUE(LEFT($O368,FIND(".",$O368)-1)),""))</f>
        <v/>
      </c>
      <c r="Q368" s="14" t="str">
        <f aca="false">IF($P368="","",IF($P368&lt;=7,"Shoshilinch",IF($P368&lt;=9,"Kechiktirib bo'lmaydigan",IF($P368&lt;=14,"Rejalashtirilgan","Rejali"))))</f>
        <v/>
      </c>
      <c r="R368" s="25"/>
      <c r="S368" s="14" t="str">
        <f aca="false">IF($K368&lt;&gt;"Kesarcha","",IF(OR($O368&lt;&gt;"",$R368="Ha"),"Ha","YO‘Q"))</f>
        <v/>
      </c>
      <c r="T368" s="12"/>
      <c r="U368" s="12"/>
      <c r="V368" s="14" t="str">
        <f aca="false">IF(OR($C368="",$D368="",$B368=""),"",IF(COUNTIFS($C$5:$C$604,$C368,$D$5:$D$604,$D368,$B$5:$B$604,$B368)&gt;1,"Takror",""))</f>
        <v/>
      </c>
    </row>
    <row r="369" customFormat="false" ht="15" hidden="false" customHeight="false" outlineLevel="0" collapsed="false">
      <c r="A369" s="8" t="n">
        <v>365</v>
      </c>
      <c r="B369" s="13"/>
      <c r="C369" s="12"/>
      <c r="D369" s="13"/>
      <c r="E369" s="24"/>
      <c r="F369" s="12"/>
      <c r="G369" s="14" t="str">
        <f aca="false">IF(OR($D369="",$B369=""),"",INT(($B369-$D369)/365.25))</f>
        <v/>
      </c>
      <c r="H369" s="14" t="str">
        <f aca="false">IF($G369="","",IF($G369&lt;18,"Ha","Yo'q"))</f>
        <v/>
      </c>
      <c r="I369" s="12"/>
      <c r="J369" s="25"/>
      <c r="K369" s="25"/>
      <c r="L369" s="25"/>
      <c r="M369" s="12"/>
      <c r="N369" s="25"/>
      <c r="O369" s="25"/>
      <c r="P369" s="14" t="str">
        <f aca="false">IF($O369="","",IFERROR(VALUE(LEFT($O369,FIND(".",$O369)-1)),""))</f>
        <v/>
      </c>
      <c r="Q369" s="14" t="str">
        <f aca="false">IF($P369="","",IF($P369&lt;=7,"Shoshilinch",IF($P369&lt;=9,"Kechiktirib bo'lmaydigan",IF($P369&lt;=14,"Rejalashtirilgan","Rejali"))))</f>
        <v/>
      </c>
      <c r="R369" s="25"/>
      <c r="S369" s="14" t="str">
        <f aca="false">IF($K369&lt;&gt;"Kesarcha","",IF(OR($O369&lt;&gt;"",$R369="Ha"),"Ha","YO‘Q"))</f>
        <v/>
      </c>
      <c r="T369" s="12"/>
      <c r="U369" s="12"/>
      <c r="V369" s="14" t="str">
        <f aca="false">IF(OR($C369="",$D369="",$B369=""),"",IF(COUNTIFS($C$5:$C$604,$C369,$D$5:$D$604,$D369,$B$5:$B$604,$B369)&gt;1,"Takror",""))</f>
        <v/>
      </c>
    </row>
    <row r="370" customFormat="false" ht="15" hidden="false" customHeight="false" outlineLevel="0" collapsed="false">
      <c r="A370" s="8" t="n">
        <v>366</v>
      </c>
      <c r="B370" s="13"/>
      <c r="C370" s="12"/>
      <c r="D370" s="13"/>
      <c r="E370" s="24"/>
      <c r="F370" s="12"/>
      <c r="G370" s="14" t="str">
        <f aca="false">IF(OR($D370="",$B370=""),"",INT(($B370-$D370)/365.25))</f>
        <v/>
      </c>
      <c r="H370" s="14" t="str">
        <f aca="false">IF($G370="","",IF($G370&lt;18,"Ha","Yo'q"))</f>
        <v/>
      </c>
      <c r="I370" s="12"/>
      <c r="J370" s="25"/>
      <c r="K370" s="25"/>
      <c r="L370" s="25"/>
      <c r="M370" s="12"/>
      <c r="N370" s="25"/>
      <c r="O370" s="25"/>
      <c r="P370" s="14" t="str">
        <f aca="false">IF($O370="","",IFERROR(VALUE(LEFT($O370,FIND(".",$O370)-1)),""))</f>
        <v/>
      </c>
      <c r="Q370" s="14" t="str">
        <f aca="false">IF($P370="","",IF($P370&lt;=7,"Shoshilinch",IF($P370&lt;=9,"Kechiktirib bo'lmaydigan",IF($P370&lt;=14,"Rejalashtirilgan","Rejali"))))</f>
        <v/>
      </c>
      <c r="R370" s="25"/>
      <c r="S370" s="14" t="str">
        <f aca="false">IF($K370&lt;&gt;"Kesarcha","",IF(OR($O370&lt;&gt;"",$R370="Ha"),"Ha","YO‘Q"))</f>
        <v/>
      </c>
      <c r="T370" s="12"/>
      <c r="U370" s="12"/>
      <c r="V370" s="14" t="str">
        <f aca="false">IF(OR($C370="",$D370="",$B370=""),"",IF(COUNTIFS($C$5:$C$604,$C370,$D$5:$D$604,$D370,$B$5:$B$604,$B370)&gt;1,"Takror",""))</f>
        <v/>
      </c>
    </row>
    <row r="371" customFormat="false" ht="15" hidden="false" customHeight="false" outlineLevel="0" collapsed="false">
      <c r="A371" s="8" t="n">
        <v>367</v>
      </c>
      <c r="B371" s="13"/>
      <c r="C371" s="12"/>
      <c r="D371" s="13"/>
      <c r="E371" s="24"/>
      <c r="F371" s="12"/>
      <c r="G371" s="14" t="str">
        <f aca="false">IF(OR($D371="",$B371=""),"",INT(($B371-$D371)/365.25))</f>
        <v/>
      </c>
      <c r="H371" s="14" t="str">
        <f aca="false">IF($G371="","",IF($G371&lt;18,"Ha","Yo'q"))</f>
        <v/>
      </c>
      <c r="I371" s="12"/>
      <c r="J371" s="25"/>
      <c r="K371" s="25"/>
      <c r="L371" s="25"/>
      <c r="M371" s="12"/>
      <c r="N371" s="25"/>
      <c r="O371" s="25"/>
      <c r="P371" s="14" t="str">
        <f aca="false">IF($O371="","",IFERROR(VALUE(LEFT($O371,FIND(".",$O371)-1)),""))</f>
        <v/>
      </c>
      <c r="Q371" s="14" t="str">
        <f aca="false">IF($P371="","",IF($P371&lt;=7,"Shoshilinch",IF($P371&lt;=9,"Kechiktirib bo'lmaydigan",IF($P371&lt;=14,"Rejalashtirilgan","Rejali"))))</f>
        <v/>
      </c>
      <c r="R371" s="25"/>
      <c r="S371" s="14" t="str">
        <f aca="false">IF($K371&lt;&gt;"Kesarcha","",IF(OR($O371&lt;&gt;"",$R371="Ha"),"Ha","YO‘Q"))</f>
        <v/>
      </c>
      <c r="T371" s="12"/>
      <c r="U371" s="12"/>
      <c r="V371" s="14" t="str">
        <f aca="false">IF(OR($C371="",$D371="",$B371=""),"",IF(COUNTIFS($C$5:$C$604,$C371,$D$5:$D$604,$D371,$B$5:$B$604,$B371)&gt;1,"Takror",""))</f>
        <v/>
      </c>
    </row>
    <row r="372" customFormat="false" ht="15" hidden="false" customHeight="false" outlineLevel="0" collapsed="false">
      <c r="A372" s="8" t="n">
        <v>368</v>
      </c>
      <c r="B372" s="13"/>
      <c r="C372" s="12"/>
      <c r="D372" s="13"/>
      <c r="E372" s="24"/>
      <c r="F372" s="12"/>
      <c r="G372" s="14" t="str">
        <f aca="false">IF(OR($D372="",$B372=""),"",INT(($B372-$D372)/365.25))</f>
        <v/>
      </c>
      <c r="H372" s="14" t="str">
        <f aca="false">IF($G372="","",IF($G372&lt;18,"Ha","Yo'q"))</f>
        <v/>
      </c>
      <c r="I372" s="12"/>
      <c r="J372" s="25"/>
      <c r="K372" s="25"/>
      <c r="L372" s="25"/>
      <c r="M372" s="12"/>
      <c r="N372" s="25"/>
      <c r="O372" s="25"/>
      <c r="P372" s="14" t="str">
        <f aca="false">IF($O372="","",IFERROR(VALUE(LEFT($O372,FIND(".",$O372)-1)),""))</f>
        <v/>
      </c>
      <c r="Q372" s="14" t="str">
        <f aca="false">IF($P372="","",IF($P372&lt;=7,"Shoshilinch",IF($P372&lt;=9,"Kechiktirib bo'lmaydigan",IF($P372&lt;=14,"Rejalashtirilgan","Rejali"))))</f>
        <v/>
      </c>
      <c r="R372" s="25"/>
      <c r="S372" s="14" t="str">
        <f aca="false">IF($K372&lt;&gt;"Kesarcha","",IF(OR($O372&lt;&gt;"",$R372="Ha"),"Ha","YO‘Q"))</f>
        <v/>
      </c>
      <c r="T372" s="12"/>
      <c r="U372" s="12"/>
      <c r="V372" s="14" t="str">
        <f aca="false">IF(OR($C372="",$D372="",$B372=""),"",IF(COUNTIFS($C$5:$C$604,$C372,$D$5:$D$604,$D372,$B$5:$B$604,$B372)&gt;1,"Takror",""))</f>
        <v/>
      </c>
    </row>
    <row r="373" customFormat="false" ht="15" hidden="false" customHeight="false" outlineLevel="0" collapsed="false">
      <c r="A373" s="8" t="n">
        <v>369</v>
      </c>
      <c r="B373" s="13"/>
      <c r="C373" s="12"/>
      <c r="D373" s="13"/>
      <c r="E373" s="24"/>
      <c r="F373" s="12"/>
      <c r="G373" s="14" t="str">
        <f aca="false">IF(OR($D373="",$B373=""),"",INT(($B373-$D373)/365.25))</f>
        <v/>
      </c>
      <c r="H373" s="14" t="str">
        <f aca="false">IF($G373="","",IF($G373&lt;18,"Ha","Yo'q"))</f>
        <v/>
      </c>
      <c r="I373" s="12"/>
      <c r="J373" s="25"/>
      <c r="K373" s="25"/>
      <c r="L373" s="25"/>
      <c r="M373" s="12"/>
      <c r="N373" s="25"/>
      <c r="O373" s="25"/>
      <c r="P373" s="14" t="str">
        <f aca="false">IF($O373="","",IFERROR(VALUE(LEFT($O373,FIND(".",$O373)-1)),""))</f>
        <v/>
      </c>
      <c r="Q373" s="14" t="str">
        <f aca="false">IF($P373="","",IF($P373&lt;=7,"Shoshilinch",IF($P373&lt;=9,"Kechiktirib bo'lmaydigan",IF($P373&lt;=14,"Rejalashtirilgan","Rejali"))))</f>
        <v/>
      </c>
      <c r="R373" s="25"/>
      <c r="S373" s="14" t="str">
        <f aca="false">IF($K373&lt;&gt;"Kesarcha","",IF(OR($O373&lt;&gt;"",$R373="Ha"),"Ha","YO‘Q"))</f>
        <v/>
      </c>
      <c r="T373" s="12"/>
      <c r="U373" s="12"/>
      <c r="V373" s="14" t="str">
        <f aca="false">IF(OR($C373="",$D373="",$B373=""),"",IF(COUNTIFS($C$5:$C$604,$C373,$D$5:$D$604,$D373,$B$5:$B$604,$B373)&gt;1,"Takror",""))</f>
        <v/>
      </c>
    </row>
    <row r="374" customFormat="false" ht="15" hidden="false" customHeight="false" outlineLevel="0" collapsed="false">
      <c r="A374" s="8" t="n">
        <v>370</v>
      </c>
      <c r="B374" s="13"/>
      <c r="C374" s="12"/>
      <c r="D374" s="13"/>
      <c r="E374" s="24"/>
      <c r="F374" s="12"/>
      <c r="G374" s="14" t="str">
        <f aca="false">IF(OR($D374="",$B374=""),"",INT(($B374-$D374)/365.25))</f>
        <v/>
      </c>
      <c r="H374" s="14" t="str">
        <f aca="false">IF($G374="","",IF($G374&lt;18,"Ha","Yo'q"))</f>
        <v/>
      </c>
      <c r="I374" s="12"/>
      <c r="J374" s="25"/>
      <c r="K374" s="25"/>
      <c r="L374" s="25"/>
      <c r="M374" s="12"/>
      <c r="N374" s="25"/>
      <c r="O374" s="25"/>
      <c r="P374" s="14" t="str">
        <f aca="false">IF($O374="","",IFERROR(VALUE(LEFT($O374,FIND(".",$O374)-1)),""))</f>
        <v/>
      </c>
      <c r="Q374" s="14" t="str">
        <f aca="false">IF($P374="","",IF($P374&lt;=7,"Shoshilinch",IF($P374&lt;=9,"Kechiktirib bo'lmaydigan",IF($P374&lt;=14,"Rejalashtirilgan","Rejali"))))</f>
        <v/>
      </c>
      <c r="R374" s="25"/>
      <c r="S374" s="14" t="str">
        <f aca="false">IF($K374&lt;&gt;"Kesarcha","",IF(OR($O374&lt;&gt;"",$R374="Ha"),"Ha","YO‘Q"))</f>
        <v/>
      </c>
      <c r="T374" s="12"/>
      <c r="U374" s="12"/>
      <c r="V374" s="14" t="str">
        <f aca="false">IF(OR($C374="",$D374="",$B374=""),"",IF(COUNTIFS($C$5:$C$604,$C374,$D$5:$D$604,$D374,$B$5:$B$604,$B374)&gt;1,"Takror",""))</f>
        <v/>
      </c>
    </row>
    <row r="375" customFormat="false" ht="15" hidden="false" customHeight="false" outlineLevel="0" collapsed="false">
      <c r="A375" s="8" t="n">
        <v>371</v>
      </c>
      <c r="B375" s="13"/>
      <c r="C375" s="12"/>
      <c r="D375" s="13"/>
      <c r="E375" s="24"/>
      <c r="F375" s="12"/>
      <c r="G375" s="14" t="str">
        <f aca="false">IF(OR($D375="",$B375=""),"",INT(($B375-$D375)/365.25))</f>
        <v/>
      </c>
      <c r="H375" s="14" t="str">
        <f aca="false">IF($G375="","",IF($G375&lt;18,"Ha","Yo'q"))</f>
        <v/>
      </c>
      <c r="I375" s="12"/>
      <c r="J375" s="25"/>
      <c r="K375" s="25"/>
      <c r="L375" s="25"/>
      <c r="M375" s="12"/>
      <c r="N375" s="25"/>
      <c r="O375" s="25"/>
      <c r="P375" s="14" t="str">
        <f aca="false">IF($O375="","",IFERROR(VALUE(LEFT($O375,FIND(".",$O375)-1)),""))</f>
        <v/>
      </c>
      <c r="Q375" s="14" t="str">
        <f aca="false">IF($P375="","",IF($P375&lt;=7,"Shoshilinch",IF($P375&lt;=9,"Kechiktirib bo'lmaydigan",IF($P375&lt;=14,"Rejalashtirilgan","Rejali"))))</f>
        <v/>
      </c>
      <c r="R375" s="25"/>
      <c r="S375" s="14" t="str">
        <f aca="false">IF($K375&lt;&gt;"Kesarcha","",IF(OR($O375&lt;&gt;"",$R375="Ha"),"Ha","YO‘Q"))</f>
        <v/>
      </c>
      <c r="T375" s="12"/>
      <c r="U375" s="12"/>
      <c r="V375" s="14" t="str">
        <f aca="false">IF(OR($C375="",$D375="",$B375=""),"",IF(COUNTIFS($C$5:$C$604,$C375,$D$5:$D$604,$D375,$B$5:$B$604,$B375)&gt;1,"Takror",""))</f>
        <v/>
      </c>
    </row>
    <row r="376" customFormat="false" ht="15" hidden="false" customHeight="false" outlineLevel="0" collapsed="false">
      <c r="A376" s="8" t="n">
        <v>372</v>
      </c>
      <c r="B376" s="13"/>
      <c r="C376" s="12"/>
      <c r="D376" s="13"/>
      <c r="E376" s="24"/>
      <c r="F376" s="12"/>
      <c r="G376" s="14" t="str">
        <f aca="false">IF(OR($D376="",$B376=""),"",INT(($B376-$D376)/365.25))</f>
        <v/>
      </c>
      <c r="H376" s="14" t="str">
        <f aca="false">IF($G376="","",IF($G376&lt;18,"Ha","Yo'q"))</f>
        <v/>
      </c>
      <c r="I376" s="12"/>
      <c r="J376" s="25"/>
      <c r="K376" s="25"/>
      <c r="L376" s="25"/>
      <c r="M376" s="12"/>
      <c r="N376" s="25"/>
      <c r="O376" s="25"/>
      <c r="P376" s="14" t="str">
        <f aca="false">IF($O376="","",IFERROR(VALUE(LEFT($O376,FIND(".",$O376)-1)),""))</f>
        <v/>
      </c>
      <c r="Q376" s="14" t="str">
        <f aca="false">IF($P376="","",IF($P376&lt;=7,"Shoshilinch",IF($P376&lt;=9,"Kechiktirib bo'lmaydigan",IF($P376&lt;=14,"Rejalashtirilgan","Rejali"))))</f>
        <v/>
      </c>
      <c r="R376" s="25"/>
      <c r="S376" s="14" t="str">
        <f aca="false">IF($K376&lt;&gt;"Kesarcha","",IF(OR($O376&lt;&gt;"",$R376="Ha"),"Ha","YO‘Q"))</f>
        <v/>
      </c>
      <c r="T376" s="12"/>
      <c r="U376" s="12"/>
      <c r="V376" s="14" t="str">
        <f aca="false">IF(OR($C376="",$D376="",$B376=""),"",IF(COUNTIFS($C$5:$C$604,$C376,$D$5:$D$604,$D376,$B$5:$B$604,$B376)&gt;1,"Takror",""))</f>
        <v/>
      </c>
    </row>
    <row r="377" customFormat="false" ht="15" hidden="false" customHeight="false" outlineLevel="0" collapsed="false">
      <c r="A377" s="8" t="n">
        <v>373</v>
      </c>
      <c r="B377" s="13"/>
      <c r="C377" s="12"/>
      <c r="D377" s="13"/>
      <c r="E377" s="24"/>
      <c r="F377" s="12"/>
      <c r="G377" s="14" t="str">
        <f aca="false">IF(OR($D377="",$B377=""),"",INT(($B377-$D377)/365.25))</f>
        <v/>
      </c>
      <c r="H377" s="14" t="str">
        <f aca="false">IF($G377="","",IF($G377&lt;18,"Ha","Yo'q"))</f>
        <v/>
      </c>
      <c r="I377" s="12"/>
      <c r="J377" s="25"/>
      <c r="K377" s="25"/>
      <c r="L377" s="25"/>
      <c r="M377" s="12"/>
      <c r="N377" s="25"/>
      <c r="O377" s="25"/>
      <c r="P377" s="14" t="str">
        <f aca="false">IF($O377="","",IFERROR(VALUE(LEFT($O377,FIND(".",$O377)-1)),""))</f>
        <v/>
      </c>
      <c r="Q377" s="14" t="str">
        <f aca="false">IF($P377="","",IF($P377&lt;=7,"Shoshilinch",IF($P377&lt;=9,"Kechiktirib bo'lmaydigan",IF($P377&lt;=14,"Rejalashtirilgan","Rejali"))))</f>
        <v/>
      </c>
      <c r="R377" s="25"/>
      <c r="S377" s="14" t="str">
        <f aca="false">IF($K377&lt;&gt;"Kesarcha","",IF(OR($O377&lt;&gt;"",$R377="Ha"),"Ha","YO‘Q"))</f>
        <v/>
      </c>
      <c r="T377" s="12"/>
      <c r="U377" s="12"/>
      <c r="V377" s="14" t="str">
        <f aca="false">IF(OR($C377="",$D377="",$B377=""),"",IF(COUNTIFS($C$5:$C$604,$C377,$D$5:$D$604,$D377,$B$5:$B$604,$B377)&gt;1,"Takror",""))</f>
        <v/>
      </c>
    </row>
    <row r="378" customFormat="false" ht="15" hidden="false" customHeight="false" outlineLevel="0" collapsed="false">
      <c r="A378" s="8" t="n">
        <v>374</v>
      </c>
      <c r="B378" s="13"/>
      <c r="C378" s="12"/>
      <c r="D378" s="13"/>
      <c r="E378" s="24"/>
      <c r="F378" s="12"/>
      <c r="G378" s="14" t="str">
        <f aca="false">IF(OR($D378="",$B378=""),"",INT(($B378-$D378)/365.25))</f>
        <v/>
      </c>
      <c r="H378" s="14" t="str">
        <f aca="false">IF($G378="","",IF($G378&lt;18,"Ha","Yo'q"))</f>
        <v/>
      </c>
      <c r="I378" s="12"/>
      <c r="J378" s="25"/>
      <c r="K378" s="25"/>
      <c r="L378" s="25"/>
      <c r="M378" s="12"/>
      <c r="N378" s="25"/>
      <c r="O378" s="25"/>
      <c r="P378" s="14" t="str">
        <f aca="false">IF($O378="","",IFERROR(VALUE(LEFT($O378,FIND(".",$O378)-1)),""))</f>
        <v/>
      </c>
      <c r="Q378" s="14" t="str">
        <f aca="false">IF($P378="","",IF($P378&lt;=7,"Shoshilinch",IF($P378&lt;=9,"Kechiktirib bo'lmaydigan",IF($P378&lt;=14,"Rejalashtirilgan","Rejali"))))</f>
        <v/>
      </c>
      <c r="R378" s="25"/>
      <c r="S378" s="14" t="str">
        <f aca="false">IF($K378&lt;&gt;"Kesarcha","",IF(OR($O378&lt;&gt;"",$R378="Ha"),"Ha","YO‘Q"))</f>
        <v/>
      </c>
      <c r="T378" s="12"/>
      <c r="U378" s="12"/>
      <c r="V378" s="14" t="str">
        <f aca="false">IF(OR($C378="",$D378="",$B378=""),"",IF(COUNTIFS($C$5:$C$604,$C378,$D$5:$D$604,$D378,$B$5:$B$604,$B378)&gt;1,"Takror",""))</f>
        <v/>
      </c>
    </row>
    <row r="379" customFormat="false" ht="15" hidden="false" customHeight="false" outlineLevel="0" collapsed="false">
      <c r="A379" s="8" t="n">
        <v>375</v>
      </c>
      <c r="B379" s="13"/>
      <c r="C379" s="12"/>
      <c r="D379" s="13"/>
      <c r="E379" s="24"/>
      <c r="F379" s="12"/>
      <c r="G379" s="14" t="str">
        <f aca="false">IF(OR($D379="",$B379=""),"",INT(($B379-$D379)/365.25))</f>
        <v/>
      </c>
      <c r="H379" s="14" t="str">
        <f aca="false">IF($G379="","",IF($G379&lt;18,"Ha","Yo'q"))</f>
        <v/>
      </c>
      <c r="I379" s="12"/>
      <c r="J379" s="25"/>
      <c r="K379" s="25"/>
      <c r="L379" s="25"/>
      <c r="M379" s="12"/>
      <c r="N379" s="25"/>
      <c r="O379" s="25"/>
      <c r="P379" s="14" t="str">
        <f aca="false">IF($O379="","",IFERROR(VALUE(LEFT($O379,FIND(".",$O379)-1)),""))</f>
        <v/>
      </c>
      <c r="Q379" s="14" t="str">
        <f aca="false">IF($P379="","",IF($P379&lt;=7,"Shoshilinch",IF($P379&lt;=9,"Kechiktirib bo'lmaydigan",IF($P379&lt;=14,"Rejalashtirilgan","Rejali"))))</f>
        <v/>
      </c>
      <c r="R379" s="25"/>
      <c r="S379" s="14" t="str">
        <f aca="false">IF($K379&lt;&gt;"Kesarcha","",IF(OR($O379&lt;&gt;"",$R379="Ha"),"Ha","YO‘Q"))</f>
        <v/>
      </c>
      <c r="T379" s="12"/>
      <c r="U379" s="12"/>
      <c r="V379" s="14" t="str">
        <f aca="false">IF(OR($C379="",$D379="",$B379=""),"",IF(COUNTIFS($C$5:$C$604,$C379,$D$5:$D$604,$D379,$B$5:$B$604,$B379)&gt;1,"Takror",""))</f>
        <v/>
      </c>
    </row>
    <row r="380" customFormat="false" ht="15" hidden="false" customHeight="false" outlineLevel="0" collapsed="false">
      <c r="A380" s="8" t="n">
        <v>376</v>
      </c>
      <c r="B380" s="13"/>
      <c r="C380" s="12"/>
      <c r="D380" s="13"/>
      <c r="E380" s="24"/>
      <c r="F380" s="12"/>
      <c r="G380" s="14" t="str">
        <f aca="false">IF(OR($D380="",$B380=""),"",INT(($B380-$D380)/365.25))</f>
        <v/>
      </c>
      <c r="H380" s="14" t="str">
        <f aca="false">IF($G380="","",IF($G380&lt;18,"Ha","Yo'q"))</f>
        <v/>
      </c>
      <c r="I380" s="12"/>
      <c r="J380" s="25"/>
      <c r="K380" s="25"/>
      <c r="L380" s="25"/>
      <c r="M380" s="12"/>
      <c r="N380" s="25"/>
      <c r="O380" s="25"/>
      <c r="P380" s="14" t="str">
        <f aca="false">IF($O380="","",IFERROR(VALUE(LEFT($O380,FIND(".",$O380)-1)),""))</f>
        <v/>
      </c>
      <c r="Q380" s="14" t="str">
        <f aca="false">IF($P380="","",IF($P380&lt;=7,"Shoshilinch",IF($P380&lt;=9,"Kechiktirib bo'lmaydigan",IF($P380&lt;=14,"Rejalashtirilgan","Rejali"))))</f>
        <v/>
      </c>
      <c r="R380" s="25"/>
      <c r="S380" s="14" t="str">
        <f aca="false">IF($K380&lt;&gt;"Kesarcha","",IF(OR($O380&lt;&gt;"",$R380="Ha"),"Ha","YO‘Q"))</f>
        <v/>
      </c>
      <c r="T380" s="12"/>
      <c r="U380" s="12"/>
      <c r="V380" s="14" t="str">
        <f aca="false">IF(OR($C380="",$D380="",$B380=""),"",IF(COUNTIFS($C$5:$C$604,$C380,$D$5:$D$604,$D380,$B$5:$B$604,$B380)&gt;1,"Takror",""))</f>
        <v/>
      </c>
    </row>
    <row r="381" customFormat="false" ht="15" hidden="false" customHeight="false" outlineLevel="0" collapsed="false">
      <c r="A381" s="8" t="n">
        <v>377</v>
      </c>
      <c r="B381" s="13"/>
      <c r="C381" s="12"/>
      <c r="D381" s="13"/>
      <c r="E381" s="24"/>
      <c r="F381" s="12"/>
      <c r="G381" s="14" t="str">
        <f aca="false">IF(OR($D381="",$B381=""),"",INT(($B381-$D381)/365.25))</f>
        <v/>
      </c>
      <c r="H381" s="14" t="str">
        <f aca="false">IF($G381="","",IF($G381&lt;18,"Ha","Yo'q"))</f>
        <v/>
      </c>
      <c r="I381" s="12"/>
      <c r="J381" s="25"/>
      <c r="K381" s="25"/>
      <c r="L381" s="25"/>
      <c r="M381" s="12"/>
      <c r="N381" s="25"/>
      <c r="O381" s="25"/>
      <c r="P381" s="14" t="str">
        <f aca="false">IF($O381="","",IFERROR(VALUE(LEFT($O381,FIND(".",$O381)-1)),""))</f>
        <v/>
      </c>
      <c r="Q381" s="14" t="str">
        <f aca="false">IF($P381="","",IF($P381&lt;=7,"Shoshilinch",IF($P381&lt;=9,"Kechiktirib bo'lmaydigan",IF($P381&lt;=14,"Rejalashtirilgan","Rejali"))))</f>
        <v/>
      </c>
      <c r="R381" s="25"/>
      <c r="S381" s="14" t="str">
        <f aca="false">IF($K381&lt;&gt;"Kesarcha","",IF(OR($O381&lt;&gt;"",$R381="Ha"),"Ha","YO‘Q"))</f>
        <v/>
      </c>
      <c r="T381" s="12"/>
      <c r="U381" s="12"/>
      <c r="V381" s="14" t="str">
        <f aca="false">IF(OR($C381="",$D381="",$B381=""),"",IF(COUNTIFS($C$5:$C$604,$C381,$D$5:$D$604,$D381,$B$5:$B$604,$B381)&gt;1,"Takror",""))</f>
        <v/>
      </c>
    </row>
    <row r="382" customFormat="false" ht="15" hidden="false" customHeight="false" outlineLevel="0" collapsed="false">
      <c r="A382" s="8" t="n">
        <v>378</v>
      </c>
      <c r="B382" s="13"/>
      <c r="C382" s="12"/>
      <c r="D382" s="13"/>
      <c r="E382" s="24"/>
      <c r="F382" s="12"/>
      <c r="G382" s="14" t="str">
        <f aca="false">IF(OR($D382="",$B382=""),"",INT(($B382-$D382)/365.25))</f>
        <v/>
      </c>
      <c r="H382" s="14" t="str">
        <f aca="false">IF($G382="","",IF($G382&lt;18,"Ha","Yo'q"))</f>
        <v/>
      </c>
      <c r="I382" s="12"/>
      <c r="J382" s="25"/>
      <c r="K382" s="25"/>
      <c r="L382" s="25"/>
      <c r="M382" s="12"/>
      <c r="N382" s="25"/>
      <c r="O382" s="25"/>
      <c r="P382" s="14" t="str">
        <f aca="false">IF($O382="","",IFERROR(VALUE(LEFT($O382,FIND(".",$O382)-1)),""))</f>
        <v/>
      </c>
      <c r="Q382" s="14" t="str">
        <f aca="false">IF($P382="","",IF($P382&lt;=7,"Shoshilinch",IF($P382&lt;=9,"Kechiktirib bo'lmaydigan",IF($P382&lt;=14,"Rejalashtirilgan","Rejali"))))</f>
        <v/>
      </c>
      <c r="R382" s="25"/>
      <c r="S382" s="14" t="str">
        <f aca="false">IF($K382&lt;&gt;"Kesarcha","",IF(OR($O382&lt;&gt;"",$R382="Ha"),"Ha","YO‘Q"))</f>
        <v/>
      </c>
      <c r="T382" s="12"/>
      <c r="U382" s="12"/>
      <c r="V382" s="14" t="str">
        <f aca="false">IF(OR($C382="",$D382="",$B382=""),"",IF(COUNTIFS($C$5:$C$604,$C382,$D$5:$D$604,$D382,$B$5:$B$604,$B382)&gt;1,"Takror",""))</f>
        <v/>
      </c>
    </row>
    <row r="383" customFormat="false" ht="15" hidden="false" customHeight="false" outlineLevel="0" collapsed="false">
      <c r="A383" s="8" t="n">
        <v>379</v>
      </c>
      <c r="B383" s="13"/>
      <c r="C383" s="12"/>
      <c r="D383" s="13"/>
      <c r="E383" s="24"/>
      <c r="F383" s="12"/>
      <c r="G383" s="14" t="str">
        <f aca="false">IF(OR($D383="",$B383=""),"",INT(($B383-$D383)/365.25))</f>
        <v/>
      </c>
      <c r="H383" s="14" t="str">
        <f aca="false">IF($G383="","",IF($G383&lt;18,"Ha","Yo'q"))</f>
        <v/>
      </c>
      <c r="I383" s="12"/>
      <c r="J383" s="25"/>
      <c r="K383" s="25"/>
      <c r="L383" s="25"/>
      <c r="M383" s="12"/>
      <c r="N383" s="25"/>
      <c r="O383" s="25"/>
      <c r="P383" s="14" t="str">
        <f aca="false">IF($O383="","",IFERROR(VALUE(LEFT($O383,FIND(".",$O383)-1)),""))</f>
        <v/>
      </c>
      <c r="Q383" s="14" t="str">
        <f aca="false">IF($P383="","",IF($P383&lt;=7,"Shoshilinch",IF($P383&lt;=9,"Kechiktirib bo'lmaydigan",IF($P383&lt;=14,"Rejalashtirilgan","Rejali"))))</f>
        <v/>
      </c>
      <c r="R383" s="25"/>
      <c r="S383" s="14" t="str">
        <f aca="false">IF($K383&lt;&gt;"Kesarcha","",IF(OR($O383&lt;&gt;"",$R383="Ha"),"Ha","YO‘Q"))</f>
        <v/>
      </c>
      <c r="T383" s="12"/>
      <c r="U383" s="12"/>
      <c r="V383" s="14" t="str">
        <f aca="false">IF(OR($C383="",$D383="",$B383=""),"",IF(COUNTIFS($C$5:$C$604,$C383,$D$5:$D$604,$D383,$B$5:$B$604,$B383)&gt;1,"Takror",""))</f>
        <v/>
      </c>
    </row>
    <row r="384" customFormat="false" ht="15" hidden="false" customHeight="false" outlineLevel="0" collapsed="false">
      <c r="A384" s="8" t="n">
        <v>380</v>
      </c>
      <c r="B384" s="13"/>
      <c r="C384" s="12"/>
      <c r="D384" s="13"/>
      <c r="E384" s="24"/>
      <c r="F384" s="12"/>
      <c r="G384" s="14" t="str">
        <f aca="false">IF(OR($D384="",$B384=""),"",INT(($B384-$D384)/365.25))</f>
        <v/>
      </c>
      <c r="H384" s="14" t="str">
        <f aca="false">IF($G384="","",IF($G384&lt;18,"Ha","Yo'q"))</f>
        <v/>
      </c>
      <c r="I384" s="12"/>
      <c r="J384" s="25"/>
      <c r="K384" s="25"/>
      <c r="L384" s="25"/>
      <c r="M384" s="12"/>
      <c r="N384" s="25"/>
      <c r="O384" s="25"/>
      <c r="P384" s="14" t="str">
        <f aca="false">IF($O384="","",IFERROR(VALUE(LEFT($O384,FIND(".",$O384)-1)),""))</f>
        <v/>
      </c>
      <c r="Q384" s="14" t="str">
        <f aca="false">IF($P384="","",IF($P384&lt;=7,"Shoshilinch",IF($P384&lt;=9,"Kechiktirib bo'lmaydigan",IF($P384&lt;=14,"Rejalashtirilgan","Rejali"))))</f>
        <v/>
      </c>
      <c r="R384" s="25"/>
      <c r="S384" s="14" t="str">
        <f aca="false">IF($K384&lt;&gt;"Kesarcha","",IF(OR($O384&lt;&gt;"",$R384="Ha"),"Ha","YO‘Q"))</f>
        <v/>
      </c>
      <c r="T384" s="12"/>
      <c r="U384" s="12"/>
      <c r="V384" s="14" t="str">
        <f aca="false">IF(OR($C384="",$D384="",$B384=""),"",IF(COUNTIFS($C$5:$C$604,$C384,$D$5:$D$604,$D384,$B$5:$B$604,$B384)&gt;1,"Takror",""))</f>
        <v/>
      </c>
    </row>
    <row r="385" customFormat="false" ht="15" hidden="false" customHeight="false" outlineLevel="0" collapsed="false">
      <c r="A385" s="8" t="n">
        <v>381</v>
      </c>
      <c r="B385" s="13"/>
      <c r="C385" s="12"/>
      <c r="D385" s="13"/>
      <c r="E385" s="24"/>
      <c r="F385" s="12"/>
      <c r="G385" s="14" t="str">
        <f aca="false">IF(OR($D385="",$B385=""),"",INT(($B385-$D385)/365.25))</f>
        <v/>
      </c>
      <c r="H385" s="14" t="str">
        <f aca="false">IF($G385="","",IF($G385&lt;18,"Ha","Yo'q"))</f>
        <v/>
      </c>
      <c r="I385" s="12"/>
      <c r="J385" s="25"/>
      <c r="K385" s="25"/>
      <c r="L385" s="25"/>
      <c r="M385" s="12"/>
      <c r="N385" s="25"/>
      <c r="O385" s="25"/>
      <c r="P385" s="14" t="str">
        <f aca="false">IF($O385="","",IFERROR(VALUE(LEFT($O385,FIND(".",$O385)-1)),""))</f>
        <v/>
      </c>
      <c r="Q385" s="14" t="str">
        <f aca="false">IF($P385="","",IF($P385&lt;=7,"Shoshilinch",IF($P385&lt;=9,"Kechiktirib bo'lmaydigan",IF($P385&lt;=14,"Rejalashtirilgan","Rejali"))))</f>
        <v/>
      </c>
      <c r="R385" s="25"/>
      <c r="S385" s="14" t="str">
        <f aca="false">IF($K385&lt;&gt;"Kesarcha","",IF(OR($O385&lt;&gt;"",$R385="Ha"),"Ha","YO‘Q"))</f>
        <v/>
      </c>
      <c r="T385" s="12"/>
      <c r="U385" s="12"/>
      <c r="V385" s="14" t="str">
        <f aca="false">IF(OR($C385="",$D385="",$B385=""),"",IF(COUNTIFS($C$5:$C$604,$C385,$D$5:$D$604,$D385,$B$5:$B$604,$B385)&gt;1,"Takror",""))</f>
        <v/>
      </c>
    </row>
    <row r="386" customFormat="false" ht="15" hidden="false" customHeight="false" outlineLevel="0" collapsed="false">
      <c r="A386" s="8" t="n">
        <v>382</v>
      </c>
      <c r="B386" s="13"/>
      <c r="C386" s="12"/>
      <c r="D386" s="13"/>
      <c r="E386" s="24"/>
      <c r="F386" s="12"/>
      <c r="G386" s="14" t="str">
        <f aca="false">IF(OR($D386="",$B386=""),"",INT(($B386-$D386)/365.25))</f>
        <v/>
      </c>
      <c r="H386" s="14" t="str">
        <f aca="false">IF($G386="","",IF($G386&lt;18,"Ha","Yo'q"))</f>
        <v/>
      </c>
      <c r="I386" s="12"/>
      <c r="J386" s="25"/>
      <c r="K386" s="25"/>
      <c r="L386" s="25"/>
      <c r="M386" s="12"/>
      <c r="N386" s="25"/>
      <c r="O386" s="25"/>
      <c r="P386" s="14" t="str">
        <f aca="false">IF($O386="","",IFERROR(VALUE(LEFT($O386,FIND(".",$O386)-1)),""))</f>
        <v/>
      </c>
      <c r="Q386" s="14" t="str">
        <f aca="false">IF($P386="","",IF($P386&lt;=7,"Shoshilinch",IF($P386&lt;=9,"Kechiktirib bo'lmaydigan",IF($P386&lt;=14,"Rejalashtirilgan","Rejali"))))</f>
        <v/>
      </c>
      <c r="R386" s="25"/>
      <c r="S386" s="14" t="str">
        <f aca="false">IF($K386&lt;&gt;"Kesarcha","",IF(OR($O386&lt;&gt;"",$R386="Ha"),"Ha","YO‘Q"))</f>
        <v/>
      </c>
      <c r="T386" s="12"/>
      <c r="U386" s="12"/>
      <c r="V386" s="14" t="str">
        <f aca="false">IF(OR($C386="",$D386="",$B386=""),"",IF(COUNTIFS($C$5:$C$604,$C386,$D$5:$D$604,$D386,$B$5:$B$604,$B386)&gt;1,"Takror",""))</f>
        <v/>
      </c>
    </row>
    <row r="387" customFormat="false" ht="15" hidden="false" customHeight="false" outlineLevel="0" collapsed="false">
      <c r="A387" s="8" t="n">
        <v>383</v>
      </c>
      <c r="B387" s="13"/>
      <c r="C387" s="12"/>
      <c r="D387" s="13"/>
      <c r="E387" s="24"/>
      <c r="F387" s="12"/>
      <c r="G387" s="14" t="str">
        <f aca="false">IF(OR($D387="",$B387=""),"",INT(($B387-$D387)/365.25))</f>
        <v/>
      </c>
      <c r="H387" s="14" t="str">
        <f aca="false">IF($G387="","",IF($G387&lt;18,"Ha","Yo'q"))</f>
        <v/>
      </c>
      <c r="I387" s="12"/>
      <c r="J387" s="25"/>
      <c r="K387" s="25"/>
      <c r="L387" s="25"/>
      <c r="M387" s="12"/>
      <c r="N387" s="25"/>
      <c r="O387" s="25"/>
      <c r="P387" s="14" t="str">
        <f aca="false">IF($O387="","",IFERROR(VALUE(LEFT($O387,FIND(".",$O387)-1)),""))</f>
        <v/>
      </c>
      <c r="Q387" s="14" t="str">
        <f aca="false">IF($P387="","",IF($P387&lt;=7,"Shoshilinch",IF($P387&lt;=9,"Kechiktirib bo'lmaydigan",IF($P387&lt;=14,"Rejalashtirilgan","Rejali"))))</f>
        <v/>
      </c>
      <c r="R387" s="25"/>
      <c r="S387" s="14" t="str">
        <f aca="false">IF($K387&lt;&gt;"Kesarcha","",IF(OR($O387&lt;&gt;"",$R387="Ha"),"Ha","YO‘Q"))</f>
        <v/>
      </c>
      <c r="T387" s="12"/>
      <c r="U387" s="12"/>
      <c r="V387" s="14" t="str">
        <f aca="false">IF(OR($C387="",$D387="",$B387=""),"",IF(COUNTIFS($C$5:$C$604,$C387,$D$5:$D$604,$D387,$B$5:$B$604,$B387)&gt;1,"Takror",""))</f>
        <v/>
      </c>
    </row>
    <row r="388" customFormat="false" ht="15" hidden="false" customHeight="false" outlineLevel="0" collapsed="false">
      <c r="A388" s="8" t="n">
        <v>384</v>
      </c>
      <c r="B388" s="13"/>
      <c r="C388" s="12"/>
      <c r="D388" s="13"/>
      <c r="E388" s="24"/>
      <c r="F388" s="12"/>
      <c r="G388" s="14" t="str">
        <f aca="false">IF(OR($D388="",$B388=""),"",INT(($B388-$D388)/365.25))</f>
        <v/>
      </c>
      <c r="H388" s="14" t="str">
        <f aca="false">IF($G388="","",IF($G388&lt;18,"Ha","Yo'q"))</f>
        <v/>
      </c>
      <c r="I388" s="12"/>
      <c r="J388" s="25"/>
      <c r="K388" s="25"/>
      <c r="L388" s="25"/>
      <c r="M388" s="12"/>
      <c r="N388" s="25"/>
      <c r="O388" s="25"/>
      <c r="P388" s="14" t="str">
        <f aca="false">IF($O388="","",IFERROR(VALUE(LEFT($O388,FIND(".",$O388)-1)),""))</f>
        <v/>
      </c>
      <c r="Q388" s="14" t="str">
        <f aca="false">IF($P388="","",IF($P388&lt;=7,"Shoshilinch",IF($P388&lt;=9,"Kechiktirib bo'lmaydigan",IF($P388&lt;=14,"Rejalashtirilgan","Rejali"))))</f>
        <v/>
      </c>
      <c r="R388" s="25"/>
      <c r="S388" s="14" t="str">
        <f aca="false">IF($K388&lt;&gt;"Kesarcha","",IF(OR($O388&lt;&gt;"",$R388="Ha"),"Ha","YO‘Q"))</f>
        <v/>
      </c>
      <c r="T388" s="12"/>
      <c r="U388" s="12"/>
      <c r="V388" s="14" t="str">
        <f aca="false">IF(OR($C388="",$D388="",$B388=""),"",IF(COUNTIFS($C$5:$C$604,$C388,$D$5:$D$604,$D388,$B$5:$B$604,$B388)&gt;1,"Takror",""))</f>
        <v/>
      </c>
    </row>
    <row r="389" customFormat="false" ht="15" hidden="false" customHeight="false" outlineLevel="0" collapsed="false">
      <c r="A389" s="8" t="n">
        <v>385</v>
      </c>
      <c r="B389" s="13"/>
      <c r="C389" s="12"/>
      <c r="D389" s="13"/>
      <c r="E389" s="24"/>
      <c r="F389" s="12"/>
      <c r="G389" s="14" t="str">
        <f aca="false">IF(OR($D389="",$B389=""),"",INT(($B389-$D389)/365.25))</f>
        <v/>
      </c>
      <c r="H389" s="14" t="str">
        <f aca="false">IF($G389="","",IF($G389&lt;18,"Ha","Yo'q"))</f>
        <v/>
      </c>
      <c r="I389" s="12"/>
      <c r="J389" s="25"/>
      <c r="K389" s="25"/>
      <c r="L389" s="25"/>
      <c r="M389" s="12"/>
      <c r="N389" s="25"/>
      <c r="O389" s="25"/>
      <c r="P389" s="14" t="str">
        <f aca="false">IF($O389="","",IFERROR(VALUE(LEFT($O389,FIND(".",$O389)-1)),""))</f>
        <v/>
      </c>
      <c r="Q389" s="14" t="str">
        <f aca="false">IF($P389="","",IF($P389&lt;=7,"Shoshilinch",IF($P389&lt;=9,"Kechiktirib bo'lmaydigan",IF($P389&lt;=14,"Rejalashtirilgan","Rejali"))))</f>
        <v/>
      </c>
      <c r="R389" s="25"/>
      <c r="S389" s="14" t="str">
        <f aca="false">IF($K389&lt;&gt;"Kesarcha","",IF(OR($O389&lt;&gt;"",$R389="Ha"),"Ha","YO‘Q"))</f>
        <v/>
      </c>
      <c r="T389" s="12"/>
      <c r="U389" s="12"/>
      <c r="V389" s="14" t="str">
        <f aca="false">IF(OR($C389="",$D389="",$B389=""),"",IF(COUNTIFS($C$5:$C$604,$C389,$D$5:$D$604,$D389,$B$5:$B$604,$B389)&gt;1,"Takror",""))</f>
        <v/>
      </c>
    </row>
    <row r="390" customFormat="false" ht="15" hidden="false" customHeight="false" outlineLevel="0" collapsed="false">
      <c r="A390" s="8" t="n">
        <v>386</v>
      </c>
      <c r="B390" s="13"/>
      <c r="C390" s="12"/>
      <c r="D390" s="13"/>
      <c r="E390" s="24"/>
      <c r="F390" s="12"/>
      <c r="G390" s="14" t="str">
        <f aca="false">IF(OR($D390="",$B390=""),"",INT(($B390-$D390)/365.25))</f>
        <v/>
      </c>
      <c r="H390" s="14" t="str">
        <f aca="false">IF($G390="","",IF($G390&lt;18,"Ha","Yo'q"))</f>
        <v/>
      </c>
      <c r="I390" s="12"/>
      <c r="J390" s="25"/>
      <c r="K390" s="25"/>
      <c r="L390" s="25"/>
      <c r="M390" s="12"/>
      <c r="N390" s="25"/>
      <c r="O390" s="25"/>
      <c r="P390" s="14" t="str">
        <f aca="false">IF($O390="","",IFERROR(VALUE(LEFT($O390,FIND(".",$O390)-1)),""))</f>
        <v/>
      </c>
      <c r="Q390" s="14" t="str">
        <f aca="false">IF($P390="","",IF($P390&lt;=7,"Shoshilinch",IF($P390&lt;=9,"Kechiktirib bo'lmaydigan",IF($P390&lt;=14,"Rejalashtirilgan","Rejali"))))</f>
        <v/>
      </c>
      <c r="R390" s="25"/>
      <c r="S390" s="14" t="str">
        <f aca="false">IF($K390&lt;&gt;"Kesarcha","",IF(OR($O390&lt;&gt;"",$R390="Ha"),"Ha","YO‘Q"))</f>
        <v/>
      </c>
      <c r="T390" s="12"/>
      <c r="U390" s="12"/>
      <c r="V390" s="14" t="str">
        <f aca="false">IF(OR($C390="",$D390="",$B390=""),"",IF(COUNTIFS($C$5:$C$604,$C390,$D$5:$D$604,$D390,$B$5:$B$604,$B390)&gt;1,"Takror",""))</f>
        <v/>
      </c>
    </row>
    <row r="391" customFormat="false" ht="15" hidden="false" customHeight="false" outlineLevel="0" collapsed="false">
      <c r="A391" s="8" t="n">
        <v>387</v>
      </c>
      <c r="B391" s="13"/>
      <c r="C391" s="12"/>
      <c r="D391" s="13"/>
      <c r="E391" s="24"/>
      <c r="F391" s="12"/>
      <c r="G391" s="14" t="str">
        <f aca="false">IF(OR($D391="",$B391=""),"",INT(($B391-$D391)/365.25))</f>
        <v/>
      </c>
      <c r="H391" s="14" t="str">
        <f aca="false">IF($G391="","",IF($G391&lt;18,"Ha","Yo'q"))</f>
        <v/>
      </c>
      <c r="I391" s="12"/>
      <c r="J391" s="25"/>
      <c r="K391" s="25"/>
      <c r="L391" s="25"/>
      <c r="M391" s="12"/>
      <c r="N391" s="25"/>
      <c r="O391" s="25"/>
      <c r="P391" s="14" t="str">
        <f aca="false">IF($O391="","",IFERROR(VALUE(LEFT($O391,FIND(".",$O391)-1)),""))</f>
        <v/>
      </c>
      <c r="Q391" s="14" t="str">
        <f aca="false">IF($P391="","",IF($P391&lt;=7,"Shoshilinch",IF($P391&lt;=9,"Kechiktirib bo'lmaydigan",IF($P391&lt;=14,"Rejalashtirilgan","Rejali"))))</f>
        <v/>
      </c>
      <c r="R391" s="25"/>
      <c r="S391" s="14" t="str">
        <f aca="false">IF($K391&lt;&gt;"Kesarcha","",IF(OR($O391&lt;&gt;"",$R391="Ha"),"Ha","YO‘Q"))</f>
        <v/>
      </c>
      <c r="T391" s="12"/>
      <c r="U391" s="12"/>
      <c r="V391" s="14" t="str">
        <f aca="false">IF(OR($C391="",$D391="",$B391=""),"",IF(COUNTIFS($C$5:$C$604,$C391,$D$5:$D$604,$D391,$B$5:$B$604,$B391)&gt;1,"Takror",""))</f>
        <v/>
      </c>
    </row>
    <row r="392" customFormat="false" ht="15" hidden="false" customHeight="false" outlineLevel="0" collapsed="false">
      <c r="A392" s="8" t="n">
        <v>388</v>
      </c>
      <c r="B392" s="13"/>
      <c r="C392" s="12"/>
      <c r="D392" s="13"/>
      <c r="E392" s="24"/>
      <c r="F392" s="12"/>
      <c r="G392" s="14" t="str">
        <f aca="false">IF(OR($D392="",$B392=""),"",INT(($B392-$D392)/365.25))</f>
        <v/>
      </c>
      <c r="H392" s="14" t="str">
        <f aca="false">IF($G392="","",IF($G392&lt;18,"Ha","Yo'q"))</f>
        <v/>
      </c>
      <c r="I392" s="12"/>
      <c r="J392" s="25"/>
      <c r="K392" s="25"/>
      <c r="L392" s="25"/>
      <c r="M392" s="12"/>
      <c r="N392" s="25"/>
      <c r="O392" s="25"/>
      <c r="P392" s="14" t="str">
        <f aca="false">IF($O392="","",IFERROR(VALUE(LEFT($O392,FIND(".",$O392)-1)),""))</f>
        <v/>
      </c>
      <c r="Q392" s="14" t="str">
        <f aca="false">IF($P392="","",IF($P392&lt;=7,"Shoshilinch",IF($P392&lt;=9,"Kechiktirib bo'lmaydigan",IF($P392&lt;=14,"Rejalashtirilgan","Rejali"))))</f>
        <v/>
      </c>
      <c r="R392" s="25"/>
      <c r="S392" s="14" t="str">
        <f aca="false">IF($K392&lt;&gt;"Kesarcha","",IF(OR($O392&lt;&gt;"",$R392="Ha"),"Ha","YO‘Q"))</f>
        <v/>
      </c>
      <c r="T392" s="12"/>
      <c r="U392" s="12"/>
      <c r="V392" s="14" t="str">
        <f aca="false">IF(OR($C392="",$D392="",$B392=""),"",IF(COUNTIFS($C$5:$C$604,$C392,$D$5:$D$604,$D392,$B$5:$B$604,$B392)&gt;1,"Takror",""))</f>
        <v/>
      </c>
    </row>
    <row r="393" customFormat="false" ht="15" hidden="false" customHeight="false" outlineLevel="0" collapsed="false">
      <c r="A393" s="8" t="n">
        <v>389</v>
      </c>
      <c r="B393" s="13"/>
      <c r="C393" s="12"/>
      <c r="D393" s="13"/>
      <c r="E393" s="24"/>
      <c r="F393" s="12"/>
      <c r="G393" s="14" t="str">
        <f aca="false">IF(OR($D393="",$B393=""),"",INT(($B393-$D393)/365.25))</f>
        <v/>
      </c>
      <c r="H393" s="14" t="str">
        <f aca="false">IF($G393="","",IF($G393&lt;18,"Ha","Yo'q"))</f>
        <v/>
      </c>
      <c r="I393" s="12"/>
      <c r="J393" s="25"/>
      <c r="K393" s="25"/>
      <c r="L393" s="25"/>
      <c r="M393" s="12"/>
      <c r="N393" s="25"/>
      <c r="O393" s="25"/>
      <c r="P393" s="14" t="str">
        <f aca="false">IF($O393="","",IFERROR(VALUE(LEFT($O393,FIND(".",$O393)-1)),""))</f>
        <v/>
      </c>
      <c r="Q393" s="14" t="str">
        <f aca="false">IF($P393="","",IF($P393&lt;=7,"Shoshilinch",IF($P393&lt;=9,"Kechiktirib bo'lmaydigan",IF($P393&lt;=14,"Rejalashtirilgan","Rejali"))))</f>
        <v/>
      </c>
      <c r="R393" s="25"/>
      <c r="S393" s="14" t="str">
        <f aca="false">IF($K393&lt;&gt;"Kesarcha","",IF(OR($O393&lt;&gt;"",$R393="Ha"),"Ha","YO‘Q"))</f>
        <v/>
      </c>
      <c r="T393" s="12"/>
      <c r="U393" s="12"/>
      <c r="V393" s="14" t="str">
        <f aca="false">IF(OR($C393="",$D393="",$B393=""),"",IF(COUNTIFS($C$5:$C$604,$C393,$D$5:$D$604,$D393,$B$5:$B$604,$B393)&gt;1,"Takror",""))</f>
        <v/>
      </c>
    </row>
    <row r="394" customFormat="false" ht="15" hidden="false" customHeight="false" outlineLevel="0" collapsed="false">
      <c r="A394" s="8" t="n">
        <v>390</v>
      </c>
      <c r="B394" s="13"/>
      <c r="C394" s="12"/>
      <c r="D394" s="13"/>
      <c r="E394" s="24"/>
      <c r="F394" s="12"/>
      <c r="G394" s="14" t="str">
        <f aca="false">IF(OR($D394="",$B394=""),"",INT(($B394-$D394)/365.25))</f>
        <v/>
      </c>
      <c r="H394" s="14" t="str">
        <f aca="false">IF($G394="","",IF($G394&lt;18,"Ha","Yo'q"))</f>
        <v/>
      </c>
      <c r="I394" s="12"/>
      <c r="J394" s="25"/>
      <c r="K394" s="25"/>
      <c r="L394" s="25"/>
      <c r="M394" s="12"/>
      <c r="N394" s="25"/>
      <c r="O394" s="25"/>
      <c r="P394" s="14" t="str">
        <f aca="false">IF($O394="","",IFERROR(VALUE(LEFT($O394,FIND(".",$O394)-1)),""))</f>
        <v/>
      </c>
      <c r="Q394" s="14" t="str">
        <f aca="false">IF($P394="","",IF($P394&lt;=7,"Shoshilinch",IF($P394&lt;=9,"Kechiktirib bo'lmaydigan",IF($P394&lt;=14,"Rejalashtirilgan","Rejali"))))</f>
        <v/>
      </c>
      <c r="R394" s="25"/>
      <c r="S394" s="14" t="str">
        <f aca="false">IF($K394&lt;&gt;"Kesarcha","",IF(OR($O394&lt;&gt;"",$R394="Ha"),"Ha","YO‘Q"))</f>
        <v/>
      </c>
      <c r="T394" s="12"/>
      <c r="U394" s="12"/>
      <c r="V394" s="14" t="str">
        <f aca="false">IF(OR($C394="",$D394="",$B394=""),"",IF(COUNTIFS($C$5:$C$604,$C394,$D$5:$D$604,$D394,$B$5:$B$604,$B394)&gt;1,"Takror",""))</f>
        <v/>
      </c>
    </row>
    <row r="395" customFormat="false" ht="15" hidden="false" customHeight="false" outlineLevel="0" collapsed="false">
      <c r="A395" s="8" t="n">
        <v>391</v>
      </c>
      <c r="B395" s="13"/>
      <c r="C395" s="12"/>
      <c r="D395" s="13"/>
      <c r="E395" s="24"/>
      <c r="F395" s="12"/>
      <c r="G395" s="14" t="str">
        <f aca="false">IF(OR($D395="",$B395=""),"",INT(($B395-$D395)/365.25))</f>
        <v/>
      </c>
      <c r="H395" s="14" t="str">
        <f aca="false">IF($G395="","",IF($G395&lt;18,"Ha","Yo'q"))</f>
        <v/>
      </c>
      <c r="I395" s="12"/>
      <c r="J395" s="25"/>
      <c r="K395" s="25"/>
      <c r="L395" s="25"/>
      <c r="M395" s="12"/>
      <c r="N395" s="25"/>
      <c r="O395" s="25"/>
      <c r="P395" s="14" t="str">
        <f aca="false">IF($O395="","",IFERROR(VALUE(LEFT($O395,FIND(".",$O395)-1)),""))</f>
        <v/>
      </c>
      <c r="Q395" s="14" t="str">
        <f aca="false">IF($P395="","",IF($P395&lt;=7,"Shoshilinch",IF($P395&lt;=9,"Kechiktirib bo'lmaydigan",IF($P395&lt;=14,"Rejalashtirilgan","Rejali"))))</f>
        <v/>
      </c>
      <c r="R395" s="25"/>
      <c r="S395" s="14" t="str">
        <f aca="false">IF($K395&lt;&gt;"Kesarcha","",IF(OR($O395&lt;&gt;"",$R395="Ha"),"Ha","YO‘Q"))</f>
        <v/>
      </c>
      <c r="T395" s="12"/>
      <c r="U395" s="12"/>
      <c r="V395" s="14" t="str">
        <f aca="false">IF(OR($C395="",$D395="",$B395=""),"",IF(COUNTIFS($C$5:$C$604,$C395,$D$5:$D$604,$D395,$B$5:$B$604,$B395)&gt;1,"Takror",""))</f>
        <v/>
      </c>
    </row>
    <row r="396" customFormat="false" ht="15" hidden="false" customHeight="false" outlineLevel="0" collapsed="false">
      <c r="A396" s="8" t="n">
        <v>392</v>
      </c>
      <c r="B396" s="13"/>
      <c r="C396" s="12"/>
      <c r="D396" s="13"/>
      <c r="E396" s="24"/>
      <c r="F396" s="12"/>
      <c r="G396" s="14" t="str">
        <f aca="false">IF(OR($D396="",$B396=""),"",INT(($B396-$D396)/365.25))</f>
        <v/>
      </c>
      <c r="H396" s="14" t="str">
        <f aca="false">IF($G396="","",IF($G396&lt;18,"Ha","Yo'q"))</f>
        <v/>
      </c>
      <c r="I396" s="12"/>
      <c r="J396" s="25"/>
      <c r="K396" s="25"/>
      <c r="L396" s="25"/>
      <c r="M396" s="12"/>
      <c r="N396" s="25"/>
      <c r="O396" s="25"/>
      <c r="P396" s="14" t="str">
        <f aca="false">IF($O396="","",IFERROR(VALUE(LEFT($O396,FIND(".",$O396)-1)),""))</f>
        <v/>
      </c>
      <c r="Q396" s="14" t="str">
        <f aca="false">IF($P396="","",IF($P396&lt;=7,"Shoshilinch",IF($P396&lt;=9,"Kechiktirib bo'lmaydigan",IF($P396&lt;=14,"Rejalashtirilgan","Rejali"))))</f>
        <v/>
      </c>
      <c r="R396" s="25"/>
      <c r="S396" s="14" t="str">
        <f aca="false">IF($K396&lt;&gt;"Kesarcha","",IF(OR($O396&lt;&gt;"",$R396="Ha"),"Ha","YO‘Q"))</f>
        <v/>
      </c>
      <c r="T396" s="12"/>
      <c r="U396" s="12"/>
      <c r="V396" s="14" t="str">
        <f aca="false">IF(OR($C396="",$D396="",$B396=""),"",IF(COUNTIFS($C$5:$C$604,$C396,$D$5:$D$604,$D396,$B$5:$B$604,$B396)&gt;1,"Takror",""))</f>
        <v/>
      </c>
    </row>
    <row r="397" customFormat="false" ht="15" hidden="false" customHeight="false" outlineLevel="0" collapsed="false">
      <c r="A397" s="8" t="n">
        <v>393</v>
      </c>
      <c r="B397" s="13"/>
      <c r="C397" s="12"/>
      <c r="D397" s="13"/>
      <c r="E397" s="24"/>
      <c r="F397" s="12"/>
      <c r="G397" s="14" t="str">
        <f aca="false">IF(OR($D397="",$B397=""),"",INT(($B397-$D397)/365.25))</f>
        <v/>
      </c>
      <c r="H397" s="14" t="str">
        <f aca="false">IF($G397="","",IF($G397&lt;18,"Ha","Yo'q"))</f>
        <v/>
      </c>
      <c r="I397" s="12"/>
      <c r="J397" s="25"/>
      <c r="K397" s="25"/>
      <c r="L397" s="25"/>
      <c r="M397" s="12"/>
      <c r="N397" s="25"/>
      <c r="O397" s="25"/>
      <c r="P397" s="14" t="str">
        <f aca="false">IF($O397="","",IFERROR(VALUE(LEFT($O397,FIND(".",$O397)-1)),""))</f>
        <v/>
      </c>
      <c r="Q397" s="14" t="str">
        <f aca="false">IF($P397="","",IF($P397&lt;=7,"Shoshilinch",IF($P397&lt;=9,"Kechiktirib bo'lmaydigan",IF($P397&lt;=14,"Rejalashtirilgan","Rejali"))))</f>
        <v/>
      </c>
      <c r="R397" s="25"/>
      <c r="S397" s="14" t="str">
        <f aca="false">IF($K397&lt;&gt;"Kesarcha","",IF(OR($O397&lt;&gt;"",$R397="Ha"),"Ha","YO‘Q"))</f>
        <v/>
      </c>
      <c r="T397" s="12"/>
      <c r="U397" s="12"/>
      <c r="V397" s="14" t="str">
        <f aca="false">IF(OR($C397="",$D397="",$B397=""),"",IF(COUNTIFS($C$5:$C$604,$C397,$D$5:$D$604,$D397,$B$5:$B$604,$B397)&gt;1,"Takror",""))</f>
        <v/>
      </c>
    </row>
    <row r="398" customFormat="false" ht="15" hidden="false" customHeight="false" outlineLevel="0" collapsed="false">
      <c r="A398" s="8" t="n">
        <v>394</v>
      </c>
      <c r="B398" s="13"/>
      <c r="C398" s="12"/>
      <c r="D398" s="13"/>
      <c r="E398" s="24"/>
      <c r="F398" s="12"/>
      <c r="G398" s="14" t="str">
        <f aca="false">IF(OR($D398="",$B398=""),"",INT(($B398-$D398)/365.25))</f>
        <v/>
      </c>
      <c r="H398" s="14" t="str">
        <f aca="false">IF($G398="","",IF($G398&lt;18,"Ha","Yo'q"))</f>
        <v/>
      </c>
      <c r="I398" s="12"/>
      <c r="J398" s="25"/>
      <c r="K398" s="25"/>
      <c r="L398" s="25"/>
      <c r="M398" s="12"/>
      <c r="N398" s="25"/>
      <c r="O398" s="25"/>
      <c r="P398" s="14" t="str">
        <f aca="false">IF($O398="","",IFERROR(VALUE(LEFT($O398,FIND(".",$O398)-1)),""))</f>
        <v/>
      </c>
      <c r="Q398" s="14" t="str">
        <f aca="false">IF($P398="","",IF($P398&lt;=7,"Shoshilinch",IF($P398&lt;=9,"Kechiktirib bo'lmaydigan",IF($P398&lt;=14,"Rejalashtirilgan","Rejali"))))</f>
        <v/>
      </c>
      <c r="R398" s="25"/>
      <c r="S398" s="14" t="str">
        <f aca="false">IF($K398&lt;&gt;"Kesarcha","",IF(OR($O398&lt;&gt;"",$R398="Ha"),"Ha","YO‘Q"))</f>
        <v/>
      </c>
      <c r="T398" s="12"/>
      <c r="U398" s="12"/>
      <c r="V398" s="14" t="str">
        <f aca="false">IF(OR($C398="",$D398="",$B398=""),"",IF(COUNTIFS($C$5:$C$604,$C398,$D$5:$D$604,$D398,$B$5:$B$604,$B398)&gt;1,"Takror",""))</f>
        <v/>
      </c>
    </row>
    <row r="399" customFormat="false" ht="15" hidden="false" customHeight="false" outlineLevel="0" collapsed="false">
      <c r="A399" s="8" t="n">
        <v>395</v>
      </c>
      <c r="B399" s="13"/>
      <c r="C399" s="12"/>
      <c r="D399" s="13"/>
      <c r="E399" s="24"/>
      <c r="F399" s="12"/>
      <c r="G399" s="14" t="str">
        <f aca="false">IF(OR($D399="",$B399=""),"",INT(($B399-$D399)/365.25))</f>
        <v/>
      </c>
      <c r="H399" s="14" t="str">
        <f aca="false">IF($G399="","",IF($G399&lt;18,"Ha","Yo'q"))</f>
        <v/>
      </c>
      <c r="I399" s="12"/>
      <c r="J399" s="25"/>
      <c r="K399" s="25"/>
      <c r="L399" s="25"/>
      <c r="M399" s="12"/>
      <c r="N399" s="25"/>
      <c r="O399" s="25"/>
      <c r="P399" s="14" t="str">
        <f aca="false">IF($O399="","",IFERROR(VALUE(LEFT($O399,FIND(".",$O399)-1)),""))</f>
        <v/>
      </c>
      <c r="Q399" s="14" t="str">
        <f aca="false">IF($P399="","",IF($P399&lt;=7,"Shoshilinch",IF($P399&lt;=9,"Kechiktirib bo'lmaydigan",IF($P399&lt;=14,"Rejalashtirilgan","Rejali"))))</f>
        <v/>
      </c>
      <c r="R399" s="25"/>
      <c r="S399" s="14" t="str">
        <f aca="false">IF($K399&lt;&gt;"Kesarcha","",IF(OR($O399&lt;&gt;"",$R399="Ha"),"Ha","YO‘Q"))</f>
        <v/>
      </c>
      <c r="T399" s="12"/>
      <c r="U399" s="12"/>
      <c r="V399" s="14" t="str">
        <f aca="false">IF(OR($C399="",$D399="",$B399=""),"",IF(COUNTIFS($C$5:$C$604,$C399,$D$5:$D$604,$D399,$B$5:$B$604,$B399)&gt;1,"Takror",""))</f>
        <v/>
      </c>
    </row>
    <row r="400" customFormat="false" ht="15" hidden="false" customHeight="false" outlineLevel="0" collapsed="false">
      <c r="A400" s="8" t="n">
        <v>396</v>
      </c>
      <c r="B400" s="13"/>
      <c r="C400" s="12"/>
      <c r="D400" s="13"/>
      <c r="E400" s="24"/>
      <c r="F400" s="12"/>
      <c r="G400" s="14" t="str">
        <f aca="false">IF(OR($D400="",$B400=""),"",INT(($B400-$D400)/365.25))</f>
        <v/>
      </c>
      <c r="H400" s="14" t="str">
        <f aca="false">IF($G400="","",IF($G400&lt;18,"Ha","Yo'q"))</f>
        <v/>
      </c>
      <c r="I400" s="12"/>
      <c r="J400" s="25"/>
      <c r="K400" s="25"/>
      <c r="L400" s="25"/>
      <c r="M400" s="12"/>
      <c r="N400" s="25"/>
      <c r="O400" s="25"/>
      <c r="P400" s="14" t="str">
        <f aca="false">IF($O400="","",IFERROR(VALUE(LEFT($O400,FIND(".",$O400)-1)),""))</f>
        <v/>
      </c>
      <c r="Q400" s="14" t="str">
        <f aca="false">IF($P400="","",IF($P400&lt;=7,"Shoshilinch",IF($P400&lt;=9,"Kechiktirib bo'lmaydigan",IF($P400&lt;=14,"Rejalashtirilgan","Rejali"))))</f>
        <v/>
      </c>
      <c r="R400" s="25"/>
      <c r="S400" s="14" t="str">
        <f aca="false">IF($K400&lt;&gt;"Kesarcha","",IF(OR($O400&lt;&gt;"",$R400="Ha"),"Ha","YO‘Q"))</f>
        <v/>
      </c>
      <c r="T400" s="12"/>
      <c r="U400" s="12"/>
      <c r="V400" s="14" t="str">
        <f aca="false">IF(OR($C400="",$D400="",$B400=""),"",IF(COUNTIFS($C$5:$C$604,$C400,$D$5:$D$604,$D400,$B$5:$B$604,$B400)&gt;1,"Takror",""))</f>
        <v/>
      </c>
    </row>
    <row r="401" customFormat="false" ht="15" hidden="false" customHeight="false" outlineLevel="0" collapsed="false">
      <c r="A401" s="8" t="n">
        <v>397</v>
      </c>
      <c r="B401" s="13"/>
      <c r="C401" s="12"/>
      <c r="D401" s="13"/>
      <c r="E401" s="24"/>
      <c r="F401" s="12"/>
      <c r="G401" s="14" t="str">
        <f aca="false">IF(OR($D401="",$B401=""),"",INT(($B401-$D401)/365.25))</f>
        <v/>
      </c>
      <c r="H401" s="14" t="str">
        <f aca="false">IF($G401="","",IF($G401&lt;18,"Ha","Yo'q"))</f>
        <v/>
      </c>
      <c r="I401" s="12"/>
      <c r="J401" s="25"/>
      <c r="K401" s="25"/>
      <c r="L401" s="25"/>
      <c r="M401" s="12"/>
      <c r="N401" s="25"/>
      <c r="O401" s="25"/>
      <c r="P401" s="14" t="str">
        <f aca="false">IF($O401="","",IFERROR(VALUE(LEFT($O401,FIND(".",$O401)-1)),""))</f>
        <v/>
      </c>
      <c r="Q401" s="14" t="str">
        <f aca="false">IF($P401="","",IF($P401&lt;=7,"Shoshilinch",IF($P401&lt;=9,"Kechiktirib bo'lmaydigan",IF($P401&lt;=14,"Rejalashtirilgan","Rejali"))))</f>
        <v/>
      </c>
      <c r="R401" s="25"/>
      <c r="S401" s="14" t="str">
        <f aca="false">IF($K401&lt;&gt;"Kesarcha","",IF(OR($O401&lt;&gt;"",$R401="Ha"),"Ha","YO‘Q"))</f>
        <v/>
      </c>
      <c r="T401" s="12"/>
      <c r="U401" s="12"/>
      <c r="V401" s="14" t="str">
        <f aca="false">IF(OR($C401="",$D401="",$B401=""),"",IF(COUNTIFS($C$5:$C$604,$C401,$D$5:$D$604,$D401,$B$5:$B$604,$B401)&gt;1,"Takror",""))</f>
        <v/>
      </c>
    </row>
    <row r="402" customFormat="false" ht="15" hidden="false" customHeight="false" outlineLevel="0" collapsed="false">
      <c r="A402" s="8" t="n">
        <v>398</v>
      </c>
      <c r="B402" s="13"/>
      <c r="C402" s="12"/>
      <c r="D402" s="13"/>
      <c r="E402" s="24"/>
      <c r="F402" s="12"/>
      <c r="G402" s="14" t="str">
        <f aca="false">IF(OR($D402="",$B402=""),"",INT(($B402-$D402)/365.25))</f>
        <v/>
      </c>
      <c r="H402" s="14" t="str">
        <f aca="false">IF($G402="","",IF($G402&lt;18,"Ha","Yo'q"))</f>
        <v/>
      </c>
      <c r="I402" s="12"/>
      <c r="J402" s="25"/>
      <c r="K402" s="25"/>
      <c r="L402" s="25"/>
      <c r="M402" s="12"/>
      <c r="N402" s="25"/>
      <c r="O402" s="25"/>
      <c r="P402" s="14" t="str">
        <f aca="false">IF($O402="","",IFERROR(VALUE(LEFT($O402,FIND(".",$O402)-1)),""))</f>
        <v/>
      </c>
      <c r="Q402" s="14" t="str">
        <f aca="false">IF($P402="","",IF($P402&lt;=7,"Shoshilinch",IF($P402&lt;=9,"Kechiktirib bo'lmaydigan",IF($P402&lt;=14,"Rejalashtirilgan","Rejali"))))</f>
        <v/>
      </c>
      <c r="R402" s="25"/>
      <c r="S402" s="14" t="str">
        <f aca="false">IF($K402&lt;&gt;"Kesarcha","",IF(OR($O402&lt;&gt;"",$R402="Ha"),"Ha","YO‘Q"))</f>
        <v/>
      </c>
      <c r="T402" s="12"/>
      <c r="U402" s="12"/>
      <c r="V402" s="14" t="str">
        <f aca="false">IF(OR($C402="",$D402="",$B402=""),"",IF(COUNTIFS($C$5:$C$604,$C402,$D$5:$D$604,$D402,$B$5:$B$604,$B402)&gt;1,"Takror",""))</f>
        <v/>
      </c>
    </row>
    <row r="403" customFormat="false" ht="15" hidden="false" customHeight="false" outlineLevel="0" collapsed="false">
      <c r="A403" s="8" t="n">
        <v>399</v>
      </c>
      <c r="B403" s="13"/>
      <c r="C403" s="12"/>
      <c r="D403" s="13"/>
      <c r="E403" s="24"/>
      <c r="F403" s="12"/>
      <c r="G403" s="14" t="str">
        <f aca="false">IF(OR($D403="",$B403=""),"",INT(($B403-$D403)/365.25))</f>
        <v/>
      </c>
      <c r="H403" s="14" t="str">
        <f aca="false">IF($G403="","",IF($G403&lt;18,"Ha","Yo'q"))</f>
        <v/>
      </c>
      <c r="I403" s="12"/>
      <c r="J403" s="25"/>
      <c r="K403" s="25"/>
      <c r="L403" s="25"/>
      <c r="M403" s="12"/>
      <c r="N403" s="25"/>
      <c r="O403" s="25"/>
      <c r="P403" s="14" t="str">
        <f aca="false">IF($O403="","",IFERROR(VALUE(LEFT($O403,FIND(".",$O403)-1)),""))</f>
        <v/>
      </c>
      <c r="Q403" s="14" t="str">
        <f aca="false">IF($P403="","",IF($P403&lt;=7,"Shoshilinch",IF($P403&lt;=9,"Kechiktirib bo'lmaydigan",IF($P403&lt;=14,"Rejalashtirilgan","Rejali"))))</f>
        <v/>
      </c>
      <c r="R403" s="25"/>
      <c r="S403" s="14" t="str">
        <f aca="false">IF($K403&lt;&gt;"Kesarcha","",IF(OR($O403&lt;&gt;"",$R403="Ha"),"Ha","YO‘Q"))</f>
        <v/>
      </c>
      <c r="T403" s="12"/>
      <c r="U403" s="12"/>
      <c r="V403" s="14" t="str">
        <f aca="false">IF(OR($C403="",$D403="",$B403=""),"",IF(COUNTIFS($C$5:$C$604,$C403,$D$5:$D$604,$D403,$B$5:$B$604,$B403)&gt;1,"Takror",""))</f>
        <v/>
      </c>
    </row>
    <row r="404" customFormat="false" ht="15" hidden="false" customHeight="false" outlineLevel="0" collapsed="false">
      <c r="A404" s="8" t="n">
        <v>400</v>
      </c>
      <c r="B404" s="13"/>
      <c r="C404" s="12"/>
      <c r="D404" s="13"/>
      <c r="E404" s="24"/>
      <c r="F404" s="12"/>
      <c r="G404" s="14" t="str">
        <f aca="false">IF(OR($D404="",$B404=""),"",INT(($B404-$D404)/365.25))</f>
        <v/>
      </c>
      <c r="H404" s="14" t="str">
        <f aca="false">IF($G404="","",IF($G404&lt;18,"Ha","Yo'q"))</f>
        <v/>
      </c>
      <c r="I404" s="12"/>
      <c r="J404" s="25"/>
      <c r="K404" s="25"/>
      <c r="L404" s="25"/>
      <c r="M404" s="12"/>
      <c r="N404" s="25"/>
      <c r="O404" s="25"/>
      <c r="P404" s="14" t="str">
        <f aca="false">IF($O404="","",IFERROR(VALUE(LEFT($O404,FIND(".",$O404)-1)),""))</f>
        <v/>
      </c>
      <c r="Q404" s="14" t="str">
        <f aca="false">IF($P404="","",IF($P404&lt;=7,"Shoshilinch",IF($P404&lt;=9,"Kechiktirib bo'lmaydigan",IF($P404&lt;=14,"Rejalashtirilgan","Rejali"))))</f>
        <v/>
      </c>
      <c r="R404" s="25"/>
      <c r="S404" s="14" t="str">
        <f aca="false">IF($K404&lt;&gt;"Kesarcha","",IF(OR($O404&lt;&gt;"",$R404="Ha"),"Ha","YO‘Q"))</f>
        <v/>
      </c>
      <c r="T404" s="12"/>
      <c r="U404" s="12"/>
      <c r="V404" s="14" t="str">
        <f aca="false">IF(OR($C404="",$D404="",$B404=""),"",IF(COUNTIFS($C$5:$C$604,$C404,$D$5:$D$604,$D404,$B$5:$B$604,$B404)&gt;1,"Takror",""))</f>
        <v/>
      </c>
    </row>
    <row r="405" customFormat="false" ht="15" hidden="false" customHeight="false" outlineLevel="0" collapsed="false">
      <c r="A405" s="8" t="n">
        <v>401</v>
      </c>
      <c r="B405" s="13"/>
      <c r="C405" s="12"/>
      <c r="D405" s="13"/>
      <c r="E405" s="24"/>
      <c r="F405" s="12"/>
      <c r="G405" s="14" t="str">
        <f aca="false">IF(OR($D405="",$B405=""),"",INT(($B405-$D405)/365.25))</f>
        <v/>
      </c>
      <c r="H405" s="14" t="str">
        <f aca="false">IF($G405="","",IF($G405&lt;18,"Ha","Yo'q"))</f>
        <v/>
      </c>
      <c r="I405" s="12"/>
      <c r="J405" s="25"/>
      <c r="K405" s="25"/>
      <c r="L405" s="25"/>
      <c r="M405" s="12"/>
      <c r="N405" s="25"/>
      <c r="O405" s="25"/>
      <c r="P405" s="14" t="str">
        <f aca="false">IF($O405="","",IFERROR(VALUE(LEFT($O405,FIND(".",$O405)-1)),""))</f>
        <v/>
      </c>
      <c r="Q405" s="14" t="str">
        <f aca="false">IF($P405="","",IF($P405&lt;=7,"Shoshilinch",IF($P405&lt;=9,"Kechiktirib bo'lmaydigan",IF($P405&lt;=14,"Rejalashtirilgan","Rejali"))))</f>
        <v/>
      </c>
      <c r="R405" s="25"/>
      <c r="S405" s="14" t="str">
        <f aca="false">IF($K405&lt;&gt;"Kesarcha","",IF(OR($O405&lt;&gt;"",$R405="Ha"),"Ha","YO‘Q"))</f>
        <v/>
      </c>
      <c r="T405" s="12"/>
      <c r="U405" s="12"/>
      <c r="V405" s="14" t="str">
        <f aca="false">IF(OR($C405="",$D405="",$B405=""),"",IF(COUNTIFS($C$5:$C$604,$C405,$D$5:$D$604,$D405,$B$5:$B$604,$B405)&gt;1,"Takror",""))</f>
        <v/>
      </c>
    </row>
    <row r="406" customFormat="false" ht="15" hidden="false" customHeight="false" outlineLevel="0" collapsed="false">
      <c r="A406" s="8" t="n">
        <v>402</v>
      </c>
      <c r="B406" s="13"/>
      <c r="C406" s="12"/>
      <c r="D406" s="13"/>
      <c r="E406" s="24"/>
      <c r="F406" s="12"/>
      <c r="G406" s="14" t="str">
        <f aca="false">IF(OR($D406="",$B406=""),"",INT(($B406-$D406)/365.25))</f>
        <v/>
      </c>
      <c r="H406" s="14" t="str">
        <f aca="false">IF($G406="","",IF($G406&lt;18,"Ha","Yo'q"))</f>
        <v/>
      </c>
      <c r="I406" s="12"/>
      <c r="J406" s="25"/>
      <c r="K406" s="25"/>
      <c r="L406" s="25"/>
      <c r="M406" s="12"/>
      <c r="N406" s="25"/>
      <c r="O406" s="25"/>
      <c r="P406" s="14" t="str">
        <f aca="false">IF($O406="","",IFERROR(VALUE(LEFT($O406,FIND(".",$O406)-1)),""))</f>
        <v/>
      </c>
      <c r="Q406" s="14" t="str">
        <f aca="false">IF($P406="","",IF($P406&lt;=7,"Shoshilinch",IF($P406&lt;=9,"Kechiktirib bo'lmaydigan",IF($P406&lt;=14,"Rejalashtirilgan","Rejali"))))</f>
        <v/>
      </c>
      <c r="R406" s="25"/>
      <c r="S406" s="14" t="str">
        <f aca="false">IF($K406&lt;&gt;"Kesarcha","",IF(OR($O406&lt;&gt;"",$R406="Ha"),"Ha","YO‘Q"))</f>
        <v/>
      </c>
      <c r="T406" s="12"/>
      <c r="U406" s="12"/>
      <c r="V406" s="14" t="str">
        <f aca="false">IF(OR($C406="",$D406="",$B406=""),"",IF(COUNTIFS($C$5:$C$604,$C406,$D$5:$D$604,$D406,$B$5:$B$604,$B406)&gt;1,"Takror",""))</f>
        <v/>
      </c>
    </row>
    <row r="407" customFormat="false" ht="15" hidden="false" customHeight="false" outlineLevel="0" collapsed="false">
      <c r="A407" s="8" t="n">
        <v>403</v>
      </c>
      <c r="B407" s="13"/>
      <c r="C407" s="12"/>
      <c r="D407" s="13"/>
      <c r="E407" s="24"/>
      <c r="F407" s="12"/>
      <c r="G407" s="14" t="str">
        <f aca="false">IF(OR($D407="",$B407=""),"",INT(($B407-$D407)/365.25))</f>
        <v/>
      </c>
      <c r="H407" s="14" t="str">
        <f aca="false">IF($G407="","",IF($G407&lt;18,"Ha","Yo'q"))</f>
        <v/>
      </c>
      <c r="I407" s="12"/>
      <c r="J407" s="25"/>
      <c r="K407" s="25"/>
      <c r="L407" s="25"/>
      <c r="M407" s="12"/>
      <c r="N407" s="25"/>
      <c r="O407" s="25"/>
      <c r="P407" s="14" t="str">
        <f aca="false">IF($O407="","",IFERROR(VALUE(LEFT($O407,FIND(".",$O407)-1)),""))</f>
        <v/>
      </c>
      <c r="Q407" s="14" t="str">
        <f aca="false">IF($P407="","",IF($P407&lt;=7,"Shoshilinch",IF($P407&lt;=9,"Kechiktirib bo'lmaydigan",IF($P407&lt;=14,"Rejalashtirilgan","Rejali"))))</f>
        <v/>
      </c>
      <c r="R407" s="25"/>
      <c r="S407" s="14" t="str">
        <f aca="false">IF($K407&lt;&gt;"Kesarcha","",IF(OR($O407&lt;&gt;"",$R407="Ha"),"Ha","YO‘Q"))</f>
        <v/>
      </c>
      <c r="T407" s="12"/>
      <c r="U407" s="12"/>
      <c r="V407" s="14" t="str">
        <f aca="false">IF(OR($C407="",$D407="",$B407=""),"",IF(COUNTIFS($C$5:$C$604,$C407,$D$5:$D$604,$D407,$B$5:$B$604,$B407)&gt;1,"Takror",""))</f>
        <v/>
      </c>
    </row>
    <row r="408" customFormat="false" ht="15" hidden="false" customHeight="false" outlineLevel="0" collapsed="false">
      <c r="A408" s="8" t="n">
        <v>404</v>
      </c>
      <c r="B408" s="13"/>
      <c r="C408" s="12"/>
      <c r="D408" s="13"/>
      <c r="E408" s="24"/>
      <c r="F408" s="12"/>
      <c r="G408" s="14" t="str">
        <f aca="false">IF(OR($D408="",$B408=""),"",INT(($B408-$D408)/365.25))</f>
        <v/>
      </c>
      <c r="H408" s="14" t="str">
        <f aca="false">IF($G408="","",IF($G408&lt;18,"Ha","Yo'q"))</f>
        <v/>
      </c>
      <c r="I408" s="12"/>
      <c r="J408" s="25"/>
      <c r="K408" s="25"/>
      <c r="L408" s="25"/>
      <c r="M408" s="12"/>
      <c r="N408" s="25"/>
      <c r="O408" s="25"/>
      <c r="P408" s="14" t="str">
        <f aca="false">IF($O408="","",IFERROR(VALUE(LEFT($O408,FIND(".",$O408)-1)),""))</f>
        <v/>
      </c>
      <c r="Q408" s="14" t="str">
        <f aca="false">IF($P408="","",IF($P408&lt;=7,"Shoshilinch",IF($P408&lt;=9,"Kechiktirib bo'lmaydigan",IF($P408&lt;=14,"Rejalashtirilgan","Rejali"))))</f>
        <v/>
      </c>
      <c r="R408" s="25"/>
      <c r="S408" s="14" t="str">
        <f aca="false">IF($K408&lt;&gt;"Kesarcha","",IF(OR($O408&lt;&gt;"",$R408="Ha"),"Ha","YO‘Q"))</f>
        <v/>
      </c>
      <c r="T408" s="12"/>
      <c r="U408" s="12"/>
      <c r="V408" s="14" t="str">
        <f aca="false">IF(OR($C408="",$D408="",$B408=""),"",IF(COUNTIFS($C$5:$C$604,$C408,$D$5:$D$604,$D408,$B$5:$B$604,$B408)&gt;1,"Takror",""))</f>
        <v/>
      </c>
    </row>
    <row r="409" customFormat="false" ht="15" hidden="false" customHeight="false" outlineLevel="0" collapsed="false">
      <c r="A409" s="8" t="n">
        <v>405</v>
      </c>
      <c r="B409" s="13"/>
      <c r="C409" s="12"/>
      <c r="D409" s="13"/>
      <c r="E409" s="24"/>
      <c r="F409" s="12"/>
      <c r="G409" s="14" t="str">
        <f aca="false">IF(OR($D409="",$B409=""),"",INT(($B409-$D409)/365.25))</f>
        <v/>
      </c>
      <c r="H409" s="14" t="str">
        <f aca="false">IF($G409="","",IF($G409&lt;18,"Ha","Yo'q"))</f>
        <v/>
      </c>
      <c r="I409" s="12"/>
      <c r="J409" s="25"/>
      <c r="K409" s="25"/>
      <c r="L409" s="25"/>
      <c r="M409" s="12"/>
      <c r="N409" s="25"/>
      <c r="O409" s="25"/>
      <c r="P409" s="14" t="str">
        <f aca="false">IF($O409="","",IFERROR(VALUE(LEFT($O409,FIND(".",$O409)-1)),""))</f>
        <v/>
      </c>
      <c r="Q409" s="14" t="str">
        <f aca="false">IF($P409="","",IF($P409&lt;=7,"Shoshilinch",IF($P409&lt;=9,"Kechiktirib bo'lmaydigan",IF($P409&lt;=14,"Rejalashtirilgan","Rejali"))))</f>
        <v/>
      </c>
      <c r="R409" s="25"/>
      <c r="S409" s="14" t="str">
        <f aca="false">IF($K409&lt;&gt;"Kesarcha","",IF(OR($O409&lt;&gt;"",$R409="Ha"),"Ha","YO‘Q"))</f>
        <v/>
      </c>
      <c r="T409" s="12"/>
      <c r="U409" s="12"/>
      <c r="V409" s="14" t="str">
        <f aca="false">IF(OR($C409="",$D409="",$B409=""),"",IF(COUNTIFS($C$5:$C$604,$C409,$D$5:$D$604,$D409,$B$5:$B$604,$B409)&gt;1,"Takror",""))</f>
        <v/>
      </c>
    </row>
    <row r="410" customFormat="false" ht="15" hidden="false" customHeight="false" outlineLevel="0" collapsed="false">
      <c r="A410" s="8" t="n">
        <v>406</v>
      </c>
      <c r="B410" s="13"/>
      <c r="C410" s="12"/>
      <c r="D410" s="13"/>
      <c r="E410" s="24"/>
      <c r="F410" s="12"/>
      <c r="G410" s="14" t="str">
        <f aca="false">IF(OR($D410="",$B410=""),"",INT(($B410-$D410)/365.25))</f>
        <v/>
      </c>
      <c r="H410" s="14" t="str">
        <f aca="false">IF($G410="","",IF($G410&lt;18,"Ha","Yo'q"))</f>
        <v/>
      </c>
      <c r="I410" s="12"/>
      <c r="J410" s="25"/>
      <c r="K410" s="25"/>
      <c r="L410" s="25"/>
      <c r="M410" s="12"/>
      <c r="N410" s="25"/>
      <c r="O410" s="25"/>
      <c r="P410" s="14" t="str">
        <f aca="false">IF($O410="","",IFERROR(VALUE(LEFT($O410,FIND(".",$O410)-1)),""))</f>
        <v/>
      </c>
      <c r="Q410" s="14" t="str">
        <f aca="false">IF($P410="","",IF($P410&lt;=7,"Shoshilinch",IF($P410&lt;=9,"Kechiktirib bo'lmaydigan",IF($P410&lt;=14,"Rejalashtirilgan","Rejali"))))</f>
        <v/>
      </c>
      <c r="R410" s="25"/>
      <c r="S410" s="14" t="str">
        <f aca="false">IF($K410&lt;&gt;"Kesarcha","",IF(OR($O410&lt;&gt;"",$R410="Ha"),"Ha","YO‘Q"))</f>
        <v/>
      </c>
      <c r="T410" s="12"/>
      <c r="U410" s="12"/>
      <c r="V410" s="14" t="str">
        <f aca="false">IF(OR($C410="",$D410="",$B410=""),"",IF(COUNTIFS($C$5:$C$604,$C410,$D$5:$D$604,$D410,$B$5:$B$604,$B410)&gt;1,"Takror",""))</f>
        <v/>
      </c>
    </row>
    <row r="411" customFormat="false" ht="15" hidden="false" customHeight="false" outlineLevel="0" collapsed="false">
      <c r="A411" s="8" t="n">
        <v>407</v>
      </c>
      <c r="B411" s="13"/>
      <c r="C411" s="12"/>
      <c r="D411" s="13"/>
      <c r="E411" s="24"/>
      <c r="F411" s="12"/>
      <c r="G411" s="14" t="str">
        <f aca="false">IF(OR($D411="",$B411=""),"",INT(($B411-$D411)/365.25))</f>
        <v/>
      </c>
      <c r="H411" s="14" t="str">
        <f aca="false">IF($G411="","",IF($G411&lt;18,"Ha","Yo'q"))</f>
        <v/>
      </c>
      <c r="I411" s="12"/>
      <c r="J411" s="25"/>
      <c r="K411" s="25"/>
      <c r="L411" s="25"/>
      <c r="M411" s="12"/>
      <c r="N411" s="25"/>
      <c r="O411" s="25"/>
      <c r="P411" s="14" t="str">
        <f aca="false">IF($O411="","",IFERROR(VALUE(LEFT($O411,FIND(".",$O411)-1)),""))</f>
        <v/>
      </c>
      <c r="Q411" s="14" t="str">
        <f aca="false">IF($P411="","",IF($P411&lt;=7,"Shoshilinch",IF($P411&lt;=9,"Kechiktirib bo'lmaydigan",IF($P411&lt;=14,"Rejalashtirilgan","Rejali"))))</f>
        <v/>
      </c>
      <c r="R411" s="25"/>
      <c r="S411" s="14" t="str">
        <f aca="false">IF($K411&lt;&gt;"Kesarcha","",IF(OR($O411&lt;&gt;"",$R411="Ha"),"Ha","YO‘Q"))</f>
        <v/>
      </c>
      <c r="T411" s="12"/>
      <c r="U411" s="12"/>
      <c r="V411" s="14" t="str">
        <f aca="false">IF(OR($C411="",$D411="",$B411=""),"",IF(COUNTIFS($C$5:$C$604,$C411,$D$5:$D$604,$D411,$B$5:$B$604,$B411)&gt;1,"Takror",""))</f>
        <v/>
      </c>
    </row>
    <row r="412" customFormat="false" ht="15" hidden="false" customHeight="false" outlineLevel="0" collapsed="false">
      <c r="A412" s="8" t="n">
        <v>408</v>
      </c>
      <c r="B412" s="13"/>
      <c r="C412" s="12"/>
      <c r="D412" s="13"/>
      <c r="E412" s="24"/>
      <c r="F412" s="12"/>
      <c r="G412" s="14" t="str">
        <f aca="false">IF(OR($D412="",$B412=""),"",INT(($B412-$D412)/365.25))</f>
        <v/>
      </c>
      <c r="H412" s="14" t="str">
        <f aca="false">IF($G412="","",IF($G412&lt;18,"Ha","Yo'q"))</f>
        <v/>
      </c>
      <c r="I412" s="12"/>
      <c r="J412" s="25"/>
      <c r="K412" s="25"/>
      <c r="L412" s="25"/>
      <c r="M412" s="12"/>
      <c r="N412" s="25"/>
      <c r="O412" s="25"/>
      <c r="P412" s="14" t="str">
        <f aca="false">IF($O412="","",IFERROR(VALUE(LEFT($O412,FIND(".",$O412)-1)),""))</f>
        <v/>
      </c>
      <c r="Q412" s="14" t="str">
        <f aca="false">IF($P412="","",IF($P412&lt;=7,"Shoshilinch",IF($P412&lt;=9,"Kechiktirib bo'lmaydigan",IF($P412&lt;=14,"Rejalashtirilgan","Rejali"))))</f>
        <v/>
      </c>
      <c r="R412" s="25"/>
      <c r="S412" s="14" t="str">
        <f aca="false">IF($K412&lt;&gt;"Kesarcha","",IF(OR($O412&lt;&gt;"",$R412="Ha"),"Ha","YO‘Q"))</f>
        <v/>
      </c>
      <c r="T412" s="12"/>
      <c r="U412" s="12"/>
      <c r="V412" s="14" t="str">
        <f aca="false">IF(OR($C412="",$D412="",$B412=""),"",IF(COUNTIFS($C$5:$C$604,$C412,$D$5:$D$604,$D412,$B$5:$B$604,$B412)&gt;1,"Takror",""))</f>
        <v/>
      </c>
    </row>
    <row r="413" customFormat="false" ht="15" hidden="false" customHeight="false" outlineLevel="0" collapsed="false">
      <c r="A413" s="8" t="n">
        <v>409</v>
      </c>
      <c r="B413" s="13"/>
      <c r="C413" s="12"/>
      <c r="D413" s="13"/>
      <c r="E413" s="24"/>
      <c r="F413" s="12"/>
      <c r="G413" s="14" t="str">
        <f aca="false">IF(OR($D413="",$B413=""),"",INT(($B413-$D413)/365.25))</f>
        <v/>
      </c>
      <c r="H413" s="14" t="str">
        <f aca="false">IF($G413="","",IF($G413&lt;18,"Ha","Yo'q"))</f>
        <v/>
      </c>
      <c r="I413" s="12"/>
      <c r="J413" s="25"/>
      <c r="K413" s="25"/>
      <c r="L413" s="25"/>
      <c r="M413" s="12"/>
      <c r="N413" s="25"/>
      <c r="O413" s="25"/>
      <c r="P413" s="14" t="str">
        <f aca="false">IF($O413="","",IFERROR(VALUE(LEFT($O413,FIND(".",$O413)-1)),""))</f>
        <v/>
      </c>
      <c r="Q413" s="14" t="str">
        <f aca="false">IF($P413="","",IF($P413&lt;=7,"Shoshilinch",IF($P413&lt;=9,"Kechiktirib bo'lmaydigan",IF($P413&lt;=14,"Rejalashtirilgan","Rejali"))))</f>
        <v/>
      </c>
      <c r="R413" s="25"/>
      <c r="S413" s="14" t="str">
        <f aca="false">IF($K413&lt;&gt;"Kesarcha","",IF(OR($O413&lt;&gt;"",$R413="Ha"),"Ha","YO‘Q"))</f>
        <v/>
      </c>
      <c r="T413" s="12"/>
      <c r="U413" s="12"/>
      <c r="V413" s="14" t="str">
        <f aca="false">IF(OR($C413="",$D413="",$B413=""),"",IF(COUNTIFS($C$5:$C$604,$C413,$D$5:$D$604,$D413,$B$5:$B$604,$B413)&gt;1,"Takror",""))</f>
        <v/>
      </c>
    </row>
    <row r="414" customFormat="false" ht="15" hidden="false" customHeight="false" outlineLevel="0" collapsed="false">
      <c r="A414" s="8" t="n">
        <v>410</v>
      </c>
      <c r="B414" s="13"/>
      <c r="C414" s="12"/>
      <c r="D414" s="13"/>
      <c r="E414" s="24"/>
      <c r="F414" s="12"/>
      <c r="G414" s="14" t="str">
        <f aca="false">IF(OR($D414="",$B414=""),"",INT(($B414-$D414)/365.25))</f>
        <v/>
      </c>
      <c r="H414" s="14" t="str">
        <f aca="false">IF($G414="","",IF($G414&lt;18,"Ha","Yo'q"))</f>
        <v/>
      </c>
      <c r="I414" s="12"/>
      <c r="J414" s="25"/>
      <c r="K414" s="25"/>
      <c r="L414" s="25"/>
      <c r="M414" s="12"/>
      <c r="N414" s="25"/>
      <c r="O414" s="25"/>
      <c r="P414" s="14" t="str">
        <f aca="false">IF($O414="","",IFERROR(VALUE(LEFT($O414,FIND(".",$O414)-1)),""))</f>
        <v/>
      </c>
      <c r="Q414" s="14" t="str">
        <f aca="false">IF($P414="","",IF($P414&lt;=7,"Shoshilinch",IF($P414&lt;=9,"Kechiktirib bo'lmaydigan",IF($P414&lt;=14,"Rejalashtirilgan","Rejali"))))</f>
        <v/>
      </c>
      <c r="R414" s="25"/>
      <c r="S414" s="14" t="str">
        <f aca="false">IF($K414&lt;&gt;"Kesarcha","",IF(OR($O414&lt;&gt;"",$R414="Ha"),"Ha","YO‘Q"))</f>
        <v/>
      </c>
      <c r="T414" s="12"/>
      <c r="U414" s="12"/>
      <c r="V414" s="14" t="str">
        <f aca="false">IF(OR($C414="",$D414="",$B414=""),"",IF(COUNTIFS($C$5:$C$604,$C414,$D$5:$D$604,$D414,$B$5:$B$604,$B414)&gt;1,"Takror",""))</f>
        <v/>
      </c>
    </row>
    <row r="415" customFormat="false" ht="15" hidden="false" customHeight="false" outlineLevel="0" collapsed="false">
      <c r="A415" s="8" t="n">
        <v>411</v>
      </c>
      <c r="B415" s="13"/>
      <c r="C415" s="12"/>
      <c r="D415" s="13"/>
      <c r="E415" s="24"/>
      <c r="F415" s="12"/>
      <c r="G415" s="14" t="str">
        <f aca="false">IF(OR($D415="",$B415=""),"",INT(($B415-$D415)/365.25))</f>
        <v/>
      </c>
      <c r="H415" s="14" t="str">
        <f aca="false">IF($G415="","",IF($G415&lt;18,"Ha","Yo'q"))</f>
        <v/>
      </c>
      <c r="I415" s="12"/>
      <c r="J415" s="25"/>
      <c r="K415" s="25"/>
      <c r="L415" s="25"/>
      <c r="M415" s="12"/>
      <c r="N415" s="25"/>
      <c r="O415" s="25"/>
      <c r="P415" s="14" t="str">
        <f aca="false">IF($O415="","",IFERROR(VALUE(LEFT($O415,FIND(".",$O415)-1)),""))</f>
        <v/>
      </c>
      <c r="Q415" s="14" t="str">
        <f aca="false">IF($P415="","",IF($P415&lt;=7,"Shoshilinch",IF($P415&lt;=9,"Kechiktirib bo'lmaydigan",IF($P415&lt;=14,"Rejalashtirilgan","Rejali"))))</f>
        <v/>
      </c>
      <c r="R415" s="25"/>
      <c r="S415" s="14" t="str">
        <f aca="false">IF($K415&lt;&gt;"Kesarcha","",IF(OR($O415&lt;&gt;"",$R415="Ha"),"Ha","YO‘Q"))</f>
        <v/>
      </c>
      <c r="T415" s="12"/>
      <c r="U415" s="12"/>
      <c r="V415" s="14" t="str">
        <f aca="false">IF(OR($C415="",$D415="",$B415=""),"",IF(COUNTIFS($C$5:$C$604,$C415,$D$5:$D$604,$D415,$B$5:$B$604,$B415)&gt;1,"Takror",""))</f>
        <v/>
      </c>
    </row>
    <row r="416" customFormat="false" ht="15" hidden="false" customHeight="false" outlineLevel="0" collapsed="false">
      <c r="A416" s="8" t="n">
        <v>412</v>
      </c>
      <c r="B416" s="13"/>
      <c r="C416" s="12"/>
      <c r="D416" s="13"/>
      <c r="E416" s="24"/>
      <c r="F416" s="12"/>
      <c r="G416" s="14" t="str">
        <f aca="false">IF(OR($D416="",$B416=""),"",INT(($B416-$D416)/365.25))</f>
        <v/>
      </c>
      <c r="H416" s="14" t="str">
        <f aca="false">IF($G416="","",IF($G416&lt;18,"Ha","Yo'q"))</f>
        <v/>
      </c>
      <c r="I416" s="12"/>
      <c r="J416" s="25"/>
      <c r="K416" s="25"/>
      <c r="L416" s="25"/>
      <c r="M416" s="12"/>
      <c r="N416" s="25"/>
      <c r="O416" s="25"/>
      <c r="P416" s="14" t="str">
        <f aca="false">IF($O416="","",IFERROR(VALUE(LEFT($O416,FIND(".",$O416)-1)),""))</f>
        <v/>
      </c>
      <c r="Q416" s="14" t="str">
        <f aca="false">IF($P416="","",IF($P416&lt;=7,"Shoshilinch",IF($P416&lt;=9,"Kechiktirib bo'lmaydigan",IF($P416&lt;=14,"Rejalashtirilgan","Rejali"))))</f>
        <v/>
      </c>
      <c r="R416" s="25"/>
      <c r="S416" s="14" t="str">
        <f aca="false">IF($K416&lt;&gt;"Kesarcha","",IF(OR($O416&lt;&gt;"",$R416="Ha"),"Ha","YO‘Q"))</f>
        <v/>
      </c>
      <c r="T416" s="12"/>
      <c r="U416" s="12"/>
      <c r="V416" s="14" t="str">
        <f aca="false">IF(OR($C416="",$D416="",$B416=""),"",IF(COUNTIFS($C$5:$C$604,$C416,$D$5:$D$604,$D416,$B$5:$B$604,$B416)&gt;1,"Takror",""))</f>
        <v/>
      </c>
    </row>
    <row r="417" customFormat="false" ht="15" hidden="false" customHeight="false" outlineLevel="0" collapsed="false">
      <c r="A417" s="8" t="n">
        <v>413</v>
      </c>
      <c r="B417" s="13"/>
      <c r="C417" s="12"/>
      <c r="D417" s="13"/>
      <c r="E417" s="24"/>
      <c r="F417" s="12"/>
      <c r="G417" s="14" t="str">
        <f aca="false">IF(OR($D417="",$B417=""),"",INT(($B417-$D417)/365.25))</f>
        <v/>
      </c>
      <c r="H417" s="14" t="str">
        <f aca="false">IF($G417="","",IF($G417&lt;18,"Ha","Yo'q"))</f>
        <v/>
      </c>
      <c r="I417" s="12"/>
      <c r="J417" s="25"/>
      <c r="K417" s="25"/>
      <c r="L417" s="25"/>
      <c r="M417" s="12"/>
      <c r="N417" s="25"/>
      <c r="O417" s="25"/>
      <c r="P417" s="14" t="str">
        <f aca="false">IF($O417="","",IFERROR(VALUE(LEFT($O417,FIND(".",$O417)-1)),""))</f>
        <v/>
      </c>
      <c r="Q417" s="14" t="str">
        <f aca="false">IF($P417="","",IF($P417&lt;=7,"Shoshilinch",IF($P417&lt;=9,"Kechiktirib bo'lmaydigan",IF($P417&lt;=14,"Rejalashtirilgan","Rejali"))))</f>
        <v/>
      </c>
      <c r="R417" s="25"/>
      <c r="S417" s="14" t="str">
        <f aca="false">IF($K417&lt;&gt;"Kesarcha","",IF(OR($O417&lt;&gt;"",$R417="Ha"),"Ha","YO‘Q"))</f>
        <v/>
      </c>
      <c r="T417" s="12"/>
      <c r="U417" s="12"/>
      <c r="V417" s="14" t="str">
        <f aca="false">IF(OR($C417="",$D417="",$B417=""),"",IF(COUNTIFS($C$5:$C$604,$C417,$D$5:$D$604,$D417,$B$5:$B$604,$B417)&gt;1,"Takror",""))</f>
        <v/>
      </c>
    </row>
    <row r="418" customFormat="false" ht="15" hidden="false" customHeight="false" outlineLevel="0" collapsed="false">
      <c r="A418" s="8" t="n">
        <v>414</v>
      </c>
      <c r="B418" s="13"/>
      <c r="C418" s="12"/>
      <c r="D418" s="13"/>
      <c r="E418" s="24"/>
      <c r="F418" s="12"/>
      <c r="G418" s="14" t="str">
        <f aca="false">IF(OR($D418="",$B418=""),"",INT(($B418-$D418)/365.25))</f>
        <v/>
      </c>
      <c r="H418" s="14" t="str">
        <f aca="false">IF($G418="","",IF($G418&lt;18,"Ha","Yo'q"))</f>
        <v/>
      </c>
      <c r="I418" s="12"/>
      <c r="J418" s="25"/>
      <c r="K418" s="25"/>
      <c r="L418" s="25"/>
      <c r="M418" s="12"/>
      <c r="N418" s="25"/>
      <c r="O418" s="25"/>
      <c r="P418" s="14" t="str">
        <f aca="false">IF($O418="","",IFERROR(VALUE(LEFT($O418,FIND(".",$O418)-1)),""))</f>
        <v/>
      </c>
      <c r="Q418" s="14" t="str">
        <f aca="false">IF($P418="","",IF($P418&lt;=7,"Shoshilinch",IF($P418&lt;=9,"Kechiktirib bo'lmaydigan",IF($P418&lt;=14,"Rejalashtirilgan","Rejali"))))</f>
        <v/>
      </c>
      <c r="R418" s="25"/>
      <c r="S418" s="14" t="str">
        <f aca="false">IF($K418&lt;&gt;"Kesarcha","",IF(OR($O418&lt;&gt;"",$R418="Ha"),"Ha","YO‘Q"))</f>
        <v/>
      </c>
      <c r="T418" s="12"/>
      <c r="U418" s="12"/>
      <c r="V418" s="14" t="str">
        <f aca="false">IF(OR($C418="",$D418="",$B418=""),"",IF(COUNTIFS($C$5:$C$604,$C418,$D$5:$D$604,$D418,$B$5:$B$604,$B418)&gt;1,"Takror",""))</f>
        <v/>
      </c>
    </row>
    <row r="419" customFormat="false" ht="15" hidden="false" customHeight="false" outlineLevel="0" collapsed="false">
      <c r="A419" s="8" t="n">
        <v>415</v>
      </c>
      <c r="B419" s="13"/>
      <c r="C419" s="12"/>
      <c r="D419" s="13"/>
      <c r="E419" s="24"/>
      <c r="F419" s="12"/>
      <c r="G419" s="14" t="str">
        <f aca="false">IF(OR($D419="",$B419=""),"",INT(($B419-$D419)/365.25))</f>
        <v/>
      </c>
      <c r="H419" s="14" t="str">
        <f aca="false">IF($G419="","",IF($G419&lt;18,"Ha","Yo'q"))</f>
        <v/>
      </c>
      <c r="I419" s="12"/>
      <c r="J419" s="25"/>
      <c r="K419" s="25"/>
      <c r="L419" s="25"/>
      <c r="M419" s="12"/>
      <c r="N419" s="25"/>
      <c r="O419" s="25"/>
      <c r="P419" s="14" t="str">
        <f aca="false">IF($O419="","",IFERROR(VALUE(LEFT($O419,FIND(".",$O419)-1)),""))</f>
        <v/>
      </c>
      <c r="Q419" s="14" t="str">
        <f aca="false">IF($P419="","",IF($P419&lt;=7,"Shoshilinch",IF($P419&lt;=9,"Kechiktirib bo'lmaydigan",IF($P419&lt;=14,"Rejalashtirilgan","Rejali"))))</f>
        <v/>
      </c>
      <c r="R419" s="25"/>
      <c r="S419" s="14" t="str">
        <f aca="false">IF($K419&lt;&gt;"Kesarcha","",IF(OR($O419&lt;&gt;"",$R419="Ha"),"Ha","YO‘Q"))</f>
        <v/>
      </c>
      <c r="T419" s="12"/>
      <c r="U419" s="12"/>
      <c r="V419" s="14" t="str">
        <f aca="false">IF(OR($C419="",$D419="",$B419=""),"",IF(COUNTIFS($C$5:$C$604,$C419,$D$5:$D$604,$D419,$B$5:$B$604,$B419)&gt;1,"Takror",""))</f>
        <v/>
      </c>
    </row>
    <row r="420" customFormat="false" ht="15" hidden="false" customHeight="false" outlineLevel="0" collapsed="false">
      <c r="A420" s="8" t="n">
        <v>416</v>
      </c>
      <c r="B420" s="13"/>
      <c r="C420" s="12"/>
      <c r="D420" s="13"/>
      <c r="E420" s="24"/>
      <c r="F420" s="12"/>
      <c r="G420" s="14" t="str">
        <f aca="false">IF(OR($D420="",$B420=""),"",INT(($B420-$D420)/365.25))</f>
        <v/>
      </c>
      <c r="H420" s="14" t="str">
        <f aca="false">IF($G420="","",IF($G420&lt;18,"Ha","Yo'q"))</f>
        <v/>
      </c>
      <c r="I420" s="12"/>
      <c r="J420" s="25"/>
      <c r="K420" s="25"/>
      <c r="L420" s="25"/>
      <c r="M420" s="12"/>
      <c r="N420" s="25"/>
      <c r="O420" s="25"/>
      <c r="P420" s="14" t="str">
        <f aca="false">IF($O420="","",IFERROR(VALUE(LEFT($O420,FIND(".",$O420)-1)),""))</f>
        <v/>
      </c>
      <c r="Q420" s="14" t="str">
        <f aca="false">IF($P420="","",IF($P420&lt;=7,"Shoshilinch",IF($P420&lt;=9,"Kechiktirib bo'lmaydigan",IF($P420&lt;=14,"Rejalashtirilgan","Rejali"))))</f>
        <v/>
      </c>
      <c r="R420" s="25"/>
      <c r="S420" s="14" t="str">
        <f aca="false">IF($K420&lt;&gt;"Kesarcha","",IF(OR($O420&lt;&gt;"",$R420="Ha"),"Ha","YO‘Q"))</f>
        <v/>
      </c>
      <c r="T420" s="12"/>
      <c r="U420" s="12"/>
      <c r="V420" s="14" t="str">
        <f aca="false">IF(OR($C420="",$D420="",$B420=""),"",IF(COUNTIFS($C$5:$C$604,$C420,$D$5:$D$604,$D420,$B$5:$B$604,$B420)&gt;1,"Takror",""))</f>
        <v/>
      </c>
    </row>
    <row r="421" customFormat="false" ht="15" hidden="false" customHeight="false" outlineLevel="0" collapsed="false">
      <c r="A421" s="8" t="n">
        <v>417</v>
      </c>
      <c r="B421" s="13"/>
      <c r="C421" s="12"/>
      <c r="D421" s="13"/>
      <c r="E421" s="24"/>
      <c r="F421" s="12"/>
      <c r="G421" s="14" t="str">
        <f aca="false">IF(OR($D421="",$B421=""),"",INT(($B421-$D421)/365.25))</f>
        <v/>
      </c>
      <c r="H421" s="14" t="str">
        <f aca="false">IF($G421="","",IF($G421&lt;18,"Ha","Yo'q"))</f>
        <v/>
      </c>
      <c r="I421" s="12"/>
      <c r="J421" s="25"/>
      <c r="K421" s="25"/>
      <c r="L421" s="25"/>
      <c r="M421" s="12"/>
      <c r="N421" s="25"/>
      <c r="O421" s="25"/>
      <c r="P421" s="14" t="str">
        <f aca="false">IF($O421="","",IFERROR(VALUE(LEFT($O421,FIND(".",$O421)-1)),""))</f>
        <v/>
      </c>
      <c r="Q421" s="14" t="str">
        <f aca="false">IF($P421="","",IF($P421&lt;=7,"Shoshilinch",IF($P421&lt;=9,"Kechiktirib bo'lmaydigan",IF($P421&lt;=14,"Rejalashtirilgan","Rejali"))))</f>
        <v/>
      </c>
      <c r="R421" s="25"/>
      <c r="S421" s="14" t="str">
        <f aca="false">IF($K421&lt;&gt;"Kesarcha","",IF(OR($O421&lt;&gt;"",$R421="Ha"),"Ha","YO‘Q"))</f>
        <v/>
      </c>
      <c r="T421" s="12"/>
      <c r="U421" s="12"/>
      <c r="V421" s="14" t="str">
        <f aca="false">IF(OR($C421="",$D421="",$B421=""),"",IF(COUNTIFS($C$5:$C$604,$C421,$D$5:$D$604,$D421,$B$5:$B$604,$B421)&gt;1,"Takror",""))</f>
        <v/>
      </c>
    </row>
    <row r="422" customFormat="false" ht="15" hidden="false" customHeight="false" outlineLevel="0" collapsed="false">
      <c r="A422" s="8" t="n">
        <v>418</v>
      </c>
      <c r="B422" s="13"/>
      <c r="C422" s="12"/>
      <c r="D422" s="13"/>
      <c r="E422" s="24"/>
      <c r="F422" s="12"/>
      <c r="G422" s="14" t="str">
        <f aca="false">IF(OR($D422="",$B422=""),"",INT(($B422-$D422)/365.25))</f>
        <v/>
      </c>
      <c r="H422" s="14" t="str">
        <f aca="false">IF($G422="","",IF($G422&lt;18,"Ha","Yo'q"))</f>
        <v/>
      </c>
      <c r="I422" s="12"/>
      <c r="J422" s="25"/>
      <c r="K422" s="25"/>
      <c r="L422" s="25"/>
      <c r="M422" s="12"/>
      <c r="N422" s="25"/>
      <c r="O422" s="25"/>
      <c r="P422" s="14" t="str">
        <f aca="false">IF($O422="","",IFERROR(VALUE(LEFT($O422,FIND(".",$O422)-1)),""))</f>
        <v/>
      </c>
      <c r="Q422" s="14" t="str">
        <f aca="false">IF($P422="","",IF($P422&lt;=7,"Shoshilinch",IF($P422&lt;=9,"Kechiktirib bo'lmaydigan",IF($P422&lt;=14,"Rejalashtirilgan","Rejali"))))</f>
        <v/>
      </c>
      <c r="R422" s="25"/>
      <c r="S422" s="14" t="str">
        <f aca="false">IF($K422&lt;&gt;"Kesarcha","",IF(OR($O422&lt;&gt;"",$R422="Ha"),"Ha","YO‘Q"))</f>
        <v/>
      </c>
      <c r="T422" s="12"/>
      <c r="U422" s="12"/>
      <c r="V422" s="14" t="str">
        <f aca="false">IF(OR($C422="",$D422="",$B422=""),"",IF(COUNTIFS($C$5:$C$604,$C422,$D$5:$D$604,$D422,$B$5:$B$604,$B422)&gt;1,"Takror",""))</f>
        <v/>
      </c>
    </row>
    <row r="423" customFormat="false" ht="15" hidden="false" customHeight="false" outlineLevel="0" collapsed="false">
      <c r="A423" s="8" t="n">
        <v>419</v>
      </c>
      <c r="B423" s="13"/>
      <c r="C423" s="12"/>
      <c r="D423" s="13"/>
      <c r="E423" s="24"/>
      <c r="F423" s="12"/>
      <c r="G423" s="14" t="str">
        <f aca="false">IF(OR($D423="",$B423=""),"",INT(($B423-$D423)/365.25))</f>
        <v/>
      </c>
      <c r="H423" s="14" t="str">
        <f aca="false">IF($G423="","",IF($G423&lt;18,"Ha","Yo'q"))</f>
        <v/>
      </c>
      <c r="I423" s="12"/>
      <c r="J423" s="25"/>
      <c r="K423" s="25"/>
      <c r="L423" s="25"/>
      <c r="M423" s="12"/>
      <c r="N423" s="25"/>
      <c r="O423" s="25"/>
      <c r="P423" s="14" t="str">
        <f aca="false">IF($O423="","",IFERROR(VALUE(LEFT($O423,FIND(".",$O423)-1)),""))</f>
        <v/>
      </c>
      <c r="Q423" s="14" t="str">
        <f aca="false">IF($P423="","",IF($P423&lt;=7,"Shoshilinch",IF($P423&lt;=9,"Kechiktirib bo'lmaydigan",IF($P423&lt;=14,"Rejalashtirilgan","Rejali"))))</f>
        <v/>
      </c>
      <c r="R423" s="25"/>
      <c r="S423" s="14" t="str">
        <f aca="false">IF($K423&lt;&gt;"Kesarcha","",IF(OR($O423&lt;&gt;"",$R423="Ha"),"Ha","YO‘Q"))</f>
        <v/>
      </c>
      <c r="T423" s="12"/>
      <c r="U423" s="12"/>
      <c r="V423" s="14" t="str">
        <f aca="false">IF(OR($C423="",$D423="",$B423=""),"",IF(COUNTIFS($C$5:$C$604,$C423,$D$5:$D$604,$D423,$B$5:$B$604,$B423)&gt;1,"Takror",""))</f>
        <v/>
      </c>
    </row>
    <row r="424" customFormat="false" ht="15" hidden="false" customHeight="false" outlineLevel="0" collapsed="false">
      <c r="A424" s="8" t="n">
        <v>420</v>
      </c>
      <c r="B424" s="13"/>
      <c r="C424" s="12"/>
      <c r="D424" s="13"/>
      <c r="E424" s="24"/>
      <c r="F424" s="12"/>
      <c r="G424" s="14" t="str">
        <f aca="false">IF(OR($D424="",$B424=""),"",INT(($B424-$D424)/365.25))</f>
        <v/>
      </c>
      <c r="H424" s="14" t="str">
        <f aca="false">IF($G424="","",IF($G424&lt;18,"Ha","Yo'q"))</f>
        <v/>
      </c>
      <c r="I424" s="12"/>
      <c r="J424" s="25"/>
      <c r="K424" s="25"/>
      <c r="L424" s="25"/>
      <c r="M424" s="12"/>
      <c r="N424" s="25"/>
      <c r="O424" s="25"/>
      <c r="P424" s="14" t="str">
        <f aca="false">IF($O424="","",IFERROR(VALUE(LEFT($O424,FIND(".",$O424)-1)),""))</f>
        <v/>
      </c>
      <c r="Q424" s="14" t="str">
        <f aca="false">IF($P424="","",IF($P424&lt;=7,"Shoshilinch",IF($P424&lt;=9,"Kechiktirib bo'lmaydigan",IF($P424&lt;=14,"Rejalashtirilgan","Rejali"))))</f>
        <v/>
      </c>
      <c r="R424" s="25"/>
      <c r="S424" s="14" t="str">
        <f aca="false">IF($K424&lt;&gt;"Kesarcha","",IF(OR($O424&lt;&gt;"",$R424="Ha"),"Ha","YO‘Q"))</f>
        <v/>
      </c>
      <c r="T424" s="12"/>
      <c r="U424" s="12"/>
      <c r="V424" s="14" t="str">
        <f aca="false">IF(OR($C424="",$D424="",$B424=""),"",IF(COUNTIFS($C$5:$C$604,$C424,$D$5:$D$604,$D424,$B$5:$B$604,$B424)&gt;1,"Takror",""))</f>
        <v/>
      </c>
    </row>
    <row r="425" customFormat="false" ht="15" hidden="false" customHeight="false" outlineLevel="0" collapsed="false">
      <c r="A425" s="8" t="n">
        <v>421</v>
      </c>
      <c r="B425" s="13"/>
      <c r="C425" s="12"/>
      <c r="D425" s="13"/>
      <c r="E425" s="24"/>
      <c r="F425" s="12"/>
      <c r="G425" s="14" t="str">
        <f aca="false">IF(OR($D425="",$B425=""),"",INT(($B425-$D425)/365.25))</f>
        <v/>
      </c>
      <c r="H425" s="14" t="str">
        <f aca="false">IF($G425="","",IF($G425&lt;18,"Ha","Yo'q"))</f>
        <v/>
      </c>
      <c r="I425" s="12"/>
      <c r="J425" s="25"/>
      <c r="K425" s="25"/>
      <c r="L425" s="25"/>
      <c r="M425" s="12"/>
      <c r="N425" s="25"/>
      <c r="O425" s="25"/>
      <c r="P425" s="14" t="str">
        <f aca="false">IF($O425="","",IFERROR(VALUE(LEFT($O425,FIND(".",$O425)-1)),""))</f>
        <v/>
      </c>
      <c r="Q425" s="14" t="str">
        <f aca="false">IF($P425="","",IF($P425&lt;=7,"Shoshilinch",IF($P425&lt;=9,"Kechiktirib bo'lmaydigan",IF($P425&lt;=14,"Rejalashtirilgan","Rejali"))))</f>
        <v/>
      </c>
      <c r="R425" s="25"/>
      <c r="S425" s="14" t="str">
        <f aca="false">IF($K425&lt;&gt;"Kesarcha","",IF(OR($O425&lt;&gt;"",$R425="Ha"),"Ha","YO‘Q"))</f>
        <v/>
      </c>
      <c r="T425" s="12"/>
      <c r="U425" s="12"/>
      <c r="V425" s="14" t="str">
        <f aca="false">IF(OR($C425="",$D425="",$B425=""),"",IF(COUNTIFS($C$5:$C$604,$C425,$D$5:$D$604,$D425,$B$5:$B$604,$B425)&gt;1,"Takror",""))</f>
        <v/>
      </c>
    </row>
    <row r="426" customFormat="false" ht="15" hidden="false" customHeight="false" outlineLevel="0" collapsed="false">
      <c r="A426" s="8" t="n">
        <v>422</v>
      </c>
      <c r="B426" s="13"/>
      <c r="C426" s="12"/>
      <c r="D426" s="13"/>
      <c r="E426" s="24"/>
      <c r="F426" s="12"/>
      <c r="G426" s="14" t="str">
        <f aca="false">IF(OR($D426="",$B426=""),"",INT(($B426-$D426)/365.25))</f>
        <v/>
      </c>
      <c r="H426" s="14" t="str">
        <f aca="false">IF($G426="","",IF($G426&lt;18,"Ha","Yo'q"))</f>
        <v/>
      </c>
      <c r="I426" s="12"/>
      <c r="J426" s="25"/>
      <c r="K426" s="25"/>
      <c r="L426" s="25"/>
      <c r="M426" s="12"/>
      <c r="N426" s="25"/>
      <c r="O426" s="25"/>
      <c r="P426" s="14" t="str">
        <f aca="false">IF($O426="","",IFERROR(VALUE(LEFT($O426,FIND(".",$O426)-1)),""))</f>
        <v/>
      </c>
      <c r="Q426" s="14" t="str">
        <f aca="false">IF($P426="","",IF($P426&lt;=7,"Shoshilinch",IF($P426&lt;=9,"Kechiktirib bo'lmaydigan",IF($P426&lt;=14,"Rejalashtirilgan","Rejali"))))</f>
        <v/>
      </c>
      <c r="R426" s="25"/>
      <c r="S426" s="14" t="str">
        <f aca="false">IF($K426&lt;&gt;"Kesarcha","",IF(OR($O426&lt;&gt;"",$R426="Ha"),"Ha","YO‘Q"))</f>
        <v/>
      </c>
      <c r="T426" s="12"/>
      <c r="U426" s="12"/>
      <c r="V426" s="14" t="str">
        <f aca="false">IF(OR($C426="",$D426="",$B426=""),"",IF(COUNTIFS($C$5:$C$604,$C426,$D$5:$D$604,$D426,$B$5:$B$604,$B426)&gt;1,"Takror",""))</f>
        <v/>
      </c>
    </row>
    <row r="427" customFormat="false" ht="15" hidden="false" customHeight="false" outlineLevel="0" collapsed="false">
      <c r="A427" s="8" t="n">
        <v>423</v>
      </c>
      <c r="B427" s="13"/>
      <c r="C427" s="12"/>
      <c r="D427" s="13"/>
      <c r="E427" s="24"/>
      <c r="F427" s="12"/>
      <c r="G427" s="14" t="str">
        <f aca="false">IF(OR($D427="",$B427=""),"",INT(($B427-$D427)/365.25))</f>
        <v/>
      </c>
      <c r="H427" s="14" t="str">
        <f aca="false">IF($G427="","",IF($G427&lt;18,"Ha","Yo'q"))</f>
        <v/>
      </c>
      <c r="I427" s="12"/>
      <c r="J427" s="25"/>
      <c r="K427" s="25"/>
      <c r="L427" s="25"/>
      <c r="M427" s="12"/>
      <c r="N427" s="25"/>
      <c r="O427" s="25"/>
      <c r="P427" s="14" t="str">
        <f aca="false">IF($O427="","",IFERROR(VALUE(LEFT($O427,FIND(".",$O427)-1)),""))</f>
        <v/>
      </c>
      <c r="Q427" s="14" t="str">
        <f aca="false">IF($P427="","",IF($P427&lt;=7,"Shoshilinch",IF($P427&lt;=9,"Kechiktirib bo'lmaydigan",IF($P427&lt;=14,"Rejalashtirilgan","Rejali"))))</f>
        <v/>
      </c>
      <c r="R427" s="25"/>
      <c r="S427" s="14" t="str">
        <f aca="false">IF($K427&lt;&gt;"Kesarcha","",IF(OR($O427&lt;&gt;"",$R427="Ha"),"Ha","YO‘Q"))</f>
        <v/>
      </c>
      <c r="T427" s="12"/>
      <c r="U427" s="12"/>
      <c r="V427" s="14" t="str">
        <f aca="false">IF(OR($C427="",$D427="",$B427=""),"",IF(COUNTIFS($C$5:$C$604,$C427,$D$5:$D$604,$D427,$B$5:$B$604,$B427)&gt;1,"Takror",""))</f>
        <v/>
      </c>
    </row>
    <row r="428" customFormat="false" ht="15" hidden="false" customHeight="false" outlineLevel="0" collapsed="false">
      <c r="A428" s="8" t="n">
        <v>424</v>
      </c>
      <c r="B428" s="13"/>
      <c r="C428" s="12"/>
      <c r="D428" s="13"/>
      <c r="E428" s="24"/>
      <c r="F428" s="12"/>
      <c r="G428" s="14" t="str">
        <f aca="false">IF(OR($D428="",$B428=""),"",INT(($B428-$D428)/365.25))</f>
        <v/>
      </c>
      <c r="H428" s="14" t="str">
        <f aca="false">IF($G428="","",IF($G428&lt;18,"Ha","Yo'q"))</f>
        <v/>
      </c>
      <c r="I428" s="12"/>
      <c r="J428" s="25"/>
      <c r="K428" s="25"/>
      <c r="L428" s="25"/>
      <c r="M428" s="12"/>
      <c r="N428" s="25"/>
      <c r="O428" s="25"/>
      <c r="P428" s="14" t="str">
        <f aca="false">IF($O428="","",IFERROR(VALUE(LEFT($O428,FIND(".",$O428)-1)),""))</f>
        <v/>
      </c>
      <c r="Q428" s="14" t="str">
        <f aca="false">IF($P428="","",IF($P428&lt;=7,"Shoshilinch",IF($P428&lt;=9,"Kechiktirib bo'lmaydigan",IF($P428&lt;=14,"Rejalashtirilgan","Rejali"))))</f>
        <v/>
      </c>
      <c r="R428" s="25"/>
      <c r="S428" s="14" t="str">
        <f aca="false">IF($K428&lt;&gt;"Kesarcha","",IF(OR($O428&lt;&gt;"",$R428="Ha"),"Ha","YO‘Q"))</f>
        <v/>
      </c>
      <c r="T428" s="12"/>
      <c r="U428" s="12"/>
      <c r="V428" s="14" t="str">
        <f aca="false">IF(OR($C428="",$D428="",$B428=""),"",IF(COUNTIFS($C$5:$C$604,$C428,$D$5:$D$604,$D428,$B$5:$B$604,$B428)&gt;1,"Takror",""))</f>
        <v/>
      </c>
    </row>
    <row r="429" customFormat="false" ht="15" hidden="false" customHeight="false" outlineLevel="0" collapsed="false">
      <c r="A429" s="8" t="n">
        <v>425</v>
      </c>
      <c r="B429" s="13"/>
      <c r="C429" s="12"/>
      <c r="D429" s="13"/>
      <c r="E429" s="24"/>
      <c r="F429" s="12"/>
      <c r="G429" s="14" t="str">
        <f aca="false">IF(OR($D429="",$B429=""),"",INT(($B429-$D429)/365.25))</f>
        <v/>
      </c>
      <c r="H429" s="14" t="str">
        <f aca="false">IF($G429="","",IF($G429&lt;18,"Ha","Yo'q"))</f>
        <v/>
      </c>
      <c r="I429" s="12"/>
      <c r="J429" s="25"/>
      <c r="K429" s="25"/>
      <c r="L429" s="25"/>
      <c r="M429" s="12"/>
      <c r="N429" s="25"/>
      <c r="O429" s="25"/>
      <c r="P429" s="14" t="str">
        <f aca="false">IF($O429="","",IFERROR(VALUE(LEFT($O429,FIND(".",$O429)-1)),""))</f>
        <v/>
      </c>
      <c r="Q429" s="14" t="str">
        <f aca="false">IF($P429="","",IF($P429&lt;=7,"Shoshilinch",IF($P429&lt;=9,"Kechiktirib bo'lmaydigan",IF($P429&lt;=14,"Rejalashtirilgan","Rejali"))))</f>
        <v/>
      </c>
      <c r="R429" s="25"/>
      <c r="S429" s="14" t="str">
        <f aca="false">IF($K429&lt;&gt;"Kesarcha","",IF(OR($O429&lt;&gt;"",$R429="Ha"),"Ha","YO‘Q"))</f>
        <v/>
      </c>
      <c r="T429" s="12"/>
      <c r="U429" s="12"/>
      <c r="V429" s="14" t="str">
        <f aca="false">IF(OR($C429="",$D429="",$B429=""),"",IF(COUNTIFS($C$5:$C$604,$C429,$D$5:$D$604,$D429,$B$5:$B$604,$B429)&gt;1,"Takror",""))</f>
        <v/>
      </c>
    </row>
    <row r="430" customFormat="false" ht="15" hidden="false" customHeight="false" outlineLevel="0" collapsed="false">
      <c r="A430" s="8" t="n">
        <v>426</v>
      </c>
      <c r="B430" s="13"/>
      <c r="C430" s="12"/>
      <c r="D430" s="13"/>
      <c r="E430" s="24"/>
      <c r="F430" s="12"/>
      <c r="G430" s="14" t="str">
        <f aca="false">IF(OR($D430="",$B430=""),"",INT(($B430-$D430)/365.25))</f>
        <v/>
      </c>
      <c r="H430" s="14" t="str">
        <f aca="false">IF($G430="","",IF($G430&lt;18,"Ha","Yo'q"))</f>
        <v/>
      </c>
      <c r="I430" s="12"/>
      <c r="J430" s="25"/>
      <c r="K430" s="25"/>
      <c r="L430" s="25"/>
      <c r="M430" s="12"/>
      <c r="N430" s="25"/>
      <c r="O430" s="25"/>
      <c r="P430" s="14" t="str">
        <f aca="false">IF($O430="","",IFERROR(VALUE(LEFT($O430,FIND(".",$O430)-1)),""))</f>
        <v/>
      </c>
      <c r="Q430" s="14" t="str">
        <f aca="false">IF($P430="","",IF($P430&lt;=7,"Shoshilinch",IF($P430&lt;=9,"Kechiktirib bo'lmaydigan",IF($P430&lt;=14,"Rejalashtirilgan","Rejali"))))</f>
        <v/>
      </c>
      <c r="R430" s="25"/>
      <c r="S430" s="14" t="str">
        <f aca="false">IF($K430&lt;&gt;"Kesarcha","",IF(OR($O430&lt;&gt;"",$R430="Ha"),"Ha","YO‘Q"))</f>
        <v/>
      </c>
      <c r="T430" s="12"/>
      <c r="U430" s="12"/>
      <c r="V430" s="14" t="str">
        <f aca="false">IF(OR($C430="",$D430="",$B430=""),"",IF(COUNTIFS($C$5:$C$604,$C430,$D$5:$D$604,$D430,$B$5:$B$604,$B430)&gt;1,"Takror",""))</f>
        <v/>
      </c>
    </row>
    <row r="431" customFormat="false" ht="15" hidden="false" customHeight="false" outlineLevel="0" collapsed="false">
      <c r="A431" s="8" t="n">
        <v>427</v>
      </c>
      <c r="B431" s="13"/>
      <c r="C431" s="12"/>
      <c r="D431" s="13"/>
      <c r="E431" s="24"/>
      <c r="F431" s="12"/>
      <c r="G431" s="14" t="str">
        <f aca="false">IF(OR($D431="",$B431=""),"",INT(($B431-$D431)/365.25))</f>
        <v/>
      </c>
      <c r="H431" s="14" t="str">
        <f aca="false">IF($G431="","",IF($G431&lt;18,"Ha","Yo'q"))</f>
        <v/>
      </c>
      <c r="I431" s="12"/>
      <c r="J431" s="25"/>
      <c r="K431" s="25"/>
      <c r="L431" s="25"/>
      <c r="M431" s="12"/>
      <c r="N431" s="25"/>
      <c r="O431" s="25"/>
      <c r="P431" s="14" t="str">
        <f aca="false">IF($O431="","",IFERROR(VALUE(LEFT($O431,FIND(".",$O431)-1)),""))</f>
        <v/>
      </c>
      <c r="Q431" s="14" t="str">
        <f aca="false">IF($P431="","",IF($P431&lt;=7,"Shoshilinch",IF($P431&lt;=9,"Kechiktirib bo'lmaydigan",IF($P431&lt;=14,"Rejalashtirilgan","Rejali"))))</f>
        <v/>
      </c>
      <c r="R431" s="25"/>
      <c r="S431" s="14" t="str">
        <f aca="false">IF($K431&lt;&gt;"Kesarcha","",IF(OR($O431&lt;&gt;"",$R431="Ha"),"Ha","YO‘Q"))</f>
        <v/>
      </c>
      <c r="T431" s="12"/>
      <c r="U431" s="12"/>
      <c r="V431" s="14" t="str">
        <f aca="false">IF(OR($C431="",$D431="",$B431=""),"",IF(COUNTIFS($C$5:$C$604,$C431,$D$5:$D$604,$D431,$B$5:$B$604,$B431)&gt;1,"Takror",""))</f>
        <v/>
      </c>
    </row>
    <row r="432" customFormat="false" ht="15" hidden="false" customHeight="false" outlineLevel="0" collapsed="false">
      <c r="A432" s="8" t="n">
        <v>428</v>
      </c>
      <c r="B432" s="13"/>
      <c r="C432" s="12"/>
      <c r="D432" s="13"/>
      <c r="E432" s="24"/>
      <c r="F432" s="12"/>
      <c r="G432" s="14" t="str">
        <f aca="false">IF(OR($D432="",$B432=""),"",INT(($B432-$D432)/365.25))</f>
        <v/>
      </c>
      <c r="H432" s="14" t="str">
        <f aca="false">IF($G432="","",IF($G432&lt;18,"Ha","Yo'q"))</f>
        <v/>
      </c>
      <c r="I432" s="12"/>
      <c r="J432" s="25"/>
      <c r="K432" s="25"/>
      <c r="L432" s="25"/>
      <c r="M432" s="12"/>
      <c r="N432" s="25"/>
      <c r="O432" s="25"/>
      <c r="P432" s="14" t="str">
        <f aca="false">IF($O432="","",IFERROR(VALUE(LEFT($O432,FIND(".",$O432)-1)),""))</f>
        <v/>
      </c>
      <c r="Q432" s="14" t="str">
        <f aca="false">IF($P432="","",IF($P432&lt;=7,"Shoshilinch",IF($P432&lt;=9,"Kechiktirib bo'lmaydigan",IF($P432&lt;=14,"Rejalashtirilgan","Rejali"))))</f>
        <v/>
      </c>
      <c r="R432" s="25"/>
      <c r="S432" s="14" t="str">
        <f aca="false">IF($K432&lt;&gt;"Kesarcha","",IF(OR($O432&lt;&gt;"",$R432="Ha"),"Ha","YO‘Q"))</f>
        <v/>
      </c>
      <c r="T432" s="12"/>
      <c r="U432" s="12"/>
      <c r="V432" s="14" t="str">
        <f aca="false">IF(OR($C432="",$D432="",$B432=""),"",IF(COUNTIFS($C$5:$C$604,$C432,$D$5:$D$604,$D432,$B$5:$B$604,$B432)&gt;1,"Takror",""))</f>
        <v/>
      </c>
    </row>
    <row r="433" customFormat="false" ht="15" hidden="false" customHeight="false" outlineLevel="0" collapsed="false">
      <c r="A433" s="8" t="n">
        <v>429</v>
      </c>
      <c r="B433" s="13"/>
      <c r="C433" s="12"/>
      <c r="D433" s="13"/>
      <c r="E433" s="24"/>
      <c r="F433" s="12"/>
      <c r="G433" s="14" t="str">
        <f aca="false">IF(OR($D433="",$B433=""),"",INT(($B433-$D433)/365.25))</f>
        <v/>
      </c>
      <c r="H433" s="14" t="str">
        <f aca="false">IF($G433="","",IF($G433&lt;18,"Ha","Yo'q"))</f>
        <v/>
      </c>
      <c r="I433" s="12"/>
      <c r="J433" s="25"/>
      <c r="K433" s="25"/>
      <c r="L433" s="25"/>
      <c r="M433" s="12"/>
      <c r="N433" s="25"/>
      <c r="O433" s="25"/>
      <c r="P433" s="14" t="str">
        <f aca="false">IF($O433="","",IFERROR(VALUE(LEFT($O433,FIND(".",$O433)-1)),""))</f>
        <v/>
      </c>
      <c r="Q433" s="14" t="str">
        <f aca="false">IF($P433="","",IF($P433&lt;=7,"Shoshilinch",IF($P433&lt;=9,"Kechiktirib bo'lmaydigan",IF($P433&lt;=14,"Rejalashtirilgan","Rejali"))))</f>
        <v/>
      </c>
      <c r="R433" s="25"/>
      <c r="S433" s="14" t="str">
        <f aca="false">IF($K433&lt;&gt;"Kesarcha","",IF(OR($O433&lt;&gt;"",$R433="Ha"),"Ha","YO‘Q"))</f>
        <v/>
      </c>
      <c r="T433" s="12"/>
      <c r="U433" s="12"/>
      <c r="V433" s="14" t="str">
        <f aca="false">IF(OR($C433="",$D433="",$B433=""),"",IF(COUNTIFS($C$5:$C$604,$C433,$D$5:$D$604,$D433,$B$5:$B$604,$B433)&gt;1,"Takror",""))</f>
        <v/>
      </c>
    </row>
    <row r="434" customFormat="false" ht="15" hidden="false" customHeight="false" outlineLevel="0" collapsed="false">
      <c r="A434" s="8" t="n">
        <v>430</v>
      </c>
      <c r="B434" s="13"/>
      <c r="C434" s="12"/>
      <c r="D434" s="13"/>
      <c r="E434" s="24"/>
      <c r="F434" s="12"/>
      <c r="G434" s="14" t="str">
        <f aca="false">IF(OR($D434="",$B434=""),"",INT(($B434-$D434)/365.25))</f>
        <v/>
      </c>
      <c r="H434" s="14" t="str">
        <f aca="false">IF($G434="","",IF($G434&lt;18,"Ha","Yo'q"))</f>
        <v/>
      </c>
      <c r="I434" s="12"/>
      <c r="J434" s="25"/>
      <c r="K434" s="25"/>
      <c r="L434" s="25"/>
      <c r="M434" s="12"/>
      <c r="N434" s="25"/>
      <c r="O434" s="25"/>
      <c r="P434" s="14" t="str">
        <f aca="false">IF($O434="","",IFERROR(VALUE(LEFT($O434,FIND(".",$O434)-1)),""))</f>
        <v/>
      </c>
      <c r="Q434" s="14" t="str">
        <f aca="false">IF($P434="","",IF($P434&lt;=7,"Shoshilinch",IF($P434&lt;=9,"Kechiktirib bo'lmaydigan",IF($P434&lt;=14,"Rejalashtirilgan","Rejali"))))</f>
        <v/>
      </c>
      <c r="R434" s="25"/>
      <c r="S434" s="14" t="str">
        <f aca="false">IF($K434&lt;&gt;"Kesarcha","",IF(OR($O434&lt;&gt;"",$R434="Ha"),"Ha","YO‘Q"))</f>
        <v/>
      </c>
      <c r="T434" s="12"/>
      <c r="U434" s="12"/>
      <c r="V434" s="14" t="str">
        <f aca="false">IF(OR($C434="",$D434="",$B434=""),"",IF(COUNTIFS($C$5:$C$604,$C434,$D$5:$D$604,$D434,$B$5:$B$604,$B434)&gt;1,"Takror",""))</f>
        <v/>
      </c>
    </row>
    <row r="435" customFormat="false" ht="15" hidden="false" customHeight="false" outlineLevel="0" collapsed="false">
      <c r="A435" s="8" t="n">
        <v>431</v>
      </c>
      <c r="B435" s="13"/>
      <c r="C435" s="12"/>
      <c r="D435" s="13"/>
      <c r="E435" s="24"/>
      <c r="F435" s="12"/>
      <c r="G435" s="14" t="str">
        <f aca="false">IF(OR($D435="",$B435=""),"",INT(($B435-$D435)/365.25))</f>
        <v/>
      </c>
      <c r="H435" s="14" t="str">
        <f aca="false">IF($G435="","",IF($G435&lt;18,"Ha","Yo'q"))</f>
        <v/>
      </c>
      <c r="I435" s="12"/>
      <c r="J435" s="25"/>
      <c r="K435" s="25"/>
      <c r="L435" s="25"/>
      <c r="M435" s="12"/>
      <c r="N435" s="25"/>
      <c r="O435" s="25"/>
      <c r="P435" s="14" t="str">
        <f aca="false">IF($O435="","",IFERROR(VALUE(LEFT($O435,FIND(".",$O435)-1)),""))</f>
        <v/>
      </c>
      <c r="Q435" s="14" t="str">
        <f aca="false">IF($P435="","",IF($P435&lt;=7,"Shoshilinch",IF($P435&lt;=9,"Kechiktirib bo'lmaydigan",IF($P435&lt;=14,"Rejalashtirilgan","Rejali"))))</f>
        <v/>
      </c>
      <c r="R435" s="25"/>
      <c r="S435" s="14" t="str">
        <f aca="false">IF($K435&lt;&gt;"Kesarcha","",IF(OR($O435&lt;&gt;"",$R435="Ha"),"Ha","YO‘Q"))</f>
        <v/>
      </c>
      <c r="T435" s="12"/>
      <c r="U435" s="12"/>
      <c r="V435" s="14" t="str">
        <f aca="false">IF(OR($C435="",$D435="",$B435=""),"",IF(COUNTIFS($C$5:$C$604,$C435,$D$5:$D$604,$D435,$B$5:$B$604,$B435)&gt;1,"Takror",""))</f>
        <v/>
      </c>
    </row>
    <row r="436" customFormat="false" ht="15" hidden="false" customHeight="false" outlineLevel="0" collapsed="false">
      <c r="A436" s="8" t="n">
        <v>432</v>
      </c>
      <c r="B436" s="13"/>
      <c r="C436" s="12"/>
      <c r="D436" s="13"/>
      <c r="E436" s="24"/>
      <c r="F436" s="12"/>
      <c r="G436" s="14" t="str">
        <f aca="false">IF(OR($D436="",$B436=""),"",INT(($B436-$D436)/365.25))</f>
        <v/>
      </c>
      <c r="H436" s="14" t="str">
        <f aca="false">IF($G436="","",IF($G436&lt;18,"Ha","Yo'q"))</f>
        <v/>
      </c>
      <c r="I436" s="12"/>
      <c r="J436" s="25"/>
      <c r="K436" s="25"/>
      <c r="L436" s="25"/>
      <c r="M436" s="12"/>
      <c r="N436" s="25"/>
      <c r="O436" s="25"/>
      <c r="P436" s="14" t="str">
        <f aca="false">IF($O436="","",IFERROR(VALUE(LEFT($O436,FIND(".",$O436)-1)),""))</f>
        <v/>
      </c>
      <c r="Q436" s="14" t="str">
        <f aca="false">IF($P436="","",IF($P436&lt;=7,"Shoshilinch",IF($P436&lt;=9,"Kechiktirib bo'lmaydigan",IF($P436&lt;=14,"Rejalashtirilgan","Rejali"))))</f>
        <v/>
      </c>
      <c r="R436" s="25"/>
      <c r="S436" s="14" t="str">
        <f aca="false">IF($K436&lt;&gt;"Kesarcha","",IF(OR($O436&lt;&gt;"",$R436="Ha"),"Ha","YO‘Q"))</f>
        <v/>
      </c>
      <c r="T436" s="12"/>
      <c r="U436" s="12"/>
      <c r="V436" s="14" t="str">
        <f aca="false">IF(OR($C436="",$D436="",$B436=""),"",IF(COUNTIFS($C$5:$C$604,$C436,$D$5:$D$604,$D436,$B$5:$B$604,$B436)&gt;1,"Takror",""))</f>
        <v/>
      </c>
    </row>
    <row r="437" customFormat="false" ht="15" hidden="false" customHeight="false" outlineLevel="0" collapsed="false">
      <c r="A437" s="8" t="n">
        <v>433</v>
      </c>
      <c r="B437" s="13"/>
      <c r="C437" s="12"/>
      <c r="D437" s="13"/>
      <c r="E437" s="24"/>
      <c r="F437" s="12"/>
      <c r="G437" s="14" t="str">
        <f aca="false">IF(OR($D437="",$B437=""),"",INT(($B437-$D437)/365.25))</f>
        <v/>
      </c>
      <c r="H437" s="14" t="str">
        <f aca="false">IF($G437="","",IF($G437&lt;18,"Ha","Yo'q"))</f>
        <v/>
      </c>
      <c r="I437" s="12"/>
      <c r="J437" s="25"/>
      <c r="K437" s="25"/>
      <c r="L437" s="25"/>
      <c r="M437" s="12"/>
      <c r="N437" s="25"/>
      <c r="O437" s="25"/>
      <c r="P437" s="14" t="str">
        <f aca="false">IF($O437="","",IFERROR(VALUE(LEFT($O437,FIND(".",$O437)-1)),""))</f>
        <v/>
      </c>
      <c r="Q437" s="14" t="str">
        <f aca="false">IF($P437="","",IF($P437&lt;=7,"Shoshilinch",IF($P437&lt;=9,"Kechiktirib bo'lmaydigan",IF($P437&lt;=14,"Rejalashtirilgan","Rejali"))))</f>
        <v/>
      </c>
      <c r="R437" s="25"/>
      <c r="S437" s="14" t="str">
        <f aca="false">IF($K437&lt;&gt;"Kesarcha","",IF(OR($O437&lt;&gt;"",$R437="Ha"),"Ha","YO‘Q"))</f>
        <v/>
      </c>
      <c r="T437" s="12"/>
      <c r="U437" s="12"/>
      <c r="V437" s="14" t="str">
        <f aca="false">IF(OR($C437="",$D437="",$B437=""),"",IF(COUNTIFS($C$5:$C$604,$C437,$D$5:$D$604,$D437,$B$5:$B$604,$B437)&gt;1,"Takror",""))</f>
        <v/>
      </c>
    </row>
    <row r="438" customFormat="false" ht="15" hidden="false" customHeight="false" outlineLevel="0" collapsed="false">
      <c r="A438" s="8" t="n">
        <v>434</v>
      </c>
      <c r="B438" s="13"/>
      <c r="C438" s="12"/>
      <c r="D438" s="13"/>
      <c r="E438" s="24"/>
      <c r="F438" s="12"/>
      <c r="G438" s="14" t="str">
        <f aca="false">IF(OR($D438="",$B438=""),"",INT(($B438-$D438)/365.25))</f>
        <v/>
      </c>
      <c r="H438" s="14" t="str">
        <f aca="false">IF($G438="","",IF($G438&lt;18,"Ha","Yo'q"))</f>
        <v/>
      </c>
      <c r="I438" s="12"/>
      <c r="J438" s="25"/>
      <c r="K438" s="25"/>
      <c r="L438" s="25"/>
      <c r="M438" s="12"/>
      <c r="N438" s="25"/>
      <c r="O438" s="25"/>
      <c r="P438" s="14" t="str">
        <f aca="false">IF($O438="","",IFERROR(VALUE(LEFT($O438,FIND(".",$O438)-1)),""))</f>
        <v/>
      </c>
      <c r="Q438" s="14" t="str">
        <f aca="false">IF($P438="","",IF($P438&lt;=7,"Shoshilinch",IF($P438&lt;=9,"Kechiktirib bo'lmaydigan",IF($P438&lt;=14,"Rejalashtirilgan","Rejali"))))</f>
        <v/>
      </c>
      <c r="R438" s="25"/>
      <c r="S438" s="14" t="str">
        <f aca="false">IF($K438&lt;&gt;"Kesarcha","",IF(OR($O438&lt;&gt;"",$R438="Ha"),"Ha","YO‘Q"))</f>
        <v/>
      </c>
      <c r="T438" s="12"/>
      <c r="U438" s="12"/>
      <c r="V438" s="14" t="str">
        <f aca="false">IF(OR($C438="",$D438="",$B438=""),"",IF(COUNTIFS($C$5:$C$604,$C438,$D$5:$D$604,$D438,$B$5:$B$604,$B438)&gt;1,"Takror",""))</f>
        <v/>
      </c>
    </row>
    <row r="439" customFormat="false" ht="15" hidden="false" customHeight="false" outlineLevel="0" collapsed="false">
      <c r="A439" s="8" t="n">
        <v>435</v>
      </c>
      <c r="B439" s="13"/>
      <c r="C439" s="12"/>
      <c r="D439" s="13"/>
      <c r="E439" s="24"/>
      <c r="F439" s="12"/>
      <c r="G439" s="14" t="str">
        <f aca="false">IF(OR($D439="",$B439=""),"",INT(($B439-$D439)/365.25))</f>
        <v/>
      </c>
      <c r="H439" s="14" t="str">
        <f aca="false">IF($G439="","",IF($G439&lt;18,"Ha","Yo'q"))</f>
        <v/>
      </c>
      <c r="I439" s="12"/>
      <c r="J439" s="25"/>
      <c r="K439" s="25"/>
      <c r="L439" s="25"/>
      <c r="M439" s="12"/>
      <c r="N439" s="25"/>
      <c r="O439" s="25"/>
      <c r="P439" s="14" t="str">
        <f aca="false">IF($O439="","",IFERROR(VALUE(LEFT($O439,FIND(".",$O439)-1)),""))</f>
        <v/>
      </c>
      <c r="Q439" s="14" t="str">
        <f aca="false">IF($P439="","",IF($P439&lt;=7,"Shoshilinch",IF($P439&lt;=9,"Kechiktirib bo'lmaydigan",IF($P439&lt;=14,"Rejalashtirilgan","Rejali"))))</f>
        <v/>
      </c>
      <c r="R439" s="25"/>
      <c r="S439" s="14" t="str">
        <f aca="false">IF($K439&lt;&gt;"Kesarcha","",IF(OR($O439&lt;&gt;"",$R439="Ha"),"Ha","YO‘Q"))</f>
        <v/>
      </c>
      <c r="T439" s="12"/>
      <c r="U439" s="12"/>
      <c r="V439" s="14" t="str">
        <f aca="false">IF(OR($C439="",$D439="",$B439=""),"",IF(COUNTIFS($C$5:$C$604,$C439,$D$5:$D$604,$D439,$B$5:$B$604,$B439)&gt;1,"Takror",""))</f>
        <v/>
      </c>
    </row>
    <row r="440" customFormat="false" ht="15" hidden="false" customHeight="false" outlineLevel="0" collapsed="false">
      <c r="A440" s="8" t="n">
        <v>436</v>
      </c>
      <c r="B440" s="13"/>
      <c r="C440" s="12"/>
      <c r="D440" s="13"/>
      <c r="E440" s="24"/>
      <c r="F440" s="12"/>
      <c r="G440" s="14" t="str">
        <f aca="false">IF(OR($D440="",$B440=""),"",INT(($B440-$D440)/365.25))</f>
        <v/>
      </c>
      <c r="H440" s="14" t="str">
        <f aca="false">IF($G440="","",IF($G440&lt;18,"Ha","Yo'q"))</f>
        <v/>
      </c>
      <c r="I440" s="12"/>
      <c r="J440" s="25"/>
      <c r="K440" s="25"/>
      <c r="L440" s="25"/>
      <c r="M440" s="12"/>
      <c r="N440" s="25"/>
      <c r="O440" s="25"/>
      <c r="P440" s="14" t="str">
        <f aca="false">IF($O440="","",IFERROR(VALUE(LEFT($O440,FIND(".",$O440)-1)),""))</f>
        <v/>
      </c>
      <c r="Q440" s="14" t="str">
        <f aca="false">IF($P440="","",IF($P440&lt;=7,"Shoshilinch",IF($P440&lt;=9,"Kechiktirib bo'lmaydigan",IF($P440&lt;=14,"Rejalashtirilgan","Rejali"))))</f>
        <v/>
      </c>
      <c r="R440" s="25"/>
      <c r="S440" s="14" t="str">
        <f aca="false">IF($K440&lt;&gt;"Kesarcha","",IF(OR($O440&lt;&gt;"",$R440="Ha"),"Ha","YO‘Q"))</f>
        <v/>
      </c>
      <c r="T440" s="12"/>
      <c r="U440" s="12"/>
      <c r="V440" s="14" t="str">
        <f aca="false">IF(OR($C440="",$D440="",$B440=""),"",IF(COUNTIFS($C$5:$C$604,$C440,$D$5:$D$604,$D440,$B$5:$B$604,$B440)&gt;1,"Takror",""))</f>
        <v/>
      </c>
    </row>
    <row r="441" customFormat="false" ht="15" hidden="false" customHeight="false" outlineLevel="0" collapsed="false">
      <c r="A441" s="8" t="n">
        <v>437</v>
      </c>
      <c r="B441" s="13"/>
      <c r="C441" s="12"/>
      <c r="D441" s="13"/>
      <c r="E441" s="24"/>
      <c r="F441" s="12"/>
      <c r="G441" s="14" t="str">
        <f aca="false">IF(OR($D441="",$B441=""),"",INT(($B441-$D441)/365.25))</f>
        <v/>
      </c>
      <c r="H441" s="14" t="str">
        <f aca="false">IF($G441="","",IF($G441&lt;18,"Ha","Yo'q"))</f>
        <v/>
      </c>
      <c r="I441" s="12"/>
      <c r="J441" s="25"/>
      <c r="K441" s="25"/>
      <c r="L441" s="25"/>
      <c r="M441" s="12"/>
      <c r="N441" s="25"/>
      <c r="O441" s="25"/>
      <c r="P441" s="14" t="str">
        <f aca="false">IF($O441="","",IFERROR(VALUE(LEFT($O441,FIND(".",$O441)-1)),""))</f>
        <v/>
      </c>
      <c r="Q441" s="14" t="str">
        <f aca="false">IF($P441="","",IF($P441&lt;=7,"Shoshilinch",IF($P441&lt;=9,"Kechiktirib bo'lmaydigan",IF($P441&lt;=14,"Rejalashtirilgan","Rejali"))))</f>
        <v/>
      </c>
      <c r="R441" s="25"/>
      <c r="S441" s="14" t="str">
        <f aca="false">IF($K441&lt;&gt;"Kesarcha","",IF(OR($O441&lt;&gt;"",$R441="Ha"),"Ha","YO‘Q"))</f>
        <v/>
      </c>
      <c r="T441" s="12"/>
      <c r="U441" s="12"/>
      <c r="V441" s="14" t="str">
        <f aca="false">IF(OR($C441="",$D441="",$B441=""),"",IF(COUNTIFS($C$5:$C$604,$C441,$D$5:$D$604,$D441,$B$5:$B$604,$B441)&gt;1,"Takror",""))</f>
        <v/>
      </c>
    </row>
    <row r="442" customFormat="false" ht="15" hidden="false" customHeight="false" outlineLevel="0" collapsed="false">
      <c r="A442" s="8" t="n">
        <v>438</v>
      </c>
      <c r="B442" s="13"/>
      <c r="C442" s="12"/>
      <c r="D442" s="13"/>
      <c r="E442" s="24"/>
      <c r="F442" s="12"/>
      <c r="G442" s="14" t="str">
        <f aca="false">IF(OR($D442="",$B442=""),"",INT(($B442-$D442)/365.25))</f>
        <v/>
      </c>
      <c r="H442" s="14" t="str">
        <f aca="false">IF($G442="","",IF($G442&lt;18,"Ha","Yo'q"))</f>
        <v/>
      </c>
      <c r="I442" s="12"/>
      <c r="J442" s="25"/>
      <c r="K442" s="25"/>
      <c r="L442" s="25"/>
      <c r="M442" s="12"/>
      <c r="N442" s="25"/>
      <c r="O442" s="25"/>
      <c r="P442" s="14" t="str">
        <f aca="false">IF($O442="","",IFERROR(VALUE(LEFT($O442,FIND(".",$O442)-1)),""))</f>
        <v/>
      </c>
      <c r="Q442" s="14" t="str">
        <f aca="false">IF($P442="","",IF($P442&lt;=7,"Shoshilinch",IF($P442&lt;=9,"Kechiktirib bo'lmaydigan",IF($P442&lt;=14,"Rejalashtirilgan","Rejali"))))</f>
        <v/>
      </c>
      <c r="R442" s="25"/>
      <c r="S442" s="14" t="str">
        <f aca="false">IF($K442&lt;&gt;"Kesarcha","",IF(OR($O442&lt;&gt;"",$R442="Ha"),"Ha","YO‘Q"))</f>
        <v/>
      </c>
      <c r="T442" s="12"/>
      <c r="U442" s="12"/>
      <c r="V442" s="14" t="str">
        <f aca="false">IF(OR($C442="",$D442="",$B442=""),"",IF(COUNTIFS($C$5:$C$604,$C442,$D$5:$D$604,$D442,$B$5:$B$604,$B442)&gt;1,"Takror",""))</f>
        <v/>
      </c>
    </row>
    <row r="443" customFormat="false" ht="15" hidden="false" customHeight="false" outlineLevel="0" collapsed="false">
      <c r="A443" s="8" t="n">
        <v>439</v>
      </c>
      <c r="B443" s="13"/>
      <c r="C443" s="12"/>
      <c r="D443" s="13"/>
      <c r="E443" s="24"/>
      <c r="F443" s="12"/>
      <c r="G443" s="14" t="str">
        <f aca="false">IF(OR($D443="",$B443=""),"",INT(($B443-$D443)/365.25))</f>
        <v/>
      </c>
      <c r="H443" s="14" t="str">
        <f aca="false">IF($G443="","",IF($G443&lt;18,"Ha","Yo'q"))</f>
        <v/>
      </c>
      <c r="I443" s="12"/>
      <c r="J443" s="25"/>
      <c r="K443" s="25"/>
      <c r="L443" s="25"/>
      <c r="M443" s="12"/>
      <c r="N443" s="25"/>
      <c r="O443" s="25"/>
      <c r="P443" s="14" t="str">
        <f aca="false">IF($O443="","",IFERROR(VALUE(LEFT($O443,FIND(".",$O443)-1)),""))</f>
        <v/>
      </c>
      <c r="Q443" s="14" t="str">
        <f aca="false">IF($P443="","",IF($P443&lt;=7,"Shoshilinch",IF($P443&lt;=9,"Kechiktirib bo'lmaydigan",IF($P443&lt;=14,"Rejalashtirilgan","Rejali"))))</f>
        <v/>
      </c>
      <c r="R443" s="25"/>
      <c r="S443" s="14" t="str">
        <f aca="false">IF($K443&lt;&gt;"Kesarcha","",IF(OR($O443&lt;&gt;"",$R443="Ha"),"Ha","YO‘Q"))</f>
        <v/>
      </c>
      <c r="T443" s="12"/>
      <c r="U443" s="12"/>
      <c r="V443" s="14" t="str">
        <f aca="false">IF(OR($C443="",$D443="",$B443=""),"",IF(COUNTIFS($C$5:$C$604,$C443,$D$5:$D$604,$D443,$B$5:$B$604,$B443)&gt;1,"Takror",""))</f>
        <v/>
      </c>
    </row>
    <row r="444" customFormat="false" ht="15" hidden="false" customHeight="false" outlineLevel="0" collapsed="false">
      <c r="A444" s="8" t="n">
        <v>440</v>
      </c>
      <c r="B444" s="13"/>
      <c r="C444" s="12"/>
      <c r="D444" s="13"/>
      <c r="E444" s="24"/>
      <c r="F444" s="12"/>
      <c r="G444" s="14" t="str">
        <f aca="false">IF(OR($D444="",$B444=""),"",INT(($B444-$D444)/365.25))</f>
        <v/>
      </c>
      <c r="H444" s="14" t="str">
        <f aca="false">IF($G444="","",IF($G444&lt;18,"Ha","Yo'q"))</f>
        <v/>
      </c>
      <c r="I444" s="12"/>
      <c r="J444" s="25"/>
      <c r="K444" s="25"/>
      <c r="L444" s="25"/>
      <c r="M444" s="12"/>
      <c r="N444" s="25"/>
      <c r="O444" s="25"/>
      <c r="P444" s="14" t="str">
        <f aca="false">IF($O444="","",IFERROR(VALUE(LEFT($O444,FIND(".",$O444)-1)),""))</f>
        <v/>
      </c>
      <c r="Q444" s="14" t="str">
        <f aca="false">IF($P444="","",IF($P444&lt;=7,"Shoshilinch",IF($P444&lt;=9,"Kechiktirib bo'lmaydigan",IF($P444&lt;=14,"Rejalashtirilgan","Rejali"))))</f>
        <v/>
      </c>
      <c r="R444" s="25"/>
      <c r="S444" s="14" t="str">
        <f aca="false">IF($K444&lt;&gt;"Kesarcha","",IF(OR($O444&lt;&gt;"",$R444="Ha"),"Ha","YO‘Q"))</f>
        <v/>
      </c>
      <c r="T444" s="12"/>
      <c r="U444" s="12"/>
      <c r="V444" s="14" t="str">
        <f aca="false">IF(OR($C444="",$D444="",$B444=""),"",IF(COUNTIFS($C$5:$C$604,$C444,$D$5:$D$604,$D444,$B$5:$B$604,$B444)&gt;1,"Takror",""))</f>
        <v/>
      </c>
    </row>
    <row r="445" customFormat="false" ht="15" hidden="false" customHeight="false" outlineLevel="0" collapsed="false">
      <c r="A445" s="8" t="n">
        <v>441</v>
      </c>
      <c r="B445" s="13"/>
      <c r="C445" s="12"/>
      <c r="D445" s="13"/>
      <c r="E445" s="24"/>
      <c r="F445" s="12"/>
      <c r="G445" s="14" t="str">
        <f aca="false">IF(OR($D445="",$B445=""),"",INT(($B445-$D445)/365.25))</f>
        <v/>
      </c>
      <c r="H445" s="14" t="str">
        <f aca="false">IF($G445="","",IF($G445&lt;18,"Ha","Yo'q"))</f>
        <v/>
      </c>
      <c r="I445" s="12"/>
      <c r="J445" s="25"/>
      <c r="K445" s="25"/>
      <c r="L445" s="25"/>
      <c r="M445" s="12"/>
      <c r="N445" s="25"/>
      <c r="O445" s="25"/>
      <c r="P445" s="14" t="str">
        <f aca="false">IF($O445="","",IFERROR(VALUE(LEFT($O445,FIND(".",$O445)-1)),""))</f>
        <v/>
      </c>
      <c r="Q445" s="14" t="str">
        <f aca="false">IF($P445="","",IF($P445&lt;=7,"Shoshilinch",IF($P445&lt;=9,"Kechiktirib bo'lmaydigan",IF($P445&lt;=14,"Rejalashtirilgan","Rejali"))))</f>
        <v/>
      </c>
      <c r="R445" s="25"/>
      <c r="S445" s="14" t="str">
        <f aca="false">IF($K445&lt;&gt;"Kesarcha","",IF(OR($O445&lt;&gt;"",$R445="Ha"),"Ha","YO‘Q"))</f>
        <v/>
      </c>
      <c r="T445" s="12"/>
      <c r="U445" s="12"/>
      <c r="V445" s="14" t="str">
        <f aca="false">IF(OR($C445="",$D445="",$B445=""),"",IF(COUNTIFS($C$5:$C$604,$C445,$D$5:$D$604,$D445,$B$5:$B$604,$B445)&gt;1,"Takror",""))</f>
        <v/>
      </c>
    </row>
    <row r="446" customFormat="false" ht="15" hidden="false" customHeight="false" outlineLevel="0" collapsed="false">
      <c r="A446" s="8" t="n">
        <v>442</v>
      </c>
      <c r="B446" s="13"/>
      <c r="C446" s="12"/>
      <c r="D446" s="13"/>
      <c r="E446" s="24"/>
      <c r="F446" s="12"/>
      <c r="G446" s="14" t="str">
        <f aca="false">IF(OR($D446="",$B446=""),"",INT(($B446-$D446)/365.25))</f>
        <v/>
      </c>
      <c r="H446" s="14" t="str">
        <f aca="false">IF($G446="","",IF($G446&lt;18,"Ha","Yo'q"))</f>
        <v/>
      </c>
      <c r="I446" s="12"/>
      <c r="J446" s="25"/>
      <c r="K446" s="25"/>
      <c r="L446" s="25"/>
      <c r="M446" s="12"/>
      <c r="N446" s="25"/>
      <c r="O446" s="25"/>
      <c r="P446" s="14" t="str">
        <f aca="false">IF($O446="","",IFERROR(VALUE(LEFT($O446,FIND(".",$O446)-1)),""))</f>
        <v/>
      </c>
      <c r="Q446" s="14" t="str">
        <f aca="false">IF($P446="","",IF($P446&lt;=7,"Shoshilinch",IF($P446&lt;=9,"Kechiktirib bo'lmaydigan",IF($P446&lt;=14,"Rejalashtirilgan","Rejali"))))</f>
        <v/>
      </c>
      <c r="R446" s="25"/>
      <c r="S446" s="14" t="str">
        <f aca="false">IF($K446&lt;&gt;"Kesarcha","",IF(OR($O446&lt;&gt;"",$R446="Ha"),"Ha","YO‘Q"))</f>
        <v/>
      </c>
      <c r="T446" s="12"/>
      <c r="U446" s="12"/>
      <c r="V446" s="14" t="str">
        <f aca="false">IF(OR($C446="",$D446="",$B446=""),"",IF(COUNTIFS($C$5:$C$604,$C446,$D$5:$D$604,$D446,$B$5:$B$604,$B446)&gt;1,"Takror",""))</f>
        <v/>
      </c>
    </row>
    <row r="447" customFormat="false" ht="15" hidden="false" customHeight="false" outlineLevel="0" collapsed="false">
      <c r="A447" s="8" t="n">
        <v>443</v>
      </c>
      <c r="B447" s="13"/>
      <c r="C447" s="12"/>
      <c r="D447" s="13"/>
      <c r="E447" s="24"/>
      <c r="F447" s="12"/>
      <c r="G447" s="14" t="str">
        <f aca="false">IF(OR($D447="",$B447=""),"",INT(($B447-$D447)/365.25))</f>
        <v/>
      </c>
      <c r="H447" s="14" t="str">
        <f aca="false">IF($G447="","",IF($G447&lt;18,"Ha","Yo'q"))</f>
        <v/>
      </c>
      <c r="I447" s="12"/>
      <c r="J447" s="25"/>
      <c r="K447" s="25"/>
      <c r="L447" s="25"/>
      <c r="M447" s="12"/>
      <c r="N447" s="25"/>
      <c r="O447" s="25"/>
      <c r="P447" s="14" t="str">
        <f aca="false">IF($O447="","",IFERROR(VALUE(LEFT($O447,FIND(".",$O447)-1)),""))</f>
        <v/>
      </c>
      <c r="Q447" s="14" t="str">
        <f aca="false">IF($P447="","",IF($P447&lt;=7,"Shoshilinch",IF($P447&lt;=9,"Kechiktirib bo'lmaydigan",IF($P447&lt;=14,"Rejalashtirilgan","Rejali"))))</f>
        <v/>
      </c>
      <c r="R447" s="25"/>
      <c r="S447" s="14" t="str">
        <f aca="false">IF($K447&lt;&gt;"Kesarcha","",IF(OR($O447&lt;&gt;"",$R447="Ha"),"Ha","YO‘Q"))</f>
        <v/>
      </c>
      <c r="T447" s="12"/>
      <c r="U447" s="12"/>
      <c r="V447" s="14" t="str">
        <f aca="false">IF(OR($C447="",$D447="",$B447=""),"",IF(COUNTIFS($C$5:$C$604,$C447,$D$5:$D$604,$D447,$B$5:$B$604,$B447)&gt;1,"Takror",""))</f>
        <v/>
      </c>
    </row>
    <row r="448" customFormat="false" ht="15" hidden="false" customHeight="false" outlineLevel="0" collapsed="false">
      <c r="A448" s="8" t="n">
        <v>444</v>
      </c>
      <c r="B448" s="13"/>
      <c r="C448" s="12"/>
      <c r="D448" s="13"/>
      <c r="E448" s="24"/>
      <c r="F448" s="12"/>
      <c r="G448" s="14" t="str">
        <f aca="false">IF(OR($D448="",$B448=""),"",INT(($B448-$D448)/365.25))</f>
        <v/>
      </c>
      <c r="H448" s="14" t="str">
        <f aca="false">IF($G448="","",IF($G448&lt;18,"Ha","Yo'q"))</f>
        <v/>
      </c>
      <c r="I448" s="12"/>
      <c r="J448" s="25"/>
      <c r="K448" s="25"/>
      <c r="L448" s="25"/>
      <c r="M448" s="12"/>
      <c r="N448" s="25"/>
      <c r="O448" s="25"/>
      <c r="P448" s="14" t="str">
        <f aca="false">IF($O448="","",IFERROR(VALUE(LEFT($O448,FIND(".",$O448)-1)),""))</f>
        <v/>
      </c>
      <c r="Q448" s="14" t="str">
        <f aca="false">IF($P448="","",IF($P448&lt;=7,"Shoshilinch",IF($P448&lt;=9,"Kechiktirib bo'lmaydigan",IF($P448&lt;=14,"Rejalashtirilgan","Rejali"))))</f>
        <v/>
      </c>
      <c r="R448" s="25"/>
      <c r="S448" s="14" t="str">
        <f aca="false">IF($K448&lt;&gt;"Kesarcha","",IF(OR($O448&lt;&gt;"",$R448="Ha"),"Ha","YO‘Q"))</f>
        <v/>
      </c>
      <c r="T448" s="12"/>
      <c r="U448" s="12"/>
      <c r="V448" s="14" t="str">
        <f aca="false">IF(OR($C448="",$D448="",$B448=""),"",IF(COUNTIFS($C$5:$C$604,$C448,$D$5:$D$604,$D448,$B$5:$B$604,$B448)&gt;1,"Takror",""))</f>
        <v/>
      </c>
    </row>
    <row r="449" customFormat="false" ht="15" hidden="false" customHeight="false" outlineLevel="0" collapsed="false">
      <c r="A449" s="8" t="n">
        <v>445</v>
      </c>
      <c r="B449" s="13"/>
      <c r="C449" s="12"/>
      <c r="D449" s="13"/>
      <c r="E449" s="24"/>
      <c r="F449" s="12"/>
      <c r="G449" s="14" t="str">
        <f aca="false">IF(OR($D449="",$B449=""),"",INT(($B449-$D449)/365.25))</f>
        <v/>
      </c>
      <c r="H449" s="14" t="str">
        <f aca="false">IF($G449="","",IF($G449&lt;18,"Ha","Yo'q"))</f>
        <v/>
      </c>
      <c r="I449" s="12"/>
      <c r="J449" s="25"/>
      <c r="K449" s="25"/>
      <c r="L449" s="25"/>
      <c r="M449" s="12"/>
      <c r="N449" s="25"/>
      <c r="O449" s="25"/>
      <c r="P449" s="14" t="str">
        <f aca="false">IF($O449="","",IFERROR(VALUE(LEFT($O449,FIND(".",$O449)-1)),""))</f>
        <v/>
      </c>
      <c r="Q449" s="14" t="str">
        <f aca="false">IF($P449="","",IF($P449&lt;=7,"Shoshilinch",IF($P449&lt;=9,"Kechiktirib bo'lmaydigan",IF($P449&lt;=14,"Rejalashtirilgan","Rejali"))))</f>
        <v/>
      </c>
      <c r="R449" s="25"/>
      <c r="S449" s="14" t="str">
        <f aca="false">IF($K449&lt;&gt;"Kesarcha","",IF(OR($O449&lt;&gt;"",$R449="Ha"),"Ha","YO‘Q"))</f>
        <v/>
      </c>
      <c r="T449" s="12"/>
      <c r="U449" s="12"/>
      <c r="V449" s="14" t="str">
        <f aca="false">IF(OR($C449="",$D449="",$B449=""),"",IF(COUNTIFS($C$5:$C$604,$C449,$D$5:$D$604,$D449,$B$5:$B$604,$B449)&gt;1,"Takror",""))</f>
        <v/>
      </c>
    </row>
    <row r="450" customFormat="false" ht="15" hidden="false" customHeight="false" outlineLevel="0" collapsed="false">
      <c r="A450" s="8" t="n">
        <v>446</v>
      </c>
      <c r="B450" s="13"/>
      <c r="C450" s="12"/>
      <c r="D450" s="13"/>
      <c r="E450" s="24"/>
      <c r="F450" s="12"/>
      <c r="G450" s="14" t="str">
        <f aca="false">IF(OR($D450="",$B450=""),"",INT(($B450-$D450)/365.25))</f>
        <v/>
      </c>
      <c r="H450" s="14" t="str">
        <f aca="false">IF($G450="","",IF($G450&lt;18,"Ha","Yo'q"))</f>
        <v/>
      </c>
      <c r="I450" s="12"/>
      <c r="J450" s="25"/>
      <c r="K450" s="25"/>
      <c r="L450" s="25"/>
      <c r="M450" s="12"/>
      <c r="N450" s="25"/>
      <c r="O450" s="25"/>
      <c r="P450" s="14" t="str">
        <f aca="false">IF($O450="","",IFERROR(VALUE(LEFT($O450,FIND(".",$O450)-1)),""))</f>
        <v/>
      </c>
      <c r="Q450" s="14" t="str">
        <f aca="false">IF($P450="","",IF($P450&lt;=7,"Shoshilinch",IF($P450&lt;=9,"Kechiktirib bo'lmaydigan",IF($P450&lt;=14,"Rejalashtirilgan","Rejali"))))</f>
        <v/>
      </c>
      <c r="R450" s="25"/>
      <c r="S450" s="14" t="str">
        <f aca="false">IF($K450&lt;&gt;"Kesarcha","",IF(OR($O450&lt;&gt;"",$R450="Ha"),"Ha","YO‘Q"))</f>
        <v/>
      </c>
      <c r="T450" s="12"/>
      <c r="U450" s="12"/>
      <c r="V450" s="14" t="str">
        <f aca="false">IF(OR($C450="",$D450="",$B450=""),"",IF(COUNTIFS($C$5:$C$604,$C450,$D$5:$D$604,$D450,$B$5:$B$604,$B450)&gt;1,"Takror",""))</f>
        <v/>
      </c>
    </row>
    <row r="451" customFormat="false" ht="15" hidden="false" customHeight="false" outlineLevel="0" collapsed="false">
      <c r="A451" s="8" t="n">
        <v>447</v>
      </c>
      <c r="B451" s="13"/>
      <c r="C451" s="12"/>
      <c r="D451" s="13"/>
      <c r="E451" s="24"/>
      <c r="F451" s="12"/>
      <c r="G451" s="14" t="str">
        <f aca="false">IF(OR($D451="",$B451=""),"",INT(($B451-$D451)/365.25))</f>
        <v/>
      </c>
      <c r="H451" s="14" t="str">
        <f aca="false">IF($G451="","",IF($G451&lt;18,"Ha","Yo'q"))</f>
        <v/>
      </c>
      <c r="I451" s="12"/>
      <c r="J451" s="25"/>
      <c r="K451" s="25"/>
      <c r="L451" s="25"/>
      <c r="M451" s="12"/>
      <c r="N451" s="25"/>
      <c r="O451" s="25"/>
      <c r="P451" s="14" t="str">
        <f aca="false">IF($O451="","",IFERROR(VALUE(LEFT($O451,FIND(".",$O451)-1)),""))</f>
        <v/>
      </c>
      <c r="Q451" s="14" t="str">
        <f aca="false">IF($P451="","",IF($P451&lt;=7,"Shoshilinch",IF($P451&lt;=9,"Kechiktirib bo'lmaydigan",IF($P451&lt;=14,"Rejalashtirilgan","Rejali"))))</f>
        <v/>
      </c>
      <c r="R451" s="25"/>
      <c r="S451" s="14" t="str">
        <f aca="false">IF($K451&lt;&gt;"Kesarcha","",IF(OR($O451&lt;&gt;"",$R451="Ha"),"Ha","YO‘Q"))</f>
        <v/>
      </c>
      <c r="T451" s="12"/>
      <c r="U451" s="12"/>
      <c r="V451" s="14" t="str">
        <f aca="false">IF(OR($C451="",$D451="",$B451=""),"",IF(COUNTIFS($C$5:$C$604,$C451,$D$5:$D$604,$D451,$B$5:$B$604,$B451)&gt;1,"Takror",""))</f>
        <v/>
      </c>
    </row>
    <row r="452" customFormat="false" ht="15" hidden="false" customHeight="false" outlineLevel="0" collapsed="false">
      <c r="A452" s="8" t="n">
        <v>448</v>
      </c>
      <c r="B452" s="13"/>
      <c r="C452" s="12"/>
      <c r="D452" s="13"/>
      <c r="E452" s="24"/>
      <c r="F452" s="12"/>
      <c r="G452" s="14" t="str">
        <f aca="false">IF(OR($D452="",$B452=""),"",INT(($B452-$D452)/365.25))</f>
        <v/>
      </c>
      <c r="H452" s="14" t="str">
        <f aca="false">IF($G452="","",IF($G452&lt;18,"Ha","Yo'q"))</f>
        <v/>
      </c>
      <c r="I452" s="12"/>
      <c r="J452" s="25"/>
      <c r="K452" s="25"/>
      <c r="L452" s="25"/>
      <c r="M452" s="12"/>
      <c r="N452" s="25"/>
      <c r="O452" s="25"/>
      <c r="P452" s="14" t="str">
        <f aca="false">IF($O452="","",IFERROR(VALUE(LEFT($O452,FIND(".",$O452)-1)),""))</f>
        <v/>
      </c>
      <c r="Q452" s="14" t="str">
        <f aca="false">IF($P452="","",IF($P452&lt;=7,"Shoshilinch",IF($P452&lt;=9,"Kechiktirib bo'lmaydigan",IF($P452&lt;=14,"Rejalashtirilgan","Rejali"))))</f>
        <v/>
      </c>
      <c r="R452" s="25"/>
      <c r="S452" s="14" t="str">
        <f aca="false">IF($K452&lt;&gt;"Kesarcha","",IF(OR($O452&lt;&gt;"",$R452="Ha"),"Ha","YO‘Q"))</f>
        <v/>
      </c>
      <c r="T452" s="12"/>
      <c r="U452" s="12"/>
      <c r="V452" s="14" t="str">
        <f aca="false">IF(OR($C452="",$D452="",$B452=""),"",IF(COUNTIFS($C$5:$C$604,$C452,$D$5:$D$604,$D452,$B$5:$B$604,$B452)&gt;1,"Takror",""))</f>
        <v/>
      </c>
    </row>
    <row r="453" customFormat="false" ht="15" hidden="false" customHeight="false" outlineLevel="0" collapsed="false">
      <c r="A453" s="8" t="n">
        <v>449</v>
      </c>
      <c r="B453" s="13"/>
      <c r="C453" s="12"/>
      <c r="D453" s="13"/>
      <c r="E453" s="24"/>
      <c r="F453" s="12"/>
      <c r="G453" s="14" t="str">
        <f aca="false">IF(OR($D453="",$B453=""),"",INT(($B453-$D453)/365.25))</f>
        <v/>
      </c>
      <c r="H453" s="14" t="str">
        <f aca="false">IF($G453="","",IF($G453&lt;18,"Ha","Yo'q"))</f>
        <v/>
      </c>
      <c r="I453" s="12"/>
      <c r="J453" s="25"/>
      <c r="K453" s="25"/>
      <c r="L453" s="25"/>
      <c r="M453" s="12"/>
      <c r="N453" s="25"/>
      <c r="O453" s="25"/>
      <c r="P453" s="14" t="str">
        <f aca="false">IF($O453="","",IFERROR(VALUE(LEFT($O453,FIND(".",$O453)-1)),""))</f>
        <v/>
      </c>
      <c r="Q453" s="14" t="str">
        <f aca="false">IF($P453="","",IF($P453&lt;=7,"Shoshilinch",IF($P453&lt;=9,"Kechiktirib bo'lmaydigan",IF($P453&lt;=14,"Rejalashtirilgan","Rejali"))))</f>
        <v/>
      </c>
      <c r="R453" s="25"/>
      <c r="S453" s="14" t="str">
        <f aca="false">IF($K453&lt;&gt;"Kesarcha","",IF(OR($O453&lt;&gt;"",$R453="Ha"),"Ha","YO‘Q"))</f>
        <v/>
      </c>
      <c r="T453" s="12"/>
      <c r="U453" s="12"/>
      <c r="V453" s="14" t="str">
        <f aca="false">IF(OR($C453="",$D453="",$B453=""),"",IF(COUNTIFS($C$5:$C$604,$C453,$D$5:$D$604,$D453,$B$5:$B$604,$B453)&gt;1,"Takror",""))</f>
        <v/>
      </c>
    </row>
    <row r="454" customFormat="false" ht="15" hidden="false" customHeight="false" outlineLevel="0" collapsed="false">
      <c r="A454" s="8" t="n">
        <v>450</v>
      </c>
      <c r="B454" s="13"/>
      <c r="C454" s="12"/>
      <c r="D454" s="13"/>
      <c r="E454" s="24"/>
      <c r="F454" s="12"/>
      <c r="G454" s="14" t="str">
        <f aca="false">IF(OR($D454="",$B454=""),"",INT(($B454-$D454)/365.25))</f>
        <v/>
      </c>
      <c r="H454" s="14" t="str">
        <f aca="false">IF($G454="","",IF($G454&lt;18,"Ha","Yo'q"))</f>
        <v/>
      </c>
      <c r="I454" s="12"/>
      <c r="J454" s="25"/>
      <c r="K454" s="25"/>
      <c r="L454" s="25"/>
      <c r="M454" s="12"/>
      <c r="N454" s="25"/>
      <c r="O454" s="25"/>
      <c r="P454" s="14" t="str">
        <f aca="false">IF($O454="","",IFERROR(VALUE(LEFT($O454,FIND(".",$O454)-1)),""))</f>
        <v/>
      </c>
      <c r="Q454" s="14" t="str">
        <f aca="false">IF($P454="","",IF($P454&lt;=7,"Shoshilinch",IF($P454&lt;=9,"Kechiktirib bo'lmaydigan",IF($P454&lt;=14,"Rejalashtirilgan","Rejali"))))</f>
        <v/>
      </c>
      <c r="R454" s="25"/>
      <c r="S454" s="14" t="str">
        <f aca="false">IF($K454&lt;&gt;"Kesarcha","",IF(OR($O454&lt;&gt;"",$R454="Ha"),"Ha","YO‘Q"))</f>
        <v/>
      </c>
      <c r="T454" s="12"/>
      <c r="U454" s="12"/>
      <c r="V454" s="14" t="str">
        <f aca="false">IF(OR($C454="",$D454="",$B454=""),"",IF(COUNTIFS($C$5:$C$604,$C454,$D$5:$D$604,$D454,$B$5:$B$604,$B454)&gt;1,"Takror",""))</f>
        <v/>
      </c>
    </row>
    <row r="455" customFormat="false" ht="15" hidden="false" customHeight="false" outlineLevel="0" collapsed="false">
      <c r="A455" s="8" t="n">
        <v>451</v>
      </c>
      <c r="B455" s="13"/>
      <c r="C455" s="12"/>
      <c r="D455" s="13"/>
      <c r="E455" s="24"/>
      <c r="F455" s="12"/>
      <c r="G455" s="14" t="str">
        <f aca="false">IF(OR($D455="",$B455=""),"",INT(($B455-$D455)/365.25))</f>
        <v/>
      </c>
      <c r="H455" s="14" t="str">
        <f aca="false">IF($G455="","",IF($G455&lt;18,"Ha","Yo'q"))</f>
        <v/>
      </c>
      <c r="I455" s="12"/>
      <c r="J455" s="25"/>
      <c r="K455" s="25"/>
      <c r="L455" s="25"/>
      <c r="M455" s="12"/>
      <c r="N455" s="25"/>
      <c r="O455" s="25"/>
      <c r="P455" s="14" t="str">
        <f aca="false">IF($O455="","",IFERROR(VALUE(LEFT($O455,FIND(".",$O455)-1)),""))</f>
        <v/>
      </c>
      <c r="Q455" s="14" t="str">
        <f aca="false">IF($P455="","",IF($P455&lt;=7,"Shoshilinch",IF($P455&lt;=9,"Kechiktirib bo'lmaydigan",IF($P455&lt;=14,"Rejalashtirilgan","Rejali"))))</f>
        <v/>
      </c>
      <c r="R455" s="25"/>
      <c r="S455" s="14" t="str">
        <f aca="false">IF($K455&lt;&gt;"Kesarcha","",IF(OR($O455&lt;&gt;"",$R455="Ha"),"Ha","YO‘Q"))</f>
        <v/>
      </c>
      <c r="T455" s="12"/>
      <c r="U455" s="12"/>
      <c r="V455" s="14" t="str">
        <f aca="false">IF(OR($C455="",$D455="",$B455=""),"",IF(COUNTIFS($C$5:$C$604,$C455,$D$5:$D$604,$D455,$B$5:$B$604,$B455)&gt;1,"Takror",""))</f>
        <v/>
      </c>
    </row>
    <row r="456" customFormat="false" ht="15" hidden="false" customHeight="false" outlineLevel="0" collapsed="false">
      <c r="A456" s="8" t="n">
        <v>452</v>
      </c>
      <c r="B456" s="13"/>
      <c r="C456" s="12"/>
      <c r="D456" s="13"/>
      <c r="E456" s="24"/>
      <c r="F456" s="12"/>
      <c r="G456" s="14" t="str">
        <f aca="false">IF(OR($D456="",$B456=""),"",INT(($B456-$D456)/365.25))</f>
        <v/>
      </c>
      <c r="H456" s="14" t="str">
        <f aca="false">IF($G456="","",IF($G456&lt;18,"Ha","Yo'q"))</f>
        <v/>
      </c>
      <c r="I456" s="12"/>
      <c r="J456" s="25"/>
      <c r="K456" s="25"/>
      <c r="L456" s="25"/>
      <c r="M456" s="12"/>
      <c r="N456" s="25"/>
      <c r="O456" s="25"/>
      <c r="P456" s="14" t="str">
        <f aca="false">IF($O456="","",IFERROR(VALUE(LEFT($O456,FIND(".",$O456)-1)),""))</f>
        <v/>
      </c>
      <c r="Q456" s="14" t="str">
        <f aca="false">IF($P456="","",IF($P456&lt;=7,"Shoshilinch",IF($P456&lt;=9,"Kechiktirib bo'lmaydigan",IF($P456&lt;=14,"Rejalashtirilgan","Rejali"))))</f>
        <v/>
      </c>
      <c r="R456" s="25"/>
      <c r="S456" s="14" t="str">
        <f aca="false">IF($K456&lt;&gt;"Kesarcha","",IF(OR($O456&lt;&gt;"",$R456="Ha"),"Ha","YO‘Q"))</f>
        <v/>
      </c>
      <c r="T456" s="12"/>
      <c r="U456" s="12"/>
      <c r="V456" s="14" t="str">
        <f aca="false">IF(OR($C456="",$D456="",$B456=""),"",IF(COUNTIFS($C$5:$C$604,$C456,$D$5:$D$604,$D456,$B$5:$B$604,$B456)&gt;1,"Takror",""))</f>
        <v/>
      </c>
    </row>
    <row r="457" customFormat="false" ht="15" hidden="false" customHeight="false" outlineLevel="0" collapsed="false">
      <c r="A457" s="8" t="n">
        <v>453</v>
      </c>
      <c r="B457" s="13"/>
      <c r="C457" s="12"/>
      <c r="D457" s="13"/>
      <c r="E457" s="24"/>
      <c r="F457" s="12"/>
      <c r="G457" s="14" t="str">
        <f aca="false">IF(OR($D457="",$B457=""),"",INT(($B457-$D457)/365.25))</f>
        <v/>
      </c>
      <c r="H457" s="14" t="str">
        <f aca="false">IF($G457="","",IF($G457&lt;18,"Ha","Yo'q"))</f>
        <v/>
      </c>
      <c r="I457" s="12"/>
      <c r="J457" s="25"/>
      <c r="K457" s="25"/>
      <c r="L457" s="25"/>
      <c r="M457" s="12"/>
      <c r="N457" s="25"/>
      <c r="O457" s="25"/>
      <c r="P457" s="14" t="str">
        <f aca="false">IF($O457="","",IFERROR(VALUE(LEFT($O457,FIND(".",$O457)-1)),""))</f>
        <v/>
      </c>
      <c r="Q457" s="14" t="str">
        <f aca="false">IF($P457="","",IF($P457&lt;=7,"Shoshilinch",IF($P457&lt;=9,"Kechiktirib bo'lmaydigan",IF($P457&lt;=14,"Rejalashtirilgan","Rejali"))))</f>
        <v/>
      </c>
      <c r="R457" s="25"/>
      <c r="S457" s="14" t="str">
        <f aca="false">IF($K457&lt;&gt;"Kesarcha","",IF(OR($O457&lt;&gt;"",$R457="Ha"),"Ha","YO‘Q"))</f>
        <v/>
      </c>
      <c r="T457" s="12"/>
      <c r="U457" s="12"/>
      <c r="V457" s="14" t="str">
        <f aca="false">IF(OR($C457="",$D457="",$B457=""),"",IF(COUNTIFS($C$5:$C$604,$C457,$D$5:$D$604,$D457,$B$5:$B$604,$B457)&gt;1,"Takror",""))</f>
        <v/>
      </c>
    </row>
    <row r="458" customFormat="false" ht="15" hidden="false" customHeight="false" outlineLevel="0" collapsed="false">
      <c r="A458" s="8" t="n">
        <v>454</v>
      </c>
      <c r="B458" s="13"/>
      <c r="C458" s="12"/>
      <c r="D458" s="13"/>
      <c r="E458" s="24"/>
      <c r="F458" s="12"/>
      <c r="G458" s="14" t="str">
        <f aca="false">IF(OR($D458="",$B458=""),"",INT(($B458-$D458)/365.25))</f>
        <v/>
      </c>
      <c r="H458" s="14" t="str">
        <f aca="false">IF($G458="","",IF($G458&lt;18,"Ha","Yo'q"))</f>
        <v/>
      </c>
      <c r="I458" s="12"/>
      <c r="J458" s="25"/>
      <c r="K458" s="25"/>
      <c r="L458" s="25"/>
      <c r="M458" s="12"/>
      <c r="N458" s="25"/>
      <c r="O458" s="25"/>
      <c r="P458" s="14" t="str">
        <f aca="false">IF($O458="","",IFERROR(VALUE(LEFT($O458,FIND(".",$O458)-1)),""))</f>
        <v/>
      </c>
      <c r="Q458" s="14" t="str">
        <f aca="false">IF($P458="","",IF($P458&lt;=7,"Shoshilinch",IF($P458&lt;=9,"Kechiktirib bo'lmaydigan",IF($P458&lt;=14,"Rejalashtirilgan","Rejali"))))</f>
        <v/>
      </c>
      <c r="R458" s="25"/>
      <c r="S458" s="14" t="str">
        <f aca="false">IF($K458&lt;&gt;"Kesarcha","",IF(OR($O458&lt;&gt;"",$R458="Ha"),"Ha","YO‘Q"))</f>
        <v/>
      </c>
      <c r="T458" s="12"/>
      <c r="U458" s="12"/>
      <c r="V458" s="14" t="str">
        <f aca="false">IF(OR($C458="",$D458="",$B458=""),"",IF(COUNTIFS($C$5:$C$604,$C458,$D$5:$D$604,$D458,$B$5:$B$604,$B458)&gt;1,"Takror",""))</f>
        <v/>
      </c>
    </row>
    <row r="459" customFormat="false" ht="15" hidden="false" customHeight="false" outlineLevel="0" collapsed="false">
      <c r="A459" s="8" t="n">
        <v>455</v>
      </c>
      <c r="B459" s="13"/>
      <c r="C459" s="12"/>
      <c r="D459" s="13"/>
      <c r="E459" s="24"/>
      <c r="F459" s="12"/>
      <c r="G459" s="14" t="str">
        <f aca="false">IF(OR($D459="",$B459=""),"",INT(($B459-$D459)/365.25))</f>
        <v/>
      </c>
      <c r="H459" s="14" t="str">
        <f aca="false">IF($G459="","",IF($G459&lt;18,"Ha","Yo'q"))</f>
        <v/>
      </c>
      <c r="I459" s="12"/>
      <c r="J459" s="25"/>
      <c r="K459" s="25"/>
      <c r="L459" s="25"/>
      <c r="M459" s="12"/>
      <c r="N459" s="25"/>
      <c r="O459" s="25"/>
      <c r="P459" s="14" t="str">
        <f aca="false">IF($O459="","",IFERROR(VALUE(LEFT($O459,FIND(".",$O459)-1)),""))</f>
        <v/>
      </c>
      <c r="Q459" s="14" t="str">
        <f aca="false">IF($P459="","",IF($P459&lt;=7,"Shoshilinch",IF($P459&lt;=9,"Kechiktirib bo'lmaydigan",IF($P459&lt;=14,"Rejalashtirilgan","Rejali"))))</f>
        <v/>
      </c>
      <c r="R459" s="25"/>
      <c r="S459" s="14" t="str">
        <f aca="false">IF($K459&lt;&gt;"Kesarcha","",IF(OR($O459&lt;&gt;"",$R459="Ha"),"Ha","YO‘Q"))</f>
        <v/>
      </c>
      <c r="T459" s="12"/>
      <c r="U459" s="12"/>
      <c r="V459" s="14" t="str">
        <f aca="false">IF(OR($C459="",$D459="",$B459=""),"",IF(COUNTIFS($C$5:$C$604,$C459,$D$5:$D$604,$D459,$B$5:$B$604,$B459)&gt;1,"Takror",""))</f>
        <v/>
      </c>
    </row>
    <row r="460" customFormat="false" ht="15" hidden="false" customHeight="false" outlineLevel="0" collapsed="false">
      <c r="A460" s="8" t="n">
        <v>456</v>
      </c>
      <c r="B460" s="13"/>
      <c r="C460" s="12"/>
      <c r="D460" s="13"/>
      <c r="E460" s="24"/>
      <c r="F460" s="12"/>
      <c r="G460" s="14" t="str">
        <f aca="false">IF(OR($D460="",$B460=""),"",INT(($B460-$D460)/365.25))</f>
        <v/>
      </c>
      <c r="H460" s="14" t="str">
        <f aca="false">IF($G460="","",IF($G460&lt;18,"Ha","Yo'q"))</f>
        <v/>
      </c>
      <c r="I460" s="12"/>
      <c r="J460" s="25"/>
      <c r="K460" s="25"/>
      <c r="L460" s="25"/>
      <c r="M460" s="12"/>
      <c r="N460" s="25"/>
      <c r="O460" s="25"/>
      <c r="P460" s="14" t="str">
        <f aca="false">IF($O460="","",IFERROR(VALUE(LEFT($O460,FIND(".",$O460)-1)),""))</f>
        <v/>
      </c>
      <c r="Q460" s="14" t="str">
        <f aca="false">IF($P460="","",IF($P460&lt;=7,"Shoshilinch",IF($P460&lt;=9,"Kechiktirib bo'lmaydigan",IF($P460&lt;=14,"Rejalashtirilgan","Rejali"))))</f>
        <v/>
      </c>
      <c r="R460" s="25"/>
      <c r="S460" s="14" t="str">
        <f aca="false">IF($K460&lt;&gt;"Kesarcha","",IF(OR($O460&lt;&gt;"",$R460="Ha"),"Ha","YO‘Q"))</f>
        <v/>
      </c>
      <c r="T460" s="12"/>
      <c r="U460" s="12"/>
      <c r="V460" s="14" t="str">
        <f aca="false">IF(OR($C460="",$D460="",$B460=""),"",IF(COUNTIFS($C$5:$C$604,$C460,$D$5:$D$604,$D460,$B$5:$B$604,$B460)&gt;1,"Takror",""))</f>
        <v/>
      </c>
    </row>
    <row r="461" customFormat="false" ht="15" hidden="false" customHeight="false" outlineLevel="0" collapsed="false">
      <c r="A461" s="8" t="n">
        <v>457</v>
      </c>
      <c r="B461" s="13"/>
      <c r="C461" s="12"/>
      <c r="D461" s="13"/>
      <c r="E461" s="24"/>
      <c r="F461" s="12"/>
      <c r="G461" s="14" t="str">
        <f aca="false">IF(OR($D461="",$B461=""),"",INT(($B461-$D461)/365.25))</f>
        <v/>
      </c>
      <c r="H461" s="14" t="str">
        <f aca="false">IF($G461="","",IF($G461&lt;18,"Ha","Yo'q"))</f>
        <v/>
      </c>
      <c r="I461" s="12"/>
      <c r="J461" s="25"/>
      <c r="K461" s="25"/>
      <c r="L461" s="25"/>
      <c r="M461" s="12"/>
      <c r="N461" s="25"/>
      <c r="O461" s="25"/>
      <c r="P461" s="14" t="str">
        <f aca="false">IF($O461="","",IFERROR(VALUE(LEFT($O461,FIND(".",$O461)-1)),""))</f>
        <v/>
      </c>
      <c r="Q461" s="14" t="str">
        <f aca="false">IF($P461="","",IF($P461&lt;=7,"Shoshilinch",IF($P461&lt;=9,"Kechiktirib bo'lmaydigan",IF($P461&lt;=14,"Rejalashtirilgan","Rejali"))))</f>
        <v/>
      </c>
      <c r="R461" s="25"/>
      <c r="S461" s="14" t="str">
        <f aca="false">IF($K461&lt;&gt;"Kesarcha","",IF(OR($O461&lt;&gt;"",$R461="Ha"),"Ha","YO‘Q"))</f>
        <v/>
      </c>
      <c r="T461" s="12"/>
      <c r="U461" s="12"/>
      <c r="V461" s="14" t="str">
        <f aca="false">IF(OR($C461="",$D461="",$B461=""),"",IF(COUNTIFS($C$5:$C$604,$C461,$D$5:$D$604,$D461,$B$5:$B$604,$B461)&gt;1,"Takror",""))</f>
        <v/>
      </c>
    </row>
    <row r="462" customFormat="false" ht="15" hidden="false" customHeight="false" outlineLevel="0" collapsed="false">
      <c r="A462" s="8" t="n">
        <v>458</v>
      </c>
      <c r="B462" s="13"/>
      <c r="C462" s="12"/>
      <c r="D462" s="13"/>
      <c r="E462" s="24"/>
      <c r="F462" s="12"/>
      <c r="G462" s="14" t="str">
        <f aca="false">IF(OR($D462="",$B462=""),"",INT(($B462-$D462)/365.25))</f>
        <v/>
      </c>
      <c r="H462" s="14" t="str">
        <f aca="false">IF($G462="","",IF($G462&lt;18,"Ha","Yo'q"))</f>
        <v/>
      </c>
      <c r="I462" s="12"/>
      <c r="J462" s="25"/>
      <c r="K462" s="25"/>
      <c r="L462" s="25"/>
      <c r="M462" s="12"/>
      <c r="N462" s="25"/>
      <c r="O462" s="25"/>
      <c r="P462" s="14" t="str">
        <f aca="false">IF($O462="","",IFERROR(VALUE(LEFT($O462,FIND(".",$O462)-1)),""))</f>
        <v/>
      </c>
      <c r="Q462" s="14" t="str">
        <f aca="false">IF($P462="","",IF($P462&lt;=7,"Shoshilinch",IF($P462&lt;=9,"Kechiktirib bo'lmaydigan",IF($P462&lt;=14,"Rejalashtirilgan","Rejali"))))</f>
        <v/>
      </c>
      <c r="R462" s="25"/>
      <c r="S462" s="14" t="str">
        <f aca="false">IF($K462&lt;&gt;"Kesarcha","",IF(OR($O462&lt;&gt;"",$R462="Ha"),"Ha","YO‘Q"))</f>
        <v/>
      </c>
      <c r="T462" s="12"/>
      <c r="U462" s="12"/>
      <c r="V462" s="14" t="str">
        <f aca="false">IF(OR($C462="",$D462="",$B462=""),"",IF(COUNTIFS($C$5:$C$604,$C462,$D$5:$D$604,$D462,$B$5:$B$604,$B462)&gt;1,"Takror",""))</f>
        <v/>
      </c>
    </row>
    <row r="463" customFormat="false" ht="15" hidden="false" customHeight="false" outlineLevel="0" collapsed="false">
      <c r="A463" s="8" t="n">
        <v>459</v>
      </c>
      <c r="B463" s="13"/>
      <c r="C463" s="12"/>
      <c r="D463" s="13"/>
      <c r="E463" s="24"/>
      <c r="F463" s="12"/>
      <c r="G463" s="14" t="str">
        <f aca="false">IF(OR($D463="",$B463=""),"",INT(($B463-$D463)/365.25))</f>
        <v/>
      </c>
      <c r="H463" s="14" t="str">
        <f aca="false">IF($G463="","",IF($G463&lt;18,"Ha","Yo'q"))</f>
        <v/>
      </c>
      <c r="I463" s="12"/>
      <c r="J463" s="25"/>
      <c r="K463" s="25"/>
      <c r="L463" s="25"/>
      <c r="M463" s="12"/>
      <c r="N463" s="25"/>
      <c r="O463" s="25"/>
      <c r="P463" s="14" t="str">
        <f aca="false">IF($O463="","",IFERROR(VALUE(LEFT($O463,FIND(".",$O463)-1)),""))</f>
        <v/>
      </c>
      <c r="Q463" s="14" t="str">
        <f aca="false">IF($P463="","",IF($P463&lt;=7,"Shoshilinch",IF($P463&lt;=9,"Kechiktirib bo'lmaydigan",IF($P463&lt;=14,"Rejalashtirilgan","Rejali"))))</f>
        <v/>
      </c>
      <c r="R463" s="25"/>
      <c r="S463" s="14" t="str">
        <f aca="false">IF($K463&lt;&gt;"Kesarcha","",IF(OR($O463&lt;&gt;"",$R463="Ha"),"Ha","YO‘Q"))</f>
        <v/>
      </c>
      <c r="T463" s="12"/>
      <c r="U463" s="12"/>
      <c r="V463" s="14" t="str">
        <f aca="false">IF(OR($C463="",$D463="",$B463=""),"",IF(COUNTIFS($C$5:$C$604,$C463,$D$5:$D$604,$D463,$B$5:$B$604,$B463)&gt;1,"Takror",""))</f>
        <v/>
      </c>
    </row>
    <row r="464" customFormat="false" ht="15" hidden="false" customHeight="false" outlineLevel="0" collapsed="false">
      <c r="A464" s="8" t="n">
        <v>460</v>
      </c>
      <c r="B464" s="13"/>
      <c r="C464" s="12"/>
      <c r="D464" s="13"/>
      <c r="E464" s="24"/>
      <c r="F464" s="12"/>
      <c r="G464" s="14" t="str">
        <f aca="false">IF(OR($D464="",$B464=""),"",INT(($B464-$D464)/365.25))</f>
        <v/>
      </c>
      <c r="H464" s="14" t="str">
        <f aca="false">IF($G464="","",IF($G464&lt;18,"Ha","Yo'q"))</f>
        <v/>
      </c>
      <c r="I464" s="12"/>
      <c r="J464" s="25"/>
      <c r="K464" s="25"/>
      <c r="L464" s="25"/>
      <c r="M464" s="12"/>
      <c r="N464" s="25"/>
      <c r="O464" s="25"/>
      <c r="P464" s="14" t="str">
        <f aca="false">IF($O464="","",IFERROR(VALUE(LEFT($O464,FIND(".",$O464)-1)),""))</f>
        <v/>
      </c>
      <c r="Q464" s="14" t="str">
        <f aca="false">IF($P464="","",IF($P464&lt;=7,"Shoshilinch",IF($P464&lt;=9,"Kechiktirib bo'lmaydigan",IF($P464&lt;=14,"Rejalashtirilgan","Rejali"))))</f>
        <v/>
      </c>
      <c r="R464" s="25"/>
      <c r="S464" s="14" t="str">
        <f aca="false">IF($K464&lt;&gt;"Kesarcha","",IF(OR($O464&lt;&gt;"",$R464="Ha"),"Ha","YO‘Q"))</f>
        <v/>
      </c>
      <c r="T464" s="12"/>
      <c r="U464" s="12"/>
      <c r="V464" s="14" t="str">
        <f aca="false">IF(OR($C464="",$D464="",$B464=""),"",IF(COUNTIFS($C$5:$C$604,$C464,$D$5:$D$604,$D464,$B$5:$B$604,$B464)&gt;1,"Takror",""))</f>
        <v/>
      </c>
    </row>
    <row r="465" customFormat="false" ht="15" hidden="false" customHeight="false" outlineLevel="0" collapsed="false">
      <c r="A465" s="8" t="n">
        <v>461</v>
      </c>
      <c r="B465" s="13"/>
      <c r="C465" s="12"/>
      <c r="D465" s="13"/>
      <c r="E465" s="24"/>
      <c r="F465" s="12"/>
      <c r="G465" s="14" t="str">
        <f aca="false">IF(OR($D465="",$B465=""),"",INT(($B465-$D465)/365.25))</f>
        <v/>
      </c>
      <c r="H465" s="14" t="str">
        <f aca="false">IF($G465="","",IF($G465&lt;18,"Ha","Yo'q"))</f>
        <v/>
      </c>
      <c r="I465" s="12"/>
      <c r="J465" s="25"/>
      <c r="K465" s="25"/>
      <c r="L465" s="25"/>
      <c r="M465" s="12"/>
      <c r="N465" s="25"/>
      <c r="O465" s="25"/>
      <c r="P465" s="14" t="str">
        <f aca="false">IF($O465="","",IFERROR(VALUE(LEFT($O465,FIND(".",$O465)-1)),""))</f>
        <v/>
      </c>
      <c r="Q465" s="14" t="str">
        <f aca="false">IF($P465="","",IF($P465&lt;=7,"Shoshilinch",IF($P465&lt;=9,"Kechiktirib bo'lmaydigan",IF($P465&lt;=14,"Rejalashtirilgan","Rejali"))))</f>
        <v/>
      </c>
      <c r="R465" s="25"/>
      <c r="S465" s="14" t="str">
        <f aca="false">IF($K465&lt;&gt;"Kesarcha","",IF(OR($O465&lt;&gt;"",$R465="Ha"),"Ha","YO‘Q"))</f>
        <v/>
      </c>
      <c r="T465" s="12"/>
      <c r="U465" s="12"/>
      <c r="V465" s="14" t="str">
        <f aca="false">IF(OR($C465="",$D465="",$B465=""),"",IF(COUNTIFS($C$5:$C$604,$C465,$D$5:$D$604,$D465,$B$5:$B$604,$B465)&gt;1,"Takror",""))</f>
        <v/>
      </c>
    </row>
    <row r="466" customFormat="false" ht="15" hidden="false" customHeight="false" outlineLevel="0" collapsed="false">
      <c r="A466" s="8" t="n">
        <v>462</v>
      </c>
      <c r="B466" s="13"/>
      <c r="C466" s="12"/>
      <c r="D466" s="13"/>
      <c r="E466" s="24"/>
      <c r="F466" s="12"/>
      <c r="G466" s="14" t="str">
        <f aca="false">IF(OR($D466="",$B466=""),"",INT(($B466-$D466)/365.25))</f>
        <v/>
      </c>
      <c r="H466" s="14" t="str">
        <f aca="false">IF($G466="","",IF($G466&lt;18,"Ha","Yo'q"))</f>
        <v/>
      </c>
      <c r="I466" s="12"/>
      <c r="J466" s="25"/>
      <c r="K466" s="25"/>
      <c r="L466" s="25"/>
      <c r="M466" s="12"/>
      <c r="N466" s="25"/>
      <c r="O466" s="25"/>
      <c r="P466" s="14" t="str">
        <f aca="false">IF($O466="","",IFERROR(VALUE(LEFT($O466,FIND(".",$O466)-1)),""))</f>
        <v/>
      </c>
      <c r="Q466" s="14" t="str">
        <f aca="false">IF($P466="","",IF($P466&lt;=7,"Shoshilinch",IF($P466&lt;=9,"Kechiktirib bo'lmaydigan",IF($P466&lt;=14,"Rejalashtirilgan","Rejali"))))</f>
        <v/>
      </c>
      <c r="R466" s="25"/>
      <c r="S466" s="14" t="str">
        <f aca="false">IF($K466&lt;&gt;"Kesarcha","",IF(OR($O466&lt;&gt;"",$R466="Ha"),"Ha","YO‘Q"))</f>
        <v/>
      </c>
      <c r="T466" s="12"/>
      <c r="U466" s="12"/>
      <c r="V466" s="14" t="str">
        <f aca="false">IF(OR($C466="",$D466="",$B466=""),"",IF(COUNTIFS($C$5:$C$604,$C466,$D$5:$D$604,$D466,$B$5:$B$604,$B466)&gt;1,"Takror",""))</f>
        <v/>
      </c>
    </row>
    <row r="467" customFormat="false" ht="15" hidden="false" customHeight="false" outlineLevel="0" collapsed="false">
      <c r="A467" s="8" t="n">
        <v>463</v>
      </c>
      <c r="B467" s="13"/>
      <c r="C467" s="12"/>
      <c r="D467" s="13"/>
      <c r="E467" s="24"/>
      <c r="F467" s="12"/>
      <c r="G467" s="14" t="str">
        <f aca="false">IF(OR($D467="",$B467=""),"",INT(($B467-$D467)/365.25))</f>
        <v/>
      </c>
      <c r="H467" s="14" t="str">
        <f aca="false">IF($G467="","",IF($G467&lt;18,"Ha","Yo'q"))</f>
        <v/>
      </c>
      <c r="I467" s="12"/>
      <c r="J467" s="25"/>
      <c r="K467" s="25"/>
      <c r="L467" s="25"/>
      <c r="M467" s="12"/>
      <c r="N467" s="25"/>
      <c r="O467" s="25"/>
      <c r="P467" s="14" t="str">
        <f aca="false">IF($O467="","",IFERROR(VALUE(LEFT($O467,FIND(".",$O467)-1)),""))</f>
        <v/>
      </c>
      <c r="Q467" s="14" t="str">
        <f aca="false">IF($P467="","",IF($P467&lt;=7,"Shoshilinch",IF($P467&lt;=9,"Kechiktirib bo'lmaydigan",IF($P467&lt;=14,"Rejalashtirilgan","Rejali"))))</f>
        <v/>
      </c>
      <c r="R467" s="25"/>
      <c r="S467" s="14" t="str">
        <f aca="false">IF($K467&lt;&gt;"Kesarcha","",IF(OR($O467&lt;&gt;"",$R467="Ha"),"Ha","YO‘Q"))</f>
        <v/>
      </c>
      <c r="T467" s="12"/>
      <c r="U467" s="12"/>
      <c r="V467" s="14" t="str">
        <f aca="false">IF(OR($C467="",$D467="",$B467=""),"",IF(COUNTIFS($C$5:$C$604,$C467,$D$5:$D$604,$D467,$B$5:$B$604,$B467)&gt;1,"Takror",""))</f>
        <v/>
      </c>
    </row>
    <row r="468" customFormat="false" ht="15" hidden="false" customHeight="false" outlineLevel="0" collapsed="false">
      <c r="A468" s="8" t="n">
        <v>464</v>
      </c>
      <c r="B468" s="13"/>
      <c r="C468" s="12"/>
      <c r="D468" s="13"/>
      <c r="E468" s="24"/>
      <c r="F468" s="12"/>
      <c r="G468" s="14" t="str">
        <f aca="false">IF(OR($D468="",$B468=""),"",INT(($B468-$D468)/365.25))</f>
        <v/>
      </c>
      <c r="H468" s="14" t="str">
        <f aca="false">IF($G468="","",IF($G468&lt;18,"Ha","Yo'q"))</f>
        <v/>
      </c>
      <c r="I468" s="12"/>
      <c r="J468" s="25"/>
      <c r="K468" s="25"/>
      <c r="L468" s="25"/>
      <c r="M468" s="12"/>
      <c r="N468" s="25"/>
      <c r="O468" s="25"/>
      <c r="P468" s="14" t="str">
        <f aca="false">IF($O468="","",IFERROR(VALUE(LEFT($O468,FIND(".",$O468)-1)),""))</f>
        <v/>
      </c>
      <c r="Q468" s="14" t="str">
        <f aca="false">IF($P468="","",IF($P468&lt;=7,"Shoshilinch",IF($P468&lt;=9,"Kechiktirib bo'lmaydigan",IF($P468&lt;=14,"Rejalashtirilgan","Rejali"))))</f>
        <v/>
      </c>
      <c r="R468" s="25"/>
      <c r="S468" s="14" t="str">
        <f aca="false">IF($K468&lt;&gt;"Kesarcha","",IF(OR($O468&lt;&gt;"",$R468="Ha"),"Ha","YO‘Q"))</f>
        <v/>
      </c>
      <c r="T468" s="12"/>
      <c r="U468" s="12"/>
      <c r="V468" s="14" t="str">
        <f aca="false">IF(OR($C468="",$D468="",$B468=""),"",IF(COUNTIFS($C$5:$C$604,$C468,$D$5:$D$604,$D468,$B$5:$B$604,$B468)&gt;1,"Takror",""))</f>
        <v/>
      </c>
    </row>
    <row r="469" customFormat="false" ht="15" hidden="false" customHeight="false" outlineLevel="0" collapsed="false">
      <c r="A469" s="8" t="n">
        <v>465</v>
      </c>
      <c r="B469" s="13"/>
      <c r="C469" s="12"/>
      <c r="D469" s="13"/>
      <c r="E469" s="24"/>
      <c r="F469" s="12"/>
      <c r="G469" s="14" t="str">
        <f aca="false">IF(OR($D469="",$B469=""),"",INT(($B469-$D469)/365.25))</f>
        <v/>
      </c>
      <c r="H469" s="14" t="str">
        <f aca="false">IF($G469="","",IF($G469&lt;18,"Ha","Yo'q"))</f>
        <v/>
      </c>
      <c r="I469" s="12"/>
      <c r="J469" s="25"/>
      <c r="K469" s="25"/>
      <c r="L469" s="25"/>
      <c r="M469" s="12"/>
      <c r="N469" s="25"/>
      <c r="O469" s="25"/>
      <c r="P469" s="14" t="str">
        <f aca="false">IF($O469="","",IFERROR(VALUE(LEFT($O469,FIND(".",$O469)-1)),""))</f>
        <v/>
      </c>
      <c r="Q469" s="14" t="str">
        <f aca="false">IF($P469="","",IF($P469&lt;=7,"Shoshilinch",IF($P469&lt;=9,"Kechiktirib bo'lmaydigan",IF($P469&lt;=14,"Rejalashtirilgan","Rejali"))))</f>
        <v/>
      </c>
      <c r="R469" s="25"/>
      <c r="S469" s="14" t="str">
        <f aca="false">IF($K469&lt;&gt;"Kesarcha","",IF(OR($O469&lt;&gt;"",$R469="Ha"),"Ha","YO‘Q"))</f>
        <v/>
      </c>
      <c r="T469" s="12"/>
      <c r="U469" s="12"/>
      <c r="V469" s="14" t="str">
        <f aca="false">IF(OR($C469="",$D469="",$B469=""),"",IF(COUNTIFS($C$5:$C$604,$C469,$D$5:$D$604,$D469,$B$5:$B$604,$B469)&gt;1,"Takror",""))</f>
        <v/>
      </c>
    </row>
    <row r="470" customFormat="false" ht="15" hidden="false" customHeight="false" outlineLevel="0" collapsed="false">
      <c r="A470" s="8" t="n">
        <v>466</v>
      </c>
      <c r="B470" s="13"/>
      <c r="C470" s="12"/>
      <c r="D470" s="13"/>
      <c r="E470" s="24"/>
      <c r="F470" s="12"/>
      <c r="G470" s="14" t="str">
        <f aca="false">IF(OR($D470="",$B470=""),"",INT(($B470-$D470)/365.25))</f>
        <v/>
      </c>
      <c r="H470" s="14" t="str">
        <f aca="false">IF($G470="","",IF($G470&lt;18,"Ha","Yo'q"))</f>
        <v/>
      </c>
      <c r="I470" s="12"/>
      <c r="J470" s="25"/>
      <c r="K470" s="25"/>
      <c r="L470" s="25"/>
      <c r="M470" s="12"/>
      <c r="N470" s="25"/>
      <c r="O470" s="25"/>
      <c r="P470" s="14" t="str">
        <f aca="false">IF($O470="","",IFERROR(VALUE(LEFT($O470,FIND(".",$O470)-1)),""))</f>
        <v/>
      </c>
      <c r="Q470" s="14" t="str">
        <f aca="false">IF($P470="","",IF($P470&lt;=7,"Shoshilinch",IF($P470&lt;=9,"Kechiktirib bo'lmaydigan",IF($P470&lt;=14,"Rejalashtirilgan","Rejali"))))</f>
        <v/>
      </c>
      <c r="R470" s="25"/>
      <c r="S470" s="14" t="str">
        <f aca="false">IF($K470&lt;&gt;"Kesarcha","",IF(OR($O470&lt;&gt;"",$R470="Ha"),"Ha","YO‘Q"))</f>
        <v/>
      </c>
      <c r="T470" s="12"/>
      <c r="U470" s="12"/>
      <c r="V470" s="14" t="str">
        <f aca="false">IF(OR($C470="",$D470="",$B470=""),"",IF(COUNTIFS($C$5:$C$604,$C470,$D$5:$D$604,$D470,$B$5:$B$604,$B470)&gt;1,"Takror",""))</f>
        <v/>
      </c>
    </row>
    <row r="471" customFormat="false" ht="15" hidden="false" customHeight="false" outlineLevel="0" collapsed="false">
      <c r="A471" s="8" t="n">
        <v>467</v>
      </c>
      <c r="B471" s="13"/>
      <c r="C471" s="12"/>
      <c r="D471" s="13"/>
      <c r="E471" s="24"/>
      <c r="F471" s="12"/>
      <c r="G471" s="14" t="str">
        <f aca="false">IF(OR($D471="",$B471=""),"",INT(($B471-$D471)/365.25))</f>
        <v/>
      </c>
      <c r="H471" s="14" t="str">
        <f aca="false">IF($G471="","",IF($G471&lt;18,"Ha","Yo'q"))</f>
        <v/>
      </c>
      <c r="I471" s="12"/>
      <c r="J471" s="25"/>
      <c r="K471" s="25"/>
      <c r="L471" s="25"/>
      <c r="M471" s="12"/>
      <c r="N471" s="25"/>
      <c r="O471" s="25"/>
      <c r="P471" s="14" t="str">
        <f aca="false">IF($O471="","",IFERROR(VALUE(LEFT($O471,FIND(".",$O471)-1)),""))</f>
        <v/>
      </c>
      <c r="Q471" s="14" t="str">
        <f aca="false">IF($P471="","",IF($P471&lt;=7,"Shoshilinch",IF($P471&lt;=9,"Kechiktirib bo'lmaydigan",IF($P471&lt;=14,"Rejalashtirilgan","Rejali"))))</f>
        <v/>
      </c>
      <c r="R471" s="25"/>
      <c r="S471" s="14" t="str">
        <f aca="false">IF($K471&lt;&gt;"Kesarcha","",IF(OR($O471&lt;&gt;"",$R471="Ha"),"Ha","YO‘Q"))</f>
        <v/>
      </c>
      <c r="T471" s="12"/>
      <c r="U471" s="12"/>
      <c r="V471" s="14" t="str">
        <f aca="false">IF(OR($C471="",$D471="",$B471=""),"",IF(COUNTIFS($C$5:$C$604,$C471,$D$5:$D$604,$D471,$B$5:$B$604,$B471)&gt;1,"Takror",""))</f>
        <v/>
      </c>
    </row>
    <row r="472" customFormat="false" ht="15" hidden="false" customHeight="false" outlineLevel="0" collapsed="false">
      <c r="A472" s="8" t="n">
        <v>468</v>
      </c>
      <c r="B472" s="13"/>
      <c r="C472" s="12"/>
      <c r="D472" s="13"/>
      <c r="E472" s="24"/>
      <c r="F472" s="12"/>
      <c r="G472" s="14" t="str">
        <f aca="false">IF(OR($D472="",$B472=""),"",INT(($B472-$D472)/365.25))</f>
        <v/>
      </c>
      <c r="H472" s="14" t="str">
        <f aca="false">IF($G472="","",IF($G472&lt;18,"Ha","Yo'q"))</f>
        <v/>
      </c>
      <c r="I472" s="12"/>
      <c r="J472" s="25"/>
      <c r="K472" s="25"/>
      <c r="L472" s="25"/>
      <c r="M472" s="12"/>
      <c r="N472" s="25"/>
      <c r="O472" s="25"/>
      <c r="P472" s="14" t="str">
        <f aca="false">IF($O472="","",IFERROR(VALUE(LEFT($O472,FIND(".",$O472)-1)),""))</f>
        <v/>
      </c>
      <c r="Q472" s="14" t="str">
        <f aca="false">IF($P472="","",IF($P472&lt;=7,"Shoshilinch",IF($P472&lt;=9,"Kechiktirib bo'lmaydigan",IF($P472&lt;=14,"Rejalashtirilgan","Rejali"))))</f>
        <v/>
      </c>
      <c r="R472" s="25"/>
      <c r="S472" s="14" t="str">
        <f aca="false">IF($K472&lt;&gt;"Kesarcha","",IF(OR($O472&lt;&gt;"",$R472="Ha"),"Ha","YO‘Q"))</f>
        <v/>
      </c>
      <c r="T472" s="12"/>
      <c r="U472" s="12"/>
      <c r="V472" s="14" t="str">
        <f aca="false">IF(OR($C472="",$D472="",$B472=""),"",IF(COUNTIFS($C$5:$C$604,$C472,$D$5:$D$604,$D472,$B$5:$B$604,$B472)&gt;1,"Takror",""))</f>
        <v/>
      </c>
    </row>
    <row r="473" customFormat="false" ht="15" hidden="false" customHeight="false" outlineLevel="0" collapsed="false">
      <c r="A473" s="8" t="n">
        <v>469</v>
      </c>
      <c r="B473" s="13"/>
      <c r="C473" s="12"/>
      <c r="D473" s="13"/>
      <c r="E473" s="24"/>
      <c r="F473" s="12"/>
      <c r="G473" s="14" t="str">
        <f aca="false">IF(OR($D473="",$B473=""),"",INT(($B473-$D473)/365.25))</f>
        <v/>
      </c>
      <c r="H473" s="14" t="str">
        <f aca="false">IF($G473="","",IF($G473&lt;18,"Ha","Yo'q"))</f>
        <v/>
      </c>
      <c r="I473" s="12"/>
      <c r="J473" s="25"/>
      <c r="K473" s="25"/>
      <c r="L473" s="25"/>
      <c r="M473" s="12"/>
      <c r="N473" s="25"/>
      <c r="O473" s="25"/>
      <c r="P473" s="14" t="str">
        <f aca="false">IF($O473="","",IFERROR(VALUE(LEFT($O473,FIND(".",$O473)-1)),""))</f>
        <v/>
      </c>
      <c r="Q473" s="14" t="str">
        <f aca="false">IF($P473="","",IF($P473&lt;=7,"Shoshilinch",IF($P473&lt;=9,"Kechiktirib bo'lmaydigan",IF($P473&lt;=14,"Rejalashtirilgan","Rejali"))))</f>
        <v/>
      </c>
      <c r="R473" s="25"/>
      <c r="S473" s="14" t="str">
        <f aca="false">IF($K473&lt;&gt;"Kesarcha","",IF(OR($O473&lt;&gt;"",$R473="Ha"),"Ha","YO‘Q"))</f>
        <v/>
      </c>
      <c r="T473" s="12"/>
      <c r="U473" s="12"/>
      <c r="V473" s="14" t="str">
        <f aca="false">IF(OR($C473="",$D473="",$B473=""),"",IF(COUNTIFS($C$5:$C$604,$C473,$D$5:$D$604,$D473,$B$5:$B$604,$B473)&gt;1,"Takror",""))</f>
        <v/>
      </c>
    </row>
    <row r="474" customFormat="false" ht="15" hidden="false" customHeight="false" outlineLevel="0" collapsed="false">
      <c r="A474" s="8" t="n">
        <v>470</v>
      </c>
      <c r="B474" s="13"/>
      <c r="C474" s="12"/>
      <c r="D474" s="13"/>
      <c r="E474" s="24"/>
      <c r="F474" s="12"/>
      <c r="G474" s="14" t="str">
        <f aca="false">IF(OR($D474="",$B474=""),"",INT(($B474-$D474)/365.25))</f>
        <v/>
      </c>
      <c r="H474" s="14" t="str">
        <f aca="false">IF($G474="","",IF($G474&lt;18,"Ha","Yo'q"))</f>
        <v/>
      </c>
      <c r="I474" s="12"/>
      <c r="J474" s="25"/>
      <c r="K474" s="25"/>
      <c r="L474" s="25"/>
      <c r="M474" s="12"/>
      <c r="N474" s="25"/>
      <c r="O474" s="25"/>
      <c r="P474" s="14" t="str">
        <f aca="false">IF($O474="","",IFERROR(VALUE(LEFT($O474,FIND(".",$O474)-1)),""))</f>
        <v/>
      </c>
      <c r="Q474" s="14" t="str">
        <f aca="false">IF($P474="","",IF($P474&lt;=7,"Shoshilinch",IF($P474&lt;=9,"Kechiktirib bo'lmaydigan",IF($P474&lt;=14,"Rejalashtirilgan","Rejali"))))</f>
        <v/>
      </c>
      <c r="R474" s="25"/>
      <c r="S474" s="14" t="str">
        <f aca="false">IF($K474&lt;&gt;"Kesarcha","",IF(OR($O474&lt;&gt;"",$R474="Ha"),"Ha","YO‘Q"))</f>
        <v/>
      </c>
      <c r="T474" s="12"/>
      <c r="U474" s="12"/>
      <c r="V474" s="14" t="str">
        <f aca="false">IF(OR($C474="",$D474="",$B474=""),"",IF(COUNTIFS($C$5:$C$604,$C474,$D$5:$D$604,$D474,$B$5:$B$604,$B474)&gt;1,"Takror",""))</f>
        <v/>
      </c>
    </row>
    <row r="475" customFormat="false" ht="15" hidden="false" customHeight="false" outlineLevel="0" collapsed="false">
      <c r="A475" s="8" t="n">
        <v>471</v>
      </c>
      <c r="B475" s="13"/>
      <c r="C475" s="12"/>
      <c r="D475" s="13"/>
      <c r="E475" s="24"/>
      <c r="F475" s="12"/>
      <c r="G475" s="14" t="str">
        <f aca="false">IF(OR($D475="",$B475=""),"",INT(($B475-$D475)/365.25))</f>
        <v/>
      </c>
      <c r="H475" s="14" t="str">
        <f aca="false">IF($G475="","",IF($G475&lt;18,"Ha","Yo'q"))</f>
        <v/>
      </c>
      <c r="I475" s="12"/>
      <c r="J475" s="25"/>
      <c r="K475" s="25"/>
      <c r="L475" s="25"/>
      <c r="M475" s="12"/>
      <c r="N475" s="25"/>
      <c r="O475" s="25"/>
      <c r="P475" s="14" t="str">
        <f aca="false">IF($O475="","",IFERROR(VALUE(LEFT($O475,FIND(".",$O475)-1)),""))</f>
        <v/>
      </c>
      <c r="Q475" s="14" t="str">
        <f aca="false">IF($P475="","",IF($P475&lt;=7,"Shoshilinch",IF($P475&lt;=9,"Kechiktirib bo'lmaydigan",IF($P475&lt;=14,"Rejalashtirilgan","Rejali"))))</f>
        <v/>
      </c>
      <c r="R475" s="25"/>
      <c r="S475" s="14" t="str">
        <f aca="false">IF($K475&lt;&gt;"Kesarcha","",IF(OR($O475&lt;&gt;"",$R475="Ha"),"Ha","YO‘Q"))</f>
        <v/>
      </c>
      <c r="T475" s="12"/>
      <c r="U475" s="12"/>
      <c r="V475" s="14" t="str">
        <f aca="false">IF(OR($C475="",$D475="",$B475=""),"",IF(COUNTIFS($C$5:$C$604,$C475,$D$5:$D$604,$D475,$B$5:$B$604,$B475)&gt;1,"Takror",""))</f>
        <v/>
      </c>
    </row>
    <row r="476" customFormat="false" ht="15" hidden="false" customHeight="false" outlineLevel="0" collapsed="false">
      <c r="A476" s="8" t="n">
        <v>472</v>
      </c>
      <c r="B476" s="13"/>
      <c r="C476" s="12"/>
      <c r="D476" s="13"/>
      <c r="E476" s="24"/>
      <c r="F476" s="12"/>
      <c r="G476" s="14" t="str">
        <f aca="false">IF(OR($D476="",$B476=""),"",INT(($B476-$D476)/365.25))</f>
        <v/>
      </c>
      <c r="H476" s="14" t="str">
        <f aca="false">IF($G476="","",IF($G476&lt;18,"Ha","Yo'q"))</f>
        <v/>
      </c>
      <c r="I476" s="12"/>
      <c r="J476" s="25"/>
      <c r="K476" s="25"/>
      <c r="L476" s="25"/>
      <c r="M476" s="12"/>
      <c r="N476" s="25"/>
      <c r="O476" s="25"/>
      <c r="P476" s="14" t="str">
        <f aca="false">IF($O476="","",IFERROR(VALUE(LEFT($O476,FIND(".",$O476)-1)),""))</f>
        <v/>
      </c>
      <c r="Q476" s="14" t="str">
        <f aca="false">IF($P476="","",IF($P476&lt;=7,"Shoshilinch",IF($P476&lt;=9,"Kechiktirib bo'lmaydigan",IF($P476&lt;=14,"Rejalashtirilgan","Rejali"))))</f>
        <v/>
      </c>
      <c r="R476" s="25"/>
      <c r="S476" s="14" t="str">
        <f aca="false">IF($K476&lt;&gt;"Kesarcha","",IF(OR($O476&lt;&gt;"",$R476="Ha"),"Ha","YO‘Q"))</f>
        <v/>
      </c>
      <c r="T476" s="12"/>
      <c r="U476" s="12"/>
      <c r="V476" s="14" t="str">
        <f aca="false">IF(OR($C476="",$D476="",$B476=""),"",IF(COUNTIFS($C$5:$C$604,$C476,$D$5:$D$604,$D476,$B$5:$B$604,$B476)&gt;1,"Takror",""))</f>
        <v/>
      </c>
    </row>
    <row r="477" customFormat="false" ht="15" hidden="false" customHeight="false" outlineLevel="0" collapsed="false">
      <c r="A477" s="8" t="n">
        <v>473</v>
      </c>
      <c r="B477" s="13"/>
      <c r="C477" s="12"/>
      <c r="D477" s="13"/>
      <c r="E477" s="24"/>
      <c r="F477" s="12"/>
      <c r="G477" s="14" t="str">
        <f aca="false">IF(OR($D477="",$B477=""),"",INT(($B477-$D477)/365.25))</f>
        <v/>
      </c>
      <c r="H477" s="14" t="str">
        <f aca="false">IF($G477="","",IF($G477&lt;18,"Ha","Yo'q"))</f>
        <v/>
      </c>
      <c r="I477" s="12"/>
      <c r="J477" s="25"/>
      <c r="K477" s="25"/>
      <c r="L477" s="25"/>
      <c r="M477" s="12"/>
      <c r="N477" s="25"/>
      <c r="O477" s="25"/>
      <c r="P477" s="14" t="str">
        <f aca="false">IF($O477="","",IFERROR(VALUE(LEFT($O477,FIND(".",$O477)-1)),""))</f>
        <v/>
      </c>
      <c r="Q477" s="14" t="str">
        <f aca="false">IF($P477="","",IF($P477&lt;=7,"Shoshilinch",IF($P477&lt;=9,"Kechiktirib bo'lmaydigan",IF($P477&lt;=14,"Rejalashtirilgan","Rejali"))))</f>
        <v/>
      </c>
      <c r="R477" s="25"/>
      <c r="S477" s="14" t="str">
        <f aca="false">IF($K477&lt;&gt;"Kesarcha","",IF(OR($O477&lt;&gt;"",$R477="Ha"),"Ha","YO‘Q"))</f>
        <v/>
      </c>
      <c r="T477" s="12"/>
      <c r="U477" s="12"/>
      <c r="V477" s="14" t="str">
        <f aca="false">IF(OR($C477="",$D477="",$B477=""),"",IF(COUNTIFS($C$5:$C$604,$C477,$D$5:$D$604,$D477,$B$5:$B$604,$B477)&gt;1,"Takror",""))</f>
        <v/>
      </c>
    </row>
    <row r="478" customFormat="false" ht="15" hidden="false" customHeight="false" outlineLevel="0" collapsed="false">
      <c r="A478" s="8" t="n">
        <v>474</v>
      </c>
      <c r="B478" s="13"/>
      <c r="C478" s="12"/>
      <c r="D478" s="13"/>
      <c r="E478" s="24"/>
      <c r="F478" s="12"/>
      <c r="G478" s="14" t="str">
        <f aca="false">IF(OR($D478="",$B478=""),"",INT(($B478-$D478)/365.25))</f>
        <v/>
      </c>
      <c r="H478" s="14" t="str">
        <f aca="false">IF($G478="","",IF($G478&lt;18,"Ha","Yo'q"))</f>
        <v/>
      </c>
      <c r="I478" s="12"/>
      <c r="J478" s="25"/>
      <c r="K478" s="25"/>
      <c r="L478" s="25"/>
      <c r="M478" s="12"/>
      <c r="N478" s="25"/>
      <c r="O478" s="25"/>
      <c r="P478" s="14" t="str">
        <f aca="false">IF($O478="","",IFERROR(VALUE(LEFT($O478,FIND(".",$O478)-1)),""))</f>
        <v/>
      </c>
      <c r="Q478" s="14" t="str">
        <f aca="false">IF($P478="","",IF($P478&lt;=7,"Shoshilinch",IF($P478&lt;=9,"Kechiktirib bo'lmaydigan",IF($P478&lt;=14,"Rejalashtirilgan","Rejali"))))</f>
        <v/>
      </c>
      <c r="R478" s="25"/>
      <c r="S478" s="14" t="str">
        <f aca="false">IF($K478&lt;&gt;"Kesarcha","",IF(OR($O478&lt;&gt;"",$R478="Ha"),"Ha","YO‘Q"))</f>
        <v/>
      </c>
      <c r="T478" s="12"/>
      <c r="U478" s="12"/>
      <c r="V478" s="14" t="str">
        <f aca="false">IF(OR($C478="",$D478="",$B478=""),"",IF(COUNTIFS($C$5:$C$604,$C478,$D$5:$D$604,$D478,$B$5:$B$604,$B478)&gt;1,"Takror",""))</f>
        <v/>
      </c>
    </row>
    <row r="479" customFormat="false" ht="15" hidden="false" customHeight="false" outlineLevel="0" collapsed="false">
      <c r="A479" s="8" t="n">
        <v>475</v>
      </c>
      <c r="B479" s="13"/>
      <c r="C479" s="12"/>
      <c r="D479" s="13"/>
      <c r="E479" s="24"/>
      <c r="F479" s="12"/>
      <c r="G479" s="14" t="str">
        <f aca="false">IF(OR($D479="",$B479=""),"",INT(($B479-$D479)/365.25))</f>
        <v/>
      </c>
      <c r="H479" s="14" t="str">
        <f aca="false">IF($G479="","",IF($G479&lt;18,"Ha","Yo'q"))</f>
        <v/>
      </c>
      <c r="I479" s="12"/>
      <c r="J479" s="25"/>
      <c r="K479" s="25"/>
      <c r="L479" s="25"/>
      <c r="M479" s="12"/>
      <c r="N479" s="25"/>
      <c r="O479" s="25"/>
      <c r="P479" s="14" t="str">
        <f aca="false">IF($O479="","",IFERROR(VALUE(LEFT($O479,FIND(".",$O479)-1)),""))</f>
        <v/>
      </c>
      <c r="Q479" s="14" t="str">
        <f aca="false">IF($P479="","",IF($P479&lt;=7,"Shoshilinch",IF($P479&lt;=9,"Kechiktirib bo'lmaydigan",IF($P479&lt;=14,"Rejalashtirilgan","Rejali"))))</f>
        <v/>
      </c>
      <c r="R479" s="25"/>
      <c r="S479" s="14" t="str">
        <f aca="false">IF($K479&lt;&gt;"Kesarcha","",IF(OR($O479&lt;&gt;"",$R479="Ha"),"Ha","YO‘Q"))</f>
        <v/>
      </c>
      <c r="T479" s="12"/>
      <c r="U479" s="12"/>
      <c r="V479" s="14" t="str">
        <f aca="false">IF(OR($C479="",$D479="",$B479=""),"",IF(COUNTIFS($C$5:$C$604,$C479,$D$5:$D$604,$D479,$B$5:$B$604,$B479)&gt;1,"Takror",""))</f>
        <v/>
      </c>
    </row>
    <row r="480" customFormat="false" ht="15" hidden="false" customHeight="false" outlineLevel="0" collapsed="false">
      <c r="A480" s="8" t="n">
        <v>476</v>
      </c>
      <c r="B480" s="13"/>
      <c r="C480" s="12"/>
      <c r="D480" s="13"/>
      <c r="E480" s="24"/>
      <c r="F480" s="12"/>
      <c r="G480" s="14" t="str">
        <f aca="false">IF(OR($D480="",$B480=""),"",INT(($B480-$D480)/365.25))</f>
        <v/>
      </c>
      <c r="H480" s="14" t="str">
        <f aca="false">IF($G480="","",IF($G480&lt;18,"Ha","Yo'q"))</f>
        <v/>
      </c>
      <c r="I480" s="12"/>
      <c r="J480" s="25"/>
      <c r="K480" s="25"/>
      <c r="L480" s="25"/>
      <c r="M480" s="12"/>
      <c r="N480" s="25"/>
      <c r="O480" s="25"/>
      <c r="P480" s="14" t="str">
        <f aca="false">IF($O480="","",IFERROR(VALUE(LEFT($O480,FIND(".",$O480)-1)),""))</f>
        <v/>
      </c>
      <c r="Q480" s="14" t="str">
        <f aca="false">IF($P480="","",IF($P480&lt;=7,"Shoshilinch",IF($P480&lt;=9,"Kechiktirib bo'lmaydigan",IF($P480&lt;=14,"Rejalashtirilgan","Rejali"))))</f>
        <v/>
      </c>
      <c r="R480" s="25"/>
      <c r="S480" s="14" t="str">
        <f aca="false">IF($K480&lt;&gt;"Kesarcha","",IF(OR($O480&lt;&gt;"",$R480="Ha"),"Ha","YO‘Q"))</f>
        <v/>
      </c>
      <c r="T480" s="12"/>
      <c r="U480" s="12"/>
      <c r="V480" s="14" t="str">
        <f aca="false">IF(OR($C480="",$D480="",$B480=""),"",IF(COUNTIFS($C$5:$C$604,$C480,$D$5:$D$604,$D480,$B$5:$B$604,$B480)&gt;1,"Takror",""))</f>
        <v/>
      </c>
    </row>
    <row r="481" customFormat="false" ht="15" hidden="false" customHeight="false" outlineLevel="0" collapsed="false">
      <c r="A481" s="8" t="n">
        <v>477</v>
      </c>
      <c r="B481" s="13"/>
      <c r="C481" s="12"/>
      <c r="D481" s="13"/>
      <c r="E481" s="24"/>
      <c r="F481" s="12"/>
      <c r="G481" s="14" t="str">
        <f aca="false">IF(OR($D481="",$B481=""),"",INT(($B481-$D481)/365.25))</f>
        <v/>
      </c>
      <c r="H481" s="14" t="str">
        <f aca="false">IF($G481="","",IF($G481&lt;18,"Ha","Yo'q"))</f>
        <v/>
      </c>
      <c r="I481" s="12"/>
      <c r="J481" s="25"/>
      <c r="K481" s="25"/>
      <c r="L481" s="25"/>
      <c r="M481" s="12"/>
      <c r="N481" s="25"/>
      <c r="O481" s="25"/>
      <c r="P481" s="14" t="str">
        <f aca="false">IF($O481="","",IFERROR(VALUE(LEFT($O481,FIND(".",$O481)-1)),""))</f>
        <v/>
      </c>
      <c r="Q481" s="14" t="str">
        <f aca="false">IF($P481="","",IF($P481&lt;=7,"Shoshilinch",IF($P481&lt;=9,"Kechiktirib bo'lmaydigan",IF($P481&lt;=14,"Rejalashtirilgan","Rejali"))))</f>
        <v/>
      </c>
      <c r="R481" s="25"/>
      <c r="S481" s="14" t="str">
        <f aca="false">IF($K481&lt;&gt;"Kesarcha","",IF(OR($O481&lt;&gt;"",$R481="Ha"),"Ha","YO‘Q"))</f>
        <v/>
      </c>
      <c r="T481" s="12"/>
      <c r="U481" s="12"/>
      <c r="V481" s="14" t="str">
        <f aca="false">IF(OR($C481="",$D481="",$B481=""),"",IF(COUNTIFS($C$5:$C$604,$C481,$D$5:$D$604,$D481,$B$5:$B$604,$B481)&gt;1,"Takror",""))</f>
        <v/>
      </c>
    </row>
    <row r="482" customFormat="false" ht="15" hidden="false" customHeight="false" outlineLevel="0" collapsed="false">
      <c r="A482" s="8" t="n">
        <v>478</v>
      </c>
      <c r="B482" s="13"/>
      <c r="C482" s="12"/>
      <c r="D482" s="13"/>
      <c r="E482" s="24"/>
      <c r="F482" s="12"/>
      <c r="G482" s="14" t="str">
        <f aca="false">IF(OR($D482="",$B482=""),"",INT(($B482-$D482)/365.25))</f>
        <v/>
      </c>
      <c r="H482" s="14" t="str">
        <f aca="false">IF($G482="","",IF($G482&lt;18,"Ha","Yo'q"))</f>
        <v/>
      </c>
      <c r="I482" s="12"/>
      <c r="J482" s="25"/>
      <c r="K482" s="25"/>
      <c r="L482" s="25"/>
      <c r="M482" s="12"/>
      <c r="N482" s="25"/>
      <c r="O482" s="25"/>
      <c r="P482" s="14" t="str">
        <f aca="false">IF($O482="","",IFERROR(VALUE(LEFT($O482,FIND(".",$O482)-1)),""))</f>
        <v/>
      </c>
      <c r="Q482" s="14" t="str">
        <f aca="false">IF($P482="","",IF($P482&lt;=7,"Shoshilinch",IF($P482&lt;=9,"Kechiktirib bo'lmaydigan",IF($P482&lt;=14,"Rejalashtirilgan","Rejali"))))</f>
        <v/>
      </c>
      <c r="R482" s="25"/>
      <c r="S482" s="14" t="str">
        <f aca="false">IF($K482&lt;&gt;"Kesarcha","",IF(OR($O482&lt;&gt;"",$R482="Ha"),"Ha","YO‘Q"))</f>
        <v/>
      </c>
      <c r="T482" s="12"/>
      <c r="U482" s="12"/>
      <c r="V482" s="14" t="str">
        <f aca="false">IF(OR($C482="",$D482="",$B482=""),"",IF(COUNTIFS($C$5:$C$604,$C482,$D$5:$D$604,$D482,$B$5:$B$604,$B482)&gt;1,"Takror",""))</f>
        <v/>
      </c>
    </row>
    <row r="483" customFormat="false" ht="15" hidden="false" customHeight="false" outlineLevel="0" collapsed="false">
      <c r="A483" s="8" t="n">
        <v>479</v>
      </c>
      <c r="B483" s="13"/>
      <c r="C483" s="12"/>
      <c r="D483" s="13"/>
      <c r="E483" s="24"/>
      <c r="F483" s="12"/>
      <c r="G483" s="14" t="str">
        <f aca="false">IF(OR($D483="",$B483=""),"",INT(($B483-$D483)/365.25))</f>
        <v/>
      </c>
      <c r="H483" s="14" t="str">
        <f aca="false">IF($G483="","",IF($G483&lt;18,"Ha","Yo'q"))</f>
        <v/>
      </c>
      <c r="I483" s="12"/>
      <c r="J483" s="25"/>
      <c r="K483" s="25"/>
      <c r="L483" s="25"/>
      <c r="M483" s="12"/>
      <c r="N483" s="25"/>
      <c r="O483" s="25"/>
      <c r="P483" s="14" t="str">
        <f aca="false">IF($O483="","",IFERROR(VALUE(LEFT($O483,FIND(".",$O483)-1)),""))</f>
        <v/>
      </c>
      <c r="Q483" s="14" t="str">
        <f aca="false">IF($P483="","",IF($P483&lt;=7,"Shoshilinch",IF($P483&lt;=9,"Kechiktirib bo'lmaydigan",IF($P483&lt;=14,"Rejalashtirilgan","Rejali"))))</f>
        <v/>
      </c>
      <c r="R483" s="25"/>
      <c r="S483" s="14" t="str">
        <f aca="false">IF($K483&lt;&gt;"Kesarcha","",IF(OR($O483&lt;&gt;"",$R483="Ha"),"Ha","YO‘Q"))</f>
        <v/>
      </c>
      <c r="T483" s="12"/>
      <c r="U483" s="12"/>
      <c r="V483" s="14" t="str">
        <f aca="false">IF(OR($C483="",$D483="",$B483=""),"",IF(COUNTIFS($C$5:$C$604,$C483,$D$5:$D$604,$D483,$B$5:$B$604,$B483)&gt;1,"Takror",""))</f>
        <v/>
      </c>
    </row>
    <row r="484" customFormat="false" ht="15" hidden="false" customHeight="false" outlineLevel="0" collapsed="false">
      <c r="A484" s="8" t="n">
        <v>480</v>
      </c>
      <c r="B484" s="13"/>
      <c r="C484" s="12"/>
      <c r="D484" s="13"/>
      <c r="E484" s="24"/>
      <c r="F484" s="12"/>
      <c r="G484" s="14" t="str">
        <f aca="false">IF(OR($D484="",$B484=""),"",INT(($B484-$D484)/365.25))</f>
        <v/>
      </c>
      <c r="H484" s="14" t="str">
        <f aca="false">IF($G484="","",IF($G484&lt;18,"Ha","Yo'q"))</f>
        <v/>
      </c>
      <c r="I484" s="12"/>
      <c r="J484" s="25"/>
      <c r="K484" s="25"/>
      <c r="L484" s="25"/>
      <c r="M484" s="12"/>
      <c r="N484" s="25"/>
      <c r="O484" s="25"/>
      <c r="P484" s="14" t="str">
        <f aca="false">IF($O484="","",IFERROR(VALUE(LEFT($O484,FIND(".",$O484)-1)),""))</f>
        <v/>
      </c>
      <c r="Q484" s="14" t="str">
        <f aca="false">IF($P484="","",IF($P484&lt;=7,"Shoshilinch",IF($P484&lt;=9,"Kechiktirib bo'lmaydigan",IF($P484&lt;=14,"Rejalashtirilgan","Rejali"))))</f>
        <v/>
      </c>
      <c r="R484" s="25"/>
      <c r="S484" s="14" t="str">
        <f aca="false">IF($K484&lt;&gt;"Kesarcha","",IF(OR($O484&lt;&gt;"",$R484="Ha"),"Ha","YO‘Q"))</f>
        <v/>
      </c>
      <c r="T484" s="12"/>
      <c r="U484" s="12"/>
      <c r="V484" s="14" t="str">
        <f aca="false">IF(OR($C484="",$D484="",$B484=""),"",IF(COUNTIFS($C$5:$C$604,$C484,$D$5:$D$604,$D484,$B$5:$B$604,$B484)&gt;1,"Takror",""))</f>
        <v/>
      </c>
    </row>
    <row r="485" customFormat="false" ht="15" hidden="false" customHeight="false" outlineLevel="0" collapsed="false">
      <c r="A485" s="8" t="n">
        <v>481</v>
      </c>
      <c r="B485" s="13"/>
      <c r="C485" s="12"/>
      <c r="D485" s="13"/>
      <c r="E485" s="24"/>
      <c r="F485" s="12"/>
      <c r="G485" s="14" t="str">
        <f aca="false">IF(OR($D485="",$B485=""),"",INT(($B485-$D485)/365.25))</f>
        <v/>
      </c>
      <c r="H485" s="14" t="str">
        <f aca="false">IF($G485="","",IF($G485&lt;18,"Ha","Yo'q"))</f>
        <v/>
      </c>
      <c r="I485" s="12"/>
      <c r="J485" s="25"/>
      <c r="K485" s="25"/>
      <c r="L485" s="25"/>
      <c r="M485" s="12"/>
      <c r="N485" s="25"/>
      <c r="O485" s="25"/>
      <c r="P485" s="14" t="str">
        <f aca="false">IF($O485="","",IFERROR(VALUE(LEFT($O485,FIND(".",$O485)-1)),""))</f>
        <v/>
      </c>
      <c r="Q485" s="14" t="str">
        <f aca="false">IF($P485="","",IF($P485&lt;=7,"Shoshilinch",IF($P485&lt;=9,"Kechiktirib bo'lmaydigan",IF($P485&lt;=14,"Rejalashtirilgan","Rejali"))))</f>
        <v/>
      </c>
      <c r="R485" s="25"/>
      <c r="S485" s="14" t="str">
        <f aca="false">IF($K485&lt;&gt;"Kesarcha","",IF(OR($O485&lt;&gt;"",$R485="Ha"),"Ha","YO‘Q"))</f>
        <v/>
      </c>
      <c r="T485" s="12"/>
      <c r="U485" s="12"/>
      <c r="V485" s="14" t="str">
        <f aca="false">IF(OR($C485="",$D485="",$B485=""),"",IF(COUNTIFS($C$5:$C$604,$C485,$D$5:$D$604,$D485,$B$5:$B$604,$B485)&gt;1,"Takror",""))</f>
        <v/>
      </c>
    </row>
    <row r="486" customFormat="false" ht="15" hidden="false" customHeight="false" outlineLevel="0" collapsed="false">
      <c r="A486" s="8" t="n">
        <v>482</v>
      </c>
      <c r="B486" s="13"/>
      <c r="C486" s="12"/>
      <c r="D486" s="13"/>
      <c r="E486" s="24"/>
      <c r="F486" s="12"/>
      <c r="G486" s="14" t="str">
        <f aca="false">IF(OR($D486="",$B486=""),"",INT(($B486-$D486)/365.25))</f>
        <v/>
      </c>
      <c r="H486" s="14" t="str">
        <f aca="false">IF($G486="","",IF($G486&lt;18,"Ha","Yo'q"))</f>
        <v/>
      </c>
      <c r="I486" s="12"/>
      <c r="J486" s="25"/>
      <c r="K486" s="25"/>
      <c r="L486" s="25"/>
      <c r="M486" s="12"/>
      <c r="N486" s="25"/>
      <c r="O486" s="25"/>
      <c r="P486" s="14" t="str">
        <f aca="false">IF($O486="","",IFERROR(VALUE(LEFT($O486,FIND(".",$O486)-1)),""))</f>
        <v/>
      </c>
      <c r="Q486" s="14" t="str">
        <f aca="false">IF($P486="","",IF($P486&lt;=7,"Shoshilinch",IF($P486&lt;=9,"Kechiktirib bo'lmaydigan",IF($P486&lt;=14,"Rejalashtirilgan","Rejali"))))</f>
        <v/>
      </c>
      <c r="R486" s="25"/>
      <c r="S486" s="14" t="str">
        <f aca="false">IF($K486&lt;&gt;"Kesarcha","",IF(OR($O486&lt;&gt;"",$R486="Ha"),"Ha","YO‘Q"))</f>
        <v/>
      </c>
      <c r="T486" s="12"/>
      <c r="U486" s="12"/>
      <c r="V486" s="14" t="str">
        <f aca="false">IF(OR($C486="",$D486="",$B486=""),"",IF(COUNTIFS($C$5:$C$604,$C486,$D$5:$D$604,$D486,$B$5:$B$604,$B486)&gt;1,"Takror",""))</f>
        <v/>
      </c>
    </row>
    <row r="487" customFormat="false" ht="15" hidden="false" customHeight="false" outlineLevel="0" collapsed="false">
      <c r="A487" s="8" t="n">
        <v>483</v>
      </c>
      <c r="B487" s="13"/>
      <c r="C487" s="12"/>
      <c r="D487" s="13"/>
      <c r="E487" s="24"/>
      <c r="F487" s="12"/>
      <c r="G487" s="14" t="str">
        <f aca="false">IF(OR($D487="",$B487=""),"",INT(($B487-$D487)/365.25))</f>
        <v/>
      </c>
      <c r="H487" s="14" t="str">
        <f aca="false">IF($G487="","",IF($G487&lt;18,"Ha","Yo'q"))</f>
        <v/>
      </c>
      <c r="I487" s="12"/>
      <c r="J487" s="25"/>
      <c r="K487" s="25"/>
      <c r="L487" s="25"/>
      <c r="M487" s="12"/>
      <c r="N487" s="25"/>
      <c r="O487" s="25"/>
      <c r="P487" s="14" t="str">
        <f aca="false">IF($O487="","",IFERROR(VALUE(LEFT($O487,FIND(".",$O487)-1)),""))</f>
        <v/>
      </c>
      <c r="Q487" s="14" t="str">
        <f aca="false">IF($P487="","",IF($P487&lt;=7,"Shoshilinch",IF($P487&lt;=9,"Kechiktirib bo'lmaydigan",IF($P487&lt;=14,"Rejalashtirilgan","Rejali"))))</f>
        <v/>
      </c>
      <c r="R487" s="25"/>
      <c r="S487" s="14" t="str">
        <f aca="false">IF($K487&lt;&gt;"Kesarcha","",IF(OR($O487&lt;&gt;"",$R487="Ha"),"Ha","YO‘Q"))</f>
        <v/>
      </c>
      <c r="T487" s="12"/>
      <c r="U487" s="12"/>
      <c r="V487" s="14" t="str">
        <f aca="false">IF(OR($C487="",$D487="",$B487=""),"",IF(COUNTIFS($C$5:$C$604,$C487,$D$5:$D$604,$D487,$B$5:$B$604,$B487)&gt;1,"Takror",""))</f>
        <v/>
      </c>
    </row>
    <row r="488" customFormat="false" ht="15" hidden="false" customHeight="false" outlineLevel="0" collapsed="false">
      <c r="A488" s="8" t="n">
        <v>484</v>
      </c>
      <c r="B488" s="13"/>
      <c r="C488" s="12"/>
      <c r="D488" s="13"/>
      <c r="E488" s="24"/>
      <c r="F488" s="12"/>
      <c r="G488" s="14" t="str">
        <f aca="false">IF(OR($D488="",$B488=""),"",INT(($B488-$D488)/365.25))</f>
        <v/>
      </c>
      <c r="H488" s="14" t="str">
        <f aca="false">IF($G488="","",IF($G488&lt;18,"Ha","Yo'q"))</f>
        <v/>
      </c>
      <c r="I488" s="12"/>
      <c r="J488" s="25"/>
      <c r="K488" s="25"/>
      <c r="L488" s="25"/>
      <c r="M488" s="12"/>
      <c r="N488" s="25"/>
      <c r="O488" s="25"/>
      <c r="P488" s="14" t="str">
        <f aca="false">IF($O488="","",IFERROR(VALUE(LEFT($O488,FIND(".",$O488)-1)),""))</f>
        <v/>
      </c>
      <c r="Q488" s="14" t="str">
        <f aca="false">IF($P488="","",IF($P488&lt;=7,"Shoshilinch",IF($P488&lt;=9,"Kechiktirib bo'lmaydigan",IF($P488&lt;=14,"Rejalashtirilgan","Rejali"))))</f>
        <v/>
      </c>
      <c r="R488" s="25"/>
      <c r="S488" s="14" t="str">
        <f aca="false">IF($K488&lt;&gt;"Kesarcha","",IF(OR($O488&lt;&gt;"",$R488="Ha"),"Ha","YO‘Q"))</f>
        <v/>
      </c>
      <c r="T488" s="12"/>
      <c r="U488" s="12"/>
      <c r="V488" s="14" t="str">
        <f aca="false">IF(OR($C488="",$D488="",$B488=""),"",IF(COUNTIFS($C$5:$C$604,$C488,$D$5:$D$604,$D488,$B$5:$B$604,$B488)&gt;1,"Takror",""))</f>
        <v/>
      </c>
    </row>
    <row r="489" customFormat="false" ht="15" hidden="false" customHeight="false" outlineLevel="0" collapsed="false">
      <c r="A489" s="8" t="n">
        <v>485</v>
      </c>
      <c r="B489" s="13"/>
      <c r="C489" s="12"/>
      <c r="D489" s="13"/>
      <c r="E489" s="24"/>
      <c r="F489" s="12"/>
      <c r="G489" s="14" t="str">
        <f aca="false">IF(OR($D489="",$B489=""),"",INT(($B489-$D489)/365.25))</f>
        <v/>
      </c>
      <c r="H489" s="14" t="str">
        <f aca="false">IF($G489="","",IF($G489&lt;18,"Ha","Yo'q"))</f>
        <v/>
      </c>
      <c r="I489" s="12"/>
      <c r="J489" s="25"/>
      <c r="K489" s="25"/>
      <c r="L489" s="25"/>
      <c r="M489" s="12"/>
      <c r="N489" s="25"/>
      <c r="O489" s="25"/>
      <c r="P489" s="14" t="str">
        <f aca="false">IF($O489="","",IFERROR(VALUE(LEFT($O489,FIND(".",$O489)-1)),""))</f>
        <v/>
      </c>
      <c r="Q489" s="14" t="str">
        <f aca="false">IF($P489="","",IF($P489&lt;=7,"Shoshilinch",IF($P489&lt;=9,"Kechiktirib bo'lmaydigan",IF($P489&lt;=14,"Rejalashtirilgan","Rejali"))))</f>
        <v/>
      </c>
      <c r="R489" s="25"/>
      <c r="S489" s="14" t="str">
        <f aca="false">IF($K489&lt;&gt;"Kesarcha","",IF(OR($O489&lt;&gt;"",$R489="Ha"),"Ha","YO‘Q"))</f>
        <v/>
      </c>
      <c r="T489" s="12"/>
      <c r="U489" s="12"/>
      <c r="V489" s="14" t="str">
        <f aca="false">IF(OR($C489="",$D489="",$B489=""),"",IF(COUNTIFS($C$5:$C$604,$C489,$D$5:$D$604,$D489,$B$5:$B$604,$B489)&gt;1,"Takror",""))</f>
        <v/>
      </c>
    </row>
    <row r="490" customFormat="false" ht="15" hidden="false" customHeight="false" outlineLevel="0" collapsed="false">
      <c r="A490" s="8" t="n">
        <v>486</v>
      </c>
      <c r="B490" s="13"/>
      <c r="C490" s="12"/>
      <c r="D490" s="13"/>
      <c r="E490" s="24"/>
      <c r="F490" s="12"/>
      <c r="G490" s="14" t="str">
        <f aca="false">IF(OR($D490="",$B490=""),"",INT(($B490-$D490)/365.25))</f>
        <v/>
      </c>
      <c r="H490" s="14" t="str">
        <f aca="false">IF($G490="","",IF($G490&lt;18,"Ha","Yo'q"))</f>
        <v/>
      </c>
      <c r="I490" s="12"/>
      <c r="J490" s="25"/>
      <c r="K490" s="25"/>
      <c r="L490" s="25"/>
      <c r="M490" s="12"/>
      <c r="N490" s="25"/>
      <c r="O490" s="25"/>
      <c r="P490" s="14" t="str">
        <f aca="false">IF($O490="","",IFERROR(VALUE(LEFT($O490,FIND(".",$O490)-1)),""))</f>
        <v/>
      </c>
      <c r="Q490" s="14" t="str">
        <f aca="false">IF($P490="","",IF($P490&lt;=7,"Shoshilinch",IF($P490&lt;=9,"Kechiktirib bo'lmaydigan",IF($P490&lt;=14,"Rejalashtirilgan","Rejali"))))</f>
        <v/>
      </c>
      <c r="R490" s="25"/>
      <c r="S490" s="14" t="str">
        <f aca="false">IF($K490&lt;&gt;"Kesarcha","",IF(OR($O490&lt;&gt;"",$R490="Ha"),"Ha","YO‘Q"))</f>
        <v/>
      </c>
      <c r="T490" s="12"/>
      <c r="U490" s="12"/>
      <c r="V490" s="14" t="str">
        <f aca="false">IF(OR($C490="",$D490="",$B490=""),"",IF(COUNTIFS($C$5:$C$604,$C490,$D$5:$D$604,$D490,$B$5:$B$604,$B490)&gt;1,"Takror",""))</f>
        <v/>
      </c>
    </row>
    <row r="491" customFormat="false" ht="15" hidden="false" customHeight="false" outlineLevel="0" collapsed="false">
      <c r="A491" s="8" t="n">
        <v>487</v>
      </c>
      <c r="B491" s="13"/>
      <c r="C491" s="12"/>
      <c r="D491" s="13"/>
      <c r="E491" s="24"/>
      <c r="F491" s="12"/>
      <c r="G491" s="14" t="str">
        <f aca="false">IF(OR($D491="",$B491=""),"",INT(($B491-$D491)/365.25))</f>
        <v/>
      </c>
      <c r="H491" s="14" t="str">
        <f aca="false">IF($G491="","",IF($G491&lt;18,"Ha","Yo'q"))</f>
        <v/>
      </c>
      <c r="I491" s="12"/>
      <c r="J491" s="25"/>
      <c r="K491" s="25"/>
      <c r="L491" s="25"/>
      <c r="M491" s="12"/>
      <c r="N491" s="25"/>
      <c r="O491" s="25"/>
      <c r="P491" s="14" t="str">
        <f aca="false">IF($O491="","",IFERROR(VALUE(LEFT($O491,FIND(".",$O491)-1)),""))</f>
        <v/>
      </c>
      <c r="Q491" s="14" t="str">
        <f aca="false">IF($P491="","",IF($P491&lt;=7,"Shoshilinch",IF($P491&lt;=9,"Kechiktirib bo'lmaydigan",IF($P491&lt;=14,"Rejalashtirilgan","Rejali"))))</f>
        <v/>
      </c>
      <c r="R491" s="25"/>
      <c r="S491" s="14" t="str">
        <f aca="false">IF($K491&lt;&gt;"Kesarcha","",IF(OR($O491&lt;&gt;"",$R491="Ha"),"Ha","YO‘Q"))</f>
        <v/>
      </c>
      <c r="T491" s="12"/>
      <c r="U491" s="12"/>
      <c r="V491" s="14" t="str">
        <f aca="false">IF(OR($C491="",$D491="",$B491=""),"",IF(COUNTIFS($C$5:$C$604,$C491,$D$5:$D$604,$D491,$B$5:$B$604,$B491)&gt;1,"Takror",""))</f>
        <v/>
      </c>
    </row>
    <row r="492" customFormat="false" ht="15" hidden="false" customHeight="false" outlineLevel="0" collapsed="false">
      <c r="A492" s="8" t="n">
        <v>488</v>
      </c>
      <c r="B492" s="13"/>
      <c r="C492" s="12"/>
      <c r="D492" s="13"/>
      <c r="E492" s="24"/>
      <c r="F492" s="12"/>
      <c r="G492" s="14" t="str">
        <f aca="false">IF(OR($D492="",$B492=""),"",INT(($B492-$D492)/365.25))</f>
        <v/>
      </c>
      <c r="H492" s="14" t="str">
        <f aca="false">IF($G492="","",IF($G492&lt;18,"Ha","Yo'q"))</f>
        <v/>
      </c>
      <c r="I492" s="12"/>
      <c r="J492" s="25"/>
      <c r="K492" s="25"/>
      <c r="L492" s="25"/>
      <c r="M492" s="12"/>
      <c r="N492" s="25"/>
      <c r="O492" s="25"/>
      <c r="P492" s="14" t="str">
        <f aca="false">IF($O492="","",IFERROR(VALUE(LEFT($O492,FIND(".",$O492)-1)),""))</f>
        <v/>
      </c>
      <c r="Q492" s="14" t="str">
        <f aca="false">IF($P492="","",IF($P492&lt;=7,"Shoshilinch",IF($P492&lt;=9,"Kechiktirib bo'lmaydigan",IF($P492&lt;=14,"Rejalashtirilgan","Rejali"))))</f>
        <v/>
      </c>
      <c r="R492" s="25"/>
      <c r="S492" s="14" t="str">
        <f aca="false">IF($K492&lt;&gt;"Kesarcha","",IF(OR($O492&lt;&gt;"",$R492="Ha"),"Ha","YO‘Q"))</f>
        <v/>
      </c>
      <c r="T492" s="12"/>
      <c r="U492" s="12"/>
      <c r="V492" s="14" t="str">
        <f aca="false">IF(OR($C492="",$D492="",$B492=""),"",IF(COUNTIFS($C$5:$C$604,$C492,$D$5:$D$604,$D492,$B$5:$B$604,$B492)&gt;1,"Takror",""))</f>
        <v/>
      </c>
    </row>
    <row r="493" customFormat="false" ht="15" hidden="false" customHeight="false" outlineLevel="0" collapsed="false">
      <c r="A493" s="8" t="n">
        <v>489</v>
      </c>
      <c r="B493" s="13"/>
      <c r="C493" s="12"/>
      <c r="D493" s="13"/>
      <c r="E493" s="24"/>
      <c r="F493" s="12"/>
      <c r="G493" s="14" t="str">
        <f aca="false">IF(OR($D493="",$B493=""),"",INT(($B493-$D493)/365.25))</f>
        <v/>
      </c>
      <c r="H493" s="14" t="str">
        <f aca="false">IF($G493="","",IF($G493&lt;18,"Ha","Yo'q"))</f>
        <v/>
      </c>
      <c r="I493" s="12"/>
      <c r="J493" s="25"/>
      <c r="K493" s="25"/>
      <c r="L493" s="25"/>
      <c r="M493" s="12"/>
      <c r="N493" s="25"/>
      <c r="O493" s="25"/>
      <c r="P493" s="14" t="str">
        <f aca="false">IF($O493="","",IFERROR(VALUE(LEFT($O493,FIND(".",$O493)-1)),""))</f>
        <v/>
      </c>
      <c r="Q493" s="14" t="str">
        <f aca="false">IF($P493="","",IF($P493&lt;=7,"Shoshilinch",IF($P493&lt;=9,"Kechiktirib bo'lmaydigan",IF($P493&lt;=14,"Rejalashtirilgan","Rejali"))))</f>
        <v/>
      </c>
      <c r="R493" s="25"/>
      <c r="S493" s="14" t="str">
        <f aca="false">IF($K493&lt;&gt;"Kesarcha","",IF(OR($O493&lt;&gt;"",$R493="Ha"),"Ha","YO‘Q"))</f>
        <v/>
      </c>
      <c r="T493" s="12"/>
      <c r="U493" s="12"/>
      <c r="V493" s="14" t="str">
        <f aca="false">IF(OR($C493="",$D493="",$B493=""),"",IF(COUNTIFS($C$5:$C$604,$C493,$D$5:$D$604,$D493,$B$5:$B$604,$B493)&gt;1,"Takror",""))</f>
        <v/>
      </c>
    </row>
    <row r="494" customFormat="false" ht="15" hidden="false" customHeight="false" outlineLevel="0" collapsed="false">
      <c r="A494" s="8" t="n">
        <v>490</v>
      </c>
      <c r="B494" s="13"/>
      <c r="C494" s="12"/>
      <c r="D494" s="13"/>
      <c r="E494" s="24"/>
      <c r="F494" s="12"/>
      <c r="G494" s="14" t="str">
        <f aca="false">IF(OR($D494="",$B494=""),"",INT(($B494-$D494)/365.25))</f>
        <v/>
      </c>
      <c r="H494" s="14" t="str">
        <f aca="false">IF($G494="","",IF($G494&lt;18,"Ha","Yo'q"))</f>
        <v/>
      </c>
      <c r="I494" s="12"/>
      <c r="J494" s="25"/>
      <c r="K494" s="25"/>
      <c r="L494" s="25"/>
      <c r="M494" s="12"/>
      <c r="N494" s="25"/>
      <c r="O494" s="25"/>
      <c r="P494" s="14" t="str">
        <f aca="false">IF($O494="","",IFERROR(VALUE(LEFT($O494,FIND(".",$O494)-1)),""))</f>
        <v/>
      </c>
      <c r="Q494" s="14" t="str">
        <f aca="false">IF($P494="","",IF($P494&lt;=7,"Shoshilinch",IF($P494&lt;=9,"Kechiktirib bo'lmaydigan",IF($P494&lt;=14,"Rejalashtirilgan","Rejali"))))</f>
        <v/>
      </c>
      <c r="R494" s="25"/>
      <c r="S494" s="14" t="str">
        <f aca="false">IF($K494&lt;&gt;"Kesarcha","",IF(OR($O494&lt;&gt;"",$R494="Ha"),"Ha","YO‘Q"))</f>
        <v/>
      </c>
      <c r="T494" s="12"/>
      <c r="U494" s="12"/>
      <c r="V494" s="14" t="str">
        <f aca="false">IF(OR($C494="",$D494="",$B494=""),"",IF(COUNTIFS($C$5:$C$604,$C494,$D$5:$D$604,$D494,$B$5:$B$604,$B494)&gt;1,"Takror",""))</f>
        <v/>
      </c>
    </row>
    <row r="495" customFormat="false" ht="15" hidden="false" customHeight="false" outlineLevel="0" collapsed="false">
      <c r="A495" s="8" t="n">
        <v>491</v>
      </c>
      <c r="B495" s="13"/>
      <c r="C495" s="12"/>
      <c r="D495" s="13"/>
      <c r="E495" s="24"/>
      <c r="F495" s="12"/>
      <c r="G495" s="14" t="str">
        <f aca="false">IF(OR($D495="",$B495=""),"",INT(($B495-$D495)/365.25))</f>
        <v/>
      </c>
      <c r="H495" s="14" t="str">
        <f aca="false">IF($G495="","",IF($G495&lt;18,"Ha","Yo'q"))</f>
        <v/>
      </c>
      <c r="I495" s="12"/>
      <c r="J495" s="25"/>
      <c r="K495" s="25"/>
      <c r="L495" s="25"/>
      <c r="M495" s="12"/>
      <c r="N495" s="25"/>
      <c r="O495" s="25"/>
      <c r="P495" s="14" t="str">
        <f aca="false">IF($O495="","",IFERROR(VALUE(LEFT($O495,FIND(".",$O495)-1)),""))</f>
        <v/>
      </c>
      <c r="Q495" s="14" t="str">
        <f aca="false">IF($P495="","",IF($P495&lt;=7,"Shoshilinch",IF($P495&lt;=9,"Kechiktirib bo'lmaydigan",IF($P495&lt;=14,"Rejalashtirilgan","Rejali"))))</f>
        <v/>
      </c>
      <c r="R495" s="25"/>
      <c r="S495" s="14" t="str">
        <f aca="false">IF($K495&lt;&gt;"Kesarcha","",IF(OR($O495&lt;&gt;"",$R495="Ha"),"Ha","YO‘Q"))</f>
        <v/>
      </c>
      <c r="T495" s="12"/>
      <c r="U495" s="12"/>
      <c r="V495" s="14" t="str">
        <f aca="false">IF(OR($C495="",$D495="",$B495=""),"",IF(COUNTIFS($C$5:$C$604,$C495,$D$5:$D$604,$D495,$B$5:$B$604,$B495)&gt;1,"Takror",""))</f>
        <v/>
      </c>
    </row>
    <row r="496" customFormat="false" ht="15" hidden="false" customHeight="false" outlineLevel="0" collapsed="false">
      <c r="A496" s="8" t="n">
        <v>492</v>
      </c>
      <c r="B496" s="13"/>
      <c r="C496" s="12"/>
      <c r="D496" s="13"/>
      <c r="E496" s="24"/>
      <c r="F496" s="12"/>
      <c r="G496" s="14" t="str">
        <f aca="false">IF(OR($D496="",$B496=""),"",INT(($B496-$D496)/365.25))</f>
        <v/>
      </c>
      <c r="H496" s="14" t="str">
        <f aca="false">IF($G496="","",IF($G496&lt;18,"Ha","Yo'q"))</f>
        <v/>
      </c>
      <c r="I496" s="12"/>
      <c r="J496" s="25"/>
      <c r="K496" s="25"/>
      <c r="L496" s="25"/>
      <c r="M496" s="12"/>
      <c r="N496" s="25"/>
      <c r="O496" s="25"/>
      <c r="P496" s="14" t="str">
        <f aca="false">IF($O496="","",IFERROR(VALUE(LEFT($O496,FIND(".",$O496)-1)),""))</f>
        <v/>
      </c>
      <c r="Q496" s="14" t="str">
        <f aca="false">IF($P496="","",IF($P496&lt;=7,"Shoshilinch",IF($P496&lt;=9,"Kechiktirib bo'lmaydigan",IF($P496&lt;=14,"Rejalashtirilgan","Rejali"))))</f>
        <v/>
      </c>
      <c r="R496" s="25"/>
      <c r="S496" s="14" t="str">
        <f aca="false">IF($K496&lt;&gt;"Kesarcha","",IF(OR($O496&lt;&gt;"",$R496="Ha"),"Ha","YO‘Q"))</f>
        <v/>
      </c>
      <c r="T496" s="12"/>
      <c r="U496" s="12"/>
      <c r="V496" s="14" t="str">
        <f aca="false">IF(OR($C496="",$D496="",$B496=""),"",IF(COUNTIFS($C$5:$C$604,$C496,$D$5:$D$604,$D496,$B$5:$B$604,$B496)&gt;1,"Takror",""))</f>
        <v/>
      </c>
    </row>
    <row r="497" customFormat="false" ht="15" hidden="false" customHeight="false" outlineLevel="0" collapsed="false">
      <c r="A497" s="8" t="n">
        <v>493</v>
      </c>
      <c r="B497" s="13"/>
      <c r="C497" s="12"/>
      <c r="D497" s="13"/>
      <c r="E497" s="24"/>
      <c r="F497" s="12"/>
      <c r="G497" s="14" t="str">
        <f aca="false">IF(OR($D497="",$B497=""),"",INT(($B497-$D497)/365.25))</f>
        <v/>
      </c>
      <c r="H497" s="14" t="str">
        <f aca="false">IF($G497="","",IF($G497&lt;18,"Ha","Yo'q"))</f>
        <v/>
      </c>
      <c r="I497" s="12"/>
      <c r="J497" s="25"/>
      <c r="K497" s="25"/>
      <c r="L497" s="25"/>
      <c r="M497" s="12"/>
      <c r="N497" s="25"/>
      <c r="O497" s="25"/>
      <c r="P497" s="14" t="str">
        <f aca="false">IF($O497="","",IFERROR(VALUE(LEFT($O497,FIND(".",$O497)-1)),""))</f>
        <v/>
      </c>
      <c r="Q497" s="14" t="str">
        <f aca="false">IF($P497="","",IF($P497&lt;=7,"Shoshilinch",IF($P497&lt;=9,"Kechiktirib bo'lmaydigan",IF($P497&lt;=14,"Rejalashtirilgan","Rejali"))))</f>
        <v/>
      </c>
      <c r="R497" s="25"/>
      <c r="S497" s="14" t="str">
        <f aca="false">IF($K497&lt;&gt;"Kesarcha","",IF(OR($O497&lt;&gt;"",$R497="Ha"),"Ha","YO‘Q"))</f>
        <v/>
      </c>
      <c r="T497" s="12"/>
      <c r="U497" s="12"/>
      <c r="V497" s="14" t="str">
        <f aca="false">IF(OR($C497="",$D497="",$B497=""),"",IF(COUNTIFS($C$5:$C$604,$C497,$D$5:$D$604,$D497,$B$5:$B$604,$B497)&gt;1,"Takror",""))</f>
        <v/>
      </c>
    </row>
    <row r="498" customFormat="false" ht="15" hidden="false" customHeight="false" outlineLevel="0" collapsed="false">
      <c r="A498" s="8" t="n">
        <v>494</v>
      </c>
      <c r="B498" s="13"/>
      <c r="C498" s="12"/>
      <c r="D498" s="13"/>
      <c r="E498" s="24"/>
      <c r="F498" s="12"/>
      <c r="G498" s="14" t="str">
        <f aca="false">IF(OR($D498="",$B498=""),"",INT(($B498-$D498)/365.25))</f>
        <v/>
      </c>
      <c r="H498" s="14" t="str">
        <f aca="false">IF($G498="","",IF($G498&lt;18,"Ha","Yo'q"))</f>
        <v/>
      </c>
      <c r="I498" s="12"/>
      <c r="J498" s="25"/>
      <c r="K498" s="25"/>
      <c r="L498" s="25"/>
      <c r="M498" s="12"/>
      <c r="N498" s="25"/>
      <c r="O498" s="25"/>
      <c r="P498" s="14" t="str">
        <f aca="false">IF($O498="","",IFERROR(VALUE(LEFT($O498,FIND(".",$O498)-1)),""))</f>
        <v/>
      </c>
      <c r="Q498" s="14" t="str">
        <f aca="false">IF($P498="","",IF($P498&lt;=7,"Shoshilinch",IF($P498&lt;=9,"Kechiktirib bo'lmaydigan",IF($P498&lt;=14,"Rejalashtirilgan","Rejali"))))</f>
        <v/>
      </c>
      <c r="R498" s="25"/>
      <c r="S498" s="14" t="str">
        <f aca="false">IF($K498&lt;&gt;"Kesarcha","",IF(OR($O498&lt;&gt;"",$R498="Ha"),"Ha","YO‘Q"))</f>
        <v/>
      </c>
      <c r="T498" s="12"/>
      <c r="U498" s="12"/>
      <c r="V498" s="14" t="str">
        <f aca="false">IF(OR($C498="",$D498="",$B498=""),"",IF(COUNTIFS($C$5:$C$604,$C498,$D$5:$D$604,$D498,$B$5:$B$604,$B498)&gt;1,"Takror",""))</f>
        <v/>
      </c>
    </row>
    <row r="499" customFormat="false" ht="15" hidden="false" customHeight="false" outlineLevel="0" collapsed="false">
      <c r="A499" s="8" t="n">
        <v>495</v>
      </c>
      <c r="B499" s="13"/>
      <c r="C499" s="12"/>
      <c r="D499" s="13"/>
      <c r="E499" s="24"/>
      <c r="F499" s="12"/>
      <c r="G499" s="14" t="str">
        <f aca="false">IF(OR($D499="",$B499=""),"",INT(($B499-$D499)/365.25))</f>
        <v/>
      </c>
      <c r="H499" s="14" t="str">
        <f aca="false">IF($G499="","",IF($G499&lt;18,"Ha","Yo'q"))</f>
        <v/>
      </c>
      <c r="I499" s="12"/>
      <c r="J499" s="25"/>
      <c r="K499" s="25"/>
      <c r="L499" s="25"/>
      <c r="M499" s="12"/>
      <c r="N499" s="25"/>
      <c r="O499" s="25"/>
      <c r="P499" s="14" t="str">
        <f aca="false">IF($O499="","",IFERROR(VALUE(LEFT($O499,FIND(".",$O499)-1)),""))</f>
        <v/>
      </c>
      <c r="Q499" s="14" t="str">
        <f aca="false">IF($P499="","",IF($P499&lt;=7,"Shoshilinch",IF($P499&lt;=9,"Kechiktirib bo'lmaydigan",IF($P499&lt;=14,"Rejalashtirilgan","Rejali"))))</f>
        <v/>
      </c>
      <c r="R499" s="25"/>
      <c r="S499" s="14" t="str">
        <f aca="false">IF($K499&lt;&gt;"Kesarcha","",IF(OR($O499&lt;&gt;"",$R499="Ha"),"Ha","YO‘Q"))</f>
        <v/>
      </c>
      <c r="T499" s="12"/>
      <c r="U499" s="12"/>
      <c r="V499" s="14" t="str">
        <f aca="false">IF(OR($C499="",$D499="",$B499=""),"",IF(COUNTIFS($C$5:$C$604,$C499,$D$5:$D$604,$D499,$B$5:$B$604,$B499)&gt;1,"Takror",""))</f>
        <v/>
      </c>
    </row>
    <row r="500" customFormat="false" ht="15" hidden="false" customHeight="false" outlineLevel="0" collapsed="false">
      <c r="A500" s="8" t="n">
        <v>496</v>
      </c>
      <c r="B500" s="13"/>
      <c r="C500" s="12"/>
      <c r="D500" s="13"/>
      <c r="E500" s="24"/>
      <c r="F500" s="12"/>
      <c r="G500" s="14" t="str">
        <f aca="false">IF(OR($D500="",$B500=""),"",INT(($B500-$D500)/365.25))</f>
        <v/>
      </c>
      <c r="H500" s="14" t="str">
        <f aca="false">IF($G500="","",IF($G500&lt;18,"Ha","Yo'q"))</f>
        <v/>
      </c>
      <c r="I500" s="12"/>
      <c r="J500" s="25"/>
      <c r="K500" s="25"/>
      <c r="L500" s="25"/>
      <c r="M500" s="12"/>
      <c r="N500" s="25"/>
      <c r="O500" s="25"/>
      <c r="P500" s="14" t="str">
        <f aca="false">IF($O500="","",IFERROR(VALUE(LEFT($O500,FIND(".",$O500)-1)),""))</f>
        <v/>
      </c>
      <c r="Q500" s="14" t="str">
        <f aca="false">IF($P500="","",IF($P500&lt;=7,"Shoshilinch",IF($P500&lt;=9,"Kechiktirib bo'lmaydigan",IF($P500&lt;=14,"Rejalashtirilgan","Rejali"))))</f>
        <v/>
      </c>
      <c r="R500" s="25"/>
      <c r="S500" s="14" t="str">
        <f aca="false">IF($K500&lt;&gt;"Kesarcha","",IF(OR($O500&lt;&gt;"",$R500="Ha"),"Ha","YO‘Q"))</f>
        <v/>
      </c>
      <c r="T500" s="12"/>
      <c r="U500" s="12"/>
      <c r="V500" s="14" t="str">
        <f aca="false">IF(OR($C500="",$D500="",$B500=""),"",IF(COUNTIFS($C$5:$C$604,$C500,$D$5:$D$604,$D500,$B$5:$B$604,$B500)&gt;1,"Takror",""))</f>
        <v/>
      </c>
    </row>
    <row r="501" customFormat="false" ht="15" hidden="false" customHeight="false" outlineLevel="0" collapsed="false">
      <c r="A501" s="8" t="n">
        <v>497</v>
      </c>
      <c r="B501" s="13"/>
      <c r="C501" s="12"/>
      <c r="D501" s="13"/>
      <c r="E501" s="24"/>
      <c r="F501" s="12"/>
      <c r="G501" s="14" t="str">
        <f aca="false">IF(OR($D501="",$B501=""),"",INT(($B501-$D501)/365.25))</f>
        <v/>
      </c>
      <c r="H501" s="14" t="str">
        <f aca="false">IF($G501="","",IF($G501&lt;18,"Ha","Yo'q"))</f>
        <v/>
      </c>
      <c r="I501" s="12"/>
      <c r="J501" s="25"/>
      <c r="K501" s="25"/>
      <c r="L501" s="25"/>
      <c r="M501" s="12"/>
      <c r="N501" s="25"/>
      <c r="O501" s="25"/>
      <c r="P501" s="14" t="str">
        <f aca="false">IF($O501="","",IFERROR(VALUE(LEFT($O501,FIND(".",$O501)-1)),""))</f>
        <v/>
      </c>
      <c r="Q501" s="14" t="str">
        <f aca="false">IF($P501="","",IF($P501&lt;=7,"Shoshilinch",IF($P501&lt;=9,"Kechiktirib bo'lmaydigan",IF($P501&lt;=14,"Rejalashtirilgan","Rejali"))))</f>
        <v/>
      </c>
      <c r="R501" s="25"/>
      <c r="S501" s="14" t="str">
        <f aca="false">IF($K501&lt;&gt;"Kesarcha","",IF(OR($O501&lt;&gt;"",$R501="Ha"),"Ha","YO‘Q"))</f>
        <v/>
      </c>
      <c r="T501" s="12"/>
      <c r="U501" s="12"/>
      <c r="V501" s="14" t="str">
        <f aca="false">IF(OR($C501="",$D501="",$B501=""),"",IF(COUNTIFS($C$5:$C$604,$C501,$D$5:$D$604,$D501,$B$5:$B$604,$B501)&gt;1,"Takror",""))</f>
        <v/>
      </c>
    </row>
    <row r="502" customFormat="false" ht="15" hidden="false" customHeight="false" outlineLevel="0" collapsed="false">
      <c r="A502" s="8" t="n">
        <v>498</v>
      </c>
      <c r="B502" s="13"/>
      <c r="C502" s="12"/>
      <c r="D502" s="13"/>
      <c r="E502" s="24"/>
      <c r="F502" s="12"/>
      <c r="G502" s="14" t="str">
        <f aca="false">IF(OR($D502="",$B502=""),"",INT(($B502-$D502)/365.25))</f>
        <v/>
      </c>
      <c r="H502" s="14" t="str">
        <f aca="false">IF($G502="","",IF($G502&lt;18,"Ha","Yo'q"))</f>
        <v/>
      </c>
      <c r="I502" s="12"/>
      <c r="J502" s="25"/>
      <c r="K502" s="25"/>
      <c r="L502" s="25"/>
      <c r="M502" s="12"/>
      <c r="N502" s="25"/>
      <c r="O502" s="25"/>
      <c r="P502" s="14" t="str">
        <f aca="false">IF($O502="","",IFERROR(VALUE(LEFT($O502,FIND(".",$O502)-1)),""))</f>
        <v/>
      </c>
      <c r="Q502" s="14" t="str">
        <f aca="false">IF($P502="","",IF($P502&lt;=7,"Shoshilinch",IF($P502&lt;=9,"Kechiktirib bo'lmaydigan",IF($P502&lt;=14,"Rejalashtirilgan","Rejali"))))</f>
        <v/>
      </c>
      <c r="R502" s="25"/>
      <c r="S502" s="14" t="str">
        <f aca="false">IF($K502&lt;&gt;"Kesarcha","",IF(OR($O502&lt;&gt;"",$R502="Ha"),"Ha","YO‘Q"))</f>
        <v/>
      </c>
      <c r="T502" s="12"/>
      <c r="U502" s="12"/>
      <c r="V502" s="14" t="str">
        <f aca="false">IF(OR($C502="",$D502="",$B502=""),"",IF(COUNTIFS($C$5:$C$604,$C502,$D$5:$D$604,$D502,$B$5:$B$604,$B502)&gt;1,"Takror",""))</f>
        <v/>
      </c>
    </row>
    <row r="503" customFormat="false" ht="15" hidden="false" customHeight="false" outlineLevel="0" collapsed="false">
      <c r="A503" s="8" t="n">
        <v>499</v>
      </c>
      <c r="B503" s="13"/>
      <c r="C503" s="12"/>
      <c r="D503" s="13"/>
      <c r="E503" s="24"/>
      <c r="F503" s="12"/>
      <c r="G503" s="14" t="str">
        <f aca="false">IF(OR($D503="",$B503=""),"",INT(($B503-$D503)/365.25))</f>
        <v/>
      </c>
      <c r="H503" s="14" t="str">
        <f aca="false">IF($G503="","",IF($G503&lt;18,"Ha","Yo'q"))</f>
        <v/>
      </c>
      <c r="I503" s="12"/>
      <c r="J503" s="25"/>
      <c r="K503" s="25"/>
      <c r="L503" s="25"/>
      <c r="M503" s="12"/>
      <c r="N503" s="25"/>
      <c r="O503" s="25"/>
      <c r="P503" s="14" t="str">
        <f aca="false">IF($O503="","",IFERROR(VALUE(LEFT($O503,FIND(".",$O503)-1)),""))</f>
        <v/>
      </c>
      <c r="Q503" s="14" t="str">
        <f aca="false">IF($P503="","",IF($P503&lt;=7,"Shoshilinch",IF($P503&lt;=9,"Kechiktirib bo'lmaydigan",IF($P503&lt;=14,"Rejalashtirilgan","Rejali"))))</f>
        <v/>
      </c>
      <c r="R503" s="25"/>
      <c r="S503" s="14" t="str">
        <f aca="false">IF($K503&lt;&gt;"Kesarcha","",IF(OR($O503&lt;&gt;"",$R503="Ha"),"Ha","YO‘Q"))</f>
        <v/>
      </c>
      <c r="T503" s="12"/>
      <c r="U503" s="12"/>
      <c r="V503" s="14" t="str">
        <f aca="false">IF(OR($C503="",$D503="",$B503=""),"",IF(COUNTIFS($C$5:$C$604,$C503,$D$5:$D$604,$D503,$B$5:$B$604,$B503)&gt;1,"Takror",""))</f>
        <v/>
      </c>
    </row>
    <row r="504" customFormat="false" ht="15" hidden="false" customHeight="false" outlineLevel="0" collapsed="false">
      <c r="A504" s="8" t="n">
        <v>500</v>
      </c>
      <c r="B504" s="13"/>
      <c r="C504" s="12"/>
      <c r="D504" s="13"/>
      <c r="E504" s="24"/>
      <c r="F504" s="12"/>
      <c r="G504" s="14" t="str">
        <f aca="false">IF(OR($D504="",$B504=""),"",INT(($B504-$D504)/365.25))</f>
        <v/>
      </c>
      <c r="H504" s="14" t="str">
        <f aca="false">IF($G504="","",IF($G504&lt;18,"Ha","Yo'q"))</f>
        <v/>
      </c>
      <c r="I504" s="12"/>
      <c r="J504" s="25"/>
      <c r="K504" s="25"/>
      <c r="L504" s="25"/>
      <c r="M504" s="12"/>
      <c r="N504" s="25"/>
      <c r="O504" s="25"/>
      <c r="P504" s="14" t="str">
        <f aca="false">IF($O504="","",IFERROR(VALUE(LEFT($O504,FIND(".",$O504)-1)),""))</f>
        <v/>
      </c>
      <c r="Q504" s="14" t="str">
        <f aca="false">IF($P504="","",IF($P504&lt;=7,"Shoshilinch",IF($P504&lt;=9,"Kechiktirib bo'lmaydigan",IF($P504&lt;=14,"Rejalashtirilgan","Rejali"))))</f>
        <v/>
      </c>
      <c r="R504" s="25"/>
      <c r="S504" s="14" t="str">
        <f aca="false">IF($K504&lt;&gt;"Kesarcha","",IF(OR($O504&lt;&gt;"",$R504="Ha"),"Ha","YO‘Q"))</f>
        <v/>
      </c>
      <c r="T504" s="12"/>
      <c r="U504" s="12"/>
      <c r="V504" s="14" t="str">
        <f aca="false">IF(OR($C504="",$D504="",$B504=""),"",IF(COUNTIFS($C$5:$C$604,$C504,$D$5:$D$604,$D504,$B$5:$B$604,$B504)&gt;1,"Takror",""))</f>
        <v/>
      </c>
    </row>
    <row r="505" customFormat="false" ht="15" hidden="false" customHeight="false" outlineLevel="0" collapsed="false">
      <c r="A505" s="8" t="n">
        <v>501</v>
      </c>
      <c r="B505" s="13"/>
      <c r="C505" s="12"/>
      <c r="D505" s="13"/>
      <c r="E505" s="24"/>
      <c r="F505" s="12"/>
      <c r="G505" s="14" t="str">
        <f aca="false">IF(OR($D505="",$B505=""),"",INT(($B505-$D505)/365.25))</f>
        <v/>
      </c>
      <c r="H505" s="14" t="str">
        <f aca="false">IF($G505="","",IF($G505&lt;18,"Ha","Yo'q"))</f>
        <v/>
      </c>
      <c r="I505" s="12"/>
      <c r="J505" s="25"/>
      <c r="K505" s="25"/>
      <c r="L505" s="25"/>
      <c r="M505" s="12"/>
      <c r="N505" s="25"/>
      <c r="O505" s="25"/>
      <c r="P505" s="14" t="str">
        <f aca="false">IF($O505="","",IFERROR(VALUE(LEFT($O505,FIND(".",$O505)-1)),""))</f>
        <v/>
      </c>
      <c r="Q505" s="14" t="str">
        <f aca="false">IF($P505="","",IF($P505&lt;=7,"Shoshilinch",IF($P505&lt;=9,"Kechiktirib bo'lmaydigan",IF($P505&lt;=14,"Rejalashtirilgan","Rejali"))))</f>
        <v/>
      </c>
      <c r="R505" s="25"/>
      <c r="S505" s="14" t="str">
        <f aca="false">IF($K505&lt;&gt;"Kesarcha","",IF(OR($O505&lt;&gt;"",$R505="Ha"),"Ha","YO‘Q"))</f>
        <v/>
      </c>
      <c r="T505" s="12"/>
      <c r="U505" s="12"/>
      <c r="V505" s="14" t="str">
        <f aca="false">IF(OR($C505="",$D505="",$B505=""),"",IF(COUNTIFS($C$5:$C$604,$C505,$D$5:$D$604,$D505,$B$5:$B$604,$B505)&gt;1,"Takror",""))</f>
        <v/>
      </c>
    </row>
    <row r="506" customFormat="false" ht="15" hidden="false" customHeight="false" outlineLevel="0" collapsed="false">
      <c r="A506" s="8" t="n">
        <v>502</v>
      </c>
      <c r="B506" s="13"/>
      <c r="C506" s="12"/>
      <c r="D506" s="13"/>
      <c r="E506" s="24"/>
      <c r="F506" s="12"/>
      <c r="G506" s="14" t="str">
        <f aca="false">IF(OR($D506="",$B506=""),"",INT(($B506-$D506)/365.25))</f>
        <v/>
      </c>
      <c r="H506" s="14" t="str">
        <f aca="false">IF($G506="","",IF($G506&lt;18,"Ha","Yo'q"))</f>
        <v/>
      </c>
      <c r="I506" s="12"/>
      <c r="J506" s="25"/>
      <c r="K506" s="25"/>
      <c r="L506" s="25"/>
      <c r="M506" s="12"/>
      <c r="N506" s="25"/>
      <c r="O506" s="25"/>
      <c r="P506" s="14" t="str">
        <f aca="false">IF($O506="","",IFERROR(VALUE(LEFT($O506,FIND(".",$O506)-1)),""))</f>
        <v/>
      </c>
      <c r="Q506" s="14" t="str">
        <f aca="false">IF($P506="","",IF($P506&lt;=7,"Shoshilinch",IF($P506&lt;=9,"Kechiktirib bo'lmaydigan",IF($P506&lt;=14,"Rejalashtirilgan","Rejali"))))</f>
        <v/>
      </c>
      <c r="R506" s="25"/>
      <c r="S506" s="14" t="str">
        <f aca="false">IF($K506&lt;&gt;"Kesarcha","",IF(OR($O506&lt;&gt;"",$R506="Ha"),"Ha","YO‘Q"))</f>
        <v/>
      </c>
      <c r="T506" s="12"/>
      <c r="U506" s="12"/>
      <c r="V506" s="14" t="str">
        <f aca="false">IF(OR($C506="",$D506="",$B506=""),"",IF(COUNTIFS($C$5:$C$604,$C506,$D$5:$D$604,$D506,$B$5:$B$604,$B506)&gt;1,"Takror",""))</f>
        <v/>
      </c>
    </row>
    <row r="507" customFormat="false" ht="15" hidden="false" customHeight="false" outlineLevel="0" collapsed="false">
      <c r="A507" s="8" t="n">
        <v>503</v>
      </c>
      <c r="B507" s="13"/>
      <c r="C507" s="12"/>
      <c r="D507" s="13"/>
      <c r="E507" s="24"/>
      <c r="F507" s="12"/>
      <c r="G507" s="14" t="str">
        <f aca="false">IF(OR($D507="",$B507=""),"",INT(($B507-$D507)/365.25))</f>
        <v/>
      </c>
      <c r="H507" s="14" t="str">
        <f aca="false">IF($G507="","",IF($G507&lt;18,"Ha","Yo'q"))</f>
        <v/>
      </c>
      <c r="I507" s="12"/>
      <c r="J507" s="25"/>
      <c r="K507" s="25"/>
      <c r="L507" s="25"/>
      <c r="M507" s="12"/>
      <c r="N507" s="25"/>
      <c r="O507" s="25"/>
      <c r="P507" s="14" t="str">
        <f aca="false">IF($O507="","",IFERROR(VALUE(LEFT($O507,FIND(".",$O507)-1)),""))</f>
        <v/>
      </c>
      <c r="Q507" s="14" t="str">
        <f aca="false">IF($P507="","",IF($P507&lt;=7,"Shoshilinch",IF($P507&lt;=9,"Kechiktirib bo'lmaydigan",IF($P507&lt;=14,"Rejalashtirilgan","Rejali"))))</f>
        <v/>
      </c>
      <c r="R507" s="25"/>
      <c r="S507" s="14" t="str">
        <f aca="false">IF($K507&lt;&gt;"Kesarcha","",IF(OR($O507&lt;&gt;"",$R507="Ha"),"Ha","YO‘Q"))</f>
        <v/>
      </c>
      <c r="T507" s="12"/>
      <c r="U507" s="12"/>
      <c r="V507" s="14" t="str">
        <f aca="false">IF(OR($C507="",$D507="",$B507=""),"",IF(COUNTIFS($C$5:$C$604,$C507,$D$5:$D$604,$D507,$B$5:$B$604,$B507)&gt;1,"Takror",""))</f>
        <v/>
      </c>
    </row>
    <row r="508" customFormat="false" ht="15" hidden="false" customHeight="false" outlineLevel="0" collapsed="false">
      <c r="A508" s="8" t="n">
        <v>504</v>
      </c>
      <c r="B508" s="13"/>
      <c r="C508" s="12"/>
      <c r="D508" s="13"/>
      <c r="E508" s="24"/>
      <c r="F508" s="12"/>
      <c r="G508" s="14" t="str">
        <f aca="false">IF(OR($D508="",$B508=""),"",INT(($B508-$D508)/365.25))</f>
        <v/>
      </c>
      <c r="H508" s="14" t="str">
        <f aca="false">IF($G508="","",IF($G508&lt;18,"Ha","Yo'q"))</f>
        <v/>
      </c>
      <c r="I508" s="12"/>
      <c r="J508" s="25"/>
      <c r="K508" s="25"/>
      <c r="L508" s="25"/>
      <c r="M508" s="12"/>
      <c r="N508" s="25"/>
      <c r="O508" s="25"/>
      <c r="P508" s="14" t="str">
        <f aca="false">IF($O508="","",IFERROR(VALUE(LEFT($O508,FIND(".",$O508)-1)),""))</f>
        <v/>
      </c>
      <c r="Q508" s="14" t="str">
        <f aca="false">IF($P508="","",IF($P508&lt;=7,"Shoshilinch",IF($P508&lt;=9,"Kechiktirib bo'lmaydigan",IF($P508&lt;=14,"Rejalashtirilgan","Rejali"))))</f>
        <v/>
      </c>
      <c r="R508" s="25"/>
      <c r="S508" s="14" t="str">
        <f aca="false">IF($K508&lt;&gt;"Kesarcha","",IF(OR($O508&lt;&gt;"",$R508="Ha"),"Ha","YO‘Q"))</f>
        <v/>
      </c>
      <c r="T508" s="12"/>
      <c r="U508" s="12"/>
      <c r="V508" s="14" t="str">
        <f aca="false">IF(OR($C508="",$D508="",$B508=""),"",IF(COUNTIFS($C$5:$C$604,$C508,$D$5:$D$604,$D508,$B$5:$B$604,$B508)&gt;1,"Takror",""))</f>
        <v/>
      </c>
    </row>
    <row r="509" customFormat="false" ht="15" hidden="false" customHeight="false" outlineLevel="0" collapsed="false">
      <c r="A509" s="8" t="n">
        <v>505</v>
      </c>
      <c r="B509" s="13"/>
      <c r="C509" s="12"/>
      <c r="D509" s="13"/>
      <c r="E509" s="24"/>
      <c r="F509" s="12"/>
      <c r="G509" s="14" t="str">
        <f aca="false">IF(OR($D509="",$B509=""),"",INT(($B509-$D509)/365.25))</f>
        <v/>
      </c>
      <c r="H509" s="14" t="str">
        <f aca="false">IF($G509="","",IF($G509&lt;18,"Ha","Yo'q"))</f>
        <v/>
      </c>
      <c r="I509" s="12"/>
      <c r="J509" s="25"/>
      <c r="K509" s="25"/>
      <c r="L509" s="25"/>
      <c r="M509" s="12"/>
      <c r="N509" s="25"/>
      <c r="O509" s="25"/>
      <c r="P509" s="14" t="str">
        <f aca="false">IF($O509="","",IFERROR(VALUE(LEFT($O509,FIND(".",$O509)-1)),""))</f>
        <v/>
      </c>
      <c r="Q509" s="14" t="str">
        <f aca="false">IF($P509="","",IF($P509&lt;=7,"Shoshilinch",IF($P509&lt;=9,"Kechiktirib bo'lmaydigan",IF($P509&lt;=14,"Rejalashtirilgan","Rejali"))))</f>
        <v/>
      </c>
      <c r="R509" s="25"/>
      <c r="S509" s="14" t="str">
        <f aca="false">IF($K509&lt;&gt;"Kesarcha","",IF(OR($O509&lt;&gt;"",$R509="Ha"),"Ha","YO‘Q"))</f>
        <v/>
      </c>
      <c r="T509" s="12"/>
      <c r="U509" s="12"/>
      <c r="V509" s="14" t="str">
        <f aca="false">IF(OR($C509="",$D509="",$B509=""),"",IF(COUNTIFS($C$5:$C$604,$C509,$D$5:$D$604,$D509,$B$5:$B$604,$B509)&gt;1,"Takror",""))</f>
        <v/>
      </c>
    </row>
    <row r="510" customFormat="false" ht="15" hidden="false" customHeight="false" outlineLevel="0" collapsed="false">
      <c r="A510" s="8" t="n">
        <v>506</v>
      </c>
      <c r="B510" s="13"/>
      <c r="C510" s="12"/>
      <c r="D510" s="13"/>
      <c r="E510" s="24"/>
      <c r="F510" s="12"/>
      <c r="G510" s="14" t="str">
        <f aca="false">IF(OR($D510="",$B510=""),"",INT(($B510-$D510)/365.25))</f>
        <v/>
      </c>
      <c r="H510" s="14" t="str">
        <f aca="false">IF($G510="","",IF($G510&lt;18,"Ha","Yo'q"))</f>
        <v/>
      </c>
      <c r="I510" s="12"/>
      <c r="J510" s="25"/>
      <c r="K510" s="25"/>
      <c r="L510" s="25"/>
      <c r="M510" s="12"/>
      <c r="N510" s="25"/>
      <c r="O510" s="25"/>
      <c r="P510" s="14" t="str">
        <f aca="false">IF($O510="","",IFERROR(VALUE(LEFT($O510,FIND(".",$O510)-1)),""))</f>
        <v/>
      </c>
      <c r="Q510" s="14" t="str">
        <f aca="false">IF($P510="","",IF($P510&lt;=7,"Shoshilinch",IF($P510&lt;=9,"Kechiktirib bo'lmaydigan",IF($P510&lt;=14,"Rejalashtirilgan","Rejali"))))</f>
        <v/>
      </c>
      <c r="R510" s="25"/>
      <c r="S510" s="14" t="str">
        <f aca="false">IF($K510&lt;&gt;"Kesarcha","",IF(OR($O510&lt;&gt;"",$R510="Ha"),"Ha","YO‘Q"))</f>
        <v/>
      </c>
      <c r="T510" s="12"/>
      <c r="U510" s="12"/>
      <c r="V510" s="14" t="str">
        <f aca="false">IF(OR($C510="",$D510="",$B510=""),"",IF(COUNTIFS($C$5:$C$604,$C510,$D$5:$D$604,$D510,$B$5:$B$604,$B510)&gt;1,"Takror",""))</f>
        <v/>
      </c>
    </row>
    <row r="511" customFormat="false" ht="15" hidden="false" customHeight="false" outlineLevel="0" collapsed="false">
      <c r="A511" s="8" t="n">
        <v>507</v>
      </c>
      <c r="B511" s="13"/>
      <c r="C511" s="12"/>
      <c r="D511" s="13"/>
      <c r="E511" s="24"/>
      <c r="F511" s="12"/>
      <c r="G511" s="14" t="str">
        <f aca="false">IF(OR($D511="",$B511=""),"",INT(($B511-$D511)/365.25))</f>
        <v/>
      </c>
      <c r="H511" s="14" t="str">
        <f aca="false">IF($G511="","",IF($G511&lt;18,"Ha","Yo'q"))</f>
        <v/>
      </c>
      <c r="I511" s="12"/>
      <c r="J511" s="25"/>
      <c r="K511" s="25"/>
      <c r="L511" s="25"/>
      <c r="M511" s="12"/>
      <c r="N511" s="25"/>
      <c r="O511" s="25"/>
      <c r="P511" s="14" t="str">
        <f aca="false">IF($O511="","",IFERROR(VALUE(LEFT($O511,FIND(".",$O511)-1)),""))</f>
        <v/>
      </c>
      <c r="Q511" s="14" t="str">
        <f aca="false">IF($P511="","",IF($P511&lt;=7,"Shoshilinch",IF($P511&lt;=9,"Kechiktirib bo'lmaydigan",IF($P511&lt;=14,"Rejalashtirilgan","Rejali"))))</f>
        <v/>
      </c>
      <c r="R511" s="25"/>
      <c r="S511" s="14" t="str">
        <f aca="false">IF($K511&lt;&gt;"Kesarcha","",IF(OR($O511&lt;&gt;"",$R511="Ha"),"Ha","YO‘Q"))</f>
        <v/>
      </c>
      <c r="T511" s="12"/>
      <c r="U511" s="12"/>
      <c r="V511" s="14" t="str">
        <f aca="false">IF(OR($C511="",$D511="",$B511=""),"",IF(COUNTIFS($C$5:$C$604,$C511,$D$5:$D$604,$D511,$B$5:$B$604,$B511)&gt;1,"Takror",""))</f>
        <v/>
      </c>
    </row>
    <row r="512" customFormat="false" ht="15" hidden="false" customHeight="false" outlineLevel="0" collapsed="false">
      <c r="A512" s="8" t="n">
        <v>508</v>
      </c>
      <c r="B512" s="13"/>
      <c r="C512" s="12"/>
      <c r="D512" s="13"/>
      <c r="E512" s="24"/>
      <c r="F512" s="12"/>
      <c r="G512" s="14" t="str">
        <f aca="false">IF(OR($D512="",$B512=""),"",INT(($B512-$D512)/365.25))</f>
        <v/>
      </c>
      <c r="H512" s="14" t="str">
        <f aca="false">IF($G512="","",IF($G512&lt;18,"Ha","Yo'q"))</f>
        <v/>
      </c>
      <c r="I512" s="12"/>
      <c r="J512" s="25"/>
      <c r="K512" s="25"/>
      <c r="L512" s="25"/>
      <c r="M512" s="12"/>
      <c r="N512" s="25"/>
      <c r="O512" s="25"/>
      <c r="P512" s="14" t="str">
        <f aca="false">IF($O512="","",IFERROR(VALUE(LEFT($O512,FIND(".",$O512)-1)),""))</f>
        <v/>
      </c>
      <c r="Q512" s="14" t="str">
        <f aca="false">IF($P512="","",IF($P512&lt;=7,"Shoshilinch",IF($P512&lt;=9,"Kechiktirib bo'lmaydigan",IF($P512&lt;=14,"Rejalashtirilgan","Rejali"))))</f>
        <v/>
      </c>
      <c r="R512" s="25"/>
      <c r="S512" s="14" t="str">
        <f aca="false">IF($K512&lt;&gt;"Kesarcha","",IF(OR($O512&lt;&gt;"",$R512="Ha"),"Ha","YO‘Q"))</f>
        <v/>
      </c>
      <c r="T512" s="12"/>
      <c r="U512" s="12"/>
      <c r="V512" s="14" t="str">
        <f aca="false">IF(OR($C512="",$D512="",$B512=""),"",IF(COUNTIFS($C$5:$C$604,$C512,$D$5:$D$604,$D512,$B$5:$B$604,$B512)&gt;1,"Takror",""))</f>
        <v/>
      </c>
    </row>
    <row r="513" customFormat="false" ht="15" hidden="false" customHeight="false" outlineLevel="0" collapsed="false">
      <c r="A513" s="8" t="n">
        <v>509</v>
      </c>
      <c r="B513" s="13"/>
      <c r="C513" s="12"/>
      <c r="D513" s="13"/>
      <c r="E513" s="24"/>
      <c r="F513" s="12"/>
      <c r="G513" s="14" t="str">
        <f aca="false">IF(OR($D513="",$B513=""),"",INT(($B513-$D513)/365.25))</f>
        <v/>
      </c>
      <c r="H513" s="14" t="str">
        <f aca="false">IF($G513="","",IF($G513&lt;18,"Ha","Yo'q"))</f>
        <v/>
      </c>
      <c r="I513" s="12"/>
      <c r="J513" s="25"/>
      <c r="K513" s="25"/>
      <c r="L513" s="25"/>
      <c r="M513" s="12"/>
      <c r="N513" s="25"/>
      <c r="O513" s="25"/>
      <c r="P513" s="14" t="str">
        <f aca="false">IF($O513="","",IFERROR(VALUE(LEFT($O513,FIND(".",$O513)-1)),""))</f>
        <v/>
      </c>
      <c r="Q513" s="14" t="str">
        <f aca="false">IF($P513="","",IF($P513&lt;=7,"Shoshilinch",IF($P513&lt;=9,"Kechiktirib bo'lmaydigan",IF($P513&lt;=14,"Rejalashtirilgan","Rejali"))))</f>
        <v/>
      </c>
      <c r="R513" s="25"/>
      <c r="S513" s="14" t="str">
        <f aca="false">IF($K513&lt;&gt;"Kesarcha","",IF(OR($O513&lt;&gt;"",$R513="Ha"),"Ha","YO‘Q"))</f>
        <v/>
      </c>
      <c r="T513" s="12"/>
      <c r="U513" s="12"/>
      <c r="V513" s="14" t="str">
        <f aca="false">IF(OR($C513="",$D513="",$B513=""),"",IF(COUNTIFS($C$5:$C$604,$C513,$D$5:$D$604,$D513,$B$5:$B$604,$B513)&gt;1,"Takror",""))</f>
        <v/>
      </c>
    </row>
    <row r="514" customFormat="false" ht="15" hidden="false" customHeight="false" outlineLevel="0" collapsed="false">
      <c r="A514" s="8" t="n">
        <v>510</v>
      </c>
      <c r="B514" s="13"/>
      <c r="C514" s="12"/>
      <c r="D514" s="13"/>
      <c r="E514" s="24"/>
      <c r="F514" s="12"/>
      <c r="G514" s="14" t="str">
        <f aca="false">IF(OR($D514="",$B514=""),"",INT(($B514-$D514)/365.25))</f>
        <v/>
      </c>
      <c r="H514" s="14" t="str">
        <f aca="false">IF($G514="","",IF($G514&lt;18,"Ha","Yo'q"))</f>
        <v/>
      </c>
      <c r="I514" s="12"/>
      <c r="J514" s="25"/>
      <c r="K514" s="25"/>
      <c r="L514" s="25"/>
      <c r="M514" s="12"/>
      <c r="N514" s="25"/>
      <c r="O514" s="25"/>
      <c r="P514" s="14" t="str">
        <f aca="false">IF($O514="","",IFERROR(VALUE(LEFT($O514,FIND(".",$O514)-1)),""))</f>
        <v/>
      </c>
      <c r="Q514" s="14" t="str">
        <f aca="false">IF($P514="","",IF($P514&lt;=7,"Shoshilinch",IF($P514&lt;=9,"Kechiktirib bo'lmaydigan",IF($P514&lt;=14,"Rejalashtirilgan","Rejali"))))</f>
        <v/>
      </c>
      <c r="R514" s="25"/>
      <c r="S514" s="14" t="str">
        <f aca="false">IF($K514&lt;&gt;"Kesarcha","",IF(OR($O514&lt;&gt;"",$R514="Ha"),"Ha","YO‘Q"))</f>
        <v/>
      </c>
      <c r="T514" s="12"/>
      <c r="U514" s="12"/>
      <c r="V514" s="14" t="str">
        <f aca="false">IF(OR($C514="",$D514="",$B514=""),"",IF(COUNTIFS($C$5:$C$604,$C514,$D$5:$D$604,$D514,$B$5:$B$604,$B514)&gt;1,"Takror",""))</f>
        <v/>
      </c>
    </row>
    <row r="515" customFormat="false" ht="15" hidden="false" customHeight="false" outlineLevel="0" collapsed="false">
      <c r="A515" s="8" t="n">
        <v>511</v>
      </c>
      <c r="B515" s="13"/>
      <c r="C515" s="12"/>
      <c r="D515" s="13"/>
      <c r="E515" s="24"/>
      <c r="F515" s="12"/>
      <c r="G515" s="14" t="str">
        <f aca="false">IF(OR($D515="",$B515=""),"",INT(($B515-$D515)/365.25))</f>
        <v/>
      </c>
      <c r="H515" s="14" t="str">
        <f aca="false">IF($G515="","",IF($G515&lt;18,"Ha","Yo'q"))</f>
        <v/>
      </c>
      <c r="I515" s="12"/>
      <c r="J515" s="25"/>
      <c r="K515" s="25"/>
      <c r="L515" s="25"/>
      <c r="M515" s="12"/>
      <c r="N515" s="25"/>
      <c r="O515" s="25"/>
      <c r="P515" s="14" t="str">
        <f aca="false">IF($O515="","",IFERROR(VALUE(LEFT($O515,FIND(".",$O515)-1)),""))</f>
        <v/>
      </c>
      <c r="Q515" s="14" t="str">
        <f aca="false">IF($P515="","",IF($P515&lt;=7,"Shoshilinch",IF($P515&lt;=9,"Kechiktirib bo'lmaydigan",IF($P515&lt;=14,"Rejalashtirilgan","Rejali"))))</f>
        <v/>
      </c>
      <c r="R515" s="25"/>
      <c r="S515" s="14" t="str">
        <f aca="false">IF($K515&lt;&gt;"Kesarcha","",IF(OR($O515&lt;&gt;"",$R515="Ha"),"Ha","YO‘Q"))</f>
        <v/>
      </c>
      <c r="T515" s="12"/>
      <c r="U515" s="12"/>
      <c r="V515" s="14" t="str">
        <f aca="false">IF(OR($C515="",$D515="",$B515=""),"",IF(COUNTIFS($C$5:$C$604,$C515,$D$5:$D$604,$D515,$B$5:$B$604,$B515)&gt;1,"Takror",""))</f>
        <v/>
      </c>
    </row>
    <row r="516" customFormat="false" ht="15" hidden="false" customHeight="false" outlineLevel="0" collapsed="false">
      <c r="A516" s="8" t="n">
        <v>512</v>
      </c>
      <c r="B516" s="13"/>
      <c r="C516" s="12"/>
      <c r="D516" s="13"/>
      <c r="E516" s="24"/>
      <c r="F516" s="12"/>
      <c r="G516" s="14" t="str">
        <f aca="false">IF(OR($D516="",$B516=""),"",INT(($B516-$D516)/365.25))</f>
        <v/>
      </c>
      <c r="H516" s="14" t="str">
        <f aca="false">IF($G516="","",IF($G516&lt;18,"Ha","Yo'q"))</f>
        <v/>
      </c>
      <c r="I516" s="12"/>
      <c r="J516" s="25"/>
      <c r="K516" s="25"/>
      <c r="L516" s="25"/>
      <c r="M516" s="12"/>
      <c r="N516" s="25"/>
      <c r="O516" s="25"/>
      <c r="P516" s="14" t="str">
        <f aca="false">IF($O516="","",IFERROR(VALUE(LEFT($O516,FIND(".",$O516)-1)),""))</f>
        <v/>
      </c>
      <c r="Q516" s="14" t="str">
        <f aca="false">IF($P516="","",IF($P516&lt;=7,"Shoshilinch",IF($P516&lt;=9,"Kechiktirib bo'lmaydigan",IF($P516&lt;=14,"Rejalashtirilgan","Rejali"))))</f>
        <v/>
      </c>
      <c r="R516" s="25"/>
      <c r="S516" s="14" t="str">
        <f aca="false">IF($K516&lt;&gt;"Kesarcha","",IF(OR($O516&lt;&gt;"",$R516="Ha"),"Ha","YO‘Q"))</f>
        <v/>
      </c>
      <c r="T516" s="12"/>
      <c r="U516" s="12"/>
      <c r="V516" s="14" t="str">
        <f aca="false">IF(OR($C516="",$D516="",$B516=""),"",IF(COUNTIFS($C$5:$C$604,$C516,$D$5:$D$604,$D516,$B$5:$B$604,$B516)&gt;1,"Takror",""))</f>
        <v/>
      </c>
    </row>
    <row r="517" customFormat="false" ht="15" hidden="false" customHeight="false" outlineLevel="0" collapsed="false">
      <c r="A517" s="8" t="n">
        <v>513</v>
      </c>
      <c r="B517" s="13"/>
      <c r="C517" s="12"/>
      <c r="D517" s="13"/>
      <c r="E517" s="24"/>
      <c r="F517" s="12"/>
      <c r="G517" s="14" t="str">
        <f aca="false">IF(OR($D517="",$B517=""),"",INT(($B517-$D517)/365.25))</f>
        <v/>
      </c>
      <c r="H517" s="14" t="str">
        <f aca="false">IF($G517="","",IF($G517&lt;18,"Ha","Yo'q"))</f>
        <v/>
      </c>
      <c r="I517" s="12"/>
      <c r="J517" s="25"/>
      <c r="K517" s="25"/>
      <c r="L517" s="25"/>
      <c r="M517" s="12"/>
      <c r="N517" s="25"/>
      <c r="O517" s="25"/>
      <c r="P517" s="14" t="str">
        <f aca="false">IF($O517="","",IFERROR(VALUE(LEFT($O517,FIND(".",$O517)-1)),""))</f>
        <v/>
      </c>
      <c r="Q517" s="14" t="str">
        <f aca="false">IF($P517="","",IF($P517&lt;=7,"Shoshilinch",IF($P517&lt;=9,"Kechiktirib bo'lmaydigan",IF($P517&lt;=14,"Rejalashtirilgan","Rejali"))))</f>
        <v/>
      </c>
      <c r="R517" s="25"/>
      <c r="S517" s="14" t="str">
        <f aca="false">IF($K517&lt;&gt;"Kesarcha","",IF(OR($O517&lt;&gt;"",$R517="Ha"),"Ha","YO‘Q"))</f>
        <v/>
      </c>
      <c r="T517" s="12"/>
      <c r="U517" s="12"/>
      <c r="V517" s="14" t="str">
        <f aca="false">IF(OR($C517="",$D517="",$B517=""),"",IF(COUNTIFS($C$5:$C$604,$C517,$D$5:$D$604,$D517,$B$5:$B$604,$B517)&gt;1,"Takror",""))</f>
        <v/>
      </c>
    </row>
    <row r="518" customFormat="false" ht="15" hidden="false" customHeight="false" outlineLevel="0" collapsed="false">
      <c r="A518" s="8" t="n">
        <v>514</v>
      </c>
      <c r="B518" s="13"/>
      <c r="C518" s="12"/>
      <c r="D518" s="13"/>
      <c r="E518" s="24"/>
      <c r="F518" s="12"/>
      <c r="G518" s="14" t="str">
        <f aca="false">IF(OR($D518="",$B518=""),"",INT(($B518-$D518)/365.25))</f>
        <v/>
      </c>
      <c r="H518" s="14" t="str">
        <f aca="false">IF($G518="","",IF($G518&lt;18,"Ha","Yo'q"))</f>
        <v/>
      </c>
      <c r="I518" s="12"/>
      <c r="J518" s="25"/>
      <c r="K518" s="25"/>
      <c r="L518" s="25"/>
      <c r="M518" s="12"/>
      <c r="N518" s="25"/>
      <c r="O518" s="25"/>
      <c r="P518" s="14" t="str">
        <f aca="false">IF($O518="","",IFERROR(VALUE(LEFT($O518,FIND(".",$O518)-1)),""))</f>
        <v/>
      </c>
      <c r="Q518" s="14" t="str">
        <f aca="false">IF($P518="","",IF($P518&lt;=7,"Shoshilinch",IF($P518&lt;=9,"Kechiktirib bo'lmaydigan",IF($P518&lt;=14,"Rejalashtirilgan","Rejali"))))</f>
        <v/>
      </c>
      <c r="R518" s="25"/>
      <c r="S518" s="14" t="str">
        <f aca="false">IF($K518&lt;&gt;"Kesarcha","",IF(OR($O518&lt;&gt;"",$R518="Ha"),"Ha","YO‘Q"))</f>
        <v/>
      </c>
      <c r="T518" s="12"/>
      <c r="U518" s="12"/>
      <c r="V518" s="14" t="str">
        <f aca="false">IF(OR($C518="",$D518="",$B518=""),"",IF(COUNTIFS($C$5:$C$604,$C518,$D$5:$D$604,$D518,$B$5:$B$604,$B518)&gt;1,"Takror",""))</f>
        <v/>
      </c>
    </row>
    <row r="519" customFormat="false" ht="15" hidden="false" customHeight="false" outlineLevel="0" collapsed="false">
      <c r="A519" s="8" t="n">
        <v>515</v>
      </c>
      <c r="B519" s="13"/>
      <c r="C519" s="12"/>
      <c r="D519" s="13"/>
      <c r="E519" s="24"/>
      <c r="F519" s="12"/>
      <c r="G519" s="14" t="str">
        <f aca="false">IF(OR($D519="",$B519=""),"",INT(($B519-$D519)/365.25))</f>
        <v/>
      </c>
      <c r="H519" s="14" t="str">
        <f aca="false">IF($G519="","",IF($G519&lt;18,"Ha","Yo'q"))</f>
        <v/>
      </c>
      <c r="I519" s="12"/>
      <c r="J519" s="25"/>
      <c r="K519" s="25"/>
      <c r="L519" s="25"/>
      <c r="M519" s="12"/>
      <c r="N519" s="25"/>
      <c r="O519" s="25"/>
      <c r="P519" s="14" t="str">
        <f aca="false">IF($O519="","",IFERROR(VALUE(LEFT($O519,FIND(".",$O519)-1)),""))</f>
        <v/>
      </c>
      <c r="Q519" s="14" t="str">
        <f aca="false">IF($P519="","",IF($P519&lt;=7,"Shoshilinch",IF($P519&lt;=9,"Kechiktirib bo'lmaydigan",IF($P519&lt;=14,"Rejalashtirilgan","Rejali"))))</f>
        <v/>
      </c>
      <c r="R519" s="25"/>
      <c r="S519" s="14" t="str">
        <f aca="false">IF($K519&lt;&gt;"Kesarcha","",IF(OR($O519&lt;&gt;"",$R519="Ha"),"Ha","YO‘Q"))</f>
        <v/>
      </c>
      <c r="T519" s="12"/>
      <c r="U519" s="12"/>
      <c r="V519" s="14" t="str">
        <f aca="false">IF(OR($C519="",$D519="",$B519=""),"",IF(COUNTIFS($C$5:$C$604,$C519,$D$5:$D$604,$D519,$B$5:$B$604,$B519)&gt;1,"Takror",""))</f>
        <v/>
      </c>
    </row>
    <row r="520" customFormat="false" ht="15" hidden="false" customHeight="false" outlineLevel="0" collapsed="false">
      <c r="A520" s="8" t="n">
        <v>516</v>
      </c>
      <c r="B520" s="13"/>
      <c r="C520" s="12"/>
      <c r="D520" s="13"/>
      <c r="E520" s="24"/>
      <c r="F520" s="12"/>
      <c r="G520" s="14" t="str">
        <f aca="false">IF(OR($D520="",$B520=""),"",INT(($B520-$D520)/365.25))</f>
        <v/>
      </c>
      <c r="H520" s="14" t="str">
        <f aca="false">IF($G520="","",IF($G520&lt;18,"Ha","Yo'q"))</f>
        <v/>
      </c>
      <c r="I520" s="12"/>
      <c r="J520" s="25"/>
      <c r="K520" s="25"/>
      <c r="L520" s="25"/>
      <c r="M520" s="12"/>
      <c r="N520" s="25"/>
      <c r="O520" s="25"/>
      <c r="P520" s="14" t="str">
        <f aca="false">IF($O520="","",IFERROR(VALUE(LEFT($O520,FIND(".",$O520)-1)),""))</f>
        <v/>
      </c>
      <c r="Q520" s="14" t="str">
        <f aca="false">IF($P520="","",IF($P520&lt;=7,"Shoshilinch",IF($P520&lt;=9,"Kechiktirib bo'lmaydigan",IF($P520&lt;=14,"Rejalashtirilgan","Rejali"))))</f>
        <v/>
      </c>
      <c r="R520" s="25"/>
      <c r="S520" s="14" t="str">
        <f aca="false">IF($K520&lt;&gt;"Kesarcha","",IF(OR($O520&lt;&gt;"",$R520="Ha"),"Ha","YO‘Q"))</f>
        <v/>
      </c>
      <c r="T520" s="12"/>
      <c r="U520" s="12"/>
      <c r="V520" s="14" t="str">
        <f aca="false">IF(OR($C520="",$D520="",$B520=""),"",IF(COUNTIFS($C$5:$C$604,$C520,$D$5:$D$604,$D520,$B$5:$B$604,$B520)&gt;1,"Takror",""))</f>
        <v/>
      </c>
    </row>
    <row r="521" customFormat="false" ht="15" hidden="false" customHeight="false" outlineLevel="0" collapsed="false">
      <c r="A521" s="8" t="n">
        <v>517</v>
      </c>
      <c r="B521" s="13"/>
      <c r="C521" s="12"/>
      <c r="D521" s="13"/>
      <c r="E521" s="24"/>
      <c r="F521" s="12"/>
      <c r="G521" s="14" t="str">
        <f aca="false">IF(OR($D521="",$B521=""),"",INT(($B521-$D521)/365.25))</f>
        <v/>
      </c>
      <c r="H521" s="14" t="str">
        <f aca="false">IF($G521="","",IF($G521&lt;18,"Ha","Yo'q"))</f>
        <v/>
      </c>
      <c r="I521" s="12"/>
      <c r="J521" s="25"/>
      <c r="K521" s="25"/>
      <c r="L521" s="25"/>
      <c r="M521" s="12"/>
      <c r="N521" s="25"/>
      <c r="O521" s="25"/>
      <c r="P521" s="14" t="str">
        <f aca="false">IF($O521="","",IFERROR(VALUE(LEFT($O521,FIND(".",$O521)-1)),""))</f>
        <v/>
      </c>
      <c r="Q521" s="14" t="str">
        <f aca="false">IF($P521="","",IF($P521&lt;=7,"Shoshilinch",IF($P521&lt;=9,"Kechiktirib bo'lmaydigan",IF($P521&lt;=14,"Rejalashtirilgan","Rejali"))))</f>
        <v/>
      </c>
      <c r="R521" s="25"/>
      <c r="S521" s="14" t="str">
        <f aca="false">IF($K521&lt;&gt;"Kesarcha","",IF(OR($O521&lt;&gt;"",$R521="Ha"),"Ha","YO‘Q"))</f>
        <v/>
      </c>
      <c r="T521" s="12"/>
      <c r="U521" s="12"/>
      <c r="V521" s="14" t="str">
        <f aca="false">IF(OR($C521="",$D521="",$B521=""),"",IF(COUNTIFS($C$5:$C$604,$C521,$D$5:$D$604,$D521,$B$5:$B$604,$B521)&gt;1,"Takror",""))</f>
        <v/>
      </c>
    </row>
    <row r="522" customFormat="false" ht="15" hidden="false" customHeight="false" outlineLevel="0" collapsed="false">
      <c r="A522" s="8" t="n">
        <v>518</v>
      </c>
      <c r="B522" s="13"/>
      <c r="C522" s="12"/>
      <c r="D522" s="13"/>
      <c r="E522" s="24"/>
      <c r="F522" s="12"/>
      <c r="G522" s="14" t="str">
        <f aca="false">IF(OR($D522="",$B522=""),"",INT(($B522-$D522)/365.25))</f>
        <v/>
      </c>
      <c r="H522" s="14" t="str">
        <f aca="false">IF($G522="","",IF($G522&lt;18,"Ha","Yo'q"))</f>
        <v/>
      </c>
      <c r="I522" s="12"/>
      <c r="J522" s="25"/>
      <c r="K522" s="25"/>
      <c r="L522" s="25"/>
      <c r="M522" s="12"/>
      <c r="N522" s="25"/>
      <c r="O522" s="25"/>
      <c r="P522" s="14" t="str">
        <f aca="false">IF($O522="","",IFERROR(VALUE(LEFT($O522,FIND(".",$O522)-1)),""))</f>
        <v/>
      </c>
      <c r="Q522" s="14" t="str">
        <f aca="false">IF($P522="","",IF($P522&lt;=7,"Shoshilinch",IF($P522&lt;=9,"Kechiktirib bo'lmaydigan",IF($P522&lt;=14,"Rejalashtirilgan","Rejali"))))</f>
        <v/>
      </c>
      <c r="R522" s="25"/>
      <c r="S522" s="14" t="str">
        <f aca="false">IF($K522&lt;&gt;"Kesarcha","",IF(OR($O522&lt;&gt;"",$R522="Ha"),"Ha","YO‘Q"))</f>
        <v/>
      </c>
      <c r="T522" s="12"/>
      <c r="U522" s="12"/>
      <c r="V522" s="14" t="str">
        <f aca="false">IF(OR($C522="",$D522="",$B522=""),"",IF(COUNTIFS($C$5:$C$604,$C522,$D$5:$D$604,$D522,$B$5:$B$604,$B522)&gt;1,"Takror",""))</f>
        <v/>
      </c>
    </row>
    <row r="523" customFormat="false" ht="15" hidden="false" customHeight="false" outlineLevel="0" collapsed="false">
      <c r="A523" s="8" t="n">
        <v>519</v>
      </c>
      <c r="B523" s="13"/>
      <c r="C523" s="12"/>
      <c r="D523" s="13"/>
      <c r="E523" s="24"/>
      <c r="F523" s="12"/>
      <c r="G523" s="14" t="str">
        <f aca="false">IF(OR($D523="",$B523=""),"",INT(($B523-$D523)/365.25))</f>
        <v/>
      </c>
      <c r="H523" s="14" t="str">
        <f aca="false">IF($G523="","",IF($G523&lt;18,"Ha","Yo'q"))</f>
        <v/>
      </c>
      <c r="I523" s="12"/>
      <c r="J523" s="25"/>
      <c r="K523" s="25"/>
      <c r="L523" s="25"/>
      <c r="M523" s="12"/>
      <c r="N523" s="25"/>
      <c r="O523" s="25"/>
      <c r="P523" s="14" t="str">
        <f aca="false">IF($O523="","",IFERROR(VALUE(LEFT($O523,FIND(".",$O523)-1)),""))</f>
        <v/>
      </c>
      <c r="Q523" s="14" t="str">
        <f aca="false">IF($P523="","",IF($P523&lt;=7,"Shoshilinch",IF($P523&lt;=9,"Kechiktirib bo'lmaydigan",IF($P523&lt;=14,"Rejalashtirilgan","Rejali"))))</f>
        <v/>
      </c>
      <c r="R523" s="25"/>
      <c r="S523" s="14" t="str">
        <f aca="false">IF($K523&lt;&gt;"Kesarcha","",IF(OR($O523&lt;&gt;"",$R523="Ha"),"Ha","YO‘Q"))</f>
        <v/>
      </c>
      <c r="T523" s="12"/>
      <c r="U523" s="12"/>
      <c r="V523" s="14" t="str">
        <f aca="false">IF(OR($C523="",$D523="",$B523=""),"",IF(COUNTIFS($C$5:$C$604,$C523,$D$5:$D$604,$D523,$B$5:$B$604,$B523)&gt;1,"Takror",""))</f>
        <v/>
      </c>
    </row>
    <row r="524" customFormat="false" ht="15" hidden="false" customHeight="false" outlineLevel="0" collapsed="false">
      <c r="A524" s="8" t="n">
        <v>520</v>
      </c>
      <c r="B524" s="13"/>
      <c r="C524" s="12"/>
      <c r="D524" s="13"/>
      <c r="E524" s="24"/>
      <c r="F524" s="12"/>
      <c r="G524" s="14" t="str">
        <f aca="false">IF(OR($D524="",$B524=""),"",INT(($B524-$D524)/365.25))</f>
        <v/>
      </c>
      <c r="H524" s="14" t="str">
        <f aca="false">IF($G524="","",IF($G524&lt;18,"Ha","Yo'q"))</f>
        <v/>
      </c>
      <c r="I524" s="12"/>
      <c r="J524" s="25"/>
      <c r="K524" s="25"/>
      <c r="L524" s="25"/>
      <c r="M524" s="12"/>
      <c r="N524" s="25"/>
      <c r="O524" s="25"/>
      <c r="P524" s="14" t="str">
        <f aca="false">IF($O524="","",IFERROR(VALUE(LEFT($O524,FIND(".",$O524)-1)),""))</f>
        <v/>
      </c>
      <c r="Q524" s="14" t="str">
        <f aca="false">IF($P524="","",IF($P524&lt;=7,"Shoshilinch",IF($P524&lt;=9,"Kechiktirib bo'lmaydigan",IF($P524&lt;=14,"Rejalashtirilgan","Rejali"))))</f>
        <v/>
      </c>
      <c r="R524" s="25"/>
      <c r="S524" s="14" t="str">
        <f aca="false">IF($K524&lt;&gt;"Kesarcha","",IF(OR($O524&lt;&gt;"",$R524="Ha"),"Ha","YO‘Q"))</f>
        <v/>
      </c>
      <c r="T524" s="12"/>
      <c r="U524" s="12"/>
      <c r="V524" s="14" t="str">
        <f aca="false">IF(OR($C524="",$D524="",$B524=""),"",IF(COUNTIFS($C$5:$C$604,$C524,$D$5:$D$604,$D524,$B$5:$B$604,$B524)&gt;1,"Takror",""))</f>
        <v/>
      </c>
    </row>
    <row r="525" customFormat="false" ht="15" hidden="false" customHeight="false" outlineLevel="0" collapsed="false">
      <c r="A525" s="8" t="n">
        <v>521</v>
      </c>
      <c r="B525" s="13"/>
      <c r="C525" s="12"/>
      <c r="D525" s="13"/>
      <c r="E525" s="24"/>
      <c r="F525" s="12"/>
      <c r="G525" s="14" t="str">
        <f aca="false">IF(OR($D525="",$B525=""),"",INT(($B525-$D525)/365.25))</f>
        <v/>
      </c>
      <c r="H525" s="14" t="str">
        <f aca="false">IF($G525="","",IF($G525&lt;18,"Ha","Yo'q"))</f>
        <v/>
      </c>
      <c r="I525" s="12"/>
      <c r="J525" s="25"/>
      <c r="K525" s="25"/>
      <c r="L525" s="25"/>
      <c r="M525" s="12"/>
      <c r="N525" s="25"/>
      <c r="O525" s="25"/>
      <c r="P525" s="14" t="str">
        <f aca="false">IF($O525="","",IFERROR(VALUE(LEFT($O525,FIND(".",$O525)-1)),""))</f>
        <v/>
      </c>
      <c r="Q525" s="14" t="str">
        <f aca="false">IF($P525="","",IF($P525&lt;=7,"Shoshilinch",IF($P525&lt;=9,"Kechiktirib bo'lmaydigan",IF($P525&lt;=14,"Rejalashtirilgan","Rejali"))))</f>
        <v/>
      </c>
      <c r="R525" s="25"/>
      <c r="S525" s="14" t="str">
        <f aca="false">IF($K525&lt;&gt;"Kesarcha","",IF(OR($O525&lt;&gt;"",$R525="Ha"),"Ha","YO‘Q"))</f>
        <v/>
      </c>
      <c r="T525" s="12"/>
      <c r="U525" s="12"/>
      <c r="V525" s="14" t="str">
        <f aca="false">IF(OR($C525="",$D525="",$B525=""),"",IF(COUNTIFS($C$5:$C$604,$C525,$D$5:$D$604,$D525,$B$5:$B$604,$B525)&gt;1,"Takror",""))</f>
        <v/>
      </c>
    </row>
    <row r="526" customFormat="false" ht="15" hidden="false" customHeight="false" outlineLevel="0" collapsed="false">
      <c r="A526" s="8" t="n">
        <v>522</v>
      </c>
      <c r="B526" s="13"/>
      <c r="C526" s="12"/>
      <c r="D526" s="13"/>
      <c r="E526" s="24"/>
      <c r="F526" s="12"/>
      <c r="G526" s="14" t="str">
        <f aca="false">IF(OR($D526="",$B526=""),"",INT(($B526-$D526)/365.25))</f>
        <v/>
      </c>
      <c r="H526" s="14" t="str">
        <f aca="false">IF($G526="","",IF($G526&lt;18,"Ha","Yo'q"))</f>
        <v/>
      </c>
      <c r="I526" s="12"/>
      <c r="J526" s="25"/>
      <c r="K526" s="25"/>
      <c r="L526" s="25"/>
      <c r="M526" s="12"/>
      <c r="N526" s="25"/>
      <c r="O526" s="25"/>
      <c r="P526" s="14" t="str">
        <f aca="false">IF($O526="","",IFERROR(VALUE(LEFT($O526,FIND(".",$O526)-1)),""))</f>
        <v/>
      </c>
      <c r="Q526" s="14" t="str">
        <f aca="false">IF($P526="","",IF($P526&lt;=7,"Shoshilinch",IF($P526&lt;=9,"Kechiktirib bo'lmaydigan",IF($P526&lt;=14,"Rejalashtirilgan","Rejali"))))</f>
        <v/>
      </c>
      <c r="R526" s="25"/>
      <c r="S526" s="14" t="str">
        <f aca="false">IF($K526&lt;&gt;"Kesarcha","",IF(OR($O526&lt;&gt;"",$R526="Ha"),"Ha","YO‘Q"))</f>
        <v/>
      </c>
      <c r="T526" s="12"/>
      <c r="U526" s="12"/>
      <c r="V526" s="14" t="str">
        <f aca="false">IF(OR($C526="",$D526="",$B526=""),"",IF(COUNTIFS($C$5:$C$604,$C526,$D$5:$D$604,$D526,$B$5:$B$604,$B526)&gt;1,"Takror",""))</f>
        <v/>
      </c>
    </row>
    <row r="527" customFormat="false" ht="15" hidden="false" customHeight="false" outlineLevel="0" collapsed="false">
      <c r="A527" s="8" t="n">
        <v>523</v>
      </c>
      <c r="B527" s="13"/>
      <c r="C527" s="12"/>
      <c r="D527" s="13"/>
      <c r="E527" s="24"/>
      <c r="F527" s="12"/>
      <c r="G527" s="14" t="str">
        <f aca="false">IF(OR($D527="",$B527=""),"",INT(($B527-$D527)/365.25))</f>
        <v/>
      </c>
      <c r="H527" s="14" t="str">
        <f aca="false">IF($G527="","",IF($G527&lt;18,"Ha","Yo'q"))</f>
        <v/>
      </c>
      <c r="I527" s="12"/>
      <c r="J527" s="25"/>
      <c r="K527" s="25"/>
      <c r="L527" s="25"/>
      <c r="M527" s="12"/>
      <c r="N527" s="25"/>
      <c r="O527" s="25"/>
      <c r="P527" s="14" t="str">
        <f aca="false">IF($O527="","",IFERROR(VALUE(LEFT($O527,FIND(".",$O527)-1)),""))</f>
        <v/>
      </c>
      <c r="Q527" s="14" t="str">
        <f aca="false">IF($P527="","",IF($P527&lt;=7,"Shoshilinch",IF($P527&lt;=9,"Kechiktirib bo'lmaydigan",IF($P527&lt;=14,"Rejalashtirilgan","Rejali"))))</f>
        <v/>
      </c>
      <c r="R527" s="25"/>
      <c r="S527" s="14" t="str">
        <f aca="false">IF($K527&lt;&gt;"Kesarcha","",IF(OR($O527&lt;&gt;"",$R527="Ha"),"Ha","YO‘Q"))</f>
        <v/>
      </c>
      <c r="T527" s="12"/>
      <c r="U527" s="12"/>
      <c r="V527" s="14" t="str">
        <f aca="false">IF(OR($C527="",$D527="",$B527=""),"",IF(COUNTIFS($C$5:$C$604,$C527,$D$5:$D$604,$D527,$B$5:$B$604,$B527)&gt;1,"Takror",""))</f>
        <v/>
      </c>
    </row>
    <row r="528" customFormat="false" ht="15" hidden="false" customHeight="false" outlineLevel="0" collapsed="false">
      <c r="A528" s="8" t="n">
        <v>524</v>
      </c>
      <c r="B528" s="13"/>
      <c r="C528" s="12"/>
      <c r="D528" s="13"/>
      <c r="E528" s="24"/>
      <c r="F528" s="12"/>
      <c r="G528" s="14" t="str">
        <f aca="false">IF(OR($D528="",$B528=""),"",INT(($B528-$D528)/365.25))</f>
        <v/>
      </c>
      <c r="H528" s="14" t="str">
        <f aca="false">IF($G528="","",IF($G528&lt;18,"Ha","Yo'q"))</f>
        <v/>
      </c>
      <c r="I528" s="12"/>
      <c r="J528" s="25"/>
      <c r="K528" s="25"/>
      <c r="L528" s="25"/>
      <c r="M528" s="12"/>
      <c r="N528" s="25"/>
      <c r="O528" s="25"/>
      <c r="P528" s="14" t="str">
        <f aca="false">IF($O528="","",IFERROR(VALUE(LEFT($O528,FIND(".",$O528)-1)),""))</f>
        <v/>
      </c>
      <c r="Q528" s="14" t="str">
        <f aca="false">IF($P528="","",IF($P528&lt;=7,"Shoshilinch",IF($P528&lt;=9,"Kechiktirib bo'lmaydigan",IF($P528&lt;=14,"Rejalashtirilgan","Rejali"))))</f>
        <v/>
      </c>
      <c r="R528" s="25"/>
      <c r="S528" s="14" t="str">
        <f aca="false">IF($K528&lt;&gt;"Kesarcha","",IF(OR($O528&lt;&gt;"",$R528="Ha"),"Ha","YO‘Q"))</f>
        <v/>
      </c>
      <c r="T528" s="12"/>
      <c r="U528" s="12"/>
      <c r="V528" s="14" t="str">
        <f aca="false">IF(OR($C528="",$D528="",$B528=""),"",IF(COUNTIFS($C$5:$C$604,$C528,$D$5:$D$604,$D528,$B$5:$B$604,$B528)&gt;1,"Takror",""))</f>
        <v/>
      </c>
    </row>
    <row r="529" customFormat="false" ht="15" hidden="false" customHeight="false" outlineLevel="0" collapsed="false">
      <c r="A529" s="8" t="n">
        <v>525</v>
      </c>
      <c r="B529" s="13"/>
      <c r="C529" s="12"/>
      <c r="D529" s="13"/>
      <c r="E529" s="24"/>
      <c r="F529" s="12"/>
      <c r="G529" s="14" t="str">
        <f aca="false">IF(OR($D529="",$B529=""),"",INT(($B529-$D529)/365.25))</f>
        <v/>
      </c>
      <c r="H529" s="14" t="str">
        <f aca="false">IF($G529="","",IF($G529&lt;18,"Ha","Yo'q"))</f>
        <v/>
      </c>
      <c r="I529" s="12"/>
      <c r="J529" s="25"/>
      <c r="K529" s="25"/>
      <c r="L529" s="25"/>
      <c r="M529" s="12"/>
      <c r="N529" s="25"/>
      <c r="O529" s="25"/>
      <c r="P529" s="14" t="str">
        <f aca="false">IF($O529="","",IFERROR(VALUE(LEFT($O529,FIND(".",$O529)-1)),""))</f>
        <v/>
      </c>
      <c r="Q529" s="14" t="str">
        <f aca="false">IF($P529="","",IF($P529&lt;=7,"Shoshilinch",IF($P529&lt;=9,"Kechiktirib bo'lmaydigan",IF($P529&lt;=14,"Rejalashtirilgan","Rejali"))))</f>
        <v/>
      </c>
      <c r="R529" s="25"/>
      <c r="S529" s="14" t="str">
        <f aca="false">IF($K529&lt;&gt;"Kesarcha","",IF(OR($O529&lt;&gt;"",$R529="Ha"),"Ha","YO‘Q"))</f>
        <v/>
      </c>
      <c r="T529" s="12"/>
      <c r="U529" s="12"/>
      <c r="V529" s="14" t="str">
        <f aca="false">IF(OR($C529="",$D529="",$B529=""),"",IF(COUNTIFS($C$5:$C$604,$C529,$D$5:$D$604,$D529,$B$5:$B$604,$B529)&gt;1,"Takror",""))</f>
        <v/>
      </c>
    </row>
    <row r="530" customFormat="false" ht="15" hidden="false" customHeight="false" outlineLevel="0" collapsed="false">
      <c r="A530" s="8" t="n">
        <v>526</v>
      </c>
      <c r="B530" s="13"/>
      <c r="C530" s="12"/>
      <c r="D530" s="13"/>
      <c r="E530" s="24"/>
      <c r="F530" s="12"/>
      <c r="G530" s="14" t="str">
        <f aca="false">IF(OR($D530="",$B530=""),"",INT(($B530-$D530)/365.25))</f>
        <v/>
      </c>
      <c r="H530" s="14" t="str">
        <f aca="false">IF($G530="","",IF($G530&lt;18,"Ha","Yo'q"))</f>
        <v/>
      </c>
      <c r="I530" s="12"/>
      <c r="J530" s="25"/>
      <c r="K530" s="25"/>
      <c r="L530" s="25"/>
      <c r="M530" s="12"/>
      <c r="N530" s="25"/>
      <c r="O530" s="25"/>
      <c r="P530" s="14" t="str">
        <f aca="false">IF($O530="","",IFERROR(VALUE(LEFT($O530,FIND(".",$O530)-1)),""))</f>
        <v/>
      </c>
      <c r="Q530" s="14" t="str">
        <f aca="false">IF($P530="","",IF($P530&lt;=7,"Shoshilinch",IF($P530&lt;=9,"Kechiktirib bo'lmaydigan",IF($P530&lt;=14,"Rejalashtirilgan","Rejali"))))</f>
        <v/>
      </c>
      <c r="R530" s="25"/>
      <c r="S530" s="14" t="str">
        <f aca="false">IF($K530&lt;&gt;"Kesarcha","",IF(OR($O530&lt;&gt;"",$R530="Ha"),"Ha","YO‘Q"))</f>
        <v/>
      </c>
      <c r="T530" s="12"/>
      <c r="U530" s="12"/>
      <c r="V530" s="14" t="str">
        <f aca="false">IF(OR($C530="",$D530="",$B530=""),"",IF(COUNTIFS($C$5:$C$604,$C530,$D$5:$D$604,$D530,$B$5:$B$604,$B530)&gt;1,"Takror",""))</f>
        <v/>
      </c>
    </row>
    <row r="531" customFormat="false" ht="15" hidden="false" customHeight="false" outlineLevel="0" collapsed="false">
      <c r="A531" s="8" t="n">
        <v>527</v>
      </c>
      <c r="B531" s="13"/>
      <c r="C531" s="12"/>
      <c r="D531" s="13"/>
      <c r="E531" s="24"/>
      <c r="F531" s="12"/>
      <c r="G531" s="14" t="str">
        <f aca="false">IF(OR($D531="",$B531=""),"",INT(($B531-$D531)/365.25))</f>
        <v/>
      </c>
      <c r="H531" s="14" t="str">
        <f aca="false">IF($G531="","",IF($G531&lt;18,"Ha","Yo'q"))</f>
        <v/>
      </c>
      <c r="I531" s="12"/>
      <c r="J531" s="25"/>
      <c r="K531" s="25"/>
      <c r="L531" s="25"/>
      <c r="M531" s="12"/>
      <c r="N531" s="25"/>
      <c r="O531" s="25"/>
      <c r="P531" s="14" t="str">
        <f aca="false">IF($O531="","",IFERROR(VALUE(LEFT($O531,FIND(".",$O531)-1)),""))</f>
        <v/>
      </c>
      <c r="Q531" s="14" t="str">
        <f aca="false">IF($P531="","",IF($P531&lt;=7,"Shoshilinch",IF($P531&lt;=9,"Kechiktirib bo'lmaydigan",IF($P531&lt;=14,"Rejalashtirilgan","Rejali"))))</f>
        <v/>
      </c>
      <c r="R531" s="25"/>
      <c r="S531" s="14" t="str">
        <f aca="false">IF($K531&lt;&gt;"Kesarcha","",IF(OR($O531&lt;&gt;"",$R531="Ha"),"Ha","YO‘Q"))</f>
        <v/>
      </c>
      <c r="T531" s="12"/>
      <c r="U531" s="12"/>
      <c r="V531" s="14" t="str">
        <f aca="false">IF(OR($C531="",$D531="",$B531=""),"",IF(COUNTIFS($C$5:$C$604,$C531,$D$5:$D$604,$D531,$B$5:$B$604,$B531)&gt;1,"Takror",""))</f>
        <v/>
      </c>
    </row>
    <row r="532" customFormat="false" ht="15" hidden="false" customHeight="false" outlineLevel="0" collapsed="false">
      <c r="A532" s="8" t="n">
        <v>528</v>
      </c>
      <c r="B532" s="13"/>
      <c r="C532" s="12"/>
      <c r="D532" s="13"/>
      <c r="E532" s="24"/>
      <c r="F532" s="12"/>
      <c r="G532" s="14" t="str">
        <f aca="false">IF(OR($D532="",$B532=""),"",INT(($B532-$D532)/365.25))</f>
        <v/>
      </c>
      <c r="H532" s="14" t="str">
        <f aca="false">IF($G532="","",IF($G532&lt;18,"Ha","Yo'q"))</f>
        <v/>
      </c>
      <c r="I532" s="12"/>
      <c r="J532" s="25"/>
      <c r="K532" s="25"/>
      <c r="L532" s="25"/>
      <c r="M532" s="12"/>
      <c r="N532" s="25"/>
      <c r="O532" s="25"/>
      <c r="P532" s="14" t="str">
        <f aca="false">IF($O532="","",IFERROR(VALUE(LEFT($O532,FIND(".",$O532)-1)),""))</f>
        <v/>
      </c>
      <c r="Q532" s="14" t="str">
        <f aca="false">IF($P532="","",IF($P532&lt;=7,"Shoshilinch",IF($P532&lt;=9,"Kechiktirib bo'lmaydigan",IF($P532&lt;=14,"Rejalashtirilgan","Rejali"))))</f>
        <v/>
      </c>
      <c r="R532" s="25"/>
      <c r="S532" s="14" t="str">
        <f aca="false">IF($K532&lt;&gt;"Kesarcha","",IF(OR($O532&lt;&gt;"",$R532="Ha"),"Ha","YO‘Q"))</f>
        <v/>
      </c>
      <c r="T532" s="12"/>
      <c r="U532" s="12"/>
      <c r="V532" s="14" t="str">
        <f aca="false">IF(OR($C532="",$D532="",$B532=""),"",IF(COUNTIFS($C$5:$C$604,$C532,$D$5:$D$604,$D532,$B$5:$B$604,$B532)&gt;1,"Takror",""))</f>
        <v/>
      </c>
    </row>
    <row r="533" customFormat="false" ht="15" hidden="false" customHeight="false" outlineLevel="0" collapsed="false">
      <c r="A533" s="8" t="n">
        <v>529</v>
      </c>
      <c r="B533" s="13"/>
      <c r="C533" s="12"/>
      <c r="D533" s="13"/>
      <c r="E533" s="24"/>
      <c r="F533" s="12"/>
      <c r="G533" s="14" t="str">
        <f aca="false">IF(OR($D533="",$B533=""),"",INT(($B533-$D533)/365.25))</f>
        <v/>
      </c>
      <c r="H533" s="14" t="str">
        <f aca="false">IF($G533="","",IF($G533&lt;18,"Ha","Yo'q"))</f>
        <v/>
      </c>
      <c r="I533" s="12"/>
      <c r="J533" s="25"/>
      <c r="K533" s="25"/>
      <c r="L533" s="25"/>
      <c r="M533" s="12"/>
      <c r="N533" s="25"/>
      <c r="O533" s="25"/>
      <c r="P533" s="14" t="str">
        <f aca="false">IF($O533="","",IFERROR(VALUE(LEFT($O533,FIND(".",$O533)-1)),""))</f>
        <v/>
      </c>
      <c r="Q533" s="14" t="str">
        <f aca="false">IF($P533="","",IF($P533&lt;=7,"Shoshilinch",IF($P533&lt;=9,"Kechiktirib bo'lmaydigan",IF($P533&lt;=14,"Rejalashtirilgan","Rejali"))))</f>
        <v/>
      </c>
      <c r="R533" s="25"/>
      <c r="S533" s="14" t="str">
        <f aca="false">IF($K533&lt;&gt;"Kesarcha","",IF(OR($O533&lt;&gt;"",$R533="Ha"),"Ha","YO‘Q"))</f>
        <v/>
      </c>
      <c r="T533" s="12"/>
      <c r="U533" s="12"/>
      <c r="V533" s="14" t="str">
        <f aca="false">IF(OR($C533="",$D533="",$B533=""),"",IF(COUNTIFS($C$5:$C$604,$C533,$D$5:$D$604,$D533,$B$5:$B$604,$B533)&gt;1,"Takror",""))</f>
        <v/>
      </c>
    </row>
    <row r="534" customFormat="false" ht="15" hidden="false" customHeight="false" outlineLevel="0" collapsed="false">
      <c r="A534" s="8" t="n">
        <v>530</v>
      </c>
      <c r="B534" s="13"/>
      <c r="C534" s="12"/>
      <c r="D534" s="13"/>
      <c r="E534" s="24"/>
      <c r="F534" s="12"/>
      <c r="G534" s="14" t="str">
        <f aca="false">IF(OR($D534="",$B534=""),"",INT(($B534-$D534)/365.25))</f>
        <v/>
      </c>
      <c r="H534" s="14" t="str">
        <f aca="false">IF($G534="","",IF($G534&lt;18,"Ha","Yo'q"))</f>
        <v/>
      </c>
      <c r="I534" s="12"/>
      <c r="J534" s="25"/>
      <c r="K534" s="25"/>
      <c r="L534" s="25"/>
      <c r="M534" s="12"/>
      <c r="N534" s="25"/>
      <c r="O534" s="25"/>
      <c r="P534" s="14" t="str">
        <f aca="false">IF($O534="","",IFERROR(VALUE(LEFT($O534,FIND(".",$O534)-1)),""))</f>
        <v/>
      </c>
      <c r="Q534" s="14" t="str">
        <f aca="false">IF($P534="","",IF($P534&lt;=7,"Shoshilinch",IF($P534&lt;=9,"Kechiktirib bo'lmaydigan",IF($P534&lt;=14,"Rejalashtirilgan","Rejali"))))</f>
        <v/>
      </c>
      <c r="R534" s="25"/>
      <c r="S534" s="14" t="str">
        <f aca="false">IF($K534&lt;&gt;"Kesarcha","",IF(OR($O534&lt;&gt;"",$R534="Ha"),"Ha","YO‘Q"))</f>
        <v/>
      </c>
      <c r="T534" s="12"/>
      <c r="U534" s="12"/>
      <c r="V534" s="14" t="str">
        <f aca="false">IF(OR($C534="",$D534="",$B534=""),"",IF(COUNTIFS($C$5:$C$604,$C534,$D$5:$D$604,$D534,$B$5:$B$604,$B534)&gt;1,"Takror",""))</f>
        <v/>
      </c>
    </row>
    <row r="535" customFormat="false" ht="15" hidden="false" customHeight="false" outlineLevel="0" collapsed="false">
      <c r="A535" s="8" t="n">
        <v>531</v>
      </c>
      <c r="B535" s="13"/>
      <c r="C535" s="12"/>
      <c r="D535" s="13"/>
      <c r="E535" s="24"/>
      <c r="F535" s="12"/>
      <c r="G535" s="14" t="str">
        <f aca="false">IF(OR($D535="",$B535=""),"",INT(($B535-$D535)/365.25))</f>
        <v/>
      </c>
      <c r="H535" s="14" t="str">
        <f aca="false">IF($G535="","",IF($G535&lt;18,"Ha","Yo'q"))</f>
        <v/>
      </c>
      <c r="I535" s="12"/>
      <c r="J535" s="25"/>
      <c r="K535" s="25"/>
      <c r="L535" s="25"/>
      <c r="M535" s="12"/>
      <c r="N535" s="25"/>
      <c r="O535" s="25"/>
      <c r="P535" s="14" t="str">
        <f aca="false">IF($O535="","",IFERROR(VALUE(LEFT($O535,FIND(".",$O535)-1)),""))</f>
        <v/>
      </c>
      <c r="Q535" s="14" t="str">
        <f aca="false">IF($P535="","",IF($P535&lt;=7,"Shoshilinch",IF($P535&lt;=9,"Kechiktirib bo'lmaydigan",IF($P535&lt;=14,"Rejalashtirilgan","Rejali"))))</f>
        <v/>
      </c>
      <c r="R535" s="25"/>
      <c r="S535" s="14" t="str">
        <f aca="false">IF($K535&lt;&gt;"Kesarcha","",IF(OR($O535&lt;&gt;"",$R535="Ha"),"Ha","YO‘Q"))</f>
        <v/>
      </c>
      <c r="T535" s="12"/>
      <c r="U535" s="12"/>
      <c r="V535" s="14" t="str">
        <f aca="false">IF(OR($C535="",$D535="",$B535=""),"",IF(COUNTIFS($C$5:$C$604,$C535,$D$5:$D$604,$D535,$B$5:$B$604,$B535)&gt;1,"Takror",""))</f>
        <v/>
      </c>
    </row>
    <row r="536" customFormat="false" ht="15" hidden="false" customHeight="false" outlineLevel="0" collapsed="false">
      <c r="A536" s="8" t="n">
        <v>532</v>
      </c>
      <c r="B536" s="13"/>
      <c r="C536" s="12"/>
      <c r="D536" s="13"/>
      <c r="E536" s="24"/>
      <c r="F536" s="12"/>
      <c r="G536" s="14" t="str">
        <f aca="false">IF(OR($D536="",$B536=""),"",INT(($B536-$D536)/365.25))</f>
        <v/>
      </c>
      <c r="H536" s="14" t="str">
        <f aca="false">IF($G536="","",IF($G536&lt;18,"Ha","Yo'q"))</f>
        <v/>
      </c>
      <c r="I536" s="12"/>
      <c r="J536" s="25"/>
      <c r="K536" s="25"/>
      <c r="L536" s="25"/>
      <c r="M536" s="12"/>
      <c r="N536" s="25"/>
      <c r="O536" s="25"/>
      <c r="P536" s="14" t="str">
        <f aca="false">IF($O536="","",IFERROR(VALUE(LEFT($O536,FIND(".",$O536)-1)),""))</f>
        <v/>
      </c>
      <c r="Q536" s="14" t="str">
        <f aca="false">IF($P536="","",IF($P536&lt;=7,"Shoshilinch",IF($P536&lt;=9,"Kechiktirib bo'lmaydigan",IF($P536&lt;=14,"Rejalashtirilgan","Rejali"))))</f>
        <v/>
      </c>
      <c r="R536" s="25"/>
      <c r="S536" s="14" t="str">
        <f aca="false">IF($K536&lt;&gt;"Kesarcha","",IF(OR($O536&lt;&gt;"",$R536="Ha"),"Ha","YO‘Q"))</f>
        <v/>
      </c>
      <c r="T536" s="12"/>
      <c r="U536" s="12"/>
      <c r="V536" s="14" t="str">
        <f aca="false">IF(OR($C536="",$D536="",$B536=""),"",IF(COUNTIFS($C$5:$C$604,$C536,$D$5:$D$604,$D536,$B$5:$B$604,$B536)&gt;1,"Takror",""))</f>
        <v/>
      </c>
    </row>
    <row r="537" customFormat="false" ht="15" hidden="false" customHeight="false" outlineLevel="0" collapsed="false">
      <c r="A537" s="8" t="n">
        <v>533</v>
      </c>
      <c r="B537" s="13"/>
      <c r="C537" s="12"/>
      <c r="D537" s="13"/>
      <c r="E537" s="24"/>
      <c r="F537" s="12"/>
      <c r="G537" s="14" t="str">
        <f aca="false">IF(OR($D537="",$B537=""),"",INT(($B537-$D537)/365.25))</f>
        <v/>
      </c>
      <c r="H537" s="14" t="str">
        <f aca="false">IF($G537="","",IF($G537&lt;18,"Ha","Yo'q"))</f>
        <v/>
      </c>
      <c r="I537" s="12"/>
      <c r="J537" s="25"/>
      <c r="K537" s="25"/>
      <c r="L537" s="25"/>
      <c r="M537" s="12"/>
      <c r="N537" s="25"/>
      <c r="O537" s="25"/>
      <c r="P537" s="14" t="str">
        <f aca="false">IF($O537="","",IFERROR(VALUE(LEFT($O537,FIND(".",$O537)-1)),""))</f>
        <v/>
      </c>
      <c r="Q537" s="14" t="str">
        <f aca="false">IF($P537="","",IF($P537&lt;=7,"Shoshilinch",IF($P537&lt;=9,"Kechiktirib bo'lmaydigan",IF($P537&lt;=14,"Rejalashtirilgan","Rejali"))))</f>
        <v/>
      </c>
      <c r="R537" s="25"/>
      <c r="S537" s="14" t="str">
        <f aca="false">IF($K537&lt;&gt;"Kesarcha","",IF(OR($O537&lt;&gt;"",$R537="Ha"),"Ha","YO‘Q"))</f>
        <v/>
      </c>
      <c r="T537" s="12"/>
      <c r="U537" s="12"/>
      <c r="V537" s="14" t="str">
        <f aca="false">IF(OR($C537="",$D537="",$B537=""),"",IF(COUNTIFS($C$5:$C$604,$C537,$D$5:$D$604,$D537,$B$5:$B$604,$B537)&gt;1,"Takror",""))</f>
        <v/>
      </c>
    </row>
    <row r="538" customFormat="false" ht="15" hidden="false" customHeight="false" outlineLevel="0" collapsed="false">
      <c r="A538" s="8" t="n">
        <v>534</v>
      </c>
      <c r="B538" s="13"/>
      <c r="C538" s="12"/>
      <c r="D538" s="13"/>
      <c r="E538" s="24"/>
      <c r="F538" s="12"/>
      <c r="G538" s="14" t="str">
        <f aca="false">IF(OR($D538="",$B538=""),"",INT(($B538-$D538)/365.25))</f>
        <v/>
      </c>
      <c r="H538" s="14" t="str">
        <f aca="false">IF($G538="","",IF($G538&lt;18,"Ha","Yo'q"))</f>
        <v/>
      </c>
      <c r="I538" s="12"/>
      <c r="J538" s="25"/>
      <c r="K538" s="25"/>
      <c r="L538" s="25"/>
      <c r="M538" s="12"/>
      <c r="N538" s="25"/>
      <c r="O538" s="25"/>
      <c r="P538" s="14" t="str">
        <f aca="false">IF($O538="","",IFERROR(VALUE(LEFT($O538,FIND(".",$O538)-1)),""))</f>
        <v/>
      </c>
      <c r="Q538" s="14" t="str">
        <f aca="false">IF($P538="","",IF($P538&lt;=7,"Shoshilinch",IF($P538&lt;=9,"Kechiktirib bo'lmaydigan",IF($P538&lt;=14,"Rejalashtirilgan","Rejali"))))</f>
        <v/>
      </c>
      <c r="R538" s="25"/>
      <c r="S538" s="14" t="str">
        <f aca="false">IF($K538&lt;&gt;"Kesarcha","",IF(OR($O538&lt;&gt;"",$R538="Ha"),"Ha","YO‘Q"))</f>
        <v/>
      </c>
      <c r="T538" s="12"/>
      <c r="U538" s="12"/>
      <c r="V538" s="14" t="str">
        <f aca="false">IF(OR($C538="",$D538="",$B538=""),"",IF(COUNTIFS($C$5:$C$604,$C538,$D$5:$D$604,$D538,$B$5:$B$604,$B538)&gt;1,"Takror",""))</f>
        <v/>
      </c>
    </row>
    <row r="539" customFormat="false" ht="15" hidden="false" customHeight="false" outlineLevel="0" collapsed="false">
      <c r="A539" s="8" t="n">
        <v>535</v>
      </c>
      <c r="B539" s="13"/>
      <c r="C539" s="12"/>
      <c r="D539" s="13"/>
      <c r="E539" s="24"/>
      <c r="F539" s="12"/>
      <c r="G539" s="14" t="str">
        <f aca="false">IF(OR($D539="",$B539=""),"",INT(($B539-$D539)/365.25))</f>
        <v/>
      </c>
      <c r="H539" s="14" t="str">
        <f aca="false">IF($G539="","",IF($G539&lt;18,"Ha","Yo'q"))</f>
        <v/>
      </c>
      <c r="I539" s="12"/>
      <c r="J539" s="25"/>
      <c r="K539" s="25"/>
      <c r="L539" s="25"/>
      <c r="M539" s="12"/>
      <c r="N539" s="25"/>
      <c r="O539" s="25"/>
      <c r="P539" s="14" t="str">
        <f aca="false">IF($O539="","",IFERROR(VALUE(LEFT($O539,FIND(".",$O539)-1)),""))</f>
        <v/>
      </c>
      <c r="Q539" s="14" t="str">
        <f aca="false">IF($P539="","",IF($P539&lt;=7,"Shoshilinch",IF($P539&lt;=9,"Kechiktirib bo'lmaydigan",IF($P539&lt;=14,"Rejalashtirilgan","Rejali"))))</f>
        <v/>
      </c>
      <c r="R539" s="25"/>
      <c r="S539" s="14" t="str">
        <f aca="false">IF($K539&lt;&gt;"Kesarcha","",IF(OR($O539&lt;&gt;"",$R539="Ha"),"Ha","YO‘Q"))</f>
        <v/>
      </c>
      <c r="T539" s="12"/>
      <c r="U539" s="12"/>
      <c r="V539" s="14" t="str">
        <f aca="false">IF(OR($C539="",$D539="",$B539=""),"",IF(COUNTIFS($C$5:$C$604,$C539,$D$5:$D$604,$D539,$B$5:$B$604,$B539)&gt;1,"Takror",""))</f>
        <v/>
      </c>
    </row>
    <row r="540" customFormat="false" ht="15" hidden="false" customHeight="false" outlineLevel="0" collapsed="false">
      <c r="A540" s="8" t="n">
        <v>536</v>
      </c>
      <c r="B540" s="13"/>
      <c r="C540" s="12"/>
      <c r="D540" s="13"/>
      <c r="E540" s="24"/>
      <c r="F540" s="12"/>
      <c r="G540" s="14" t="str">
        <f aca="false">IF(OR($D540="",$B540=""),"",INT(($B540-$D540)/365.25))</f>
        <v/>
      </c>
      <c r="H540" s="14" t="str">
        <f aca="false">IF($G540="","",IF($G540&lt;18,"Ha","Yo'q"))</f>
        <v/>
      </c>
      <c r="I540" s="12"/>
      <c r="J540" s="25"/>
      <c r="K540" s="25"/>
      <c r="L540" s="25"/>
      <c r="M540" s="12"/>
      <c r="N540" s="25"/>
      <c r="O540" s="25"/>
      <c r="P540" s="14" t="str">
        <f aca="false">IF($O540="","",IFERROR(VALUE(LEFT($O540,FIND(".",$O540)-1)),""))</f>
        <v/>
      </c>
      <c r="Q540" s="14" t="str">
        <f aca="false">IF($P540="","",IF($P540&lt;=7,"Shoshilinch",IF($P540&lt;=9,"Kechiktirib bo'lmaydigan",IF($P540&lt;=14,"Rejalashtirilgan","Rejali"))))</f>
        <v/>
      </c>
      <c r="R540" s="25"/>
      <c r="S540" s="14" t="str">
        <f aca="false">IF($K540&lt;&gt;"Kesarcha","",IF(OR($O540&lt;&gt;"",$R540="Ha"),"Ha","YO‘Q"))</f>
        <v/>
      </c>
      <c r="T540" s="12"/>
      <c r="U540" s="12"/>
      <c r="V540" s="14" t="str">
        <f aca="false">IF(OR($C540="",$D540="",$B540=""),"",IF(COUNTIFS($C$5:$C$604,$C540,$D$5:$D$604,$D540,$B$5:$B$604,$B540)&gt;1,"Takror",""))</f>
        <v/>
      </c>
    </row>
    <row r="541" customFormat="false" ht="15" hidden="false" customHeight="false" outlineLevel="0" collapsed="false">
      <c r="A541" s="8" t="n">
        <v>537</v>
      </c>
      <c r="B541" s="13"/>
      <c r="C541" s="12"/>
      <c r="D541" s="13"/>
      <c r="E541" s="24"/>
      <c r="F541" s="12"/>
      <c r="G541" s="14" t="str">
        <f aca="false">IF(OR($D541="",$B541=""),"",INT(($B541-$D541)/365.25))</f>
        <v/>
      </c>
      <c r="H541" s="14" t="str">
        <f aca="false">IF($G541="","",IF($G541&lt;18,"Ha","Yo'q"))</f>
        <v/>
      </c>
      <c r="I541" s="12"/>
      <c r="J541" s="25"/>
      <c r="K541" s="25"/>
      <c r="L541" s="25"/>
      <c r="M541" s="12"/>
      <c r="N541" s="25"/>
      <c r="O541" s="25"/>
      <c r="P541" s="14" t="str">
        <f aca="false">IF($O541="","",IFERROR(VALUE(LEFT($O541,FIND(".",$O541)-1)),""))</f>
        <v/>
      </c>
      <c r="Q541" s="14" t="str">
        <f aca="false">IF($P541="","",IF($P541&lt;=7,"Shoshilinch",IF($P541&lt;=9,"Kechiktirib bo'lmaydigan",IF($P541&lt;=14,"Rejalashtirilgan","Rejali"))))</f>
        <v/>
      </c>
      <c r="R541" s="25"/>
      <c r="S541" s="14" t="str">
        <f aca="false">IF($K541&lt;&gt;"Kesarcha","",IF(OR($O541&lt;&gt;"",$R541="Ha"),"Ha","YO‘Q"))</f>
        <v/>
      </c>
      <c r="T541" s="12"/>
      <c r="U541" s="12"/>
      <c r="V541" s="14" t="str">
        <f aca="false">IF(OR($C541="",$D541="",$B541=""),"",IF(COUNTIFS($C$5:$C$604,$C541,$D$5:$D$604,$D541,$B$5:$B$604,$B541)&gt;1,"Takror",""))</f>
        <v/>
      </c>
    </row>
    <row r="542" customFormat="false" ht="15" hidden="false" customHeight="false" outlineLevel="0" collapsed="false">
      <c r="A542" s="8" t="n">
        <v>538</v>
      </c>
      <c r="B542" s="13"/>
      <c r="C542" s="12"/>
      <c r="D542" s="13"/>
      <c r="E542" s="24"/>
      <c r="F542" s="12"/>
      <c r="G542" s="14" t="str">
        <f aca="false">IF(OR($D542="",$B542=""),"",INT(($B542-$D542)/365.25))</f>
        <v/>
      </c>
      <c r="H542" s="14" t="str">
        <f aca="false">IF($G542="","",IF($G542&lt;18,"Ha","Yo'q"))</f>
        <v/>
      </c>
      <c r="I542" s="12"/>
      <c r="J542" s="25"/>
      <c r="K542" s="25"/>
      <c r="L542" s="25"/>
      <c r="M542" s="12"/>
      <c r="N542" s="25"/>
      <c r="O542" s="25"/>
      <c r="P542" s="14" t="str">
        <f aca="false">IF($O542="","",IFERROR(VALUE(LEFT($O542,FIND(".",$O542)-1)),""))</f>
        <v/>
      </c>
      <c r="Q542" s="14" t="str">
        <f aca="false">IF($P542="","",IF($P542&lt;=7,"Shoshilinch",IF($P542&lt;=9,"Kechiktirib bo'lmaydigan",IF($P542&lt;=14,"Rejalashtirilgan","Rejali"))))</f>
        <v/>
      </c>
      <c r="R542" s="25"/>
      <c r="S542" s="14" t="str">
        <f aca="false">IF($K542&lt;&gt;"Kesarcha","",IF(OR($O542&lt;&gt;"",$R542="Ha"),"Ha","YO‘Q"))</f>
        <v/>
      </c>
      <c r="T542" s="12"/>
      <c r="U542" s="12"/>
      <c r="V542" s="14" t="str">
        <f aca="false">IF(OR($C542="",$D542="",$B542=""),"",IF(COUNTIFS($C$5:$C$604,$C542,$D$5:$D$604,$D542,$B$5:$B$604,$B542)&gt;1,"Takror",""))</f>
        <v/>
      </c>
    </row>
    <row r="543" customFormat="false" ht="15" hidden="false" customHeight="false" outlineLevel="0" collapsed="false">
      <c r="A543" s="8" t="n">
        <v>539</v>
      </c>
      <c r="B543" s="13"/>
      <c r="C543" s="12"/>
      <c r="D543" s="13"/>
      <c r="E543" s="24"/>
      <c r="F543" s="12"/>
      <c r="G543" s="14" t="str">
        <f aca="false">IF(OR($D543="",$B543=""),"",INT(($B543-$D543)/365.25))</f>
        <v/>
      </c>
      <c r="H543" s="14" t="str">
        <f aca="false">IF($G543="","",IF($G543&lt;18,"Ha","Yo'q"))</f>
        <v/>
      </c>
      <c r="I543" s="12"/>
      <c r="J543" s="25"/>
      <c r="K543" s="25"/>
      <c r="L543" s="25"/>
      <c r="M543" s="12"/>
      <c r="N543" s="25"/>
      <c r="O543" s="25"/>
      <c r="P543" s="14" t="str">
        <f aca="false">IF($O543="","",IFERROR(VALUE(LEFT($O543,FIND(".",$O543)-1)),""))</f>
        <v/>
      </c>
      <c r="Q543" s="14" t="str">
        <f aca="false">IF($P543="","",IF($P543&lt;=7,"Shoshilinch",IF($P543&lt;=9,"Kechiktirib bo'lmaydigan",IF($P543&lt;=14,"Rejalashtirilgan","Rejali"))))</f>
        <v/>
      </c>
      <c r="R543" s="25"/>
      <c r="S543" s="14" t="str">
        <f aca="false">IF($K543&lt;&gt;"Kesarcha","",IF(OR($O543&lt;&gt;"",$R543="Ha"),"Ha","YO‘Q"))</f>
        <v/>
      </c>
      <c r="T543" s="12"/>
      <c r="U543" s="12"/>
      <c r="V543" s="14" t="str">
        <f aca="false">IF(OR($C543="",$D543="",$B543=""),"",IF(COUNTIFS($C$5:$C$604,$C543,$D$5:$D$604,$D543,$B$5:$B$604,$B543)&gt;1,"Takror",""))</f>
        <v/>
      </c>
    </row>
    <row r="544" customFormat="false" ht="15" hidden="false" customHeight="false" outlineLevel="0" collapsed="false">
      <c r="A544" s="8" t="n">
        <v>540</v>
      </c>
      <c r="B544" s="13"/>
      <c r="C544" s="12"/>
      <c r="D544" s="13"/>
      <c r="E544" s="24"/>
      <c r="F544" s="12"/>
      <c r="G544" s="14" t="str">
        <f aca="false">IF(OR($D544="",$B544=""),"",INT(($B544-$D544)/365.25))</f>
        <v/>
      </c>
      <c r="H544" s="14" t="str">
        <f aca="false">IF($G544="","",IF($G544&lt;18,"Ha","Yo'q"))</f>
        <v/>
      </c>
      <c r="I544" s="12"/>
      <c r="J544" s="25"/>
      <c r="K544" s="25"/>
      <c r="L544" s="25"/>
      <c r="M544" s="12"/>
      <c r="N544" s="25"/>
      <c r="O544" s="25"/>
      <c r="P544" s="14" t="str">
        <f aca="false">IF($O544="","",IFERROR(VALUE(LEFT($O544,FIND(".",$O544)-1)),""))</f>
        <v/>
      </c>
      <c r="Q544" s="14" t="str">
        <f aca="false">IF($P544="","",IF($P544&lt;=7,"Shoshilinch",IF($P544&lt;=9,"Kechiktirib bo'lmaydigan",IF($P544&lt;=14,"Rejalashtirilgan","Rejali"))))</f>
        <v/>
      </c>
      <c r="R544" s="25"/>
      <c r="S544" s="14" t="str">
        <f aca="false">IF($K544&lt;&gt;"Kesarcha","",IF(OR($O544&lt;&gt;"",$R544="Ha"),"Ha","YO‘Q"))</f>
        <v/>
      </c>
      <c r="T544" s="12"/>
      <c r="U544" s="12"/>
      <c r="V544" s="14" t="str">
        <f aca="false">IF(OR($C544="",$D544="",$B544=""),"",IF(COUNTIFS($C$5:$C$604,$C544,$D$5:$D$604,$D544,$B$5:$B$604,$B544)&gt;1,"Takror",""))</f>
        <v/>
      </c>
    </row>
    <row r="545" customFormat="false" ht="15" hidden="false" customHeight="false" outlineLevel="0" collapsed="false">
      <c r="A545" s="8" t="n">
        <v>541</v>
      </c>
      <c r="B545" s="13"/>
      <c r="C545" s="12"/>
      <c r="D545" s="13"/>
      <c r="E545" s="24"/>
      <c r="F545" s="12"/>
      <c r="G545" s="14" t="str">
        <f aca="false">IF(OR($D545="",$B545=""),"",INT(($B545-$D545)/365.25))</f>
        <v/>
      </c>
      <c r="H545" s="14" t="str">
        <f aca="false">IF($G545="","",IF($G545&lt;18,"Ha","Yo'q"))</f>
        <v/>
      </c>
      <c r="I545" s="12"/>
      <c r="J545" s="25"/>
      <c r="K545" s="25"/>
      <c r="L545" s="25"/>
      <c r="M545" s="12"/>
      <c r="N545" s="25"/>
      <c r="O545" s="25"/>
      <c r="P545" s="14" t="str">
        <f aca="false">IF($O545="","",IFERROR(VALUE(LEFT($O545,FIND(".",$O545)-1)),""))</f>
        <v/>
      </c>
      <c r="Q545" s="14" t="str">
        <f aca="false">IF($P545="","",IF($P545&lt;=7,"Shoshilinch",IF($P545&lt;=9,"Kechiktirib bo'lmaydigan",IF($P545&lt;=14,"Rejalashtirilgan","Rejali"))))</f>
        <v/>
      </c>
      <c r="R545" s="25"/>
      <c r="S545" s="14" t="str">
        <f aca="false">IF($K545&lt;&gt;"Kesarcha","",IF(OR($O545&lt;&gt;"",$R545="Ha"),"Ha","YO‘Q"))</f>
        <v/>
      </c>
      <c r="T545" s="12"/>
      <c r="U545" s="12"/>
      <c r="V545" s="14" t="str">
        <f aca="false">IF(OR($C545="",$D545="",$B545=""),"",IF(COUNTIFS($C$5:$C$604,$C545,$D$5:$D$604,$D545,$B$5:$B$604,$B545)&gt;1,"Takror",""))</f>
        <v/>
      </c>
    </row>
    <row r="546" customFormat="false" ht="15" hidden="false" customHeight="false" outlineLevel="0" collapsed="false">
      <c r="A546" s="8" t="n">
        <v>542</v>
      </c>
      <c r="B546" s="13"/>
      <c r="C546" s="12"/>
      <c r="D546" s="13"/>
      <c r="E546" s="24"/>
      <c r="F546" s="12"/>
      <c r="G546" s="14" t="str">
        <f aca="false">IF(OR($D546="",$B546=""),"",INT(($B546-$D546)/365.25))</f>
        <v/>
      </c>
      <c r="H546" s="14" t="str">
        <f aca="false">IF($G546="","",IF($G546&lt;18,"Ha","Yo'q"))</f>
        <v/>
      </c>
      <c r="I546" s="12"/>
      <c r="J546" s="25"/>
      <c r="K546" s="25"/>
      <c r="L546" s="25"/>
      <c r="M546" s="12"/>
      <c r="N546" s="25"/>
      <c r="O546" s="25"/>
      <c r="P546" s="14" t="str">
        <f aca="false">IF($O546="","",IFERROR(VALUE(LEFT($O546,FIND(".",$O546)-1)),""))</f>
        <v/>
      </c>
      <c r="Q546" s="14" t="str">
        <f aca="false">IF($P546="","",IF($P546&lt;=7,"Shoshilinch",IF($P546&lt;=9,"Kechiktirib bo'lmaydigan",IF($P546&lt;=14,"Rejalashtirilgan","Rejali"))))</f>
        <v/>
      </c>
      <c r="R546" s="25"/>
      <c r="S546" s="14" t="str">
        <f aca="false">IF($K546&lt;&gt;"Kesarcha","",IF(OR($O546&lt;&gt;"",$R546="Ha"),"Ha","YO‘Q"))</f>
        <v/>
      </c>
      <c r="T546" s="12"/>
      <c r="U546" s="12"/>
      <c r="V546" s="14" t="str">
        <f aca="false">IF(OR($C546="",$D546="",$B546=""),"",IF(COUNTIFS($C$5:$C$604,$C546,$D$5:$D$604,$D546,$B$5:$B$604,$B546)&gt;1,"Takror",""))</f>
        <v/>
      </c>
    </row>
    <row r="547" customFormat="false" ht="15" hidden="false" customHeight="false" outlineLevel="0" collapsed="false">
      <c r="A547" s="8" t="n">
        <v>543</v>
      </c>
      <c r="B547" s="13"/>
      <c r="C547" s="12"/>
      <c r="D547" s="13"/>
      <c r="E547" s="24"/>
      <c r="F547" s="12"/>
      <c r="G547" s="14" t="str">
        <f aca="false">IF(OR($D547="",$B547=""),"",INT(($B547-$D547)/365.25))</f>
        <v/>
      </c>
      <c r="H547" s="14" t="str">
        <f aca="false">IF($G547="","",IF($G547&lt;18,"Ha","Yo'q"))</f>
        <v/>
      </c>
      <c r="I547" s="12"/>
      <c r="J547" s="25"/>
      <c r="K547" s="25"/>
      <c r="L547" s="25"/>
      <c r="M547" s="12"/>
      <c r="N547" s="25"/>
      <c r="O547" s="25"/>
      <c r="P547" s="14" t="str">
        <f aca="false">IF($O547="","",IFERROR(VALUE(LEFT($O547,FIND(".",$O547)-1)),""))</f>
        <v/>
      </c>
      <c r="Q547" s="14" t="str">
        <f aca="false">IF($P547="","",IF($P547&lt;=7,"Shoshilinch",IF($P547&lt;=9,"Kechiktirib bo'lmaydigan",IF($P547&lt;=14,"Rejalashtirilgan","Rejali"))))</f>
        <v/>
      </c>
      <c r="R547" s="25"/>
      <c r="S547" s="14" t="str">
        <f aca="false">IF($K547&lt;&gt;"Kesarcha","",IF(OR($O547&lt;&gt;"",$R547="Ha"),"Ha","YO‘Q"))</f>
        <v/>
      </c>
      <c r="T547" s="12"/>
      <c r="U547" s="12"/>
      <c r="V547" s="14" t="str">
        <f aca="false">IF(OR($C547="",$D547="",$B547=""),"",IF(COUNTIFS($C$5:$C$604,$C547,$D$5:$D$604,$D547,$B$5:$B$604,$B547)&gt;1,"Takror",""))</f>
        <v/>
      </c>
    </row>
    <row r="548" customFormat="false" ht="15" hidden="false" customHeight="false" outlineLevel="0" collapsed="false">
      <c r="A548" s="8" t="n">
        <v>544</v>
      </c>
      <c r="B548" s="13"/>
      <c r="C548" s="12"/>
      <c r="D548" s="13"/>
      <c r="E548" s="24"/>
      <c r="F548" s="12"/>
      <c r="G548" s="14" t="str">
        <f aca="false">IF(OR($D548="",$B548=""),"",INT(($B548-$D548)/365.25))</f>
        <v/>
      </c>
      <c r="H548" s="14" t="str">
        <f aca="false">IF($G548="","",IF($G548&lt;18,"Ha","Yo'q"))</f>
        <v/>
      </c>
      <c r="I548" s="12"/>
      <c r="J548" s="25"/>
      <c r="K548" s="25"/>
      <c r="L548" s="25"/>
      <c r="M548" s="12"/>
      <c r="N548" s="25"/>
      <c r="O548" s="25"/>
      <c r="P548" s="14" t="str">
        <f aca="false">IF($O548="","",IFERROR(VALUE(LEFT($O548,FIND(".",$O548)-1)),""))</f>
        <v/>
      </c>
      <c r="Q548" s="14" t="str">
        <f aca="false">IF($P548="","",IF($P548&lt;=7,"Shoshilinch",IF($P548&lt;=9,"Kechiktirib bo'lmaydigan",IF($P548&lt;=14,"Rejalashtirilgan","Rejali"))))</f>
        <v/>
      </c>
      <c r="R548" s="25"/>
      <c r="S548" s="14" t="str">
        <f aca="false">IF($K548&lt;&gt;"Kesarcha","",IF(OR($O548&lt;&gt;"",$R548="Ha"),"Ha","YO‘Q"))</f>
        <v/>
      </c>
      <c r="T548" s="12"/>
      <c r="U548" s="12"/>
      <c r="V548" s="14" t="str">
        <f aca="false">IF(OR($C548="",$D548="",$B548=""),"",IF(COUNTIFS($C$5:$C$604,$C548,$D$5:$D$604,$D548,$B$5:$B$604,$B548)&gt;1,"Takror",""))</f>
        <v/>
      </c>
    </row>
    <row r="549" customFormat="false" ht="15" hidden="false" customHeight="false" outlineLevel="0" collapsed="false">
      <c r="A549" s="8" t="n">
        <v>545</v>
      </c>
      <c r="B549" s="13"/>
      <c r="C549" s="12"/>
      <c r="D549" s="13"/>
      <c r="E549" s="24"/>
      <c r="F549" s="12"/>
      <c r="G549" s="14" t="str">
        <f aca="false">IF(OR($D549="",$B549=""),"",INT(($B549-$D549)/365.25))</f>
        <v/>
      </c>
      <c r="H549" s="14" t="str">
        <f aca="false">IF($G549="","",IF($G549&lt;18,"Ha","Yo'q"))</f>
        <v/>
      </c>
      <c r="I549" s="12"/>
      <c r="J549" s="25"/>
      <c r="K549" s="25"/>
      <c r="L549" s="25"/>
      <c r="M549" s="12"/>
      <c r="N549" s="25"/>
      <c r="O549" s="25"/>
      <c r="P549" s="14" t="str">
        <f aca="false">IF($O549="","",IFERROR(VALUE(LEFT($O549,FIND(".",$O549)-1)),""))</f>
        <v/>
      </c>
      <c r="Q549" s="14" t="str">
        <f aca="false">IF($P549="","",IF($P549&lt;=7,"Shoshilinch",IF($P549&lt;=9,"Kechiktirib bo'lmaydigan",IF($P549&lt;=14,"Rejalashtirilgan","Rejali"))))</f>
        <v/>
      </c>
      <c r="R549" s="25"/>
      <c r="S549" s="14" t="str">
        <f aca="false">IF($K549&lt;&gt;"Kesarcha","",IF(OR($O549&lt;&gt;"",$R549="Ha"),"Ha","YO‘Q"))</f>
        <v/>
      </c>
      <c r="T549" s="12"/>
      <c r="U549" s="12"/>
      <c r="V549" s="14" t="str">
        <f aca="false">IF(OR($C549="",$D549="",$B549=""),"",IF(COUNTIFS($C$5:$C$604,$C549,$D$5:$D$604,$D549,$B$5:$B$604,$B549)&gt;1,"Takror",""))</f>
        <v/>
      </c>
    </row>
    <row r="550" customFormat="false" ht="15" hidden="false" customHeight="false" outlineLevel="0" collapsed="false">
      <c r="A550" s="8" t="n">
        <v>546</v>
      </c>
      <c r="B550" s="13"/>
      <c r="C550" s="12"/>
      <c r="D550" s="13"/>
      <c r="E550" s="24"/>
      <c r="F550" s="12"/>
      <c r="G550" s="14" t="str">
        <f aca="false">IF(OR($D550="",$B550=""),"",INT(($B550-$D550)/365.25))</f>
        <v/>
      </c>
      <c r="H550" s="14" t="str">
        <f aca="false">IF($G550="","",IF($G550&lt;18,"Ha","Yo'q"))</f>
        <v/>
      </c>
      <c r="I550" s="12"/>
      <c r="J550" s="25"/>
      <c r="K550" s="25"/>
      <c r="L550" s="25"/>
      <c r="M550" s="12"/>
      <c r="N550" s="25"/>
      <c r="O550" s="25"/>
      <c r="P550" s="14" t="str">
        <f aca="false">IF($O550="","",IFERROR(VALUE(LEFT($O550,FIND(".",$O550)-1)),""))</f>
        <v/>
      </c>
      <c r="Q550" s="14" t="str">
        <f aca="false">IF($P550="","",IF($P550&lt;=7,"Shoshilinch",IF($P550&lt;=9,"Kechiktirib bo'lmaydigan",IF($P550&lt;=14,"Rejalashtirilgan","Rejali"))))</f>
        <v/>
      </c>
      <c r="R550" s="25"/>
      <c r="S550" s="14" t="str">
        <f aca="false">IF($K550&lt;&gt;"Kesarcha","",IF(OR($O550&lt;&gt;"",$R550="Ha"),"Ha","YO‘Q"))</f>
        <v/>
      </c>
      <c r="T550" s="12"/>
      <c r="U550" s="12"/>
      <c r="V550" s="14" t="str">
        <f aca="false">IF(OR($C550="",$D550="",$B550=""),"",IF(COUNTIFS($C$5:$C$604,$C550,$D$5:$D$604,$D550,$B$5:$B$604,$B550)&gt;1,"Takror",""))</f>
        <v/>
      </c>
    </row>
    <row r="551" customFormat="false" ht="15" hidden="false" customHeight="false" outlineLevel="0" collapsed="false">
      <c r="A551" s="8" t="n">
        <v>547</v>
      </c>
      <c r="B551" s="13"/>
      <c r="C551" s="12"/>
      <c r="D551" s="13"/>
      <c r="E551" s="24"/>
      <c r="F551" s="12"/>
      <c r="G551" s="14" t="str">
        <f aca="false">IF(OR($D551="",$B551=""),"",INT(($B551-$D551)/365.25))</f>
        <v/>
      </c>
      <c r="H551" s="14" t="str">
        <f aca="false">IF($G551="","",IF($G551&lt;18,"Ha","Yo'q"))</f>
        <v/>
      </c>
      <c r="I551" s="12"/>
      <c r="J551" s="25"/>
      <c r="K551" s="25"/>
      <c r="L551" s="25"/>
      <c r="M551" s="12"/>
      <c r="N551" s="25"/>
      <c r="O551" s="25"/>
      <c r="P551" s="14" t="str">
        <f aca="false">IF($O551="","",IFERROR(VALUE(LEFT($O551,FIND(".",$O551)-1)),""))</f>
        <v/>
      </c>
      <c r="Q551" s="14" t="str">
        <f aca="false">IF($P551="","",IF($P551&lt;=7,"Shoshilinch",IF($P551&lt;=9,"Kechiktirib bo'lmaydigan",IF($P551&lt;=14,"Rejalashtirilgan","Rejali"))))</f>
        <v/>
      </c>
      <c r="R551" s="25"/>
      <c r="S551" s="14" t="str">
        <f aca="false">IF($K551&lt;&gt;"Kesarcha","",IF(OR($O551&lt;&gt;"",$R551="Ha"),"Ha","YO‘Q"))</f>
        <v/>
      </c>
      <c r="T551" s="12"/>
      <c r="U551" s="12"/>
      <c r="V551" s="14" t="str">
        <f aca="false">IF(OR($C551="",$D551="",$B551=""),"",IF(COUNTIFS($C$5:$C$604,$C551,$D$5:$D$604,$D551,$B$5:$B$604,$B551)&gt;1,"Takror",""))</f>
        <v/>
      </c>
    </row>
    <row r="552" customFormat="false" ht="15" hidden="false" customHeight="false" outlineLevel="0" collapsed="false">
      <c r="A552" s="8" t="n">
        <v>548</v>
      </c>
      <c r="B552" s="13"/>
      <c r="C552" s="12"/>
      <c r="D552" s="13"/>
      <c r="E552" s="24"/>
      <c r="F552" s="12"/>
      <c r="G552" s="14" t="str">
        <f aca="false">IF(OR($D552="",$B552=""),"",INT(($B552-$D552)/365.25))</f>
        <v/>
      </c>
      <c r="H552" s="14" t="str">
        <f aca="false">IF($G552="","",IF($G552&lt;18,"Ha","Yo'q"))</f>
        <v/>
      </c>
      <c r="I552" s="12"/>
      <c r="J552" s="25"/>
      <c r="K552" s="25"/>
      <c r="L552" s="25"/>
      <c r="M552" s="12"/>
      <c r="N552" s="25"/>
      <c r="O552" s="25"/>
      <c r="P552" s="14" t="str">
        <f aca="false">IF($O552="","",IFERROR(VALUE(LEFT($O552,FIND(".",$O552)-1)),""))</f>
        <v/>
      </c>
      <c r="Q552" s="14" t="str">
        <f aca="false">IF($P552="","",IF($P552&lt;=7,"Shoshilinch",IF($P552&lt;=9,"Kechiktirib bo'lmaydigan",IF($P552&lt;=14,"Rejalashtirilgan","Rejali"))))</f>
        <v/>
      </c>
      <c r="R552" s="25"/>
      <c r="S552" s="14" t="str">
        <f aca="false">IF($K552&lt;&gt;"Kesarcha","",IF(OR($O552&lt;&gt;"",$R552="Ha"),"Ha","YO‘Q"))</f>
        <v/>
      </c>
      <c r="T552" s="12"/>
      <c r="U552" s="12"/>
      <c r="V552" s="14" t="str">
        <f aca="false">IF(OR($C552="",$D552="",$B552=""),"",IF(COUNTIFS($C$5:$C$604,$C552,$D$5:$D$604,$D552,$B$5:$B$604,$B552)&gt;1,"Takror",""))</f>
        <v/>
      </c>
    </row>
    <row r="553" customFormat="false" ht="15" hidden="false" customHeight="false" outlineLevel="0" collapsed="false">
      <c r="A553" s="8" t="n">
        <v>549</v>
      </c>
      <c r="B553" s="13"/>
      <c r="C553" s="12"/>
      <c r="D553" s="13"/>
      <c r="E553" s="24"/>
      <c r="F553" s="12"/>
      <c r="G553" s="14" t="str">
        <f aca="false">IF(OR($D553="",$B553=""),"",INT(($B553-$D553)/365.25))</f>
        <v/>
      </c>
      <c r="H553" s="14" t="str">
        <f aca="false">IF($G553="","",IF($G553&lt;18,"Ha","Yo'q"))</f>
        <v/>
      </c>
      <c r="I553" s="12"/>
      <c r="J553" s="25"/>
      <c r="K553" s="25"/>
      <c r="L553" s="25"/>
      <c r="M553" s="12"/>
      <c r="N553" s="25"/>
      <c r="O553" s="25"/>
      <c r="P553" s="14" t="str">
        <f aca="false">IF($O553="","",IFERROR(VALUE(LEFT($O553,FIND(".",$O553)-1)),""))</f>
        <v/>
      </c>
      <c r="Q553" s="14" t="str">
        <f aca="false">IF($P553="","",IF($P553&lt;=7,"Shoshilinch",IF($P553&lt;=9,"Kechiktirib bo'lmaydigan",IF($P553&lt;=14,"Rejalashtirilgan","Rejali"))))</f>
        <v/>
      </c>
      <c r="R553" s="25"/>
      <c r="S553" s="14" t="str">
        <f aca="false">IF($K553&lt;&gt;"Kesarcha","",IF(OR($O553&lt;&gt;"",$R553="Ha"),"Ha","YO‘Q"))</f>
        <v/>
      </c>
      <c r="T553" s="12"/>
      <c r="U553" s="12"/>
      <c r="V553" s="14" t="str">
        <f aca="false">IF(OR($C553="",$D553="",$B553=""),"",IF(COUNTIFS($C$5:$C$604,$C553,$D$5:$D$604,$D553,$B$5:$B$604,$B553)&gt;1,"Takror",""))</f>
        <v/>
      </c>
    </row>
    <row r="554" customFormat="false" ht="15" hidden="false" customHeight="false" outlineLevel="0" collapsed="false">
      <c r="A554" s="8" t="n">
        <v>550</v>
      </c>
      <c r="B554" s="13"/>
      <c r="C554" s="12"/>
      <c r="D554" s="13"/>
      <c r="E554" s="24"/>
      <c r="F554" s="12"/>
      <c r="G554" s="14" t="str">
        <f aca="false">IF(OR($D554="",$B554=""),"",INT(($B554-$D554)/365.25))</f>
        <v/>
      </c>
      <c r="H554" s="14" t="str">
        <f aca="false">IF($G554="","",IF($G554&lt;18,"Ha","Yo'q"))</f>
        <v/>
      </c>
      <c r="I554" s="12"/>
      <c r="J554" s="25"/>
      <c r="K554" s="25"/>
      <c r="L554" s="25"/>
      <c r="M554" s="12"/>
      <c r="N554" s="25"/>
      <c r="O554" s="25"/>
      <c r="P554" s="14" t="str">
        <f aca="false">IF($O554="","",IFERROR(VALUE(LEFT($O554,FIND(".",$O554)-1)),""))</f>
        <v/>
      </c>
      <c r="Q554" s="14" t="str">
        <f aca="false">IF($P554="","",IF($P554&lt;=7,"Shoshilinch",IF($P554&lt;=9,"Kechiktirib bo'lmaydigan",IF($P554&lt;=14,"Rejalashtirilgan","Rejali"))))</f>
        <v/>
      </c>
      <c r="R554" s="25"/>
      <c r="S554" s="14" t="str">
        <f aca="false">IF($K554&lt;&gt;"Kesarcha","",IF(OR($O554&lt;&gt;"",$R554="Ha"),"Ha","YO‘Q"))</f>
        <v/>
      </c>
      <c r="T554" s="12"/>
      <c r="U554" s="12"/>
      <c r="V554" s="14" t="str">
        <f aca="false">IF(OR($C554="",$D554="",$B554=""),"",IF(COUNTIFS($C$5:$C$604,$C554,$D$5:$D$604,$D554,$B$5:$B$604,$B554)&gt;1,"Takror",""))</f>
        <v/>
      </c>
    </row>
    <row r="555" customFormat="false" ht="15" hidden="false" customHeight="false" outlineLevel="0" collapsed="false">
      <c r="A555" s="8" t="n">
        <v>551</v>
      </c>
      <c r="B555" s="13"/>
      <c r="C555" s="12"/>
      <c r="D555" s="13"/>
      <c r="E555" s="24"/>
      <c r="F555" s="12"/>
      <c r="G555" s="14" t="str">
        <f aca="false">IF(OR($D555="",$B555=""),"",INT(($B555-$D555)/365.25))</f>
        <v/>
      </c>
      <c r="H555" s="14" t="str">
        <f aca="false">IF($G555="","",IF($G555&lt;18,"Ha","Yo'q"))</f>
        <v/>
      </c>
      <c r="I555" s="12"/>
      <c r="J555" s="25"/>
      <c r="K555" s="25"/>
      <c r="L555" s="25"/>
      <c r="M555" s="12"/>
      <c r="N555" s="25"/>
      <c r="O555" s="25"/>
      <c r="P555" s="14" t="str">
        <f aca="false">IF($O555="","",IFERROR(VALUE(LEFT($O555,FIND(".",$O555)-1)),""))</f>
        <v/>
      </c>
      <c r="Q555" s="14" t="str">
        <f aca="false">IF($P555="","",IF($P555&lt;=7,"Shoshilinch",IF($P555&lt;=9,"Kechiktirib bo'lmaydigan",IF($P555&lt;=14,"Rejalashtirilgan","Rejali"))))</f>
        <v/>
      </c>
      <c r="R555" s="25"/>
      <c r="S555" s="14" t="str">
        <f aca="false">IF($K555&lt;&gt;"Kesarcha","",IF(OR($O555&lt;&gt;"",$R555="Ha"),"Ha","YO‘Q"))</f>
        <v/>
      </c>
      <c r="T555" s="12"/>
      <c r="U555" s="12"/>
      <c r="V555" s="14" t="str">
        <f aca="false">IF(OR($C555="",$D555="",$B555=""),"",IF(COUNTIFS($C$5:$C$604,$C555,$D$5:$D$604,$D555,$B$5:$B$604,$B555)&gt;1,"Takror",""))</f>
        <v/>
      </c>
    </row>
    <row r="556" customFormat="false" ht="15" hidden="false" customHeight="false" outlineLevel="0" collapsed="false">
      <c r="A556" s="8" t="n">
        <v>552</v>
      </c>
      <c r="B556" s="13"/>
      <c r="C556" s="12"/>
      <c r="D556" s="13"/>
      <c r="E556" s="24"/>
      <c r="F556" s="12"/>
      <c r="G556" s="14" t="str">
        <f aca="false">IF(OR($D556="",$B556=""),"",INT(($B556-$D556)/365.25))</f>
        <v/>
      </c>
      <c r="H556" s="14" t="str">
        <f aca="false">IF($G556="","",IF($G556&lt;18,"Ha","Yo'q"))</f>
        <v/>
      </c>
      <c r="I556" s="12"/>
      <c r="J556" s="25"/>
      <c r="K556" s="25"/>
      <c r="L556" s="25"/>
      <c r="M556" s="12"/>
      <c r="N556" s="25"/>
      <c r="O556" s="25"/>
      <c r="P556" s="14" t="str">
        <f aca="false">IF($O556="","",IFERROR(VALUE(LEFT($O556,FIND(".",$O556)-1)),""))</f>
        <v/>
      </c>
      <c r="Q556" s="14" t="str">
        <f aca="false">IF($P556="","",IF($P556&lt;=7,"Shoshilinch",IF($P556&lt;=9,"Kechiktirib bo'lmaydigan",IF($P556&lt;=14,"Rejalashtirilgan","Rejali"))))</f>
        <v/>
      </c>
      <c r="R556" s="25"/>
      <c r="S556" s="14" t="str">
        <f aca="false">IF($K556&lt;&gt;"Kesarcha","",IF(OR($O556&lt;&gt;"",$R556="Ha"),"Ha","YO‘Q"))</f>
        <v/>
      </c>
      <c r="T556" s="12"/>
      <c r="U556" s="12"/>
      <c r="V556" s="14" t="str">
        <f aca="false">IF(OR($C556="",$D556="",$B556=""),"",IF(COUNTIFS($C$5:$C$604,$C556,$D$5:$D$604,$D556,$B$5:$B$604,$B556)&gt;1,"Takror",""))</f>
        <v/>
      </c>
    </row>
    <row r="557" customFormat="false" ht="15" hidden="false" customHeight="false" outlineLevel="0" collapsed="false">
      <c r="A557" s="8" t="n">
        <v>553</v>
      </c>
      <c r="B557" s="13"/>
      <c r="C557" s="12"/>
      <c r="D557" s="13"/>
      <c r="E557" s="24"/>
      <c r="F557" s="12"/>
      <c r="G557" s="14" t="str">
        <f aca="false">IF(OR($D557="",$B557=""),"",INT(($B557-$D557)/365.25))</f>
        <v/>
      </c>
      <c r="H557" s="14" t="str">
        <f aca="false">IF($G557="","",IF($G557&lt;18,"Ha","Yo'q"))</f>
        <v/>
      </c>
      <c r="I557" s="12"/>
      <c r="J557" s="25"/>
      <c r="K557" s="25"/>
      <c r="L557" s="25"/>
      <c r="M557" s="12"/>
      <c r="N557" s="25"/>
      <c r="O557" s="25"/>
      <c r="P557" s="14" t="str">
        <f aca="false">IF($O557="","",IFERROR(VALUE(LEFT($O557,FIND(".",$O557)-1)),""))</f>
        <v/>
      </c>
      <c r="Q557" s="14" t="str">
        <f aca="false">IF($P557="","",IF($P557&lt;=7,"Shoshilinch",IF($P557&lt;=9,"Kechiktirib bo'lmaydigan",IF($P557&lt;=14,"Rejalashtirilgan","Rejali"))))</f>
        <v/>
      </c>
      <c r="R557" s="25"/>
      <c r="S557" s="14" t="str">
        <f aca="false">IF($K557&lt;&gt;"Kesarcha","",IF(OR($O557&lt;&gt;"",$R557="Ha"),"Ha","YO‘Q"))</f>
        <v/>
      </c>
      <c r="T557" s="12"/>
      <c r="U557" s="12"/>
      <c r="V557" s="14" t="str">
        <f aca="false">IF(OR($C557="",$D557="",$B557=""),"",IF(COUNTIFS($C$5:$C$604,$C557,$D$5:$D$604,$D557,$B$5:$B$604,$B557)&gt;1,"Takror",""))</f>
        <v/>
      </c>
    </row>
    <row r="558" customFormat="false" ht="15" hidden="false" customHeight="false" outlineLevel="0" collapsed="false">
      <c r="A558" s="8" t="n">
        <v>554</v>
      </c>
      <c r="B558" s="13"/>
      <c r="C558" s="12"/>
      <c r="D558" s="13"/>
      <c r="E558" s="24"/>
      <c r="F558" s="12"/>
      <c r="G558" s="14" t="str">
        <f aca="false">IF(OR($D558="",$B558=""),"",INT(($B558-$D558)/365.25))</f>
        <v/>
      </c>
      <c r="H558" s="14" t="str">
        <f aca="false">IF($G558="","",IF($G558&lt;18,"Ha","Yo'q"))</f>
        <v/>
      </c>
      <c r="I558" s="12"/>
      <c r="J558" s="25"/>
      <c r="K558" s="25"/>
      <c r="L558" s="25"/>
      <c r="M558" s="12"/>
      <c r="N558" s="25"/>
      <c r="O558" s="25"/>
      <c r="P558" s="14" t="str">
        <f aca="false">IF($O558="","",IFERROR(VALUE(LEFT($O558,FIND(".",$O558)-1)),""))</f>
        <v/>
      </c>
      <c r="Q558" s="14" t="str">
        <f aca="false">IF($P558="","",IF($P558&lt;=7,"Shoshilinch",IF($P558&lt;=9,"Kechiktirib bo'lmaydigan",IF($P558&lt;=14,"Rejalashtirilgan","Rejali"))))</f>
        <v/>
      </c>
      <c r="R558" s="25"/>
      <c r="S558" s="14" t="str">
        <f aca="false">IF($K558&lt;&gt;"Kesarcha","",IF(OR($O558&lt;&gt;"",$R558="Ha"),"Ha","YO‘Q"))</f>
        <v/>
      </c>
      <c r="T558" s="12"/>
      <c r="U558" s="12"/>
      <c r="V558" s="14" t="str">
        <f aca="false">IF(OR($C558="",$D558="",$B558=""),"",IF(COUNTIFS($C$5:$C$604,$C558,$D$5:$D$604,$D558,$B$5:$B$604,$B558)&gt;1,"Takror",""))</f>
        <v/>
      </c>
    </row>
    <row r="559" customFormat="false" ht="15" hidden="false" customHeight="false" outlineLevel="0" collapsed="false">
      <c r="A559" s="8" t="n">
        <v>555</v>
      </c>
      <c r="B559" s="13"/>
      <c r="C559" s="12"/>
      <c r="D559" s="13"/>
      <c r="E559" s="24"/>
      <c r="F559" s="12"/>
      <c r="G559" s="14" t="str">
        <f aca="false">IF(OR($D559="",$B559=""),"",INT(($B559-$D559)/365.25))</f>
        <v/>
      </c>
      <c r="H559" s="14" t="str">
        <f aca="false">IF($G559="","",IF($G559&lt;18,"Ha","Yo'q"))</f>
        <v/>
      </c>
      <c r="I559" s="12"/>
      <c r="J559" s="25"/>
      <c r="K559" s="25"/>
      <c r="L559" s="25"/>
      <c r="M559" s="12"/>
      <c r="N559" s="25"/>
      <c r="O559" s="25"/>
      <c r="P559" s="14" t="str">
        <f aca="false">IF($O559="","",IFERROR(VALUE(LEFT($O559,FIND(".",$O559)-1)),""))</f>
        <v/>
      </c>
      <c r="Q559" s="14" t="str">
        <f aca="false">IF($P559="","",IF($P559&lt;=7,"Shoshilinch",IF($P559&lt;=9,"Kechiktirib bo'lmaydigan",IF($P559&lt;=14,"Rejalashtirilgan","Rejali"))))</f>
        <v/>
      </c>
      <c r="R559" s="25"/>
      <c r="S559" s="14" t="str">
        <f aca="false">IF($K559&lt;&gt;"Kesarcha","",IF(OR($O559&lt;&gt;"",$R559="Ha"),"Ha","YO‘Q"))</f>
        <v/>
      </c>
      <c r="T559" s="12"/>
      <c r="U559" s="12"/>
      <c r="V559" s="14" t="str">
        <f aca="false">IF(OR($C559="",$D559="",$B559=""),"",IF(COUNTIFS($C$5:$C$604,$C559,$D$5:$D$604,$D559,$B$5:$B$604,$B559)&gt;1,"Takror",""))</f>
        <v/>
      </c>
    </row>
    <row r="560" customFormat="false" ht="15" hidden="false" customHeight="false" outlineLevel="0" collapsed="false">
      <c r="A560" s="8" t="n">
        <v>556</v>
      </c>
      <c r="B560" s="13"/>
      <c r="C560" s="12"/>
      <c r="D560" s="13"/>
      <c r="E560" s="24"/>
      <c r="F560" s="12"/>
      <c r="G560" s="14" t="str">
        <f aca="false">IF(OR($D560="",$B560=""),"",INT(($B560-$D560)/365.25))</f>
        <v/>
      </c>
      <c r="H560" s="14" t="str">
        <f aca="false">IF($G560="","",IF($G560&lt;18,"Ha","Yo'q"))</f>
        <v/>
      </c>
      <c r="I560" s="12"/>
      <c r="J560" s="25"/>
      <c r="K560" s="25"/>
      <c r="L560" s="25"/>
      <c r="M560" s="12"/>
      <c r="N560" s="25"/>
      <c r="O560" s="25"/>
      <c r="P560" s="14" t="str">
        <f aca="false">IF($O560="","",IFERROR(VALUE(LEFT($O560,FIND(".",$O560)-1)),""))</f>
        <v/>
      </c>
      <c r="Q560" s="14" t="str">
        <f aca="false">IF($P560="","",IF($P560&lt;=7,"Shoshilinch",IF($P560&lt;=9,"Kechiktirib bo'lmaydigan",IF($P560&lt;=14,"Rejalashtirilgan","Rejali"))))</f>
        <v/>
      </c>
      <c r="R560" s="25"/>
      <c r="S560" s="14" t="str">
        <f aca="false">IF($K560&lt;&gt;"Kesarcha","",IF(OR($O560&lt;&gt;"",$R560="Ha"),"Ha","YO‘Q"))</f>
        <v/>
      </c>
      <c r="T560" s="12"/>
      <c r="U560" s="12"/>
      <c r="V560" s="14" t="str">
        <f aca="false">IF(OR($C560="",$D560="",$B560=""),"",IF(COUNTIFS($C$5:$C$604,$C560,$D$5:$D$604,$D560,$B$5:$B$604,$B560)&gt;1,"Takror",""))</f>
        <v/>
      </c>
    </row>
    <row r="561" customFormat="false" ht="15" hidden="false" customHeight="false" outlineLevel="0" collapsed="false">
      <c r="A561" s="8" t="n">
        <v>557</v>
      </c>
      <c r="B561" s="13"/>
      <c r="C561" s="12"/>
      <c r="D561" s="13"/>
      <c r="E561" s="24"/>
      <c r="F561" s="12"/>
      <c r="G561" s="14" t="str">
        <f aca="false">IF(OR($D561="",$B561=""),"",INT(($B561-$D561)/365.25))</f>
        <v/>
      </c>
      <c r="H561" s="14" t="str">
        <f aca="false">IF($G561="","",IF($G561&lt;18,"Ha","Yo'q"))</f>
        <v/>
      </c>
      <c r="I561" s="12"/>
      <c r="J561" s="25"/>
      <c r="K561" s="25"/>
      <c r="L561" s="25"/>
      <c r="M561" s="12"/>
      <c r="N561" s="25"/>
      <c r="O561" s="25"/>
      <c r="P561" s="14" t="str">
        <f aca="false">IF($O561="","",IFERROR(VALUE(LEFT($O561,FIND(".",$O561)-1)),""))</f>
        <v/>
      </c>
      <c r="Q561" s="14" t="str">
        <f aca="false">IF($P561="","",IF($P561&lt;=7,"Shoshilinch",IF($P561&lt;=9,"Kechiktirib bo'lmaydigan",IF($P561&lt;=14,"Rejalashtirilgan","Rejali"))))</f>
        <v/>
      </c>
      <c r="R561" s="25"/>
      <c r="S561" s="14" t="str">
        <f aca="false">IF($K561&lt;&gt;"Kesarcha","",IF(OR($O561&lt;&gt;"",$R561="Ha"),"Ha","YO‘Q"))</f>
        <v/>
      </c>
      <c r="T561" s="12"/>
      <c r="U561" s="12"/>
      <c r="V561" s="14" t="str">
        <f aca="false">IF(OR($C561="",$D561="",$B561=""),"",IF(COUNTIFS($C$5:$C$604,$C561,$D$5:$D$604,$D561,$B$5:$B$604,$B561)&gt;1,"Takror",""))</f>
        <v/>
      </c>
    </row>
    <row r="562" customFormat="false" ht="15" hidden="false" customHeight="false" outlineLevel="0" collapsed="false">
      <c r="A562" s="8" t="n">
        <v>558</v>
      </c>
      <c r="B562" s="13"/>
      <c r="C562" s="12"/>
      <c r="D562" s="13"/>
      <c r="E562" s="24"/>
      <c r="F562" s="12"/>
      <c r="G562" s="14" t="str">
        <f aca="false">IF(OR($D562="",$B562=""),"",INT(($B562-$D562)/365.25))</f>
        <v/>
      </c>
      <c r="H562" s="14" t="str">
        <f aca="false">IF($G562="","",IF($G562&lt;18,"Ha","Yo'q"))</f>
        <v/>
      </c>
      <c r="I562" s="12"/>
      <c r="J562" s="25"/>
      <c r="K562" s="25"/>
      <c r="L562" s="25"/>
      <c r="M562" s="12"/>
      <c r="N562" s="25"/>
      <c r="O562" s="25"/>
      <c r="P562" s="14" t="str">
        <f aca="false">IF($O562="","",IFERROR(VALUE(LEFT($O562,FIND(".",$O562)-1)),""))</f>
        <v/>
      </c>
      <c r="Q562" s="14" t="str">
        <f aca="false">IF($P562="","",IF($P562&lt;=7,"Shoshilinch",IF($P562&lt;=9,"Kechiktirib bo'lmaydigan",IF($P562&lt;=14,"Rejalashtirilgan","Rejali"))))</f>
        <v/>
      </c>
      <c r="R562" s="25"/>
      <c r="S562" s="14" t="str">
        <f aca="false">IF($K562&lt;&gt;"Kesarcha","",IF(OR($O562&lt;&gt;"",$R562="Ha"),"Ha","YO‘Q"))</f>
        <v/>
      </c>
      <c r="T562" s="12"/>
      <c r="U562" s="12"/>
      <c r="V562" s="14" t="str">
        <f aca="false">IF(OR($C562="",$D562="",$B562=""),"",IF(COUNTIFS($C$5:$C$604,$C562,$D$5:$D$604,$D562,$B$5:$B$604,$B562)&gt;1,"Takror",""))</f>
        <v/>
      </c>
    </row>
    <row r="563" customFormat="false" ht="15" hidden="false" customHeight="false" outlineLevel="0" collapsed="false">
      <c r="A563" s="8" t="n">
        <v>559</v>
      </c>
      <c r="B563" s="13"/>
      <c r="C563" s="12"/>
      <c r="D563" s="13"/>
      <c r="E563" s="24"/>
      <c r="F563" s="12"/>
      <c r="G563" s="14" t="str">
        <f aca="false">IF(OR($D563="",$B563=""),"",INT(($B563-$D563)/365.25))</f>
        <v/>
      </c>
      <c r="H563" s="14" t="str">
        <f aca="false">IF($G563="","",IF($G563&lt;18,"Ha","Yo'q"))</f>
        <v/>
      </c>
      <c r="I563" s="12"/>
      <c r="J563" s="25"/>
      <c r="K563" s="25"/>
      <c r="L563" s="25"/>
      <c r="M563" s="12"/>
      <c r="N563" s="25"/>
      <c r="O563" s="25"/>
      <c r="P563" s="14" t="str">
        <f aca="false">IF($O563="","",IFERROR(VALUE(LEFT($O563,FIND(".",$O563)-1)),""))</f>
        <v/>
      </c>
      <c r="Q563" s="14" t="str">
        <f aca="false">IF($P563="","",IF($P563&lt;=7,"Shoshilinch",IF($P563&lt;=9,"Kechiktirib bo'lmaydigan",IF($P563&lt;=14,"Rejalashtirilgan","Rejali"))))</f>
        <v/>
      </c>
      <c r="R563" s="25"/>
      <c r="S563" s="14" t="str">
        <f aca="false">IF($K563&lt;&gt;"Kesarcha","",IF(OR($O563&lt;&gt;"",$R563="Ha"),"Ha","YO‘Q"))</f>
        <v/>
      </c>
      <c r="T563" s="12"/>
      <c r="U563" s="12"/>
      <c r="V563" s="14" t="str">
        <f aca="false">IF(OR($C563="",$D563="",$B563=""),"",IF(COUNTIFS($C$5:$C$604,$C563,$D$5:$D$604,$D563,$B$5:$B$604,$B563)&gt;1,"Takror",""))</f>
        <v/>
      </c>
    </row>
    <row r="564" customFormat="false" ht="15" hidden="false" customHeight="false" outlineLevel="0" collapsed="false">
      <c r="A564" s="8" t="n">
        <v>560</v>
      </c>
      <c r="B564" s="13"/>
      <c r="C564" s="12"/>
      <c r="D564" s="13"/>
      <c r="E564" s="24"/>
      <c r="F564" s="12"/>
      <c r="G564" s="14" t="str">
        <f aca="false">IF(OR($D564="",$B564=""),"",INT(($B564-$D564)/365.25))</f>
        <v/>
      </c>
      <c r="H564" s="14" t="str">
        <f aca="false">IF($G564="","",IF($G564&lt;18,"Ha","Yo'q"))</f>
        <v/>
      </c>
      <c r="I564" s="12"/>
      <c r="J564" s="25"/>
      <c r="K564" s="25"/>
      <c r="L564" s="25"/>
      <c r="M564" s="12"/>
      <c r="N564" s="25"/>
      <c r="O564" s="25"/>
      <c r="P564" s="14" t="str">
        <f aca="false">IF($O564="","",IFERROR(VALUE(LEFT($O564,FIND(".",$O564)-1)),""))</f>
        <v/>
      </c>
      <c r="Q564" s="14" t="str">
        <f aca="false">IF($P564="","",IF($P564&lt;=7,"Shoshilinch",IF($P564&lt;=9,"Kechiktirib bo'lmaydigan",IF($P564&lt;=14,"Rejalashtirilgan","Rejali"))))</f>
        <v/>
      </c>
      <c r="R564" s="25"/>
      <c r="S564" s="14" t="str">
        <f aca="false">IF($K564&lt;&gt;"Kesarcha","",IF(OR($O564&lt;&gt;"",$R564="Ha"),"Ha","YO‘Q"))</f>
        <v/>
      </c>
      <c r="T564" s="12"/>
      <c r="U564" s="12"/>
      <c r="V564" s="14" t="str">
        <f aca="false">IF(OR($C564="",$D564="",$B564=""),"",IF(COUNTIFS($C$5:$C$604,$C564,$D$5:$D$604,$D564,$B$5:$B$604,$B564)&gt;1,"Takror",""))</f>
        <v/>
      </c>
    </row>
    <row r="565" customFormat="false" ht="15" hidden="false" customHeight="false" outlineLevel="0" collapsed="false">
      <c r="A565" s="8" t="n">
        <v>561</v>
      </c>
      <c r="B565" s="13"/>
      <c r="C565" s="12"/>
      <c r="D565" s="13"/>
      <c r="E565" s="24"/>
      <c r="F565" s="12"/>
      <c r="G565" s="14" t="str">
        <f aca="false">IF(OR($D565="",$B565=""),"",INT(($B565-$D565)/365.25))</f>
        <v/>
      </c>
      <c r="H565" s="14" t="str">
        <f aca="false">IF($G565="","",IF($G565&lt;18,"Ha","Yo'q"))</f>
        <v/>
      </c>
      <c r="I565" s="12"/>
      <c r="J565" s="25"/>
      <c r="K565" s="25"/>
      <c r="L565" s="25"/>
      <c r="M565" s="12"/>
      <c r="N565" s="25"/>
      <c r="O565" s="25"/>
      <c r="P565" s="14" t="str">
        <f aca="false">IF($O565="","",IFERROR(VALUE(LEFT($O565,FIND(".",$O565)-1)),""))</f>
        <v/>
      </c>
      <c r="Q565" s="14" t="str">
        <f aca="false">IF($P565="","",IF($P565&lt;=7,"Shoshilinch",IF($P565&lt;=9,"Kechiktirib bo'lmaydigan",IF($P565&lt;=14,"Rejalashtirilgan","Rejali"))))</f>
        <v/>
      </c>
      <c r="R565" s="25"/>
      <c r="S565" s="14" t="str">
        <f aca="false">IF($K565&lt;&gt;"Kesarcha","",IF(OR($O565&lt;&gt;"",$R565="Ha"),"Ha","YO‘Q"))</f>
        <v/>
      </c>
      <c r="T565" s="12"/>
      <c r="U565" s="12"/>
      <c r="V565" s="14" t="str">
        <f aca="false">IF(OR($C565="",$D565="",$B565=""),"",IF(COUNTIFS($C$5:$C$604,$C565,$D$5:$D$604,$D565,$B$5:$B$604,$B565)&gt;1,"Takror",""))</f>
        <v/>
      </c>
    </row>
    <row r="566" customFormat="false" ht="15" hidden="false" customHeight="false" outlineLevel="0" collapsed="false">
      <c r="A566" s="8" t="n">
        <v>562</v>
      </c>
      <c r="B566" s="13"/>
      <c r="C566" s="12"/>
      <c r="D566" s="13"/>
      <c r="E566" s="24"/>
      <c r="F566" s="12"/>
      <c r="G566" s="14" t="str">
        <f aca="false">IF(OR($D566="",$B566=""),"",INT(($B566-$D566)/365.25))</f>
        <v/>
      </c>
      <c r="H566" s="14" t="str">
        <f aca="false">IF($G566="","",IF($G566&lt;18,"Ha","Yo'q"))</f>
        <v/>
      </c>
      <c r="I566" s="12"/>
      <c r="J566" s="25"/>
      <c r="K566" s="25"/>
      <c r="L566" s="25"/>
      <c r="M566" s="12"/>
      <c r="N566" s="25"/>
      <c r="O566" s="25"/>
      <c r="P566" s="14" t="str">
        <f aca="false">IF($O566="","",IFERROR(VALUE(LEFT($O566,FIND(".",$O566)-1)),""))</f>
        <v/>
      </c>
      <c r="Q566" s="14" t="str">
        <f aca="false">IF($P566="","",IF($P566&lt;=7,"Shoshilinch",IF($P566&lt;=9,"Kechiktirib bo'lmaydigan",IF($P566&lt;=14,"Rejalashtirilgan","Rejali"))))</f>
        <v/>
      </c>
      <c r="R566" s="25"/>
      <c r="S566" s="14" t="str">
        <f aca="false">IF($K566&lt;&gt;"Kesarcha","",IF(OR($O566&lt;&gt;"",$R566="Ha"),"Ha","YO‘Q"))</f>
        <v/>
      </c>
      <c r="T566" s="12"/>
      <c r="U566" s="12"/>
      <c r="V566" s="14" t="str">
        <f aca="false">IF(OR($C566="",$D566="",$B566=""),"",IF(COUNTIFS($C$5:$C$604,$C566,$D$5:$D$604,$D566,$B$5:$B$604,$B566)&gt;1,"Takror",""))</f>
        <v/>
      </c>
    </row>
    <row r="567" customFormat="false" ht="15" hidden="false" customHeight="false" outlineLevel="0" collapsed="false">
      <c r="A567" s="8" t="n">
        <v>563</v>
      </c>
      <c r="B567" s="13"/>
      <c r="C567" s="12"/>
      <c r="D567" s="13"/>
      <c r="E567" s="24"/>
      <c r="F567" s="12"/>
      <c r="G567" s="14" t="str">
        <f aca="false">IF(OR($D567="",$B567=""),"",INT(($B567-$D567)/365.25))</f>
        <v/>
      </c>
      <c r="H567" s="14" t="str">
        <f aca="false">IF($G567="","",IF($G567&lt;18,"Ha","Yo'q"))</f>
        <v/>
      </c>
      <c r="I567" s="12"/>
      <c r="J567" s="25"/>
      <c r="K567" s="25"/>
      <c r="L567" s="25"/>
      <c r="M567" s="12"/>
      <c r="N567" s="25"/>
      <c r="O567" s="25"/>
      <c r="P567" s="14" t="str">
        <f aca="false">IF($O567="","",IFERROR(VALUE(LEFT($O567,FIND(".",$O567)-1)),""))</f>
        <v/>
      </c>
      <c r="Q567" s="14" t="str">
        <f aca="false">IF($P567="","",IF($P567&lt;=7,"Shoshilinch",IF($P567&lt;=9,"Kechiktirib bo'lmaydigan",IF($P567&lt;=14,"Rejalashtirilgan","Rejali"))))</f>
        <v/>
      </c>
      <c r="R567" s="25"/>
      <c r="S567" s="14" t="str">
        <f aca="false">IF($K567&lt;&gt;"Kesarcha","",IF(OR($O567&lt;&gt;"",$R567="Ha"),"Ha","YO‘Q"))</f>
        <v/>
      </c>
      <c r="T567" s="12"/>
      <c r="U567" s="12"/>
      <c r="V567" s="14" t="str">
        <f aca="false">IF(OR($C567="",$D567="",$B567=""),"",IF(COUNTIFS($C$5:$C$604,$C567,$D$5:$D$604,$D567,$B$5:$B$604,$B567)&gt;1,"Takror",""))</f>
        <v/>
      </c>
    </row>
    <row r="568" customFormat="false" ht="15" hidden="false" customHeight="false" outlineLevel="0" collapsed="false">
      <c r="A568" s="8" t="n">
        <v>564</v>
      </c>
      <c r="B568" s="13"/>
      <c r="C568" s="12"/>
      <c r="D568" s="13"/>
      <c r="E568" s="24"/>
      <c r="F568" s="12"/>
      <c r="G568" s="14" t="str">
        <f aca="false">IF(OR($D568="",$B568=""),"",INT(($B568-$D568)/365.25))</f>
        <v/>
      </c>
      <c r="H568" s="14" t="str">
        <f aca="false">IF($G568="","",IF($G568&lt;18,"Ha","Yo'q"))</f>
        <v/>
      </c>
      <c r="I568" s="12"/>
      <c r="J568" s="25"/>
      <c r="K568" s="25"/>
      <c r="L568" s="25"/>
      <c r="M568" s="12"/>
      <c r="N568" s="25"/>
      <c r="O568" s="25"/>
      <c r="P568" s="14" t="str">
        <f aca="false">IF($O568="","",IFERROR(VALUE(LEFT($O568,FIND(".",$O568)-1)),""))</f>
        <v/>
      </c>
      <c r="Q568" s="14" t="str">
        <f aca="false">IF($P568="","",IF($P568&lt;=7,"Shoshilinch",IF($P568&lt;=9,"Kechiktirib bo'lmaydigan",IF($P568&lt;=14,"Rejalashtirilgan","Rejali"))))</f>
        <v/>
      </c>
      <c r="R568" s="25"/>
      <c r="S568" s="14" t="str">
        <f aca="false">IF($K568&lt;&gt;"Kesarcha","",IF(OR($O568&lt;&gt;"",$R568="Ha"),"Ha","YO‘Q"))</f>
        <v/>
      </c>
      <c r="T568" s="12"/>
      <c r="U568" s="12"/>
      <c r="V568" s="14" t="str">
        <f aca="false">IF(OR($C568="",$D568="",$B568=""),"",IF(COUNTIFS($C$5:$C$604,$C568,$D$5:$D$604,$D568,$B$5:$B$604,$B568)&gt;1,"Takror",""))</f>
        <v/>
      </c>
    </row>
    <row r="569" customFormat="false" ht="15" hidden="false" customHeight="false" outlineLevel="0" collapsed="false">
      <c r="A569" s="8" t="n">
        <v>565</v>
      </c>
      <c r="B569" s="13"/>
      <c r="C569" s="12"/>
      <c r="D569" s="13"/>
      <c r="E569" s="24"/>
      <c r="F569" s="12"/>
      <c r="G569" s="14" t="str">
        <f aca="false">IF(OR($D569="",$B569=""),"",INT(($B569-$D569)/365.25))</f>
        <v/>
      </c>
      <c r="H569" s="14" t="str">
        <f aca="false">IF($G569="","",IF($G569&lt;18,"Ha","Yo'q"))</f>
        <v/>
      </c>
      <c r="I569" s="12"/>
      <c r="J569" s="25"/>
      <c r="K569" s="25"/>
      <c r="L569" s="25"/>
      <c r="M569" s="12"/>
      <c r="N569" s="25"/>
      <c r="O569" s="25"/>
      <c r="P569" s="14" t="str">
        <f aca="false">IF($O569="","",IFERROR(VALUE(LEFT($O569,FIND(".",$O569)-1)),""))</f>
        <v/>
      </c>
      <c r="Q569" s="14" t="str">
        <f aca="false">IF($P569="","",IF($P569&lt;=7,"Shoshilinch",IF($P569&lt;=9,"Kechiktirib bo'lmaydigan",IF($P569&lt;=14,"Rejalashtirilgan","Rejali"))))</f>
        <v/>
      </c>
      <c r="R569" s="25"/>
      <c r="S569" s="14" t="str">
        <f aca="false">IF($K569&lt;&gt;"Kesarcha","",IF(OR($O569&lt;&gt;"",$R569="Ha"),"Ha","YO‘Q"))</f>
        <v/>
      </c>
      <c r="T569" s="12"/>
      <c r="U569" s="12"/>
      <c r="V569" s="14" t="str">
        <f aca="false">IF(OR($C569="",$D569="",$B569=""),"",IF(COUNTIFS($C$5:$C$604,$C569,$D$5:$D$604,$D569,$B$5:$B$604,$B569)&gt;1,"Takror",""))</f>
        <v/>
      </c>
    </row>
    <row r="570" customFormat="false" ht="15" hidden="false" customHeight="false" outlineLevel="0" collapsed="false">
      <c r="A570" s="8" t="n">
        <v>566</v>
      </c>
      <c r="B570" s="13"/>
      <c r="C570" s="12"/>
      <c r="D570" s="13"/>
      <c r="E570" s="24"/>
      <c r="F570" s="12"/>
      <c r="G570" s="14" t="str">
        <f aca="false">IF(OR($D570="",$B570=""),"",INT(($B570-$D570)/365.25))</f>
        <v/>
      </c>
      <c r="H570" s="14" t="str">
        <f aca="false">IF($G570="","",IF($G570&lt;18,"Ha","Yo'q"))</f>
        <v/>
      </c>
      <c r="I570" s="12"/>
      <c r="J570" s="25"/>
      <c r="K570" s="25"/>
      <c r="L570" s="25"/>
      <c r="M570" s="12"/>
      <c r="N570" s="25"/>
      <c r="O570" s="25"/>
      <c r="P570" s="14" t="str">
        <f aca="false">IF($O570="","",IFERROR(VALUE(LEFT($O570,FIND(".",$O570)-1)),""))</f>
        <v/>
      </c>
      <c r="Q570" s="14" t="str">
        <f aca="false">IF($P570="","",IF($P570&lt;=7,"Shoshilinch",IF($P570&lt;=9,"Kechiktirib bo'lmaydigan",IF($P570&lt;=14,"Rejalashtirilgan","Rejali"))))</f>
        <v/>
      </c>
      <c r="R570" s="25"/>
      <c r="S570" s="14" t="str">
        <f aca="false">IF($K570&lt;&gt;"Kesarcha","",IF(OR($O570&lt;&gt;"",$R570="Ha"),"Ha","YO‘Q"))</f>
        <v/>
      </c>
      <c r="T570" s="12"/>
      <c r="U570" s="12"/>
      <c r="V570" s="14" t="str">
        <f aca="false">IF(OR($C570="",$D570="",$B570=""),"",IF(COUNTIFS($C$5:$C$604,$C570,$D$5:$D$604,$D570,$B$5:$B$604,$B570)&gt;1,"Takror",""))</f>
        <v/>
      </c>
    </row>
    <row r="571" customFormat="false" ht="15" hidden="false" customHeight="false" outlineLevel="0" collapsed="false">
      <c r="A571" s="8" t="n">
        <v>567</v>
      </c>
      <c r="B571" s="13"/>
      <c r="C571" s="12"/>
      <c r="D571" s="13"/>
      <c r="E571" s="24"/>
      <c r="F571" s="12"/>
      <c r="G571" s="14" t="str">
        <f aca="false">IF(OR($D571="",$B571=""),"",INT(($B571-$D571)/365.25))</f>
        <v/>
      </c>
      <c r="H571" s="14" t="str">
        <f aca="false">IF($G571="","",IF($G571&lt;18,"Ha","Yo'q"))</f>
        <v/>
      </c>
      <c r="I571" s="12"/>
      <c r="J571" s="25"/>
      <c r="K571" s="25"/>
      <c r="L571" s="25"/>
      <c r="M571" s="12"/>
      <c r="N571" s="25"/>
      <c r="O571" s="25"/>
      <c r="P571" s="14" t="str">
        <f aca="false">IF($O571="","",IFERROR(VALUE(LEFT($O571,FIND(".",$O571)-1)),""))</f>
        <v/>
      </c>
      <c r="Q571" s="14" t="str">
        <f aca="false">IF($P571="","",IF($P571&lt;=7,"Shoshilinch",IF($P571&lt;=9,"Kechiktirib bo'lmaydigan",IF($P571&lt;=14,"Rejalashtirilgan","Rejali"))))</f>
        <v/>
      </c>
      <c r="R571" s="25"/>
      <c r="S571" s="14" t="str">
        <f aca="false">IF($K571&lt;&gt;"Kesarcha","",IF(OR($O571&lt;&gt;"",$R571="Ha"),"Ha","YO‘Q"))</f>
        <v/>
      </c>
      <c r="T571" s="12"/>
      <c r="U571" s="12"/>
      <c r="V571" s="14" t="str">
        <f aca="false">IF(OR($C571="",$D571="",$B571=""),"",IF(COUNTIFS($C$5:$C$604,$C571,$D$5:$D$604,$D571,$B$5:$B$604,$B571)&gt;1,"Takror",""))</f>
        <v/>
      </c>
    </row>
    <row r="572" customFormat="false" ht="15" hidden="false" customHeight="false" outlineLevel="0" collapsed="false">
      <c r="A572" s="8" t="n">
        <v>568</v>
      </c>
      <c r="B572" s="13"/>
      <c r="C572" s="12"/>
      <c r="D572" s="13"/>
      <c r="E572" s="24"/>
      <c r="F572" s="12"/>
      <c r="G572" s="14" t="str">
        <f aca="false">IF(OR($D572="",$B572=""),"",INT(($B572-$D572)/365.25))</f>
        <v/>
      </c>
      <c r="H572" s="14" t="str">
        <f aca="false">IF($G572="","",IF($G572&lt;18,"Ha","Yo'q"))</f>
        <v/>
      </c>
      <c r="I572" s="12"/>
      <c r="J572" s="25"/>
      <c r="K572" s="25"/>
      <c r="L572" s="25"/>
      <c r="M572" s="12"/>
      <c r="N572" s="25"/>
      <c r="O572" s="25"/>
      <c r="P572" s="14" t="str">
        <f aca="false">IF($O572="","",IFERROR(VALUE(LEFT($O572,FIND(".",$O572)-1)),""))</f>
        <v/>
      </c>
      <c r="Q572" s="14" t="str">
        <f aca="false">IF($P572="","",IF($P572&lt;=7,"Shoshilinch",IF($P572&lt;=9,"Kechiktirib bo'lmaydigan",IF($P572&lt;=14,"Rejalashtirilgan","Rejali"))))</f>
        <v/>
      </c>
      <c r="R572" s="25"/>
      <c r="S572" s="14" t="str">
        <f aca="false">IF($K572&lt;&gt;"Kesarcha","",IF(OR($O572&lt;&gt;"",$R572="Ha"),"Ha","YO‘Q"))</f>
        <v/>
      </c>
      <c r="T572" s="12"/>
      <c r="U572" s="12"/>
      <c r="V572" s="14" t="str">
        <f aca="false">IF(OR($C572="",$D572="",$B572=""),"",IF(COUNTIFS($C$5:$C$604,$C572,$D$5:$D$604,$D572,$B$5:$B$604,$B572)&gt;1,"Takror",""))</f>
        <v/>
      </c>
    </row>
    <row r="573" customFormat="false" ht="15" hidden="false" customHeight="false" outlineLevel="0" collapsed="false">
      <c r="A573" s="8" t="n">
        <v>569</v>
      </c>
      <c r="B573" s="13"/>
      <c r="C573" s="12"/>
      <c r="D573" s="13"/>
      <c r="E573" s="24"/>
      <c r="F573" s="12"/>
      <c r="G573" s="14" t="str">
        <f aca="false">IF(OR($D573="",$B573=""),"",INT(($B573-$D573)/365.25))</f>
        <v/>
      </c>
      <c r="H573" s="14" t="str">
        <f aca="false">IF($G573="","",IF($G573&lt;18,"Ha","Yo'q"))</f>
        <v/>
      </c>
      <c r="I573" s="12"/>
      <c r="J573" s="25"/>
      <c r="K573" s="25"/>
      <c r="L573" s="25"/>
      <c r="M573" s="12"/>
      <c r="N573" s="25"/>
      <c r="O573" s="25"/>
      <c r="P573" s="14" t="str">
        <f aca="false">IF($O573="","",IFERROR(VALUE(LEFT($O573,FIND(".",$O573)-1)),""))</f>
        <v/>
      </c>
      <c r="Q573" s="14" t="str">
        <f aca="false">IF($P573="","",IF($P573&lt;=7,"Shoshilinch",IF($P573&lt;=9,"Kechiktirib bo'lmaydigan",IF($P573&lt;=14,"Rejalashtirilgan","Rejali"))))</f>
        <v/>
      </c>
      <c r="R573" s="25"/>
      <c r="S573" s="14" t="str">
        <f aca="false">IF($K573&lt;&gt;"Kesarcha","",IF(OR($O573&lt;&gt;"",$R573="Ha"),"Ha","YO‘Q"))</f>
        <v/>
      </c>
      <c r="T573" s="12"/>
      <c r="U573" s="12"/>
      <c r="V573" s="14" t="str">
        <f aca="false">IF(OR($C573="",$D573="",$B573=""),"",IF(COUNTIFS($C$5:$C$604,$C573,$D$5:$D$604,$D573,$B$5:$B$604,$B573)&gt;1,"Takror",""))</f>
        <v/>
      </c>
    </row>
    <row r="574" customFormat="false" ht="15" hidden="false" customHeight="false" outlineLevel="0" collapsed="false">
      <c r="A574" s="8" t="n">
        <v>570</v>
      </c>
      <c r="B574" s="13"/>
      <c r="C574" s="12"/>
      <c r="D574" s="13"/>
      <c r="E574" s="24"/>
      <c r="F574" s="12"/>
      <c r="G574" s="14" t="str">
        <f aca="false">IF(OR($D574="",$B574=""),"",INT(($B574-$D574)/365.25))</f>
        <v/>
      </c>
      <c r="H574" s="14" t="str">
        <f aca="false">IF($G574="","",IF($G574&lt;18,"Ha","Yo'q"))</f>
        <v/>
      </c>
      <c r="I574" s="12"/>
      <c r="J574" s="25"/>
      <c r="K574" s="25"/>
      <c r="L574" s="25"/>
      <c r="M574" s="12"/>
      <c r="N574" s="25"/>
      <c r="O574" s="25"/>
      <c r="P574" s="14" t="str">
        <f aca="false">IF($O574="","",IFERROR(VALUE(LEFT($O574,FIND(".",$O574)-1)),""))</f>
        <v/>
      </c>
      <c r="Q574" s="14" t="str">
        <f aca="false">IF($P574="","",IF($P574&lt;=7,"Shoshilinch",IF($P574&lt;=9,"Kechiktirib bo'lmaydigan",IF($P574&lt;=14,"Rejalashtirilgan","Rejali"))))</f>
        <v/>
      </c>
      <c r="R574" s="25"/>
      <c r="S574" s="14" t="str">
        <f aca="false">IF($K574&lt;&gt;"Kesarcha","",IF(OR($O574&lt;&gt;"",$R574="Ha"),"Ha","YO‘Q"))</f>
        <v/>
      </c>
      <c r="T574" s="12"/>
      <c r="U574" s="12"/>
      <c r="V574" s="14" t="str">
        <f aca="false">IF(OR($C574="",$D574="",$B574=""),"",IF(COUNTIFS($C$5:$C$604,$C574,$D$5:$D$604,$D574,$B$5:$B$604,$B574)&gt;1,"Takror",""))</f>
        <v/>
      </c>
    </row>
    <row r="575" customFormat="false" ht="15" hidden="false" customHeight="false" outlineLevel="0" collapsed="false">
      <c r="A575" s="8" t="n">
        <v>571</v>
      </c>
      <c r="B575" s="13"/>
      <c r="C575" s="12"/>
      <c r="D575" s="13"/>
      <c r="E575" s="24"/>
      <c r="F575" s="12"/>
      <c r="G575" s="14" t="str">
        <f aca="false">IF(OR($D575="",$B575=""),"",INT(($B575-$D575)/365.25))</f>
        <v/>
      </c>
      <c r="H575" s="14" t="str">
        <f aca="false">IF($G575="","",IF($G575&lt;18,"Ha","Yo'q"))</f>
        <v/>
      </c>
      <c r="I575" s="12"/>
      <c r="J575" s="25"/>
      <c r="K575" s="25"/>
      <c r="L575" s="25"/>
      <c r="M575" s="12"/>
      <c r="N575" s="25"/>
      <c r="O575" s="25"/>
      <c r="P575" s="14" t="str">
        <f aca="false">IF($O575="","",IFERROR(VALUE(LEFT($O575,FIND(".",$O575)-1)),""))</f>
        <v/>
      </c>
      <c r="Q575" s="14" t="str">
        <f aca="false">IF($P575="","",IF($P575&lt;=7,"Shoshilinch",IF($P575&lt;=9,"Kechiktirib bo'lmaydigan",IF($P575&lt;=14,"Rejalashtirilgan","Rejali"))))</f>
        <v/>
      </c>
      <c r="R575" s="25"/>
      <c r="S575" s="14" t="str">
        <f aca="false">IF($K575&lt;&gt;"Kesarcha","",IF(OR($O575&lt;&gt;"",$R575="Ha"),"Ha","YO‘Q"))</f>
        <v/>
      </c>
      <c r="T575" s="12"/>
      <c r="U575" s="12"/>
      <c r="V575" s="14" t="str">
        <f aca="false">IF(OR($C575="",$D575="",$B575=""),"",IF(COUNTIFS($C$5:$C$604,$C575,$D$5:$D$604,$D575,$B$5:$B$604,$B575)&gt;1,"Takror",""))</f>
        <v/>
      </c>
    </row>
    <row r="576" customFormat="false" ht="15" hidden="false" customHeight="false" outlineLevel="0" collapsed="false">
      <c r="A576" s="8" t="n">
        <v>572</v>
      </c>
      <c r="B576" s="13"/>
      <c r="C576" s="12"/>
      <c r="D576" s="13"/>
      <c r="E576" s="24"/>
      <c r="F576" s="12"/>
      <c r="G576" s="14" t="str">
        <f aca="false">IF(OR($D576="",$B576=""),"",INT(($B576-$D576)/365.25))</f>
        <v/>
      </c>
      <c r="H576" s="14" t="str">
        <f aca="false">IF($G576="","",IF($G576&lt;18,"Ha","Yo'q"))</f>
        <v/>
      </c>
      <c r="I576" s="12"/>
      <c r="J576" s="25"/>
      <c r="K576" s="25"/>
      <c r="L576" s="25"/>
      <c r="M576" s="12"/>
      <c r="N576" s="25"/>
      <c r="O576" s="25"/>
      <c r="P576" s="14" t="str">
        <f aca="false">IF($O576="","",IFERROR(VALUE(LEFT($O576,FIND(".",$O576)-1)),""))</f>
        <v/>
      </c>
      <c r="Q576" s="14" t="str">
        <f aca="false">IF($P576="","",IF($P576&lt;=7,"Shoshilinch",IF($P576&lt;=9,"Kechiktirib bo'lmaydigan",IF($P576&lt;=14,"Rejalashtirilgan","Rejali"))))</f>
        <v/>
      </c>
      <c r="R576" s="25"/>
      <c r="S576" s="14" t="str">
        <f aca="false">IF($K576&lt;&gt;"Kesarcha","",IF(OR($O576&lt;&gt;"",$R576="Ha"),"Ha","YO‘Q"))</f>
        <v/>
      </c>
      <c r="T576" s="12"/>
      <c r="U576" s="12"/>
      <c r="V576" s="14" t="str">
        <f aca="false">IF(OR($C576="",$D576="",$B576=""),"",IF(COUNTIFS($C$5:$C$604,$C576,$D$5:$D$604,$D576,$B$5:$B$604,$B576)&gt;1,"Takror",""))</f>
        <v/>
      </c>
    </row>
    <row r="577" customFormat="false" ht="15" hidden="false" customHeight="false" outlineLevel="0" collapsed="false">
      <c r="A577" s="8" t="n">
        <v>573</v>
      </c>
      <c r="B577" s="13"/>
      <c r="C577" s="12"/>
      <c r="D577" s="13"/>
      <c r="E577" s="24"/>
      <c r="F577" s="12"/>
      <c r="G577" s="14" t="str">
        <f aca="false">IF(OR($D577="",$B577=""),"",INT(($B577-$D577)/365.25))</f>
        <v/>
      </c>
      <c r="H577" s="14" t="str">
        <f aca="false">IF($G577="","",IF($G577&lt;18,"Ha","Yo'q"))</f>
        <v/>
      </c>
      <c r="I577" s="12"/>
      <c r="J577" s="25"/>
      <c r="K577" s="25"/>
      <c r="L577" s="25"/>
      <c r="M577" s="12"/>
      <c r="N577" s="25"/>
      <c r="O577" s="25"/>
      <c r="P577" s="14" t="str">
        <f aca="false">IF($O577="","",IFERROR(VALUE(LEFT($O577,FIND(".",$O577)-1)),""))</f>
        <v/>
      </c>
      <c r="Q577" s="14" t="str">
        <f aca="false">IF($P577="","",IF($P577&lt;=7,"Shoshilinch",IF($P577&lt;=9,"Kechiktirib bo'lmaydigan",IF($P577&lt;=14,"Rejalashtirilgan","Rejali"))))</f>
        <v/>
      </c>
      <c r="R577" s="25"/>
      <c r="S577" s="14" t="str">
        <f aca="false">IF($K577&lt;&gt;"Kesarcha","",IF(OR($O577&lt;&gt;"",$R577="Ha"),"Ha","YO‘Q"))</f>
        <v/>
      </c>
      <c r="T577" s="12"/>
      <c r="U577" s="12"/>
      <c r="V577" s="14" t="str">
        <f aca="false">IF(OR($C577="",$D577="",$B577=""),"",IF(COUNTIFS($C$5:$C$604,$C577,$D$5:$D$604,$D577,$B$5:$B$604,$B577)&gt;1,"Takror",""))</f>
        <v/>
      </c>
    </row>
    <row r="578" customFormat="false" ht="15" hidden="false" customHeight="false" outlineLevel="0" collapsed="false">
      <c r="A578" s="8" t="n">
        <v>574</v>
      </c>
      <c r="B578" s="13"/>
      <c r="C578" s="12"/>
      <c r="D578" s="13"/>
      <c r="E578" s="24"/>
      <c r="F578" s="12"/>
      <c r="G578" s="14" t="str">
        <f aca="false">IF(OR($D578="",$B578=""),"",INT(($B578-$D578)/365.25))</f>
        <v/>
      </c>
      <c r="H578" s="14" t="str">
        <f aca="false">IF($G578="","",IF($G578&lt;18,"Ha","Yo'q"))</f>
        <v/>
      </c>
      <c r="I578" s="12"/>
      <c r="J578" s="25"/>
      <c r="K578" s="25"/>
      <c r="L578" s="25"/>
      <c r="M578" s="12"/>
      <c r="N578" s="25"/>
      <c r="O578" s="25"/>
      <c r="P578" s="14" t="str">
        <f aca="false">IF($O578="","",IFERROR(VALUE(LEFT($O578,FIND(".",$O578)-1)),""))</f>
        <v/>
      </c>
      <c r="Q578" s="14" t="str">
        <f aca="false">IF($P578="","",IF($P578&lt;=7,"Shoshilinch",IF($P578&lt;=9,"Kechiktirib bo'lmaydigan",IF($P578&lt;=14,"Rejalashtirilgan","Rejali"))))</f>
        <v/>
      </c>
      <c r="R578" s="25"/>
      <c r="S578" s="14" t="str">
        <f aca="false">IF($K578&lt;&gt;"Kesarcha","",IF(OR($O578&lt;&gt;"",$R578="Ha"),"Ha","YO‘Q"))</f>
        <v/>
      </c>
      <c r="T578" s="12"/>
      <c r="U578" s="12"/>
      <c r="V578" s="14" t="str">
        <f aca="false">IF(OR($C578="",$D578="",$B578=""),"",IF(COUNTIFS($C$5:$C$604,$C578,$D$5:$D$604,$D578,$B$5:$B$604,$B578)&gt;1,"Takror",""))</f>
        <v/>
      </c>
    </row>
    <row r="579" customFormat="false" ht="15" hidden="false" customHeight="false" outlineLevel="0" collapsed="false">
      <c r="A579" s="8" t="n">
        <v>575</v>
      </c>
      <c r="B579" s="13"/>
      <c r="C579" s="12"/>
      <c r="D579" s="13"/>
      <c r="E579" s="24"/>
      <c r="F579" s="12"/>
      <c r="G579" s="14" t="str">
        <f aca="false">IF(OR($D579="",$B579=""),"",INT(($B579-$D579)/365.25))</f>
        <v/>
      </c>
      <c r="H579" s="14" t="str">
        <f aca="false">IF($G579="","",IF($G579&lt;18,"Ha","Yo'q"))</f>
        <v/>
      </c>
      <c r="I579" s="12"/>
      <c r="J579" s="25"/>
      <c r="K579" s="25"/>
      <c r="L579" s="25"/>
      <c r="M579" s="12"/>
      <c r="N579" s="25"/>
      <c r="O579" s="25"/>
      <c r="P579" s="14" t="str">
        <f aca="false">IF($O579="","",IFERROR(VALUE(LEFT($O579,FIND(".",$O579)-1)),""))</f>
        <v/>
      </c>
      <c r="Q579" s="14" t="str">
        <f aca="false">IF($P579="","",IF($P579&lt;=7,"Shoshilinch",IF($P579&lt;=9,"Kechiktirib bo'lmaydigan",IF($P579&lt;=14,"Rejalashtirilgan","Rejali"))))</f>
        <v/>
      </c>
      <c r="R579" s="25"/>
      <c r="S579" s="14" t="str">
        <f aca="false">IF($K579&lt;&gt;"Kesarcha","",IF(OR($O579&lt;&gt;"",$R579="Ha"),"Ha","YO‘Q"))</f>
        <v/>
      </c>
      <c r="T579" s="12"/>
      <c r="U579" s="12"/>
      <c r="V579" s="14" t="str">
        <f aca="false">IF(OR($C579="",$D579="",$B579=""),"",IF(COUNTIFS($C$5:$C$604,$C579,$D$5:$D$604,$D579,$B$5:$B$604,$B579)&gt;1,"Takror",""))</f>
        <v/>
      </c>
    </row>
    <row r="580" customFormat="false" ht="15" hidden="false" customHeight="false" outlineLevel="0" collapsed="false">
      <c r="A580" s="8" t="n">
        <v>576</v>
      </c>
      <c r="B580" s="13"/>
      <c r="C580" s="12"/>
      <c r="D580" s="13"/>
      <c r="E580" s="24"/>
      <c r="F580" s="12"/>
      <c r="G580" s="14" t="str">
        <f aca="false">IF(OR($D580="",$B580=""),"",INT(($B580-$D580)/365.25))</f>
        <v/>
      </c>
      <c r="H580" s="14" t="str">
        <f aca="false">IF($G580="","",IF($G580&lt;18,"Ha","Yo'q"))</f>
        <v/>
      </c>
      <c r="I580" s="12"/>
      <c r="J580" s="25"/>
      <c r="K580" s="25"/>
      <c r="L580" s="25"/>
      <c r="M580" s="12"/>
      <c r="N580" s="25"/>
      <c r="O580" s="25"/>
      <c r="P580" s="14" t="str">
        <f aca="false">IF($O580="","",IFERROR(VALUE(LEFT($O580,FIND(".",$O580)-1)),""))</f>
        <v/>
      </c>
      <c r="Q580" s="14" t="str">
        <f aca="false">IF($P580="","",IF($P580&lt;=7,"Shoshilinch",IF($P580&lt;=9,"Kechiktirib bo'lmaydigan",IF($P580&lt;=14,"Rejalashtirilgan","Rejali"))))</f>
        <v/>
      </c>
      <c r="R580" s="25"/>
      <c r="S580" s="14" t="str">
        <f aca="false">IF($K580&lt;&gt;"Kesarcha","",IF(OR($O580&lt;&gt;"",$R580="Ha"),"Ha","YO‘Q"))</f>
        <v/>
      </c>
      <c r="T580" s="12"/>
      <c r="U580" s="12"/>
      <c r="V580" s="14" t="str">
        <f aca="false">IF(OR($C580="",$D580="",$B580=""),"",IF(COUNTIFS($C$5:$C$604,$C580,$D$5:$D$604,$D580,$B$5:$B$604,$B580)&gt;1,"Takror",""))</f>
        <v/>
      </c>
    </row>
    <row r="581" customFormat="false" ht="15" hidden="false" customHeight="false" outlineLevel="0" collapsed="false">
      <c r="A581" s="8" t="n">
        <v>577</v>
      </c>
      <c r="B581" s="13"/>
      <c r="C581" s="12"/>
      <c r="D581" s="13"/>
      <c r="E581" s="24"/>
      <c r="F581" s="12"/>
      <c r="G581" s="14" t="str">
        <f aca="false">IF(OR($D581="",$B581=""),"",INT(($B581-$D581)/365.25))</f>
        <v/>
      </c>
      <c r="H581" s="14" t="str">
        <f aca="false">IF($G581="","",IF($G581&lt;18,"Ha","Yo'q"))</f>
        <v/>
      </c>
      <c r="I581" s="12"/>
      <c r="J581" s="25"/>
      <c r="K581" s="25"/>
      <c r="L581" s="25"/>
      <c r="M581" s="12"/>
      <c r="N581" s="25"/>
      <c r="O581" s="25"/>
      <c r="P581" s="14" t="str">
        <f aca="false">IF($O581="","",IFERROR(VALUE(LEFT($O581,FIND(".",$O581)-1)),""))</f>
        <v/>
      </c>
      <c r="Q581" s="14" t="str">
        <f aca="false">IF($P581="","",IF($P581&lt;=7,"Shoshilinch",IF($P581&lt;=9,"Kechiktirib bo'lmaydigan",IF($P581&lt;=14,"Rejalashtirilgan","Rejali"))))</f>
        <v/>
      </c>
      <c r="R581" s="25"/>
      <c r="S581" s="14" t="str">
        <f aca="false">IF($K581&lt;&gt;"Kesarcha","",IF(OR($O581&lt;&gt;"",$R581="Ha"),"Ha","YO‘Q"))</f>
        <v/>
      </c>
      <c r="T581" s="12"/>
      <c r="U581" s="12"/>
      <c r="V581" s="14" t="str">
        <f aca="false">IF(OR($C581="",$D581="",$B581=""),"",IF(COUNTIFS($C$5:$C$604,$C581,$D$5:$D$604,$D581,$B$5:$B$604,$B581)&gt;1,"Takror",""))</f>
        <v/>
      </c>
    </row>
    <row r="582" customFormat="false" ht="15" hidden="false" customHeight="false" outlineLevel="0" collapsed="false">
      <c r="A582" s="8" t="n">
        <v>578</v>
      </c>
      <c r="B582" s="13"/>
      <c r="C582" s="12"/>
      <c r="D582" s="13"/>
      <c r="E582" s="24"/>
      <c r="F582" s="12"/>
      <c r="G582" s="14" t="str">
        <f aca="false">IF(OR($D582="",$B582=""),"",INT(($B582-$D582)/365.25))</f>
        <v/>
      </c>
      <c r="H582" s="14" t="str">
        <f aca="false">IF($G582="","",IF($G582&lt;18,"Ha","Yo'q"))</f>
        <v/>
      </c>
      <c r="I582" s="12"/>
      <c r="J582" s="25"/>
      <c r="K582" s="25"/>
      <c r="L582" s="25"/>
      <c r="M582" s="12"/>
      <c r="N582" s="25"/>
      <c r="O582" s="25"/>
      <c r="P582" s="14" t="str">
        <f aca="false">IF($O582="","",IFERROR(VALUE(LEFT($O582,FIND(".",$O582)-1)),""))</f>
        <v/>
      </c>
      <c r="Q582" s="14" t="str">
        <f aca="false">IF($P582="","",IF($P582&lt;=7,"Shoshilinch",IF($P582&lt;=9,"Kechiktirib bo'lmaydigan",IF($P582&lt;=14,"Rejalashtirilgan","Rejali"))))</f>
        <v/>
      </c>
      <c r="R582" s="25"/>
      <c r="S582" s="14" t="str">
        <f aca="false">IF($K582&lt;&gt;"Kesarcha","",IF(OR($O582&lt;&gt;"",$R582="Ha"),"Ha","YO‘Q"))</f>
        <v/>
      </c>
      <c r="T582" s="12"/>
      <c r="U582" s="12"/>
      <c r="V582" s="14" t="str">
        <f aca="false">IF(OR($C582="",$D582="",$B582=""),"",IF(COUNTIFS($C$5:$C$604,$C582,$D$5:$D$604,$D582,$B$5:$B$604,$B582)&gt;1,"Takror",""))</f>
        <v/>
      </c>
    </row>
    <row r="583" customFormat="false" ht="15" hidden="false" customHeight="false" outlineLevel="0" collapsed="false">
      <c r="A583" s="8" t="n">
        <v>579</v>
      </c>
      <c r="B583" s="13"/>
      <c r="C583" s="12"/>
      <c r="D583" s="13"/>
      <c r="E583" s="24"/>
      <c r="F583" s="12"/>
      <c r="G583" s="14" t="str">
        <f aca="false">IF(OR($D583="",$B583=""),"",INT(($B583-$D583)/365.25))</f>
        <v/>
      </c>
      <c r="H583" s="14" t="str">
        <f aca="false">IF($G583="","",IF($G583&lt;18,"Ha","Yo'q"))</f>
        <v/>
      </c>
      <c r="I583" s="12"/>
      <c r="J583" s="25"/>
      <c r="K583" s="25"/>
      <c r="L583" s="25"/>
      <c r="M583" s="12"/>
      <c r="N583" s="25"/>
      <c r="O583" s="25"/>
      <c r="P583" s="14" t="str">
        <f aca="false">IF($O583="","",IFERROR(VALUE(LEFT($O583,FIND(".",$O583)-1)),""))</f>
        <v/>
      </c>
      <c r="Q583" s="14" t="str">
        <f aca="false">IF($P583="","",IF($P583&lt;=7,"Shoshilinch",IF($P583&lt;=9,"Kechiktirib bo'lmaydigan",IF($P583&lt;=14,"Rejalashtirilgan","Rejali"))))</f>
        <v/>
      </c>
      <c r="R583" s="25"/>
      <c r="S583" s="14" t="str">
        <f aca="false">IF($K583&lt;&gt;"Kesarcha","",IF(OR($O583&lt;&gt;"",$R583="Ha"),"Ha","YO‘Q"))</f>
        <v/>
      </c>
      <c r="T583" s="12"/>
      <c r="U583" s="12"/>
      <c r="V583" s="14" t="str">
        <f aca="false">IF(OR($C583="",$D583="",$B583=""),"",IF(COUNTIFS($C$5:$C$604,$C583,$D$5:$D$604,$D583,$B$5:$B$604,$B583)&gt;1,"Takror",""))</f>
        <v/>
      </c>
    </row>
    <row r="584" customFormat="false" ht="15" hidden="false" customHeight="false" outlineLevel="0" collapsed="false">
      <c r="A584" s="8" t="n">
        <v>580</v>
      </c>
      <c r="B584" s="13"/>
      <c r="C584" s="12"/>
      <c r="D584" s="13"/>
      <c r="E584" s="24"/>
      <c r="F584" s="12"/>
      <c r="G584" s="14" t="str">
        <f aca="false">IF(OR($D584="",$B584=""),"",INT(($B584-$D584)/365.25))</f>
        <v/>
      </c>
      <c r="H584" s="14" t="str">
        <f aca="false">IF($G584="","",IF($G584&lt;18,"Ha","Yo'q"))</f>
        <v/>
      </c>
      <c r="I584" s="12"/>
      <c r="J584" s="25"/>
      <c r="K584" s="25"/>
      <c r="L584" s="25"/>
      <c r="M584" s="12"/>
      <c r="N584" s="25"/>
      <c r="O584" s="25"/>
      <c r="P584" s="14" t="str">
        <f aca="false">IF($O584="","",IFERROR(VALUE(LEFT($O584,FIND(".",$O584)-1)),""))</f>
        <v/>
      </c>
      <c r="Q584" s="14" t="str">
        <f aca="false">IF($P584="","",IF($P584&lt;=7,"Shoshilinch",IF($P584&lt;=9,"Kechiktirib bo'lmaydigan",IF($P584&lt;=14,"Rejalashtirilgan","Rejali"))))</f>
        <v/>
      </c>
      <c r="R584" s="25"/>
      <c r="S584" s="14" t="str">
        <f aca="false">IF($K584&lt;&gt;"Kesarcha","",IF(OR($O584&lt;&gt;"",$R584="Ha"),"Ha","YO‘Q"))</f>
        <v/>
      </c>
      <c r="T584" s="12"/>
      <c r="U584" s="12"/>
      <c r="V584" s="14" t="str">
        <f aca="false">IF(OR($C584="",$D584="",$B584=""),"",IF(COUNTIFS($C$5:$C$604,$C584,$D$5:$D$604,$D584,$B$5:$B$604,$B584)&gt;1,"Takror",""))</f>
        <v/>
      </c>
    </row>
    <row r="585" customFormat="false" ht="15" hidden="false" customHeight="false" outlineLevel="0" collapsed="false">
      <c r="A585" s="8" t="n">
        <v>581</v>
      </c>
      <c r="B585" s="13"/>
      <c r="C585" s="12"/>
      <c r="D585" s="13"/>
      <c r="E585" s="24"/>
      <c r="F585" s="12"/>
      <c r="G585" s="14" t="str">
        <f aca="false">IF(OR($D585="",$B585=""),"",INT(($B585-$D585)/365.25))</f>
        <v/>
      </c>
      <c r="H585" s="14" t="str">
        <f aca="false">IF($G585="","",IF($G585&lt;18,"Ha","Yo'q"))</f>
        <v/>
      </c>
      <c r="I585" s="12"/>
      <c r="J585" s="25"/>
      <c r="K585" s="25"/>
      <c r="L585" s="25"/>
      <c r="M585" s="12"/>
      <c r="N585" s="25"/>
      <c r="O585" s="25"/>
      <c r="P585" s="14" t="str">
        <f aca="false">IF($O585="","",IFERROR(VALUE(LEFT($O585,FIND(".",$O585)-1)),""))</f>
        <v/>
      </c>
      <c r="Q585" s="14" t="str">
        <f aca="false">IF($P585="","",IF($P585&lt;=7,"Shoshilinch",IF($P585&lt;=9,"Kechiktirib bo'lmaydigan",IF($P585&lt;=14,"Rejalashtirilgan","Rejali"))))</f>
        <v/>
      </c>
      <c r="R585" s="25"/>
      <c r="S585" s="14" t="str">
        <f aca="false">IF($K585&lt;&gt;"Kesarcha","",IF(OR($O585&lt;&gt;"",$R585="Ha"),"Ha","YO‘Q"))</f>
        <v/>
      </c>
      <c r="T585" s="12"/>
      <c r="U585" s="12"/>
      <c r="V585" s="14" t="str">
        <f aca="false">IF(OR($C585="",$D585="",$B585=""),"",IF(COUNTIFS($C$5:$C$604,$C585,$D$5:$D$604,$D585,$B$5:$B$604,$B585)&gt;1,"Takror",""))</f>
        <v/>
      </c>
    </row>
    <row r="586" customFormat="false" ht="15" hidden="false" customHeight="false" outlineLevel="0" collapsed="false">
      <c r="A586" s="8" t="n">
        <v>582</v>
      </c>
      <c r="B586" s="13"/>
      <c r="C586" s="12"/>
      <c r="D586" s="13"/>
      <c r="E586" s="24"/>
      <c r="F586" s="12"/>
      <c r="G586" s="14" t="str">
        <f aca="false">IF(OR($D586="",$B586=""),"",INT(($B586-$D586)/365.25))</f>
        <v/>
      </c>
      <c r="H586" s="14" t="str">
        <f aca="false">IF($G586="","",IF($G586&lt;18,"Ha","Yo'q"))</f>
        <v/>
      </c>
      <c r="I586" s="12"/>
      <c r="J586" s="25"/>
      <c r="K586" s="25"/>
      <c r="L586" s="25"/>
      <c r="M586" s="12"/>
      <c r="N586" s="25"/>
      <c r="O586" s="25"/>
      <c r="P586" s="14" t="str">
        <f aca="false">IF($O586="","",IFERROR(VALUE(LEFT($O586,FIND(".",$O586)-1)),""))</f>
        <v/>
      </c>
      <c r="Q586" s="14" t="str">
        <f aca="false">IF($P586="","",IF($P586&lt;=7,"Shoshilinch",IF($P586&lt;=9,"Kechiktirib bo'lmaydigan",IF($P586&lt;=14,"Rejalashtirilgan","Rejali"))))</f>
        <v/>
      </c>
      <c r="R586" s="25"/>
      <c r="S586" s="14" t="str">
        <f aca="false">IF($K586&lt;&gt;"Kesarcha","",IF(OR($O586&lt;&gt;"",$R586="Ha"),"Ha","YO‘Q"))</f>
        <v/>
      </c>
      <c r="T586" s="12"/>
      <c r="U586" s="12"/>
      <c r="V586" s="14" t="str">
        <f aca="false">IF(OR($C586="",$D586="",$B586=""),"",IF(COUNTIFS($C$5:$C$604,$C586,$D$5:$D$604,$D586,$B$5:$B$604,$B586)&gt;1,"Takror",""))</f>
        <v/>
      </c>
    </row>
    <row r="587" customFormat="false" ht="15" hidden="false" customHeight="false" outlineLevel="0" collapsed="false">
      <c r="A587" s="8" t="n">
        <v>583</v>
      </c>
      <c r="B587" s="13"/>
      <c r="C587" s="12"/>
      <c r="D587" s="13"/>
      <c r="E587" s="24"/>
      <c r="F587" s="12"/>
      <c r="G587" s="14" t="str">
        <f aca="false">IF(OR($D587="",$B587=""),"",INT(($B587-$D587)/365.25))</f>
        <v/>
      </c>
      <c r="H587" s="14" t="str">
        <f aca="false">IF($G587="","",IF($G587&lt;18,"Ha","Yo'q"))</f>
        <v/>
      </c>
      <c r="I587" s="12"/>
      <c r="J587" s="25"/>
      <c r="K587" s="25"/>
      <c r="L587" s="25"/>
      <c r="M587" s="12"/>
      <c r="N587" s="25"/>
      <c r="O587" s="25"/>
      <c r="P587" s="14" t="str">
        <f aca="false">IF($O587="","",IFERROR(VALUE(LEFT($O587,FIND(".",$O587)-1)),""))</f>
        <v/>
      </c>
      <c r="Q587" s="14" t="str">
        <f aca="false">IF($P587="","",IF($P587&lt;=7,"Shoshilinch",IF($P587&lt;=9,"Kechiktirib bo'lmaydigan",IF($P587&lt;=14,"Rejalashtirilgan","Rejali"))))</f>
        <v/>
      </c>
      <c r="R587" s="25"/>
      <c r="S587" s="14" t="str">
        <f aca="false">IF($K587&lt;&gt;"Kesarcha","",IF(OR($O587&lt;&gt;"",$R587="Ha"),"Ha","YO‘Q"))</f>
        <v/>
      </c>
      <c r="T587" s="12"/>
      <c r="U587" s="12"/>
      <c r="V587" s="14" t="str">
        <f aca="false">IF(OR($C587="",$D587="",$B587=""),"",IF(COUNTIFS($C$5:$C$604,$C587,$D$5:$D$604,$D587,$B$5:$B$604,$B587)&gt;1,"Takror",""))</f>
        <v/>
      </c>
    </row>
    <row r="588" customFormat="false" ht="15" hidden="false" customHeight="false" outlineLevel="0" collapsed="false">
      <c r="A588" s="8" t="n">
        <v>584</v>
      </c>
      <c r="B588" s="13"/>
      <c r="C588" s="12"/>
      <c r="D588" s="13"/>
      <c r="E588" s="24"/>
      <c r="F588" s="12"/>
      <c r="G588" s="14" t="str">
        <f aca="false">IF(OR($D588="",$B588=""),"",INT(($B588-$D588)/365.25))</f>
        <v/>
      </c>
      <c r="H588" s="14" t="str">
        <f aca="false">IF($G588="","",IF($G588&lt;18,"Ha","Yo'q"))</f>
        <v/>
      </c>
      <c r="I588" s="12"/>
      <c r="J588" s="25"/>
      <c r="K588" s="25"/>
      <c r="L588" s="25"/>
      <c r="M588" s="12"/>
      <c r="N588" s="25"/>
      <c r="O588" s="25"/>
      <c r="P588" s="14" t="str">
        <f aca="false">IF($O588="","",IFERROR(VALUE(LEFT($O588,FIND(".",$O588)-1)),""))</f>
        <v/>
      </c>
      <c r="Q588" s="14" t="str">
        <f aca="false">IF($P588="","",IF($P588&lt;=7,"Shoshilinch",IF($P588&lt;=9,"Kechiktirib bo'lmaydigan",IF($P588&lt;=14,"Rejalashtirilgan","Rejali"))))</f>
        <v/>
      </c>
      <c r="R588" s="25"/>
      <c r="S588" s="14" t="str">
        <f aca="false">IF($K588&lt;&gt;"Kesarcha","",IF(OR($O588&lt;&gt;"",$R588="Ha"),"Ha","YO‘Q"))</f>
        <v/>
      </c>
      <c r="T588" s="12"/>
      <c r="U588" s="12"/>
      <c r="V588" s="14" t="str">
        <f aca="false">IF(OR($C588="",$D588="",$B588=""),"",IF(COUNTIFS($C$5:$C$604,$C588,$D$5:$D$604,$D588,$B$5:$B$604,$B588)&gt;1,"Takror",""))</f>
        <v/>
      </c>
    </row>
    <row r="589" customFormat="false" ht="15" hidden="false" customHeight="false" outlineLevel="0" collapsed="false">
      <c r="A589" s="8" t="n">
        <v>585</v>
      </c>
      <c r="B589" s="13"/>
      <c r="C589" s="12"/>
      <c r="D589" s="13"/>
      <c r="E589" s="24"/>
      <c r="F589" s="12"/>
      <c r="G589" s="14" t="str">
        <f aca="false">IF(OR($D589="",$B589=""),"",INT(($B589-$D589)/365.25))</f>
        <v/>
      </c>
      <c r="H589" s="14" t="str">
        <f aca="false">IF($G589="","",IF($G589&lt;18,"Ha","Yo'q"))</f>
        <v/>
      </c>
      <c r="I589" s="12"/>
      <c r="J589" s="25"/>
      <c r="K589" s="25"/>
      <c r="L589" s="25"/>
      <c r="M589" s="12"/>
      <c r="N589" s="25"/>
      <c r="O589" s="25"/>
      <c r="P589" s="14" t="str">
        <f aca="false">IF($O589="","",IFERROR(VALUE(LEFT($O589,FIND(".",$O589)-1)),""))</f>
        <v/>
      </c>
      <c r="Q589" s="14" t="str">
        <f aca="false">IF($P589="","",IF($P589&lt;=7,"Shoshilinch",IF($P589&lt;=9,"Kechiktirib bo'lmaydigan",IF($P589&lt;=14,"Rejalashtirilgan","Rejali"))))</f>
        <v/>
      </c>
      <c r="R589" s="25"/>
      <c r="S589" s="14" t="str">
        <f aca="false">IF($K589&lt;&gt;"Kesarcha","",IF(OR($O589&lt;&gt;"",$R589="Ha"),"Ha","YO‘Q"))</f>
        <v/>
      </c>
      <c r="T589" s="12"/>
      <c r="U589" s="12"/>
      <c r="V589" s="14" t="str">
        <f aca="false">IF(OR($C589="",$D589="",$B589=""),"",IF(COUNTIFS($C$5:$C$604,$C589,$D$5:$D$604,$D589,$B$5:$B$604,$B589)&gt;1,"Takror",""))</f>
        <v/>
      </c>
    </row>
    <row r="590" customFormat="false" ht="15" hidden="false" customHeight="false" outlineLevel="0" collapsed="false">
      <c r="A590" s="8" t="n">
        <v>586</v>
      </c>
      <c r="B590" s="13"/>
      <c r="C590" s="12"/>
      <c r="D590" s="13"/>
      <c r="E590" s="24"/>
      <c r="F590" s="12"/>
      <c r="G590" s="14" t="str">
        <f aca="false">IF(OR($D590="",$B590=""),"",INT(($B590-$D590)/365.25))</f>
        <v/>
      </c>
      <c r="H590" s="14" t="str">
        <f aca="false">IF($G590="","",IF($G590&lt;18,"Ha","Yo'q"))</f>
        <v/>
      </c>
      <c r="I590" s="12"/>
      <c r="J590" s="25"/>
      <c r="K590" s="25"/>
      <c r="L590" s="25"/>
      <c r="M590" s="12"/>
      <c r="N590" s="25"/>
      <c r="O590" s="25"/>
      <c r="P590" s="14" t="str">
        <f aca="false">IF($O590="","",IFERROR(VALUE(LEFT($O590,FIND(".",$O590)-1)),""))</f>
        <v/>
      </c>
      <c r="Q590" s="14" t="str">
        <f aca="false">IF($P590="","",IF($P590&lt;=7,"Shoshilinch",IF($P590&lt;=9,"Kechiktirib bo'lmaydigan",IF($P590&lt;=14,"Rejalashtirilgan","Rejali"))))</f>
        <v/>
      </c>
      <c r="R590" s="25"/>
      <c r="S590" s="14" t="str">
        <f aca="false">IF($K590&lt;&gt;"Kesarcha","",IF(OR($O590&lt;&gt;"",$R590="Ha"),"Ha","YO‘Q"))</f>
        <v/>
      </c>
      <c r="T590" s="12"/>
      <c r="U590" s="12"/>
      <c r="V590" s="14" t="str">
        <f aca="false">IF(OR($C590="",$D590="",$B590=""),"",IF(COUNTIFS($C$5:$C$604,$C590,$D$5:$D$604,$D590,$B$5:$B$604,$B590)&gt;1,"Takror",""))</f>
        <v/>
      </c>
    </row>
    <row r="591" customFormat="false" ht="15" hidden="false" customHeight="false" outlineLevel="0" collapsed="false">
      <c r="A591" s="8" t="n">
        <v>587</v>
      </c>
      <c r="B591" s="13"/>
      <c r="C591" s="12"/>
      <c r="D591" s="13"/>
      <c r="E591" s="24"/>
      <c r="F591" s="12"/>
      <c r="G591" s="14" t="str">
        <f aca="false">IF(OR($D591="",$B591=""),"",INT(($B591-$D591)/365.25))</f>
        <v/>
      </c>
      <c r="H591" s="14" t="str">
        <f aca="false">IF($G591="","",IF($G591&lt;18,"Ha","Yo'q"))</f>
        <v/>
      </c>
      <c r="I591" s="12"/>
      <c r="J591" s="25"/>
      <c r="K591" s="25"/>
      <c r="L591" s="25"/>
      <c r="M591" s="12"/>
      <c r="N591" s="25"/>
      <c r="O591" s="25"/>
      <c r="P591" s="14" t="str">
        <f aca="false">IF($O591="","",IFERROR(VALUE(LEFT($O591,FIND(".",$O591)-1)),""))</f>
        <v/>
      </c>
      <c r="Q591" s="14" t="str">
        <f aca="false">IF($P591="","",IF($P591&lt;=7,"Shoshilinch",IF($P591&lt;=9,"Kechiktirib bo'lmaydigan",IF($P591&lt;=14,"Rejalashtirilgan","Rejali"))))</f>
        <v/>
      </c>
      <c r="R591" s="25"/>
      <c r="S591" s="14" t="str">
        <f aca="false">IF($K591&lt;&gt;"Kesarcha","",IF(OR($O591&lt;&gt;"",$R591="Ha"),"Ha","YO‘Q"))</f>
        <v/>
      </c>
      <c r="T591" s="12"/>
      <c r="U591" s="12"/>
      <c r="V591" s="14" t="str">
        <f aca="false">IF(OR($C591="",$D591="",$B591=""),"",IF(COUNTIFS($C$5:$C$604,$C591,$D$5:$D$604,$D591,$B$5:$B$604,$B591)&gt;1,"Takror",""))</f>
        <v/>
      </c>
    </row>
    <row r="592" customFormat="false" ht="15" hidden="false" customHeight="false" outlineLevel="0" collapsed="false">
      <c r="A592" s="8" t="n">
        <v>588</v>
      </c>
      <c r="B592" s="13"/>
      <c r="C592" s="12"/>
      <c r="D592" s="13"/>
      <c r="E592" s="24"/>
      <c r="F592" s="12"/>
      <c r="G592" s="14" t="str">
        <f aca="false">IF(OR($D592="",$B592=""),"",INT(($B592-$D592)/365.25))</f>
        <v/>
      </c>
      <c r="H592" s="14" t="str">
        <f aca="false">IF($G592="","",IF($G592&lt;18,"Ha","Yo'q"))</f>
        <v/>
      </c>
      <c r="I592" s="12"/>
      <c r="J592" s="25"/>
      <c r="K592" s="25"/>
      <c r="L592" s="25"/>
      <c r="M592" s="12"/>
      <c r="N592" s="25"/>
      <c r="O592" s="25"/>
      <c r="P592" s="14" t="str">
        <f aca="false">IF($O592="","",IFERROR(VALUE(LEFT($O592,FIND(".",$O592)-1)),""))</f>
        <v/>
      </c>
      <c r="Q592" s="14" t="str">
        <f aca="false">IF($P592="","",IF($P592&lt;=7,"Shoshilinch",IF($P592&lt;=9,"Kechiktirib bo'lmaydigan",IF($P592&lt;=14,"Rejalashtirilgan","Rejali"))))</f>
        <v/>
      </c>
      <c r="R592" s="25"/>
      <c r="S592" s="14" t="str">
        <f aca="false">IF($K592&lt;&gt;"Kesarcha","",IF(OR($O592&lt;&gt;"",$R592="Ha"),"Ha","YO‘Q"))</f>
        <v/>
      </c>
      <c r="T592" s="12"/>
      <c r="U592" s="12"/>
      <c r="V592" s="14" t="str">
        <f aca="false">IF(OR($C592="",$D592="",$B592=""),"",IF(COUNTIFS($C$5:$C$604,$C592,$D$5:$D$604,$D592,$B$5:$B$604,$B592)&gt;1,"Takror",""))</f>
        <v/>
      </c>
    </row>
    <row r="593" customFormat="false" ht="15" hidden="false" customHeight="false" outlineLevel="0" collapsed="false">
      <c r="A593" s="8" t="n">
        <v>589</v>
      </c>
      <c r="B593" s="13"/>
      <c r="C593" s="12"/>
      <c r="D593" s="13"/>
      <c r="E593" s="24"/>
      <c r="F593" s="12"/>
      <c r="G593" s="14" t="str">
        <f aca="false">IF(OR($D593="",$B593=""),"",INT(($B593-$D593)/365.25))</f>
        <v/>
      </c>
      <c r="H593" s="14" t="str">
        <f aca="false">IF($G593="","",IF($G593&lt;18,"Ha","Yo'q"))</f>
        <v/>
      </c>
      <c r="I593" s="12"/>
      <c r="J593" s="25"/>
      <c r="K593" s="25"/>
      <c r="L593" s="25"/>
      <c r="M593" s="12"/>
      <c r="N593" s="25"/>
      <c r="O593" s="25"/>
      <c r="P593" s="14" t="str">
        <f aca="false">IF($O593="","",IFERROR(VALUE(LEFT($O593,FIND(".",$O593)-1)),""))</f>
        <v/>
      </c>
      <c r="Q593" s="14" t="str">
        <f aca="false">IF($P593="","",IF($P593&lt;=7,"Shoshilinch",IF($P593&lt;=9,"Kechiktirib bo'lmaydigan",IF($P593&lt;=14,"Rejalashtirilgan","Rejali"))))</f>
        <v/>
      </c>
      <c r="R593" s="25"/>
      <c r="S593" s="14" t="str">
        <f aca="false">IF($K593&lt;&gt;"Kesarcha","",IF(OR($O593&lt;&gt;"",$R593="Ha"),"Ha","YO‘Q"))</f>
        <v/>
      </c>
      <c r="T593" s="12"/>
      <c r="U593" s="12"/>
      <c r="V593" s="14" t="str">
        <f aca="false">IF(OR($C593="",$D593="",$B593=""),"",IF(COUNTIFS($C$5:$C$604,$C593,$D$5:$D$604,$D593,$B$5:$B$604,$B593)&gt;1,"Takror",""))</f>
        <v/>
      </c>
    </row>
    <row r="594" customFormat="false" ht="15" hidden="false" customHeight="false" outlineLevel="0" collapsed="false">
      <c r="A594" s="8" t="n">
        <v>590</v>
      </c>
      <c r="B594" s="13"/>
      <c r="C594" s="12"/>
      <c r="D594" s="13"/>
      <c r="E594" s="24"/>
      <c r="F594" s="12"/>
      <c r="G594" s="14" t="str">
        <f aca="false">IF(OR($D594="",$B594=""),"",INT(($B594-$D594)/365.25))</f>
        <v/>
      </c>
      <c r="H594" s="14" t="str">
        <f aca="false">IF($G594="","",IF($G594&lt;18,"Ha","Yo'q"))</f>
        <v/>
      </c>
      <c r="I594" s="12"/>
      <c r="J594" s="25"/>
      <c r="K594" s="25"/>
      <c r="L594" s="25"/>
      <c r="M594" s="12"/>
      <c r="N594" s="25"/>
      <c r="O594" s="25"/>
      <c r="P594" s="14" t="str">
        <f aca="false">IF($O594="","",IFERROR(VALUE(LEFT($O594,FIND(".",$O594)-1)),""))</f>
        <v/>
      </c>
      <c r="Q594" s="14" t="str">
        <f aca="false">IF($P594="","",IF($P594&lt;=7,"Shoshilinch",IF($P594&lt;=9,"Kechiktirib bo'lmaydigan",IF($P594&lt;=14,"Rejalashtirilgan","Rejali"))))</f>
        <v/>
      </c>
      <c r="R594" s="25"/>
      <c r="S594" s="14" t="str">
        <f aca="false">IF($K594&lt;&gt;"Kesarcha","",IF(OR($O594&lt;&gt;"",$R594="Ha"),"Ha","YO‘Q"))</f>
        <v/>
      </c>
      <c r="T594" s="12"/>
      <c r="U594" s="12"/>
      <c r="V594" s="14" t="str">
        <f aca="false">IF(OR($C594="",$D594="",$B594=""),"",IF(COUNTIFS($C$5:$C$604,$C594,$D$5:$D$604,$D594,$B$5:$B$604,$B594)&gt;1,"Takror",""))</f>
        <v/>
      </c>
    </row>
    <row r="595" customFormat="false" ht="15" hidden="false" customHeight="false" outlineLevel="0" collapsed="false">
      <c r="A595" s="8" t="n">
        <v>591</v>
      </c>
      <c r="B595" s="13"/>
      <c r="C595" s="12"/>
      <c r="D595" s="13"/>
      <c r="E595" s="24"/>
      <c r="F595" s="12"/>
      <c r="G595" s="14" t="str">
        <f aca="false">IF(OR($D595="",$B595=""),"",INT(($B595-$D595)/365.25))</f>
        <v/>
      </c>
      <c r="H595" s="14" t="str">
        <f aca="false">IF($G595="","",IF($G595&lt;18,"Ha","Yo'q"))</f>
        <v/>
      </c>
      <c r="I595" s="12"/>
      <c r="J595" s="25"/>
      <c r="K595" s="25"/>
      <c r="L595" s="25"/>
      <c r="M595" s="12"/>
      <c r="N595" s="25"/>
      <c r="O595" s="25"/>
      <c r="P595" s="14" t="str">
        <f aca="false">IF($O595="","",IFERROR(VALUE(LEFT($O595,FIND(".",$O595)-1)),""))</f>
        <v/>
      </c>
      <c r="Q595" s="14" t="str">
        <f aca="false">IF($P595="","",IF($P595&lt;=7,"Shoshilinch",IF($P595&lt;=9,"Kechiktirib bo'lmaydigan",IF($P595&lt;=14,"Rejalashtirilgan","Rejali"))))</f>
        <v/>
      </c>
      <c r="R595" s="25"/>
      <c r="S595" s="14" t="str">
        <f aca="false">IF($K595&lt;&gt;"Kesarcha","",IF(OR($O595&lt;&gt;"",$R595="Ha"),"Ha","YO‘Q"))</f>
        <v/>
      </c>
      <c r="T595" s="12"/>
      <c r="U595" s="12"/>
      <c r="V595" s="14" t="str">
        <f aca="false">IF(OR($C595="",$D595="",$B595=""),"",IF(COUNTIFS($C$5:$C$604,$C595,$D$5:$D$604,$D595,$B$5:$B$604,$B595)&gt;1,"Takror",""))</f>
        <v/>
      </c>
    </row>
    <row r="596" customFormat="false" ht="15" hidden="false" customHeight="false" outlineLevel="0" collapsed="false">
      <c r="A596" s="8" t="n">
        <v>592</v>
      </c>
      <c r="B596" s="13"/>
      <c r="C596" s="12"/>
      <c r="D596" s="13"/>
      <c r="E596" s="24"/>
      <c r="F596" s="12"/>
      <c r="G596" s="14" t="str">
        <f aca="false">IF(OR($D596="",$B596=""),"",INT(($B596-$D596)/365.25))</f>
        <v/>
      </c>
      <c r="H596" s="14" t="str">
        <f aca="false">IF($G596="","",IF($G596&lt;18,"Ha","Yo'q"))</f>
        <v/>
      </c>
      <c r="I596" s="12"/>
      <c r="J596" s="25"/>
      <c r="K596" s="25"/>
      <c r="L596" s="25"/>
      <c r="M596" s="12"/>
      <c r="N596" s="25"/>
      <c r="O596" s="25"/>
      <c r="P596" s="14" t="str">
        <f aca="false">IF($O596="","",IFERROR(VALUE(LEFT($O596,FIND(".",$O596)-1)),""))</f>
        <v/>
      </c>
      <c r="Q596" s="14" t="str">
        <f aca="false">IF($P596="","",IF($P596&lt;=7,"Shoshilinch",IF($P596&lt;=9,"Kechiktirib bo'lmaydigan",IF($P596&lt;=14,"Rejalashtirilgan","Rejali"))))</f>
        <v/>
      </c>
      <c r="R596" s="25"/>
      <c r="S596" s="14" t="str">
        <f aca="false">IF($K596&lt;&gt;"Kesarcha","",IF(OR($O596&lt;&gt;"",$R596="Ha"),"Ha","YO‘Q"))</f>
        <v/>
      </c>
      <c r="T596" s="12"/>
      <c r="U596" s="12"/>
      <c r="V596" s="14" t="str">
        <f aca="false">IF(OR($C596="",$D596="",$B596=""),"",IF(COUNTIFS($C$5:$C$604,$C596,$D$5:$D$604,$D596,$B$5:$B$604,$B596)&gt;1,"Takror",""))</f>
        <v/>
      </c>
    </row>
    <row r="597" customFormat="false" ht="15" hidden="false" customHeight="false" outlineLevel="0" collapsed="false">
      <c r="A597" s="8" t="n">
        <v>593</v>
      </c>
      <c r="B597" s="13"/>
      <c r="C597" s="12"/>
      <c r="D597" s="13"/>
      <c r="E597" s="24"/>
      <c r="F597" s="12"/>
      <c r="G597" s="14" t="str">
        <f aca="false">IF(OR($D597="",$B597=""),"",INT(($B597-$D597)/365.25))</f>
        <v/>
      </c>
      <c r="H597" s="14" t="str">
        <f aca="false">IF($G597="","",IF($G597&lt;18,"Ha","Yo'q"))</f>
        <v/>
      </c>
      <c r="I597" s="12"/>
      <c r="J597" s="25"/>
      <c r="K597" s="25"/>
      <c r="L597" s="25"/>
      <c r="M597" s="12"/>
      <c r="N597" s="25"/>
      <c r="O597" s="25"/>
      <c r="P597" s="14" t="str">
        <f aca="false">IF($O597="","",IFERROR(VALUE(LEFT($O597,FIND(".",$O597)-1)),""))</f>
        <v/>
      </c>
      <c r="Q597" s="14" t="str">
        <f aca="false">IF($P597="","",IF($P597&lt;=7,"Shoshilinch",IF($P597&lt;=9,"Kechiktirib bo'lmaydigan",IF($P597&lt;=14,"Rejalashtirilgan","Rejali"))))</f>
        <v/>
      </c>
      <c r="R597" s="25"/>
      <c r="S597" s="14" t="str">
        <f aca="false">IF($K597&lt;&gt;"Kesarcha","",IF(OR($O597&lt;&gt;"",$R597="Ha"),"Ha","YO‘Q"))</f>
        <v/>
      </c>
      <c r="T597" s="12"/>
      <c r="U597" s="12"/>
      <c r="V597" s="14" t="str">
        <f aca="false">IF(OR($C597="",$D597="",$B597=""),"",IF(COUNTIFS($C$5:$C$604,$C597,$D$5:$D$604,$D597,$B$5:$B$604,$B597)&gt;1,"Takror",""))</f>
        <v/>
      </c>
    </row>
    <row r="598" customFormat="false" ht="15" hidden="false" customHeight="false" outlineLevel="0" collapsed="false">
      <c r="A598" s="8" t="n">
        <v>594</v>
      </c>
      <c r="B598" s="13"/>
      <c r="C598" s="12"/>
      <c r="D598" s="13"/>
      <c r="E598" s="24"/>
      <c r="F598" s="12"/>
      <c r="G598" s="14" t="str">
        <f aca="false">IF(OR($D598="",$B598=""),"",INT(($B598-$D598)/365.25))</f>
        <v/>
      </c>
      <c r="H598" s="14" t="str">
        <f aca="false">IF($G598="","",IF($G598&lt;18,"Ha","Yo'q"))</f>
        <v/>
      </c>
      <c r="I598" s="12"/>
      <c r="J598" s="25"/>
      <c r="K598" s="25"/>
      <c r="L598" s="25"/>
      <c r="M598" s="12"/>
      <c r="N598" s="25"/>
      <c r="O598" s="25"/>
      <c r="P598" s="14" t="str">
        <f aca="false">IF($O598="","",IFERROR(VALUE(LEFT($O598,FIND(".",$O598)-1)),""))</f>
        <v/>
      </c>
      <c r="Q598" s="14" t="str">
        <f aca="false">IF($P598="","",IF($P598&lt;=7,"Shoshilinch",IF($P598&lt;=9,"Kechiktirib bo'lmaydigan",IF($P598&lt;=14,"Rejalashtirilgan","Rejali"))))</f>
        <v/>
      </c>
      <c r="R598" s="25"/>
      <c r="S598" s="14" t="str">
        <f aca="false">IF($K598&lt;&gt;"Kesarcha","",IF(OR($O598&lt;&gt;"",$R598="Ha"),"Ha","YO‘Q"))</f>
        <v/>
      </c>
      <c r="T598" s="12"/>
      <c r="U598" s="12"/>
      <c r="V598" s="14" t="str">
        <f aca="false">IF(OR($C598="",$D598="",$B598=""),"",IF(COUNTIFS($C$5:$C$604,$C598,$D$5:$D$604,$D598,$B$5:$B$604,$B598)&gt;1,"Takror",""))</f>
        <v/>
      </c>
    </row>
    <row r="599" customFormat="false" ht="15" hidden="false" customHeight="false" outlineLevel="0" collapsed="false">
      <c r="A599" s="8" t="n">
        <v>595</v>
      </c>
      <c r="B599" s="13"/>
      <c r="C599" s="12"/>
      <c r="D599" s="13"/>
      <c r="E599" s="24"/>
      <c r="F599" s="12"/>
      <c r="G599" s="14" t="str">
        <f aca="false">IF(OR($D599="",$B599=""),"",INT(($B599-$D599)/365.25))</f>
        <v/>
      </c>
      <c r="H599" s="14" t="str">
        <f aca="false">IF($G599="","",IF($G599&lt;18,"Ha","Yo'q"))</f>
        <v/>
      </c>
      <c r="I599" s="12"/>
      <c r="J599" s="25"/>
      <c r="K599" s="25"/>
      <c r="L599" s="25"/>
      <c r="M599" s="12"/>
      <c r="N599" s="25"/>
      <c r="O599" s="25"/>
      <c r="P599" s="14" t="str">
        <f aca="false">IF($O599="","",IFERROR(VALUE(LEFT($O599,FIND(".",$O599)-1)),""))</f>
        <v/>
      </c>
      <c r="Q599" s="14" t="str">
        <f aca="false">IF($P599="","",IF($P599&lt;=7,"Shoshilinch",IF($P599&lt;=9,"Kechiktirib bo'lmaydigan",IF($P599&lt;=14,"Rejalashtirilgan","Rejali"))))</f>
        <v/>
      </c>
      <c r="R599" s="25"/>
      <c r="S599" s="14" t="str">
        <f aca="false">IF($K599&lt;&gt;"Kesarcha","",IF(OR($O599&lt;&gt;"",$R599="Ha"),"Ha","YO‘Q"))</f>
        <v/>
      </c>
      <c r="T599" s="12"/>
      <c r="U599" s="12"/>
      <c r="V599" s="14" t="str">
        <f aca="false">IF(OR($C599="",$D599="",$B599=""),"",IF(COUNTIFS($C$5:$C$604,$C599,$D$5:$D$604,$D599,$B$5:$B$604,$B599)&gt;1,"Takror",""))</f>
        <v/>
      </c>
    </row>
    <row r="600" customFormat="false" ht="15" hidden="false" customHeight="false" outlineLevel="0" collapsed="false">
      <c r="A600" s="8" t="n">
        <v>596</v>
      </c>
      <c r="B600" s="13"/>
      <c r="C600" s="12"/>
      <c r="D600" s="13"/>
      <c r="E600" s="24"/>
      <c r="F600" s="12"/>
      <c r="G600" s="14" t="str">
        <f aca="false">IF(OR($D600="",$B600=""),"",INT(($B600-$D600)/365.25))</f>
        <v/>
      </c>
      <c r="H600" s="14" t="str">
        <f aca="false">IF($G600="","",IF($G600&lt;18,"Ha","Yo'q"))</f>
        <v/>
      </c>
      <c r="I600" s="12"/>
      <c r="J600" s="25"/>
      <c r="K600" s="25"/>
      <c r="L600" s="25"/>
      <c r="M600" s="12"/>
      <c r="N600" s="25"/>
      <c r="O600" s="25"/>
      <c r="P600" s="14" t="str">
        <f aca="false">IF($O600="","",IFERROR(VALUE(LEFT($O600,FIND(".",$O600)-1)),""))</f>
        <v/>
      </c>
      <c r="Q600" s="14" t="str">
        <f aca="false">IF($P600="","",IF($P600&lt;=7,"Shoshilinch",IF($P600&lt;=9,"Kechiktirib bo'lmaydigan",IF($P600&lt;=14,"Rejalashtirilgan","Rejali"))))</f>
        <v/>
      </c>
      <c r="R600" s="25"/>
      <c r="S600" s="14" t="str">
        <f aca="false">IF($K600&lt;&gt;"Kesarcha","",IF(OR($O600&lt;&gt;"",$R600="Ha"),"Ha","YO‘Q"))</f>
        <v/>
      </c>
      <c r="T600" s="12"/>
      <c r="U600" s="12"/>
      <c r="V600" s="14" t="str">
        <f aca="false">IF(OR($C600="",$D600="",$B600=""),"",IF(COUNTIFS($C$5:$C$604,$C600,$D$5:$D$604,$D600,$B$5:$B$604,$B600)&gt;1,"Takror",""))</f>
        <v/>
      </c>
    </row>
    <row r="601" customFormat="false" ht="15" hidden="false" customHeight="false" outlineLevel="0" collapsed="false">
      <c r="A601" s="8" t="n">
        <v>597</v>
      </c>
      <c r="B601" s="13"/>
      <c r="C601" s="12"/>
      <c r="D601" s="13"/>
      <c r="E601" s="24"/>
      <c r="F601" s="12"/>
      <c r="G601" s="14" t="str">
        <f aca="false">IF(OR($D601="",$B601=""),"",INT(($B601-$D601)/365.25))</f>
        <v/>
      </c>
      <c r="H601" s="14" t="str">
        <f aca="false">IF($G601="","",IF($G601&lt;18,"Ha","Yo'q"))</f>
        <v/>
      </c>
      <c r="I601" s="12"/>
      <c r="J601" s="25"/>
      <c r="K601" s="25"/>
      <c r="L601" s="25"/>
      <c r="M601" s="12"/>
      <c r="N601" s="25"/>
      <c r="O601" s="25"/>
      <c r="P601" s="14" t="str">
        <f aca="false">IF($O601="","",IFERROR(VALUE(LEFT($O601,FIND(".",$O601)-1)),""))</f>
        <v/>
      </c>
      <c r="Q601" s="14" t="str">
        <f aca="false">IF($P601="","",IF($P601&lt;=7,"Shoshilinch",IF($P601&lt;=9,"Kechiktirib bo'lmaydigan",IF($P601&lt;=14,"Rejalashtirilgan","Rejali"))))</f>
        <v/>
      </c>
      <c r="R601" s="25"/>
      <c r="S601" s="14" t="str">
        <f aca="false">IF($K601&lt;&gt;"Kesarcha","",IF(OR($O601&lt;&gt;"",$R601="Ha"),"Ha","YO‘Q"))</f>
        <v/>
      </c>
      <c r="T601" s="12"/>
      <c r="U601" s="12"/>
      <c r="V601" s="14" t="str">
        <f aca="false">IF(OR($C601="",$D601="",$B601=""),"",IF(COUNTIFS($C$5:$C$604,$C601,$D$5:$D$604,$D601,$B$5:$B$604,$B601)&gt;1,"Takror",""))</f>
        <v/>
      </c>
    </row>
    <row r="602" customFormat="false" ht="15" hidden="false" customHeight="false" outlineLevel="0" collapsed="false">
      <c r="A602" s="8" t="n">
        <v>598</v>
      </c>
      <c r="B602" s="13"/>
      <c r="C602" s="12"/>
      <c r="D602" s="13"/>
      <c r="E602" s="24"/>
      <c r="F602" s="12"/>
      <c r="G602" s="14" t="str">
        <f aca="false">IF(OR($D602="",$B602=""),"",INT(($B602-$D602)/365.25))</f>
        <v/>
      </c>
      <c r="H602" s="14" t="str">
        <f aca="false">IF($G602="","",IF($G602&lt;18,"Ha","Yo'q"))</f>
        <v/>
      </c>
      <c r="I602" s="12"/>
      <c r="J602" s="25"/>
      <c r="K602" s="25"/>
      <c r="L602" s="25"/>
      <c r="M602" s="12"/>
      <c r="N602" s="25"/>
      <c r="O602" s="25"/>
      <c r="P602" s="14" t="str">
        <f aca="false">IF($O602="","",IFERROR(VALUE(LEFT($O602,FIND(".",$O602)-1)),""))</f>
        <v/>
      </c>
      <c r="Q602" s="14" t="str">
        <f aca="false">IF($P602="","",IF($P602&lt;=7,"Shoshilinch",IF($P602&lt;=9,"Kechiktirib bo'lmaydigan",IF($P602&lt;=14,"Rejalashtirilgan","Rejali"))))</f>
        <v/>
      </c>
      <c r="R602" s="25"/>
      <c r="S602" s="14" t="str">
        <f aca="false">IF($K602&lt;&gt;"Kesarcha","",IF(OR($O602&lt;&gt;"",$R602="Ha"),"Ha","YO‘Q"))</f>
        <v/>
      </c>
      <c r="T602" s="12"/>
      <c r="U602" s="12"/>
      <c r="V602" s="14" t="str">
        <f aca="false">IF(OR($C602="",$D602="",$B602=""),"",IF(COUNTIFS($C$5:$C$604,$C602,$D$5:$D$604,$D602,$B$5:$B$604,$B602)&gt;1,"Takror",""))</f>
        <v/>
      </c>
    </row>
    <row r="603" customFormat="false" ht="15" hidden="false" customHeight="false" outlineLevel="0" collapsed="false">
      <c r="A603" s="8" t="n">
        <v>599</v>
      </c>
      <c r="B603" s="13"/>
      <c r="C603" s="12"/>
      <c r="D603" s="13"/>
      <c r="E603" s="24"/>
      <c r="F603" s="12"/>
      <c r="G603" s="14" t="str">
        <f aca="false">IF(OR($D603="",$B603=""),"",INT(($B603-$D603)/365.25))</f>
        <v/>
      </c>
      <c r="H603" s="14" t="str">
        <f aca="false">IF($G603="","",IF($G603&lt;18,"Ha","Yo'q"))</f>
        <v/>
      </c>
      <c r="I603" s="12"/>
      <c r="J603" s="25"/>
      <c r="K603" s="25"/>
      <c r="L603" s="25"/>
      <c r="M603" s="12"/>
      <c r="N603" s="25"/>
      <c r="O603" s="25"/>
      <c r="P603" s="14" t="str">
        <f aca="false">IF($O603="","",IFERROR(VALUE(LEFT($O603,FIND(".",$O603)-1)),""))</f>
        <v/>
      </c>
      <c r="Q603" s="14" t="str">
        <f aca="false">IF($P603="","",IF($P603&lt;=7,"Shoshilinch",IF($P603&lt;=9,"Kechiktirib bo'lmaydigan",IF($P603&lt;=14,"Rejalashtirilgan","Rejali"))))</f>
        <v/>
      </c>
      <c r="R603" s="25"/>
      <c r="S603" s="14" t="str">
        <f aca="false">IF($K603&lt;&gt;"Kesarcha","",IF(OR($O603&lt;&gt;"",$R603="Ha"),"Ha","YO‘Q"))</f>
        <v/>
      </c>
      <c r="T603" s="12"/>
      <c r="U603" s="12"/>
      <c r="V603" s="14" t="str">
        <f aca="false">IF(OR($C603="",$D603="",$B603=""),"",IF(COUNTIFS($C$5:$C$604,$C603,$D$5:$D$604,$D603,$B$5:$B$604,$B603)&gt;1,"Takror",""))</f>
        <v/>
      </c>
    </row>
    <row r="604" customFormat="false" ht="15" hidden="false" customHeight="false" outlineLevel="0" collapsed="false">
      <c r="A604" s="8" t="n">
        <v>600</v>
      </c>
      <c r="B604" s="13"/>
      <c r="C604" s="12"/>
      <c r="D604" s="13"/>
      <c r="E604" s="24"/>
      <c r="F604" s="12"/>
      <c r="G604" s="14" t="str">
        <f aca="false">IF(OR($D604="",$B604=""),"",INT(($B604-$D604)/365.25))</f>
        <v/>
      </c>
      <c r="H604" s="14" t="str">
        <f aca="false">IF($G604="","",IF($G604&lt;18,"Ha","Yo'q"))</f>
        <v/>
      </c>
      <c r="I604" s="12"/>
      <c r="J604" s="25"/>
      <c r="K604" s="25"/>
      <c r="L604" s="25"/>
      <c r="M604" s="12"/>
      <c r="N604" s="25"/>
      <c r="O604" s="25"/>
      <c r="P604" s="14" t="str">
        <f aca="false">IF($O604="","",IFERROR(VALUE(LEFT($O604,FIND(".",$O604)-1)),""))</f>
        <v/>
      </c>
      <c r="Q604" s="14" t="str">
        <f aca="false">IF($P604="","",IF($P604&lt;=7,"Shoshilinch",IF($P604&lt;=9,"Kechiktirib bo'lmaydigan",IF($P604&lt;=14,"Rejalashtirilgan","Rejali"))))</f>
        <v/>
      </c>
      <c r="R604" s="25"/>
      <c r="S604" s="14" t="str">
        <f aca="false">IF($K604&lt;&gt;"Kesarcha","",IF(OR($O604&lt;&gt;"",$R604="Ha"),"Ha","YO‘Q"))</f>
        <v/>
      </c>
      <c r="T604" s="12"/>
      <c r="U604" s="12"/>
      <c r="V604" s="14" t="str">
        <f aca="false">IF(OR($C604="",$D604="",$B604=""),"",IF(COUNTIFS($C$5:$C$604,$C604,$D$5:$D$604,$D604,$B$5:$B$604,$B604)&gt;1,"Takror",""))</f>
        <v/>
      </c>
    </row>
  </sheetData>
  <autoFilter ref="A4:V604"/>
  <conditionalFormatting sqref="S5:S604">
    <cfRule type="expression" priority="2" aboveAverage="0" equalAverage="0" bottom="0" percent="0" rank="0" text="" dxfId="9">
      <formula>$S5="YO‘Q"</formula>
    </cfRule>
  </conditionalFormatting>
  <conditionalFormatting sqref="H5:H604">
    <cfRule type="expression" priority="3" aboveAverage="0" equalAverage="0" bottom="0" percent="0" rank="0" text="" dxfId="1">
      <formula>$H5="Ha"</formula>
    </cfRule>
  </conditionalFormatting>
  <conditionalFormatting sqref="V5:V604">
    <cfRule type="expression" priority="4" aboveAverage="0" equalAverage="0" bottom="0" percent="0" rank="0" text="" dxfId="0">
      <formula>$V5="Takror"</formula>
    </cfRule>
  </conditionalFormatting>
  <dataValidations count="8">
    <dataValidation allowBlank="true" error="Sanani kiriting (kun.oy.yil) / Введите дату (дд.мм.гггг)" errorStyle="stop" errorTitle="Sana / Дата" operator="greaterThan" showDropDown="false" showErrorMessage="true" showInputMessage="false" sqref="B5:B604 D5:D6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J5:J604" type="decimal">
      <formula1>0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K5:K604" type="list">
      <formula1>"Tabiiy,Kesarcha,Boshqa"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L5:L6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N5:N604" type="list">
      <formula1>"Tirik tug'ildi,O'lik tug'ildi"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O5:O604" type="list">
      <formula1>Spravochnik!$E$5:$E$64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R5:R604" type="list">
      <formula1>"Ha,Yo'q"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604" type="textLength">
      <formula1>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10" min="8" style="0" width="13"/>
    <col collapsed="false" customWidth="true" hidden="false" outlineLevel="0" max="15" min="11" style="0" width="11"/>
    <col collapsed="false" customWidth="true" hidden="false" outlineLevel="0" max="16" min="16" style="0" width="24"/>
    <col collapsed="false" customWidth="true" hidden="false" outlineLevel="0" max="17" min="17" style="0" width="32"/>
    <col collapsed="false" customWidth="true" hidden="false" outlineLevel="0" max="18" min="18" style="0" width="11"/>
    <col collapsed="false" customWidth="true" hidden="false" outlineLevel="0" max="19" min="19" style="0" width="16"/>
    <col collapsed="false" customWidth="true" hidden="false" outlineLevel="0" max="20" min="20" style="0" width="13"/>
    <col collapsed="false" customWidth="true" hidden="false" outlineLevel="0" max="21" min="21" style="0" width="20"/>
    <col collapsed="false" customWidth="true" hidden="false" outlineLevel="0" max="23" min="22" style="0" width="12"/>
    <col collapsed="false" customWidth="true" hidden="false" outlineLevel="0" max="28" min="24" style="0" width="13"/>
    <col collapsed="false" customWidth="true" hidden="false" outlineLevel="0" max="29" min="29" style="0" width="11"/>
    <col collapsed="false" customWidth="true" hidden="false" outlineLevel="0" max="30" min="30" style="0" width="15"/>
    <col collapsed="false" customWidth="true" hidden="false" outlineLevel="0" max="31" min="31" style="0" width="13"/>
    <col collapsed="false" customWidth="true" hidden="false" outlineLevel="0" max="32" min="32" style="0" width="22"/>
    <col collapsed="false" customWidth="true" hidden="false" outlineLevel="0" max="34" min="33" style="0" width="11"/>
  </cols>
  <sheetData>
    <row r="1" customFormat="false" ht="17.3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3" customFormat="false" ht="15" hidden="false" customHeight="false" outlineLevel="0" collapsed="false">
      <c r="A3" s="21" t="s">
        <v>258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customFormat="false" ht="114" hidden="false" customHeight="true" outlineLevel="0" collapsed="false">
      <c r="A4" s="7" t="s">
        <v>12</v>
      </c>
      <c r="B4" s="7" t="s">
        <v>260</v>
      </c>
      <c r="C4" s="7" t="s">
        <v>261</v>
      </c>
      <c r="D4" s="7" t="s">
        <v>262</v>
      </c>
      <c r="E4" s="7" t="s">
        <v>263</v>
      </c>
      <c r="F4" s="7" t="s">
        <v>282</v>
      </c>
      <c r="G4" s="23" t="s">
        <v>283</v>
      </c>
      <c r="H4" s="7" t="s">
        <v>284</v>
      </c>
      <c r="I4" s="7" t="s">
        <v>285</v>
      </c>
      <c r="J4" s="23" t="s">
        <v>286</v>
      </c>
      <c r="K4" s="23" t="s">
        <v>287</v>
      </c>
      <c r="L4" s="23" t="s">
        <v>288</v>
      </c>
      <c r="M4" s="23" t="s">
        <v>265</v>
      </c>
      <c r="N4" s="7" t="s">
        <v>289</v>
      </c>
      <c r="O4" s="7" t="s">
        <v>290</v>
      </c>
      <c r="P4" s="7" t="s">
        <v>291</v>
      </c>
      <c r="Q4" s="7" t="s">
        <v>292</v>
      </c>
      <c r="R4" s="7" t="s">
        <v>293</v>
      </c>
      <c r="S4" s="7" t="s">
        <v>294</v>
      </c>
      <c r="T4" s="7" t="s">
        <v>295</v>
      </c>
      <c r="U4" s="7" t="s">
        <v>296</v>
      </c>
      <c r="V4" s="7" t="s">
        <v>297</v>
      </c>
      <c r="W4" s="7" t="s">
        <v>298</v>
      </c>
      <c r="X4" s="23" t="s">
        <v>299</v>
      </c>
      <c r="Y4" s="7" t="s">
        <v>300</v>
      </c>
      <c r="Z4" s="7" t="s">
        <v>301</v>
      </c>
      <c r="AA4" s="7" t="s">
        <v>302</v>
      </c>
      <c r="AB4" s="7" t="s">
        <v>303</v>
      </c>
      <c r="AC4" s="23" t="s">
        <v>304</v>
      </c>
      <c r="AD4" s="7" t="s">
        <v>305</v>
      </c>
      <c r="AE4" s="7" t="s">
        <v>306</v>
      </c>
      <c r="AF4" s="7" t="s">
        <v>278</v>
      </c>
      <c r="AG4" s="23" t="s">
        <v>279</v>
      </c>
      <c r="AH4" s="26" t="s">
        <v>307</v>
      </c>
    </row>
    <row r="5" customFormat="false" ht="15" hidden="false" customHeight="false" outlineLevel="0" collapsed="false">
      <c r="A5" s="20" t="n">
        <v>1</v>
      </c>
      <c r="B5" s="12" t="s">
        <v>308</v>
      </c>
      <c r="C5" s="13" t="n">
        <v>35188</v>
      </c>
      <c r="D5" s="24" t="s">
        <v>309</v>
      </c>
      <c r="E5" s="12" t="s">
        <v>310</v>
      </c>
      <c r="F5" s="25"/>
      <c r="G5" s="27" t="str">
        <f aca="false">IF(OR($B5="",$C5=""),"",$B5&amp;" ("&amp;DAY($C5)&amp;"."&amp;MONTH($C5)&amp;"."&amp;YEAR($C5)&amp;")")</f>
        <v>Тестова Анна Ивановна (3.5.1996)</v>
      </c>
      <c r="H5" s="13"/>
      <c r="I5" s="13" t="n">
        <v>46283</v>
      </c>
      <c r="J5" s="15" t="n">
        <v>46213</v>
      </c>
      <c r="K5" s="14" t="n">
        <f aca="false">IF(OR($I5="",$AE5&lt;&gt;""),"",INT((Boshqaruv!$C$12-$I5)/7))</f>
        <v>4</v>
      </c>
      <c r="L5" s="14" t="str">
        <f aca="false">IF(OR($C5="",$H5=""),"",INT(($H5-$C5)/365.25))</f>
        <v/>
      </c>
      <c r="M5" s="14" t="str">
        <f aca="false">IF($L5="","",IF($L5&lt;18,"Ha","Yo'q"))</f>
        <v/>
      </c>
      <c r="N5" s="25"/>
      <c r="O5" s="25"/>
      <c r="P5" s="25"/>
      <c r="Q5" s="12"/>
      <c r="R5" s="25"/>
      <c r="S5" s="12"/>
      <c r="T5" s="13"/>
      <c r="U5" s="12"/>
      <c r="V5" s="25"/>
      <c r="W5" s="25"/>
      <c r="X5" s="14" t="str">
        <f aca="false">IF(OR($V5="",$W5=""),"",IF(AND($V5&gt;=Spravochnik!$H$5,$W5&gt;=Spravochnik!$H$6),"Ha","Yo'q"))</f>
        <v/>
      </c>
      <c r="Y5" s="13"/>
      <c r="Z5" s="13"/>
      <c r="AA5" s="13"/>
      <c r="AB5" s="13"/>
      <c r="AC5" s="14" t="str">
        <f aca="false">IF(AND($B5&lt;&gt;"",$AE5="",$AB5&lt;&gt;"",$AB5&lt;Boshqaruv!$C$12),"Ha","")</f>
        <v/>
      </c>
      <c r="AD5" s="25"/>
      <c r="AE5" s="13"/>
      <c r="AF5" s="12"/>
      <c r="AG5" s="14" t="str">
        <f aca="false">IF(OR($B5="",$C5="",$H5=""),"",IF(COUNTIFS($B$5:$B$804,$B5,$C$5:$C$804,$C5,$H$5:$H$804,$H5)&gt;1,"Takror",""))</f>
        <v/>
      </c>
      <c r="AH5" s="28" t="str">
        <f aca="false">IF(AND($B5&lt;&gt;"",$N5="Ha",$H5&lt;&gt;"",$H5&lt;=Boshqaruv!$C$12,OR($AE5="",$AE5&gt;Boshqaruv!$C$12)),MAX($AH$4:$AH4)+1,"")</f>
        <v/>
      </c>
    </row>
    <row r="6" customFormat="false" ht="15" hidden="false" customHeight="false" outlineLevel="0" collapsed="false">
      <c r="A6" s="20" t="n">
        <v>2</v>
      </c>
      <c r="B6" s="12" t="s">
        <v>311</v>
      </c>
      <c r="C6" s="13" t="n">
        <v>35554</v>
      </c>
      <c r="D6" s="24" t="s">
        <v>312</v>
      </c>
      <c r="E6" s="12" t="s">
        <v>313</v>
      </c>
      <c r="F6" s="25"/>
      <c r="G6" s="27" t="str">
        <f aca="false">IF(OR($B6="",$C6=""),"",$B6&amp;" ("&amp;DAY($C6)&amp;"."&amp;MONTH($C6)&amp;"."&amp;YEAR($C6)&amp;")")</f>
        <v>Пробная Мария Петровна (4.5.1997)</v>
      </c>
      <c r="H6" s="13"/>
      <c r="I6" s="13" t="n">
        <v>46282</v>
      </c>
      <c r="J6" s="15" t="n">
        <v>46212</v>
      </c>
      <c r="K6" s="14" t="n">
        <f aca="false">IF(OR($I6="",$AE6&lt;&gt;""),"",INT((Boshqaruv!$C$12-$I6)/7))</f>
        <v>4</v>
      </c>
      <c r="L6" s="14" t="str">
        <f aca="false">IF(OR($C6="",$H6=""),"",INT(($H6-$C6)/365.25))</f>
        <v/>
      </c>
      <c r="M6" s="14" t="str">
        <f aca="false">IF($L6="","",IF($L6&lt;18,"Ha","Yo'q"))</f>
        <v/>
      </c>
      <c r="N6" s="25"/>
      <c r="O6" s="25"/>
      <c r="P6" s="25"/>
      <c r="Q6" s="12"/>
      <c r="R6" s="25"/>
      <c r="S6" s="12"/>
      <c r="T6" s="13"/>
      <c r="U6" s="12"/>
      <c r="V6" s="25"/>
      <c r="W6" s="25"/>
      <c r="X6" s="14" t="str">
        <f aca="false">IF(OR($V6="",$W6=""),"",IF(AND($V6&gt;=Spravochnik!$H$5,$W6&gt;=Spravochnik!$H$6),"Ha","Yo'q"))</f>
        <v/>
      </c>
      <c r="Y6" s="13"/>
      <c r="Z6" s="13"/>
      <c r="AA6" s="13"/>
      <c r="AB6" s="13"/>
      <c r="AC6" s="14" t="str">
        <f aca="false">IF(AND($B6&lt;&gt;"",$AE6="",$AB6&lt;&gt;"",$AB6&lt;Boshqaruv!$C$12),"Ha","")</f>
        <v/>
      </c>
      <c r="AD6" s="25"/>
      <c r="AE6" s="13"/>
      <c r="AF6" s="12"/>
      <c r="AG6" s="14" t="str">
        <f aca="false">IF(OR($B6="",$C6="",$H6=""),"",IF(COUNTIFS($B$5:$B$804,$B6,$C$5:$C$804,$C6,$H$5:$H$804,$H6)&gt;1,"Takror",""))</f>
        <v/>
      </c>
      <c r="AH6" s="28" t="str">
        <f aca="false">IF(AND($B6&lt;&gt;"",$N6="Ha",$H6&lt;&gt;"",$H6&lt;=Boshqaruv!$C$12,OR($AE6="",$AE6&gt;Boshqaruv!$C$12)),MAX($AH$4:$AH5)+1,"")</f>
        <v/>
      </c>
    </row>
    <row r="7" customFormat="false" ht="23.85" hidden="false" customHeight="false" outlineLevel="0" collapsed="false">
      <c r="A7" s="20" t="n">
        <v>3</v>
      </c>
      <c r="B7" s="12" t="s">
        <v>314</v>
      </c>
      <c r="C7" s="13" t="n">
        <v>35920</v>
      </c>
      <c r="D7" s="24" t="s">
        <v>315</v>
      </c>
      <c r="E7" s="12" t="s">
        <v>316</v>
      </c>
      <c r="F7" s="25"/>
      <c r="G7" s="27" t="str">
        <f aca="false">IF(OR($B7="",$C7=""),"",$B7&amp;" ("&amp;DAY($C7)&amp;"."&amp;MONTH($C7)&amp;"."&amp;YEAR($C7)&amp;")")</f>
        <v>Образцова Зилола Каримовна (5.5.1998)</v>
      </c>
      <c r="H7" s="13"/>
      <c r="I7" s="13" t="n">
        <v>46281</v>
      </c>
      <c r="J7" s="15" t="n">
        <v>46211</v>
      </c>
      <c r="K7" s="14" t="n">
        <f aca="false">IF(OR($I7="",$AE7&lt;&gt;""),"",INT((Boshqaruv!$C$12-$I7)/7))</f>
        <v>4</v>
      </c>
      <c r="L7" s="14" t="str">
        <f aca="false">IF(OR($C7="",$H7=""),"",INT(($H7-$C7)/365.25))</f>
        <v/>
      </c>
      <c r="M7" s="14" t="str">
        <f aca="false">IF($L7="","",IF($L7&lt;18,"Ha","Yo'q"))</f>
        <v/>
      </c>
      <c r="N7" s="25"/>
      <c r="O7" s="25"/>
      <c r="P7" s="25"/>
      <c r="Q7" s="12"/>
      <c r="R7" s="25"/>
      <c r="S7" s="12"/>
      <c r="T7" s="13"/>
      <c r="U7" s="12"/>
      <c r="V7" s="25"/>
      <c r="W7" s="25"/>
      <c r="X7" s="14" t="str">
        <f aca="false">IF(OR($V7="",$W7=""),"",IF(AND($V7&gt;=Spravochnik!$H$5,$W7&gt;=Spravochnik!$H$6),"Ha","Yo'q"))</f>
        <v/>
      </c>
      <c r="Y7" s="13"/>
      <c r="Z7" s="13"/>
      <c r="AA7" s="13"/>
      <c r="AB7" s="13"/>
      <c r="AC7" s="14" t="str">
        <f aca="false">IF(AND($B7&lt;&gt;"",$AE7="",$AB7&lt;&gt;"",$AB7&lt;Boshqaruv!$C$12),"Ha","")</f>
        <v/>
      </c>
      <c r="AD7" s="25"/>
      <c r="AE7" s="13"/>
      <c r="AF7" s="12"/>
      <c r="AG7" s="14" t="str">
        <f aca="false">IF(OR($B7="",$C7="",$H7=""),"",IF(COUNTIFS($B$5:$B$804,$B7,$C$5:$C$804,$C7,$H$5:$H$804,$H7)&gt;1,"Takror",""))</f>
        <v/>
      </c>
      <c r="AH7" s="28" t="str">
        <f aca="false">IF(AND($B7&lt;&gt;"",$N7="Ha",$H7&lt;&gt;"",$H7&lt;=Boshqaruv!$C$12,OR($AE7="",$AE7&gt;Boshqaruv!$C$12)),MAX($AH$4:$AH6)+1,"")</f>
        <v/>
      </c>
    </row>
    <row r="8" customFormat="false" ht="23.85" hidden="false" customHeight="false" outlineLevel="0" collapsed="false">
      <c r="A8" s="20" t="n">
        <v>4</v>
      </c>
      <c r="B8" s="12" t="s">
        <v>317</v>
      </c>
      <c r="C8" s="13" t="n">
        <v>36286</v>
      </c>
      <c r="D8" s="24" t="s">
        <v>318</v>
      </c>
      <c r="E8" s="12" t="s">
        <v>319</v>
      </c>
      <c r="F8" s="25"/>
      <c r="G8" s="27" t="str">
        <f aca="false">IF(OR($B8="",$C8=""),"",$B8&amp;" ("&amp;DAY($C8)&amp;"."&amp;MONTH($C8)&amp;"."&amp;YEAR($C8)&amp;")")</f>
        <v>Вымышленная Нигора Алиевна (6.5.1999)</v>
      </c>
      <c r="H8" s="13"/>
      <c r="I8" s="13" t="n">
        <v>46280</v>
      </c>
      <c r="J8" s="15" t="n">
        <v>46210</v>
      </c>
      <c r="K8" s="14" t="n">
        <f aca="false">IF(OR($I8="",$AE8&lt;&gt;""),"",INT((Boshqaruv!$C$12-$I8)/7))</f>
        <v>4</v>
      </c>
      <c r="L8" s="14" t="str">
        <f aca="false">IF(OR($C8="",$H8=""),"",INT(($H8-$C8)/365.25))</f>
        <v/>
      </c>
      <c r="M8" s="14" t="str">
        <f aca="false">IF($L8="","",IF($L8&lt;18,"Ha","Yo'q"))</f>
        <v/>
      </c>
      <c r="N8" s="25"/>
      <c r="O8" s="25"/>
      <c r="P8" s="25"/>
      <c r="Q8" s="12"/>
      <c r="R8" s="25"/>
      <c r="S8" s="12"/>
      <c r="T8" s="13"/>
      <c r="U8" s="12"/>
      <c r="V8" s="25"/>
      <c r="W8" s="25"/>
      <c r="X8" s="14" t="str">
        <f aca="false">IF(OR($V8="",$W8=""),"",IF(AND($V8&gt;=Spravochnik!$H$5,$W8&gt;=Spravochnik!$H$6),"Ha","Yo'q"))</f>
        <v/>
      </c>
      <c r="Y8" s="13"/>
      <c r="Z8" s="13"/>
      <c r="AA8" s="13"/>
      <c r="AB8" s="13"/>
      <c r="AC8" s="14" t="str">
        <f aca="false">IF(AND($B8&lt;&gt;"",$AE8="",$AB8&lt;&gt;"",$AB8&lt;Boshqaruv!$C$12),"Ha","")</f>
        <v/>
      </c>
      <c r="AD8" s="25"/>
      <c r="AE8" s="13"/>
      <c r="AF8" s="12"/>
      <c r="AG8" s="14" t="str">
        <f aca="false">IF(OR($B8="",$C8="",$H8=""),"",IF(COUNTIFS($B$5:$B$804,$B8,$C$5:$C$804,$C8,$H$5:$H$804,$H8)&gt;1,"Takror",""))</f>
        <v/>
      </c>
      <c r="AH8" s="28" t="str">
        <f aca="false">IF(AND($B8&lt;&gt;"",$N8="Ha",$H8&lt;&gt;"",$H8&lt;=Boshqaruv!$C$12,OR($AE8="",$AE8&gt;Boshqaruv!$C$12)),MAX($AH$4:$AH7)+1,"")</f>
        <v/>
      </c>
    </row>
    <row r="9" customFormat="false" ht="15" hidden="false" customHeight="false" outlineLevel="0" collapsed="false">
      <c r="A9" s="20" t="n">
        <v>5</v>
      </c>
      <c r="B9" s="12"/>
      <c r="C9" s="13"/>
      <c r="D9" s="24"/>
      <c r="E9" s="12"/>
      <c r="F9" s="25"/>
      <c r="G9" s="27" t="str">
        <f aca="false">IF(OR($B9="",$C9=""),"",$B9&amp;" ("&amp;DAY($C9)&amp;"."&amp;MONTH($C9)&amp;"."&amp;YEAR($C9)&amp;")")</f>
        <v/>
      </c>
      <c r="H9" s="13"/>
      <c r="I9" s="13"/>
      <c r="J9" s="15" t="str">
        <f aca="false">IF($I9="","",$I9+280)</f>
        <v/>
      </c>
      <c r="K9" s="14" t="str">
        <f aca="false">IF(OR($I9="",$AE9&lt;&gt;""),"",INT((Boshqaruv!$C$12-$I9)/7))</f>
        <v/>
      </c>
      <c r="L9" s="14" t="str">
        <f aca="false">IF(OR($C9="",$H9=""),"",INT(($H9-$C9)/365.25))</f>
        <v/>
      </c>
      <c r="M9" s="14" t="str">
        <f aca="false">IF($L9="","",IF($L9&lt;18,"Ha","Yo'q"))</f>
        <v/>
      </c>
      <c r="N9" s="25"/>
      <c r="O9" s="25"/>
      <c r="P9" s="25"/>
      <c r="Q9" s="12"/>
      <c r="R9" s="25"/>
      <c r="S9" s="12"/>
      <c r="T9" s="13"/>
      <c r="U9" s="12"/>
      <c r="V9" s="25"/>
      <c r="W9" s="25"/>
      <c r="X9" s="14" t="str">
        <f aca="false">IF(OR($V9="",$W9=""),"",IF(AND($V9&gt;=Spravochnik!$H$5,$W9&gt;=Spravochnik!$H$6),"Ha","Yo'q"))</f>
        <v/>
      </c>
      <c r="Y9" s="13"/>
      <c r="Z9" s="13"/>
      <c r="AA9" s="13"/>
      <c r="AB9" s="13"/>
      <c r="AC9" s="14" t="str">
        <f aca="false">IF(AND($B9&lt;&gt;"",$AE9="",$AB9&lt;&gt;"",$AB9&lt;Boshqaruv!$C$12),"Ha","")</f>
        <v/>
      </c>
      <c r="AD9" s="25"/>
      <c r="AE9" s="13"/>
      <c r="AF9" s="12"/>
      <c r="AG9" s="14" t="str">
        <f aca="false">IF(OR($B9="",$C9="",$H9=""),"",IF(COUNTIFS($B$5:$B$804,$B9,$C$5:$C$804,$C9,$H$5:$H$804,$H9)&gt;1,"Takror",""))</f>
        <v/>
      </c>
      <c r="AH9" s="28" t="str">
        <f aca="false">IF(AND($B9&lt;&gt;"",$N9="Ha",$H9&lt;&gt;"",$H9&lt;=Boshqaruv!$C$12,OR($AE9="",$AE9&gt;Boshqaruv!$C$12)),MAX($AH$4:$AH8)+1,"")</f>
        <v/>
      </c>
    </row>
    <row r="10" customFormat="false" ht="15" hidden="false" customHeight="false" outlineLevel="0" collapsed="false">
      <c r="A10" s="20" t="n">
        <v>6</v>
      </c>
      <c r="B10" s="12"/>
      <c r="C10" s="13"/>
      <c r="D10" s="24"/>
      <c r="E10" s="12"/>
      <c r="F10" s="25"/>
      <c r="G10" s="27" t="str">
        <f aca="false">IF(OR($B10="",$C10=""),"",$B10&amp;" ("&amp;DAY($C10)&amp;"."&amp;MONTH($C10)&amp;"."&amp;YEAR($C10)&amp;")")</f>
        <v/>
      </c>
      <c r="H10" s="13"/>
      <c r="I10" s="13"/>
      <c r="J10" s="15" t="str">
        <f aca="false">IF($I10="","",$I10+280)</f>
        <v/>
      </c>
      <c r="K10" s="14" t="str">
        <f aca="false">IF(OR($I10="",$AE10&lt;&gt;""),"",INT((Boshqaruv!$C$12-$I10)/7))</f>
        <v/>
      </c>
      <c r="L10" s="14" t="str">
        <f aca="false">IF(OR($C10="",$H10=""),"",INT(($H10-$C10)/365.25))</f>
        <v/>
      </c>
      <c r="M10" s="14" t="str">
        <f aca="false">IF($L10="","",IF($L10&lt;18,"Ha","Yo'q"))</f>
        <v/>
      </c>
      <c r="N10" s="25"/>
      <c r="O10" s="25"/>
      <c r="P10" s="25"/>
      <c r="Q10" s="12"/>
      <c r="R10" s="25"/>
      <c r="S10" s="12"/>
      <c r="T10" s="13"/>
      <c r="U10" s="12"/>
      <c r="V10" s="25"/>
      <c r="W10" s="25"/>
      <c r="X10" s="14" t="str">
        <f aca="false">IF(OR($V10="",$W10=""),"",IF(AND($V10&gt;=Spravochnik!$H$5,$W10&gt;=Spravochnik!$H$6),"Ha","Yo'q"))</f>
        <v/>
      </c>
      <c r="Y10" s="13"/>
      <c r="Z10" s="13"/>
      <c r="AA10" s="13"/>
      <c r="AB10" s="13"/>
      <c r="AC10" s="14" t="str">
        <f aca="false">IF(AND($B10&lt;&gt;"",$AE10="",$AB10&lt;&gt;"",$AB10&lt;Boshqaruv!$C$12),"Ha","")</f>
        <v/>
      </c>
      <c r="AD10" s="25"/>
      <c r="AE10" s="13"/>
      <c r="AF10" s="12"/>
      <c r="AG10" s="14" t="str">
        <f aca="false">IF(OR($B10="",$C10="",$H10=""),"",IF(COUNTIFS($B$5:$B$804,$B10,$C$5:$C$804,$C10,$H$5:$H$804,$H10)&gt;1,"Takror",""))</f>
        <v/>
      </c>
      <c r="AH10" s="28" t="str">
        <f aca="false">IF(AND($B10&lt;&gt;"",$N10="Ha",$H10&lt;&gt;"",$H10&lt;=Boshqaruv!$C$12,OR($AE10="",$AE10&gt;Boshqaruv!$C$12)),MAX($AH$4:$AH9)+1,"")</f>
        <v/>
      </c>
    </row>
    <row r="11" customFormat="false" ht="15" hidden="false" customHeight="false" outlineLevel="0" collapsed="false">
      <c r="A11" s="20" t="n">
        <v>7</v>
      </c>
      <c r="B11" s="12"/>
      <c r="C11" s="13"/>
      <c r="D11" s="24"/>
      <c r="E11" s="12"/>
      <c r="F11" s="25"/>
      <c r="G11" s="27" t="str">
        <f aca="false">IF(OR($B11="",$C11=""),"",$B11&amp;" ("&amp;DAY($C11)&amp;"."&amp;MONTH($C11)&amp;"."&amp;YEAR($C11)&amp;")")</f>
        <v/>
      </c>
      <c r="H11" s="13"/>
      <c r="I11" s="13"/>
      <c r="J11" s="15" t="str">
        <f aca="false">IF($I11="","",$I11+280)</f>
        <v/>
      </c>
      <c r="K11" s="14" t="str">
        <f aca="false">IF(OR($I11="",$AE11&lt;&gt;""),"",INT((Boshqaruv!$C$12-$I11)/7))</f>
        <v/>
      </c>
      <c r="L11" s="14" t="str">
        <f aca="false">IF(OR($C11="",$H11=""),"",INT(($H11-$C11)/365.25))</f>
        <v/>
      </c>
      <c r="M11" s="14" t="str">
        <f aca="false">IF($L11="","",IF($L11&lt;18,"Ha","Yo'q"))</f>
        <v/>
      </c>
      <c r="N11" s="25"/>
      <c r="O11" s="25"/>
      <c r="P11" s="25"/>
      <c r="Q11" s="12"/>
      <c r="R11" s="25"/>
      <c r="S11" s="12"/>
      <c r="T11" s="13"/>
      <c r="U11" s="12"/>
      <c r="V11" s="25"/>
      <c r="W11" s="25"/>
      <c r="X11" s="14" t="str">
        <f aca="false">IF(OR($V11="",$W11=""),"",IF(AND($V11&gt;=Spravochnik!$H$5,$W11&gt;=Spravochnik!$H$6),"Ha","Yo'q"))</f>
        <v/>
      </c>
      <c r="Y11" s="13"/>
      <c r="Z11" s="13"/>
      <c r="AA11" s="13"/>
      <c r="AB11" s="13"/>
      <c r="AC11" s="14" t="str">
        <f aca="false">IF(AND($B11&lt;&gt;"",$AE11="",$AB11&lt;&gt;"",$AB11&lt;Boshqaruv!$C$12),"Ha","")</f>
        <v/>
      </c>
      <c r="AD11" s="25"/>
      <c r="AE11" s="13"/>
      <c r="AF11" s="12"/>
      <c r="AG11" s="14" t="str">
        <f aca="false">IF(OR($B11="",$C11="",$H11=""),"",IF(COUNTIFS($B$5:$B$804,$B11,$C$5:$C$804,$C11,$H$5:$H$804,$H11)&gt;1,"Takror",""))</f>
        <v/>
      </c>
      <c r="AH11" s="28" t="str">
        <f aca="false">IF(AND($B11&lt;&gt;"",$N11="Ha",$H11&lt;&gt;"",$H11&lt;=Boshqaruv!$C$12,OR($AE11="",$AE11&gt;Boshqaruv!$C$12)),MAX($AH$4:$AH10)+1,"")</f>
        <v/>
      </c>
    </row>
    <row r="12" customFormat="false" ht="15" hidden="false" customHeight="false" outlineLevel="0" collapsed="false">
      <c r="A12" s="20" t="n">
        <v>8</v>
      </c>
      <c r="B12" s="12"/>
      <c r="C12" s="13"/>
      <c r="D12" s="24"/>
      <c r="E12" s="12"/>
      <c r="F12" s="25"/>
      <c r="G12" s="27" t="str">
        <f aca="false">IF(OR($B12="",$C12=""),"",$B12&amp;" ("&amp;DAY($C12)&amp;"."&amp;MONTH($C12)&amp;"."&amp;YEAR($C12)&amp;")")</f>
        <v/>
      </c>
      <c r="H12" s="13"/>
      <c r="I12" s="13"/>
      <c r="J12" s="15" t="str">
        <f aca="false">IF($I12="","",$I12+280)</f>
        <v/>
      </c>
      <c r="K12" s="14" t="str">
        <f aca="false">IF(OR($I12="",$AE12&lt;&gt;""),"",INT((Boshqaruv!$C$12-$I12)/7))</f>
        <v/>
      </c>
      <c r="L12" s="14" t="str">
        <f aca="false">IF(OR($C12="",$H12=""),"",INT(($H12-$C12)/365.25))</f>
        <v/>
      </c>
      <c r="M12" s="14" t="str">
        <f aca="false">IF($L12="","",IF($L12&lt;18,"Ha","Yo'q"))</f>
        <v/>
      </c>
      <c r="N12" s="25"/>
      <c r="O12" s="25"/>
      <c r="P12" s="25"/>
      <c r="Q12" s="12"/>
      <c r="R12" s="25"/>
      <c r="S12" s="12"/>
      <c r="T12" s="13"/>
      <c r="U12" s="12"/>
      <c r="V12" s="25"/>
      <c r="W12" s="25"/>
      <c r="X12" s="14" t="str">
        <f aca="false">IF(OR($V12="",$W12=""),"",IF(AND($V12&gt;=Spravochnik!$H$5,$W12&gt;=Spravochnik!$H$6),"Ha","Yo'q"))</f>
        <v/>
      </c>
      <c r="Y12" s="13"/>
      <c r="Z12" s="13"/>
      <c r="AA12" s="13"/>
      <c r="AB12" s="13"/>
      <c r="AC12" s="14" t="str">
        <f aca="false">IF(AND($B12&lt;&gt;"",$AE12="",$AB12&lt;&gt;"",$AB12&lt;Boshqaruv!$C$12),"Ha","")</f>
        <v/>
      </c>
      <c r="AD12" s="25"/>
      <c r="AE12" s="13"/>
      <c r="AF12" s="12"/>
      <c r="AG12" s="14" t="str">
        <f aca="false">IF(OR($B12="",$C12="",$H12=""),"",IF(COUNTIFS($B$5:$B$804,$B12,$C$5:$C$804,$C12,$H$5:$H$804,$H12)&gt;1,"Takror",""))</f>
        <v/>
      </c>
      <c r="AH12" s="28" t="str">
        <f aca="false">IF(AND($B12&lt;&gt;"",$N12="Ha",$H12&lt;&gt;"",$H12&lt;=Boshqaruv!$C$12,OR($AE12="",$AE12&gt;Boshqaruv!$C$12)),MAX($AH$4:$AH11)+1,"")</f>
        <v/>
      </c>
    </row>
    <row r="13" customFormat="false" ht="15" hidden="false" customHeight="false" outlineLevel="0" collapsed="false">
      <c r="A13" s="20" t="n">
        <v>9</v>
      </c>
      <c r="B13" s="12"/>
      <c r="C13" s="13"/>
      <c r="D13" s="24"/>
      <c r="E13" s="12"/>
      <c r="F13" s="25"/>
      <c r="G13" s="27" t="str">
        <f aca="false">IF(OR($B13="",$C13=""),"",$B13&amp;" ("&amp;DAY($C13)&amp;"."&amp;MONTH($C13)&amp;"."&amp;YEAR($C13)&amp;")")</f>
        <v/>
      </c>
      <c r="H13" s="13"/>
      <c r="I13" s="13"/>
      <c r="J13" s="15" t="str">
        <f aca="false">IF($I13="","",$I13+280)</f>
        <v/>
      </c>
      <c r="K13" s="14" t="str">
        <f aca="false">IF(OR($I13="",$AE13&lt;&gt;""),"",INT((Boshqaruv!$C$12-$I13)/7))</f>
        <v/>
      </c>
      <c r="L13" s="14" t="str">
        <f aca="false">IF(OR($C13="",$H13=""),"",INT(($H13-$C13)/365.25))</f>
        <v/>
      </c>
      <c r="M13" s="14" t="str">
        <f aca="false">IF($L13="","",IF($L13&lt;18,"Ha","Yo'q"))</f>
        <v/>
      </c>
      <c r="N13" s="25"/>
      <c r="O13" s="25"/>
      <c r="P13" s="25"/>
      <c r="Q13" s="12"/>
      <c r="R13" s="25"/>
      <c r="S13" s="12"/>
      <c r="T13" s="13"/>
      <c r="U13" s="12"/>
      <c r="V13" s="25"/>
      <c r="W13" s="25"/>
      <c r="X13" s="14" t="str">
        <f aca="false">IF(OR($V13="",$W13=""),"",IF(AND($V13&gt;=Spravochnik!$H$5,$W13&gt;=Spravochnik!$H$6),"Ha","Yo'q"))</f>
        <v/>
      </c>
      <c r="Y13" s="13"/>
      <c r="Z13" s="13"/>
      <c r="AA13" s="13"/>
      <c r="AB13" s="13"/>
      <c r="AC13" s="14" t="str">
        <f aca="false">IF(AND($B13&lt;&gt;"",$AE13="",$AB13&lt;&gt;"",$AB13&lt;Boshqaruv!$C$12),"Ha","")</f>
        <v/>
      </c>
      <c r="AD13" s="25"/>
      <c r="AE13" s="13"/>
      <c r="AF13" s="12"/>
      <c r="AG13" s="14" t="str">
        <f aca="false">IF(OR($B13="",$C13="",$H13=""),"",IF(COUNTIFS($B$5:$B$804,$B13,$C$5:$C$804,$C13,$H$5:$H$804,$H13)&gt;1,"Takror",""))</f>
        <v/>
      </c>
      <c r="AH13" s="28" t="str">
        <f aca="false">IF(AND($B13&lt;&gt;"",$N13="Ha",$H13&lt;&gt;"",$H13&lt;=Boshqaruv!$C$12,OR($AE13="",$AE13&gt;Boshqaruv!$C$12)),MAX($AH$4:$AH12)+1,"")</f>
        <v/>
      </c>
    </row>
    <row r="14" customFormat="false" ht="15" hidden="false" customHeight="false" outlineLevel="0" collapsed="false">
      <c r="A14" s="20" t="n">
        <v>10</v>
      </c>
      <c r="B14" s="12"/>
      <c r="C14" s="13"/>
      <c r="D14" s="24"/>
      <c r="E14" s="12"/>
      <c r="F14" s="25"/>
      <c r="G14" s="27" t="str">
        <f aca="false">IF(OR($B14="",$C14=""),"",$B14&amp;" ("&amp;DAY($C14)&amp;"."&amp;MONTH($C14)&amp;"."&amp;YEAR($C14)&amp;")")</f>
        <v/>
      </c>
      <c r="H14" s="13"/>
      <c r="I14" s="13"/>
      <c r="J14" s="15" t="str">
        <f aca="false">IF($I14="","",$I14+280)</f>
        <v/>
      </c>
      <c r="K14" s="14" t="str">
        <f aca="false">IF(OR($I14="",$AE14&lt;&gt;""),"",INT((Boshqaruv!$C$12-$I14)/7))</f>
        <v/>
      </c>
      <c r="L14" s="14" t="str">
        <f aca="false">IF(OR($C14="",$H14=""),"",INT(($H14-$C14)/365.25))</f>
        <v/>
      </c>
      <c r="M14" s="14" t="str">
        <f aca="false">IF($L14="","",IF($L14&lt;18,"Ha","Yo'q"))</f>
        <v/>
      </c>
      <c r="N14" s="25"/>
      <c r="O14" s="25"/>
      <c r="P14" s="25"/>
      <c r="Q14" s="12"/>
      <c r="R14" s="25"/>
      <c r="S14" s="12"/>
      <c r="T14" s="13"/>
      <c r="U14" s="12"/>
      <c r="V14" s="25"/>
      <c r="W14" s="25"/>
      <c r="X14" s="14" t="str">
        <f aca="false">IF(OR($V14="",$W14=""),"",IF(AND($V14&gt;=Spravochnik!$H$5,$W14&gt;=Spravochnik!$H$6),"Ha","Yo'q"))</f>
        <v/>
      </c>
      <c r="Y14" s="13"/>
      <c r="Z14" s="13"/>
      <c r="AA14" s="13"/>
      <c r="AB14" s="13"/>
      <c r="AC14" s="14" t="str">
        <f aca="false">IF(AND($B14&lt;&gt;"",$AE14="",$AB14&lt;&gt;"",$AB14&lt;Boshqaruv!$C$12),"Ha","")</f>
        <v/>
      </c>
      <c r="AD14" s="25"/>
      <c r="AE14" s="13"/>
      <c r="AF14" s="12"/>
      <c r="AG14" s="14" t="str">
        <f aca="false">IF(OR($B14="",$C14="",$H14=""),"",IF(COUNTIFS($B$5:$B$804,$B14,$C$5:$C$804,$C14,$H$5:$H$804,$H14)&gt;1,"Takror",""))</f>
        <v/>
      </c>
      <c r="AH14" s="28" t="str">
        <f aca="false">IF(AND($B14&lt;&gt;"",$N14="Ha",$H14&lt;&gt;"",$H14&lt;=Boshqaruv!$C$12,OR($AE14="",$AE14&gt;Boshqaruv!$C$12)),MAX($AH$4:$AH13)+1,"")</f>
        <v/>
      </c>
    </row>
    <row r="15" customFormat="false" ht="15" hidden="false" customHeight="false" outlineLevel="0" collapsed="false">
      <c r="A15" s="20" t="n">
        <v>11</v>
      </c>
      <c r="B15" s="12"/>
      <c r="C15" s="13"/>
      <c r="D15" s="24"/>
      <c r="E15" s="12"/>
      <c r="F15" s="25"/>
      <c r="G15" s="27" t="str">
        <f aca="false">IF(OR($B15="",$C15=""),"",$B15&amp;" ("&amp;DAY($C15)&amp;"."&amp;MONTH($C15)&amp;"."&amp;YEAR($C15)&amp;")")</f>
        <v/>
      </c>
      <c r="H15" s="13"/>
      <c r="I15" s="13"/>
      <c r="J15" s="15" t="str">
        <f aca="false">IF($I15="","",$I15+280)</f>
        <v/>
      </c>
      <c r="K15" s="14" t="str">
        <f aca="false">IF(OR($I15="",$AE15&lt;&gt;""),"",INT((Boshqaruv!$C$12-$I15)/7))</f>
        <v/>
      </c>
      <c r="L15" s="14" t="str">
        <f aca="false">IF(OR($C15="",$H15=""),"",INT(($H15-$C15)/365.25))</f>
        <v/>
      </c>
      <c r="M15" s="14" t="str">
        <f aca="false">IF($L15="","",IF($L15&lt;18,"Ha","Yo'q"))</f>
        <v/>
      </c>
      <c r="N15" s="25"/>
      <c r="O15" s="25"/>
      <c r="P15" s="25"/>
      <c r="Q15" s="12"/>
      <c r="R15" s="25"/>
      <c r="S15" s="12"/>
      <c r="T15" s="13"/>
      <c r="U15" s="12"/>
      <c r="V15" s="25"/>
      <c r="W15" s="25"/>
      <c r="X15" s="14" t="str">
        <f aca="false">IF(OR($V15="",$W15=""),"",IF(AND($V15&gt;=Spravochnik!$H$5,$W15&gt;=Spravochnik!$H$6),"Ha","Yo'q"))</f>
        <v/>
      </c>
      <c r="Y15" s="13"/>
      <c r="Z15" s="13"/>
      <c r="AA15" s="13"/>
      <c r="AB15" s="13"/>
      <c r="AC15" s="14" t="str">
        <f aca="false">IF(AND($B15&lt;&gt;"",$AE15="",$AB15&lt;&gt;"",$AB15&lt;Boshqaruv!$C$12),"Ha","")</f>
        <v/>
      </c>
      <c r="AD15" s="25"/>
      <c r="AE15" s="13"/>
      <c r="AF15" s="12"/>
      <c r="AG15" s="14" t="str">
        <f aca="false">IF(OR($B15="",$C15="",$H15=""),"",IF(COUNTIFS($B$5:$B$804,$B15,$C$5:$C$804,$C15,$H$5:$H$804,$H15)&gt;1,"Takror",""))</f>
        <v/>
      </c>
      <c r="AH15" s="28" t="str">
        <f aca="false">IF(AND($B15&lt;&gt;"",$N15="Ha",$H15&lt;&gt;"",$H15&lt;=Boshqaruv!$C$12,OR($AE15="",$AE15&gt;Boshqaruv!$C$12)),MAX($AH$4:$AH14)+1,"")</f>
        <v/>
      </c>
    </row>
    <row r="16" customFormat="false" ht="15" hidden="false" customHeight="false" outlineLevel="0" collapsed="false">
      <c r="A16" s="20" t="n">
        <v>12</v>
      </c>
      <c r="B16" s="12"/>
      <c r="C16" s="13"/>
      <c r="D16" s="24"/>
      <c r="E16" s="12"/>
      <c r="F16" s="25"/>
      <c r="G16" s="27" t="str">
        <f aca="false">IF(OR($B16="",$C16=""),"",$B16&amp;" ("&amp;DAY($C16)&amp;"."&amp;MONTH($C16)&amp;"."&amp;YEAR($C16)&amp;")")</f>
        <v/>
      </c>
      <c r="H16" s="13"/>
      <c r="I16" s="13"/>
      <c r="J16" s="15" t="str">
        <f aca="false">IF($I16="","",$I16+280)</f>
        <v/>
      </c>
      <c r="K16" s="14" t="str">
        <f aca="false">IF(OR($I16="",$AE16&lt;&gt;""),"",INT((Boshqaruv!$C$12-$I16)/7))</f>
        <v/>
      </c>
      <c r="L16" s="14" t="str">
        <f aca="false">IF(OR($C16="",$H16=""),"",INT(($H16-$C16)/365.25))</f>
        <v/>
      </c>
      <c r="M16" s="14" t="str">
        <f aca="false">IF($L16="","",IF($L16&lt;18,"Ha","Yo'q"))</f>
        <v/>
      </c>
      <c r="N16" s="25"/>
      <c r="O16" s="25"/>
      <c r="P16" s="25"/>
      <c r="Q16" s="12"/>
      <c r="R16" s="25"/>
      <c r="S16" s="12"/>
      <c r="T16" s="13"/>
      <c r="U16" s="12"/>
      <c r="V16" s="25"/>
      <c r="W16" s="25"/>
      <c r="X16" s="14" t="str">
        <f aca="false">IF(OR($V16="",$W16=""),"",IF(AND($V16&gt;=Spravochnik!$H$5,$W16&gt;=Spravochnik!$H$6),"Ha","Yo'q"))</f>
        <v/>
      </c>
      <c r="Y16" s="13"/>
      <c r="Z16" s="13"/>
      <c r="AA16" s="13"/>
      <c r="AB16" s="13"/>
      <c r="AC16" s="14" t="str">
        <f aca="false">IF(AND($B16&lt;&gt;"",$AE16="",$AB16&lt;&gt;"",$AB16&lt;Boshqaruv!$C$12),"Ha","")</f>
        <v/>
      </c>
      <c r="AD16" s="25"/>
      <c r="AE16" s="13"/>
      <c r="AF16" s="12"/>
      <c r="AG16" s="14" t="str">
        <f aca="false">IF(OR($B16="",$C16="",$H16=""),"",IF(COUNTIFS($B$5:$B$804,$B16,$C$5:$C$804,$C16,$H$5:$H$804,$H16)&gt;1,"Takror",""))</f>
        <v/>
      </c>
      <c r="AH16" s="28" t="str">
        <f aca="false">IF(AND($B16&lt;&gt;"",$N16="Ha",$H16&lt;&gt;"",$H16&lt;=Boshqaruv!$C$12,OR($AE16="",$AE16&gt;Boshqaruv!$C$12)),MAX($AH$4:$AH15)+1,"")</f>
        <v/>
      </c>
    </row>
    <row r="17" customFormat="false" ht="15" hidden="false" customHeight="false" outlineLevel="0" collapsed="false">
      <c r="A17" s="20" t="n">
        <v>13</v>
      </c>
      <c r="B17" s="12"/>
      <c r="C17" s="13"/>
      <c r="D17" s="24"/>
      <c r="E17" s="12"/>
      <c r="F17" s="25"/>
      <c r="G17" s="27" t="str">
        <f aca="false">IF(OR($B17="",$C17=""),"",$B17&amp;" ("&amp;DAY($C17)&amp;"."&amp;MONTH($C17)&amp;"."&amp;YEAR($C17)&amp;")")</f>
        <v/>
      </c>
      <c r="H17" s="13"/>
      <c r="I17" s="13"/>
      <c r="J17" s="15" t="str">
        <f aca="false">IF($I17="","",$I17+280)</f>
        <v/>
      </c>
      <c r="K17" s="14" t="str">
        <f aca="false">IF(OR($I17="",$AE17&lt;&gt;""),"",INT((Boshqaruv!$C$12-$I17)/7))</f>
        <v/>
      </c>
      <c r="L17" s="14" t="str">
        <f aca="false">IF(OR($C17="",$H17=""),"",INT(($H17-$C17)/365.25))</f>
        <v/>
      </c>
      <c r="M17" s="14" t="str">
        <f aca="false">IF($L17="","",IF($L17&lt;18,"Ha","Yo'q"))</f>
        <v/>
      </c>
      <c r="N17" s="25"/>
      <c r="O17" s="25"/>
      <c r="P17" s="25"/>
      <c r="Q17" s="12"/>
      <c r="R17" s="25"/>
      <c r="S17" s="12"/>
      <c r="T17" s="13"/>
      <c r="U17" s="12"/>
      <c r="V17" s="25"/>
      <c r="W17" s="25"/>
      <c r="X17" s="14" t="str">
        <f aca="false">IF(OR($V17="",$W17=""),"",IF(AND($V17&gt;=Spravochnik!$H$5,$W17&gt;=Spravochnik!$H$6),"Ha","Yo'q"))</f>
        <v/>
      </c>
      <c r="Y17" s="13"/>
      <c r="Z17" s="13"/>
      <c r="AA17" s="13"/>
      <c r="AB17" s="13"/>
      <c r="AC17" s="14" t="str">
        <f aca="false">IF(AND($B17&lt;&gt;"",$AE17="",$AB17&lt;&gt;"",$AB17&lt;Boshqaruv!$C$12),"Ha","")</f>
        <v/>
      </c>
      <c r="AD17" s="25"/>
      <c r="AE17" s="13"/>
      <c r="AF17" s="12"/>
      <c r="AG17" s="14" t="str">
        <f aca="false">IF(OR($B17="",$C17="",$H17=""),"",IF(COUNTIFS($B$5:$B$804,$B17,$C$5:$C$804,$C17,$H$5:$H$804,$H17)&gt;1,"Takror",""))</f>
        <v/>
      </c>
      <c r="AH17" s="28" t="str">
        <f aca="false">IF(AND($B17&lt;&gt;"",$N17="Ha",$H17&lt;&gt;"",$H17&lt;=Boshqaruv!$C$12,OR($AE17="",$AE17&gt;Boshqaruv!$C$12)),MAX($AH$4:$AH16)+1,"")</f>
        <v/>
      </c>
    </row>
    <row r="18" customFormat="false" ht="15" hidden="false" customHeight="false" outlineLevel="0" collapsed="false">
      <c r="A18" s="20" t="n">
        <v>14</v>
      </c>
      <c r="B18" s="12"/>
      <c r="C18" s="13"/>
      <c r="D18" s="24"/>
      <c r="E18" s="12"/>
      <c r="F18" s="25"/>
      <c r="G18" s="27" t="str">
        <f aca="false">IF(OR($B18="",$C18=""),"",$B18&amp;" ("&amp;DAY($C18)&amp;"."&amp;MONTH($C18)&amp;"."&amp;YEAR($C18)&amp;")")</f>
        <v/>
      </c>
      <c r="H18" s="13"/>
      <c r="I18" s="13"/>
      <c r="J18" s="15" t="str">
        <f aca="false">IF($I18="","",$I18+280)</f>
        <v/>
      </c>
      <c r="K18" s="14" t="str">
        <f aca="false">IF(OR($I18="",$AE18&lt;&gt;""),"",INT((Boshqaruv!$C$12-$I18)/7))</f>
        <v/>
      </c>
      <c r="L18" s="14" t="str">
        <f aca="false">IF(OR($C18="",$H18=""),"",INT(($H18-$C18)/365.25))</f>
        <v/>
      </c>
      <c r="M18" s="14" t="str">
        <f aca="false">IF($L18="","",IF($L18&lt;18,"Ha","Yo'q"))</f>
        <v/>
      </c>
      <c r="N18" s="25"/>
      <c r="O18" s="25"/>
      <c r="P18" s="25"/>
      <c r="Q18" s="12"/>
      <c r="R18" s="25"/>
      <c r="S18" s="12"/>
      <c r="T18" s="13"/>
      <c r="U18" s="12"/>
      <c r="V18" s="25"/>
      <c r="W18" s="25"/>
      <c r="X18" s="14" t="str">
        <f aca="false">IF(OR($V18="",$W18=""),"",IF(AND($V18&gt;=Spravochnik!$H$5,$W18&gt;=Spravochnik!$H$6),"Ha","Yo'q"))</f>
        <v/>
      </c>
      <c r="Y18" s="13"/>
      <c r="Z18" s="13"/>
      <c r="AA18" s="13"/>
      <c r="AB18" s="13"/>
      <c r="AC18" s="14" t="str">
        <f aca="false">IF(AND($B18&lt;&gt;"",$AE18="",$AB18&lt;&gt;"",$AB18&lt;Boshqaruv!$C$12),"Ha","")</f>
        <v/>
      </c>
      <c r="AD18" s="25"/>
      <c r="AE18" s="13"/>
      <c r="AF18" s="12"/>
      <c r="AG18" s="14" t="str">
        <f aca="false">IF(OR($B18="",$C18="",$H18=""),"",IF(COUNTIFS($B$5:$B$804,$B18,$C$5:$C$804,$C18,$H$5:$H$804,$H18)&gt;1,"Takror",""))</f>
        <v/>
      </c>
      <c r="AH18" s="28" t="str">
        <f aca="false">IF(AND($B18&lt;&gt;"",$N18="Ha",$H18&lt;&gt;"",$H18&lt;=Boshqaruv!$C$12,OR($AE18="",$AE18&gt;Boshqaruv!$C$12)),MAX($AH$4:$AH17)+1,"")</f>
        <v/>
      </c>
    </row>
    <row r="19" customFormat="false" ht="15" hidden="false" customHeight="false" outlineLevel="0" collapsed="false">
      <c r="A19" s="20" t="n">
        <v>15</v>
      </c>
      <c r="B19" s="12"/>
      <c r="C19" s="13"/>
      <c r="D19" s="24"/>
      <c r="E19" s="12"/>
      <c r="F19" s="25"/>
      <c r="G19" s="27" t="str">
        <f aca="false">IF(OR($B19="",$C19=""),"",$B19&amp;" ("&amp;DAY($C19)&amp;"."&amp;MONTH($C19)&amp;"."&amp;YEAR($C19)&amp;")")</f>
        <v/>
      </c>
      <c r="H19" s="13"/>
      <c r="I19" s="13"/>
      <c r="J19" s="15" t="str">
        <f aca="false">IF($I19="","",$I19+280)</f>
        <v/>
      </c>
      <c r="K19" s="14" t="str">
        <f aca="false">IF(OR($I19="",$AE19&lt;&gt;""),"",INT((Boshqaruv!$C$12-$I19)/7))</f>
        <v/>
      </c>
      <c r="L19" s="14" t="str">
        <f aca="false">IF(OR($C19="",$H19=""),"",INT(($H19-$C19)/365.25))</f>
        <v/>
      </c>
      <c r="M19" s="14" t="str">
        <f aca="false">IF($L19="","",IF($L19&lt;18,"Ha","Yo'q"))</f>
        <v/>
      </c>
      <c r="N19" s="25"/>
      <c r="O19" s="25"/>
      <c r="P19" s="25"/>
      <c r="Q19" s="12"/>
      <c r="R19" s="25"/>
      <c r="S19" s="12"/>
      <c r="T19" s="13"/>
      <c r="U19" s="12"/>
      <c r="V19" s="25"/>
      <c r="W19" s="25"/>
      <c r="X19" s="14" t="str">
        <f aca="false">IF(OR($V19="",$W19=""),"",IF(AND($V19&gt;=Spravochnik!$H$5,$W19&gt;=Spravochnik!$H$6),"Ha","Yo'q"))</f>
        <v/>
      </c>
      <c r="Y19" s="13"/>
      <c r="Z19" s="13"/>
      <c r="AA19" s="13"/>
      <c r="AB19" s="13"/>
      <c r="AC19" s="14" t="str">
        <f aca="false">IF(AND($B19&lt;&gt;"",$AE19="",$AB19&lt;&gt;"",$AB19&lt;Boshqaruv!$C$12),"Ha","")</f>
        <v/>
      </c>
      <c r="AD19" s="25"/>
      <c r="AE19" s="13"/>
      <c r="AF19" s="12"/>
      <c r="AG19" s="14" t="str">
        <f aca="false">IF(OR($B19="",$C19="",$H19=""),"",IF(COUNTIFS($B$5:$B$804,$B19,$C$5:$C$804,$C19,$H$5:$H$804,$H19)&gt;1,"Takror",""))</f>
        <v/>
      </c>
      <c r="AH19" s="28" t="str">
        <f aca="false">IF(AND($B19&lt;&gt;"",$N19="Ha",$H19&lt;&gt;"",$H19&lt;=Boshqaruv!$C$12,OR($AE19="",$AE19&gt;Boshqaruv!$C$12)),MAX($AH$4:$AH18)+1,"")</f>
        <v/>
      </c>
    </row>
    <row r="20" customFormat="false" ht="15" hidden="false" customHeight="false" outlineLevel="0" collapsed="false">
      <c r="A20" s="20" t="n">
        <v>16</v>
      </c>
      <c r="B20" s="12"/>
      <c r="C20" s="13"/>
      <c r="D20" s="24"/>
      <c r="E20" s="12"/>
      <c r="F20" s="25"/>
      <c r="G20" s="27" t="str">
        <f aca="false">IF(OR($B20="",$C20=""),"",$B20&amp;" ("&amp;DAY($C20)&amp;"."&amp;MONTH($C20)&amp;"."&amp;YEAR($C20)&amp;")")</f>
        <v/>
      </c>
      <c r="H20" s="13"/>
      <c r="I20" s="13"/>
      <c r="J20" s="15" t="str">
        <f aca="false">IF($I20="","",$I20+280)</f>
        <v/>
      </c>
      <c r="K20" s="14" t="str">
        <f aca="false">IF(OR($I20="",$AE20&lt;&gt;""),"",INT((Boshqaruv!$C$12-$I20)/7))</f>
        <v/>
      </c>
      <c r="L20" s="14" t="str">
        <f aca="false">IF(OR($C20="",$H20=""),"",INT(($H20-$C20)/365.25))</f>
        <v/>
      </c>
      <c r="M20" s="14" t="str">
        <f aca="false">IF($L20="","",IF($L20&lt;18,"Ha","Yo'q"))</f>
        <v/>
      </c>
      <c r="N20" s="25"/>
      <c r="O20" s="25"/>
      <c r="P20" s="25"/>
      <c r="Q20" s="12"/>
      <c r="R20" s="25"/>
      <c r="S20" s="12"/>
      <c r="T20" s="13"/>
      <c r="U20" s="12"/>
      <c r="V20" s="25"/>
      <c r="W20" s="25"/>
      <c r="X20" s="14" t="str">
        <f aca="false">IF(OR($V20="",$W20=""),"",IF(AND($V20&gt;=Spravochnik!$H$5,$W20&gt;=Spravochnik!$H$6),"Ha","Yo'q"))</f>
        <v/>
      </c>
      <c r="Y20" s="13"/>
      <c r="Z20" s="13"/>
      <c r="AA20" s="13"/>
      <c r="AB20" s="13"/>
      <c r="AC20" s="14" t="str">
        <f aca="false">IF(AND($B20&lt;&gt;"",$AE20="",$AB20&lt;&gt;"",$AB20&lt;Boshqaruv!$C$12),"Ha","")</f>
        <v/>
      </c>
      <c r="AD20" s="25"/>
      <c r="AE20" s="13"/>
      <c r="AF20" s="12"/>
      <c r="AG20" s="14" t="str">
        <f aca="false">IF(OR($B20="",$C20="",$H20=""),"",IF(COUNTIFS($B$5:$B$804,$B20,$C$5:$C$804,$C20,$H$5:$H$804,$H20)&gt;1,"Takror",""))</f>
        <v/>
      </c>
      <c r="AH20" s="28" t="str">
        <f aca="false">IF(AND($B20&lt;&gt;"",$N20="Ha",$H20&lt;&gt;"",$H20&lt;=Boshqaruv!$C$12,OR($AE20="",$AE20&gt;Boshqaruv!$C$12)),MAX($AH$4:$AH19)+1,"")</f>
        <v/>
      </c>
    </row>
    <row r="21" customFormat="false" ht="15" hidden="false" customHeight="false" outlineLevel="0" collapsed="false">
      <c r="A21" s="20" t="n">
        <v>17</v>
      </c>
      <c r="B21" s="12"/>
      <c r="C21" s="13"/>
      <c r="D21" s="24"/>
      <c r="E21" s="12"/>
      <c r="F21" s="25"/>
      <c r="G21" s="27" t="str">
        <f aca="false">IF(OR($B21="",$C21=""),"",$B21&amp;" ("&amp;DAY($C21)&amp;"."&amp;MONTH($C21)&amp;"."&amp;YEAR($C21)&amp;")")</f>
        <v/>
      </c>
      <c r="H21" s="13"/>
      <c r="I21" s="13"/>
      <c r="J21" s="15" t="str">
        <f aca="false">IF($I21="","",$I21+280)</f>
        <v/>
      </c>
      <c r="K21" s="14" t="str">
        <f aca="false">IF(OR($I21="",$AE21&lt;&gt;""),"",INT((Boshqaruv!$C$12-$I21)/7))</f>
        <v/>
      </c>
      <c r="L21" s="14" t="str">
        <f aca="false">IF(OR($C21="",$H21=""),"",INT(($H21-$C21)/365.25))</f>
        <v/>
      </c>
      <c r="M21" s="14" t="str">
        <f aca="false">IF($L21="","",IF($L21&lt;18,"Ha","Yo'q"))</f>
        <v/>
      </c>
      <c r="N21" s="25"/>
      <c r="O21" s="25"/>
      <c r="P21" s="25"/>
      <c r="Q21" s="12"/>
      <c r="R21" s="25"/>
      <c r="S21" s="12"/>
      <c r="T21" s="13"/>
      <c r="U21" s="12"/>
      <c r="V21" s="25"/>
      <c r="W21" s="25"/>
      <c r="X21" s="14" t="str">
        <f aca="false">IF(OR($V21="",$W21=""),"",IF(AND($V21&gt;=Spravochnik!$H$5,$W21&gt;=Spravochnik!$H$6),"Ha","Yo'q"))</f>
        <v/>
      </c>
      <c r="Y21" s="13"/>
      <c r="Z21" s="13"/>
      <c r="AA21" s="13"/>
      <c r="AB21" s="13"/>
      <c r="AC21" s="14" t="str">
        <f aca="false">IF(AND($B21&lt;&gt;"",$AE21="",$AB21&lt;&gt;"",$AB21&lt;Boshqaruv!$C$12),"Ha","")</f>
        <v/>
      </c>
      <c r="AD21" s="25"/>
      <c r="AE21" s="13"/>
      <c r="AF21" s="12"/>
      <c r="AG21" s="14" t="str">
        <f aca="false">IF(OR($B21="",$C21="",$H21=""),"",IF(COUNTIFS($B$5:$B$804,$B21,$C$5:$C$804,$C21,$H$5:$H$804,$H21)&gt;1,"Takror",""))</f>
        <v/>
      </c>
      <c r="AH21" s="28" t="str">
        <f aca="false">IF(AND($B21&lt;&gt;"",$N21="Ha",$H21&lt;&gt;"",$H21&lt;=Boshqaruv!$C$12,OR($AE21="",$AE21&gt;Boshqaruv!$C$12)),MAX($AH$4:$AH20)+1,"")</f>
        <v/>
      </c>
    </row>
    <row r="22" customFormat="false" ht="15" hidden="false" customHeight="false" outlineLevel="0" collapsed="false">
      <c r="A22" s="20" t="n">
        <v>18</v>
      </c>
      <c r="B22" s="12"/>
      <c r="C22" s="13"/>
      <c r="D22" s="24"/>
      <c r="E22" s="12"/>
      <c r="F22" s="25"/>
      <c r="G22" s="27" t="str">
        <f aca="false">IF(OR($B22="",$C22=""),"",$B22&amp;" ("&amp;DAY($C22)&amp;"."&amp;MONTH($C22)&amp;"."&amp;YEAR($C22)&amp;")")</f>
        <v/>
      </c>
      <c r="H22" s="13"/>
      <c r="I22" s="13"/>
      <c r="J22" s="15" t="str">
        <f aca="false">IF($I22="","",$I22+280)</f>
        <v/>
      </c>
      <c r="K22" s="14" t="str">
        <f aca="false">IF(OR($I22="",$AE22&lt;&gt;""),"",INT((Boshqaruv!$C$12-$I22)/7))</f>
        <v/>
      </c>
      <c r="L22" s="14" t="str">
        <f aca="false">IF(OR($C22="",$H22=""),"",INT(($H22-$C22)/365.25))</f>
        <v/>
      </c>
      <c r="M22" s="14" t="str">
        <f aca="false">IF($L22="","",IF($L22&lt;18,"Ha","Yo'q"))</f>
        <v/>
      </c>
      <c r="N22" s="25"/>
      <c r="O22" s="25"/>
      <c r="P22" s="25"/>
      <c r="Q22" s="12"/>
      <c r="R22" s="25"/>
      <c r="S22" s="12"/>
      <c r="T22" s="13"/>
      <c r="U22" s="12"/>
      <c r="V22" s="25"/>
      <c r="W22" s="25"/>
      <c r="X22" s="14" t="str">
        <f aca="false">IF(OR($V22="",$W22=""),"",IF(AND($V22&gt;=Spravochnik!$H$5,$W22&gt;=Spravochnik!$H$6),"Ha","Yo'q"))</f>
        <v/>
      </c>
      <c r="Y22" s="13"/>
      <c r="Z22" s="13"/>
      <c r="AA22" s="13"/>
      <c r="AB22" s="13"/>
      <c r="AC22" s="14" t="str">
        <f aca="false">IF(AND($B22&lt;&gt;"",$AE22="",$AB22&lt;&gt;"",$AB22&lt;Boshqaruv!$C$12),"Ha","")</f>
        <v/>
      </c>
      <c r="AD22" s="25"/>
      <c r="AE22" s="13"/>
      <c r="AF22" s="12"/>
      <c r="AG22" s="14" t="str">
        <f aca="false">IF(OR($B22="",$C22="",$H22=""),"",IF(COUNTIFS($B$5:$B$804,$B22,$C$5:$C$804,$C22,$H$5:$H$804,$H22)&gt;1,"Takror",""))</f>
        <v/>
      </c>
      <c r="AH22" s="28" t="str">
        <f aca="false">IF(AND($B22&lt;&gt;"",$N22="Ha",$H22&lt;&gt;"",$H22&lt;=Boshqaruv!$C$12,OR($AE22="",$AE22&gt;Boshqaruv!$C$12)),MAX($AH$4:$AH21)+1,"")</f>
        <v/>
      </c>
    </row>
    <row r="23" customFormat="false" ht="15" hidden="false" customHeight="false" outlineLevel="0" collapsed="false">
      <c r="A23" s="20" t="n">
        <v>19</v>
      </c>
      <c r="B23" s="12"/>
      <c r="C23" s="13"/>
      <c r="D23" s="24"/>
      <c r="E23" s="12"/>
      <c r="F23" s="25"/>
      <c r="G23" s="27" t="str">
        <f aca="false">IF(OR($B23="",$C23=""),"",$B23&amp;" ("&amp;DAY($C23)&amp;"."&amp;MONTH($C23)&amp;"."&amp;YEAR($C23)&amp;")")</f>
        <v/>
      </c>
      <c r="H23" s="13"/>
      <c r="I23" s="13"/>
      <c r="J23" s="15" t="str">
        <f aca="false">IF($I23="","",$I23+280)</f>
        <v/>
      </c>
      <c r="K23" s="14" t="str">
        <f aca="false">IF(OR($I23="",$AE23&lt;&gt;""),"",INT((Boshqaruv!$C$12-$I23)/7))</f>
        <v/>
      </c>
      <c r="L23" s="14" t="str">
        <f aca="false">IF(OR($C23="",$H23=""),"",INT(($H23-$C23)/365.25))</f>
        <v/>
      </c>
      <c r="M23" s="14" t="str">
        <f aca="false">IF($L23="","",IF($L23&lt;18,"Ha","Yo'q"))</f>
        <v/>
      </c>
      <c r="N23" s="25"/>
      <c r="O23" s="25"/>
      <c r="P23" s="25"/>
      <c r="Q23" s="12"/>
      <c r="R23" s="25"/>
      <c r="S23" s="12"/>
      <c r="T23" s="13"/>
      <c r="U23" s="12"/>
      <c r="V23" s="25"/>
      <c r="W23" s="25"/>
      <c r="X23" s="14" t="str">
        <f aca="false">IF(OR($V23="",$W23=""),"",IF(AND($V23&gt;=Spravochnik!$H$5,$W23&gt;=Spravochnik!$H$6),"Ha","Yo'q"))</f>
        <v/>
      </c>
      <c r="Y23" s="13"/>
      <c r="Z23" s="13"/>
      <c r="AA23" s="13"/>
      <c r="AB23" s="13"/>
      <c r="AC23" s="14" t="str">
        <f aca="false">IF(AND($B23&lt;&gt;"",$AE23="",$AB23&lt;&gt;"",$AB23&lt;Boshqaruv!$C$12),"Ha","")</f>
        <v/>
      </c>
      <c r="AD23" s="25"/>
      <c r="AE23" s="13"/>
      <c r="AF23" s="12"/>
      <c r="AG23" s="14" t="str">
        <f aca="false">IF(OR($B23="",$C23="",$H23=""),"",IF(COUNTIFS($B$5:$B$804,$B23,$C$5:$C$804,$C23,$H$5:$H$804,$H23)&gt;1,"Takror",""))</f>
        <v/>
      </c>
      <c r="AH23" s="28" t="str">
        <f aca="false">IF(AND($B23&lt;&gt;"",$N23="Ha",$H23&lt;&gt;"",$H23&lt;=Boshqaruv!$C$12,OR($AE23="",$AE23&gt;Boshqaruv!$C$12)),MAX($AH$4:$AH22)+1,"")</f>
        <v/>
      </c>
    </row>
    <row r="24" customFormat="false" ht="15" hidden="false" customHeight="false" outlineLevel="0" collapsed="false">
      <c r="A24" s="20" t="n">
        <v>20</v>
      </c>
      <c r="B24" s="12"/>
      <c r="C24" s="13"/>
      <c r="D24" s="24"/>
      <c r="E24" s="12"/>
      <c r="F24" s="25"/>
      <c r="G24" s="27" t="str">
        <f aca="false">IF(OR($B24="",$C24=""),"",$B24&amp;" ("&amp;DAY($C24)&amp;"."&amp;MONTH($C24)&amp;"."&amp;YEAR($C24)&amp;")")</f>
        <v/>
      </c>
      <c r="H24" s="13"/>
      <c r="I24" s="13"/>
      <c r="J24" s="15" t="str">
        <f aca="false">IF($I24="","",$I24+280)</f>
        <v/>
      </c>
      <c r="K24" s="14" t="str">
        <f aca="false">IF(OR($I24="",$AE24&lt;&gt;""),"",INT((Boshqaruv!$C$12-$I24)/7))</f>
        <v/>
      </c>
      <c r="L24" s="14" t="str">
        <f aca="false">IF(OR($C24="",$H24=""),"",INT(($H24-$C24)/365.25))</f>
        <v/>
      </c>
      <c r="M24" s="14" t="str">
        <f aca="false">IF($L24="","",IF($L24&lt;18,"Ha","Yo'q"))</f>
        <v/>
      </c>
      <c r="N24" s="25"/>
      <c r="O24" s="25"/>
      <c r="P24" s="25"/>
      <c r="Q24" s="12"/>
      <c r="R24" s="25"/>
      <c r="S24" s="12"/>
      <c r="T24" s="13"/>
      <c r="U24" s="12"/>
      <c r="V24" s="25"/>
      <c r="W24" s="25"/>
      <c r="X24" s="14" t="str">
        <f aca="false">IF(OR($V24="",$W24=""),"",IF(AND($V24&gt;=Spravochnik!$H$5,$W24&gt;=Spravochnik!$H$6),"Ha","Yo'q"))</f>
        <v/>
      </c>
      <c r="Y24" s="13"/>
      <c r="Z24" s="13"/>
      <c r="AA24" s="13"/>
      <c r="AB24" s="13"/>
      <c r="AC24" s="14" t="str">
        <f aca="false">IF(AND($B24&lt;&gt;"",$AE24="",$AB24&lt;&gt;"",$AB24&lt;Boshqaruv!$C$12),"Ha","")</f>
        <v/>
      </c>
      <c r="AD24" s="25"/>
      <c r="AE24" s="13"/>
      <c r="AF24" s="12"/>
      <c r="AG24" s="14" t="str">
        <f aca="false">IF(OR($B24="",$C24="",$H24=""),"",IF(COUNTIFS($B$5:$B$804,$B24,$C$5:$C$804,$C24,$H$5:$H$804,$H24)&gt;1,"Takror",""))</f>
        <v/>
      </c>
      <c r="AH24" s="28" t="str">
        <f aca="false">IF(AND($B24&lt;&gt;"",$N24="Ha",$H24&lt;&gt;"",$H24&lt;=Boshqaruv!$C$12,OR($AE24="",$AE24&gt;Boshqaruv!$C$12)),MAX($AH$4:$AH23)+1,"")</f>
        <v/>
      </c>
    </row>
    <row r="25" customFormat="false" ht="15" hidden="false" customHeight="false" outlineLevel="0" collapsed="false">
      <c r="A25" s="20" t="n">
        <v>21</v>
      </c>
      <c r="B25" s="12"/>
      <c r="C25" s="13"/>
      <c r="D25" s="24"/>
      <c r="E25" s="12"/>
      <c r="F25" s="25"/>
      <c r="G25" s="27" t="str">
        <f aca="false">IF(OR($B25="",$C25=""),"",$B25&amp;" ("&amp;DAY($C25)&amp;"."&amp;MONTH($C25)&amp;"."&amp;YEAR($C25)&amp;")")</f>
        <v/>
      </c>
      <c r="H25" s="13"/>
      <c r="I25" s="13"/>
      <c r="J25" s="15" t="str">
        <f aca="false">IF($I25="","",$I25+280)</f>
        <v/>
      </c>
      <c r="K25" s="14" t="str">
        <f aca="false">IF(OR($I25="",$AE25&lt;&gt;""),"",INT((Boshqaruv!$C$12-$I25)/7))</f>
        <v/>
      </c>
      <c r="L25" s="14" t="str">
        <f aca="false">IF(OR($C25="",$H25=""),"",INT(($H25-$C25)/365.25))</f>
        <v/>
      </c>
      <c r="M25" s="14" t="str">
        <f aca="false">IF($L25="","",IF($L25&lt;18,"Ha","Yo'q"))</f>
        <v/>
      </c>
      <c r="N25" s="25"/>
      <c r="O25" s="25"/>
      <c r="P25" s="25"/>
      <c r="Q25" s="12"/>
      <c r="R25" s="25"/>
      <c r="S25" s="12"/>
      <c r="T25" s="13"/>
      <c r="U25" s="12"/>
      <c r="V25" s="25"/>
      <c r="W25" s="25"/>
      <c r="X25" s="14" t="str">
        <f aca="false">IF(OR($V25="",$W25=""),"",IF(AND($V25&gt;=Spravochnik!$H$5,$W25&gt;=Spravochnik!$H$6),"Ha","Yo'q"))</f>
        <v/>
      </c>
      <c r="Y25" s="13"/>
      <c r="Z25" s="13"/>
      <c r="AA25" s="13"/>
      <c r="AB25" s="13"/>
      <c r="AC25" s="14" t="str">
        <f aca="false">IF(AND($B25&lt;&gt;"",$AE25="",$AB25&lt;&gt;"",$AB25&lt;Boshqaruv!$C$12),"Ha","")</f>
        <v/>
      </c>
      <c r="AD25" s="25"/>
      <c r="AE25" s="13"/>
      <c r="AF25" s="12"/>
      <c r="AG25" s="14" t="str">
        <f aca="false">IF(OR($B25="",$C25="",$H25=""),"",IF(COUNTIFS($B$5:$B$804,$B25,$C$5:$C$804,$C25,$H$5:$H$804,$H25)&gt;1,"Takror",""))</f>
        <v/>
      </c>
      <c r="AH25" s="28" t="str">
        <f aca="false">IF(AND($B25&lt;&gt;"",$N25="Ha",$H25&lt;&gt;"",$H25&lt;=Boshqaruv!$C$12,OR($AE25="",$AE25&gt;Boshqaruv!$C$12)),MAX($AH$4:$AH24)+1,"")</f>
        <v/>
      </c>
    </row>
    <row r="26" customFormat="false" ht="15" hidden="false" customHeight="false" outlineLevel="0" collapsed="false">
      <c r="A26" s="20" t="n">
        <v>22</v>
      </c>
      <c r="B26" s="12"/>
      <c r="C26" s="13"/>
      <c r="D26" s="24"/>
      <c r="E26" s="12"/>
      <c r="F26" s="25"/>
      <c r="G26" s="27" t="str">
        <f aca="false">IF(OR($B26="",$C26=""),"",$B26&amp;" ("&amp;DAY($C26)&amp;"."&amp;MONTH($C26)&amp;"."&amp;YEAR($C26)&amp;")")</f>
        <v/>
      </c>
      <c r="H26" s="13"/>
      <c r="I26" s="13"/>
      <c r="J26" s="15" t="str">
        <f aca="false">IF($I26="","",$I26+280)</f>
        <v/>
      </c>
      <c r="K26" s="14" t="str">
        <f aca="false">IF(OR($I26="",$AE26&lt;&gt;""),"",INT((Boshqaruv!$C$12-$I26)/7))</f>
        <v/>
      </c>
      <c r="L26" s="14" t="str">
        <f aca="false">IF(OR($C26="",$H26=""),"",INT(($H26-$C26)/365.25))</f>
        <v/>
      </c>
      <c r="M26" s="14" t="str">
        <f aca="false">IF($L26="","",IF($L26&lt;18,"Ha","Yo'q"))</f>
        <v/>
      </c>
      <c r="N26" s="25"/>
      <c r="O26" s="25"/>
      <c r="P26" s="25"/>
      <c r="Q26" s="12"/>
      <c r="R26" s="25"/>
      <c r="S26" s="12"/>
      <c r="T26" s="13"/>
      <c r="U26" s="12"/>
      <c r="V26" s="25"/>
      <c r="W26" s="25"/>
      <c r="X26" s="14" t="str">
        <f aca="false">IF(OR($V26="",$W26=""),"",IF(AND($V26&gt;=Spravochnik!$H$5,$W26&gt;=Spravochnik!$H$6),"Ha","Yo'q"))</f>
        <v/>
      </c>
      <c r="Y26" s="13"/>
      <c r="Z26" s="13"/>
      <c r="AA26" s="13"/>
      <c r="AB26" s="13"/>
      <c r="AC26" s="14" t="str">
        <f aca="false">IF(AND($B26&lt;&gt;"",$AE26="",$AB26&lt;&gt;"",$AB26&lt;Boshqaruv!$C$12),"Ha","")</f>
        <v/>
      </c>
      <c r="AD26" s="25"/>
      <c r="AE26" s="13"/>
      <c r="AF26" s="12"/>
      <c r="AG26" s="14" t="str">
        <f aca="false">IF(OR($B26="",$C26="",$H26=""),"",IF(COUNTIFS($B$5:$B$804,$B26,$C$5:$C$804,$C26,$H$5:$H$804,$H26)&gt;1,"Takror",""))</f>
        <v/>
      </c>
      <c r="AH26" s="28" t="str">
        <f aca="false">IF(AND($B26&lt;&gt;"",$N26="Ha",$H26&lt;&gt;"",$H26&lt;=Boshqaruv!$C$12,OR($AE26="",$AE26&gt;Boshqaruv!$C$12)),MAX($AH$4:$AH25)+1,"")</f>
        <v/>
      </c>
    </row>
    <row r="27" customFormat="false" ht="15" hidden="false" customHeight="false" outlineLevel="0" collapsed="false">
      <c r="A27" s="20" t="n">
        <v>23</v>
      </c>
      <c r="B27" s="12"/>
      <c r="C27" s="13"/>
      <c r="D27" s="24"/>
      <c r="E27" s="12"/>
      <c r="F27" s="25"/>
      <c r="G27" s="27" t="str">
        <f aca="false">IF(OR($B27="",$C27=""),"",$B27&amp;" ("&amp;DAY($C27)&amp;"."&amp;MONTH($C27)&amp;"."&amp;YEAR($C27)&amp;")")</f>
        <v/>
      </c>
      <c r="H27" s="13"/>
      <c r="I27" s="13"/>
      <c r="J27" s="15" t="str">
        <f aca="false">IF($I27="","",$I27+280)</f>
        <v/>
      </c>
      <c r="K27" s="14" t="str">
        <f aca="false">IF(OR($I27="",$AE27&lt;&gt;""),"",INT((Boshqaruv!$C$12-$I27)/7))</f>
        <v/>
      </c>
      <c r="L27" s="14" t="str">
        <f aca="false">IF(OR($C27="",$H27=""),"",INT(($H27-$C27)/365.25))</f>
        <v/>
      </c>
      <c r="M27" s="14" t="str">
        <f aca="false">IF($L27="","",IF($L27&lt;18,"Ha","Yo'q"))</f>
        <v/>
      </c>
      <c r="N27" s="25"/>
      <c r="O27" s="25"/>
      <c r="P27" s="25"/>
      <c r="Q27" s="12"/>
      <c r="R27" s="25"/>
      <c r="S27" s="12"/>
      <c r="T27" s="13"/>
      <c r="U27" s="12"/>
      <c r="V27" s="25"/>
      <c r="W27" s="25"/>
      <c r="X27" s="14" t="str">
        <f aca="false">IF(OR($V27="",$W27=""),"",IF(AND($V27&gt;=Spravochnik!$H$5,$W27&gt;=Spravochnik!$H$6),"Ha","Yo'q"))</f>
        <v/>
      </c>
      <c r="Y27" s="13"/>
      <c r="Z27" s="13"/>
      <c r="AA27" s="13"/>
      <c r="AB27" s="13"/>
      <c r="AC27" s="14" t="str">
        <f aca="false">IF(AND($B27&lt;&gt;"",$AE27="",$AB27&lt;&gt;"",$AB27&lt;Boshqaruv!$C$12),"Ha","")</f>
        <v/>
      </c>
      <c r="AD27" s="25"/>
      <c r="AE27" s="13"/>
      <c r="AF27" s="12"/>
      <c r="AG27" s="14" t="str">
        <f aca="false">IF(OR($B27="",$C27="",$H27=""),"",IF(COUNTIFS($B$5:$B$804,$B27,$C$5:$C$804,$C27,$H$5:$H$804,$H27)&gt;1,"Takror",""))</f>
        <v/>
      </c>
      <c r="AH27" s="28" t="str">
        <f aca="false">IF(AND($B27&lt;&gt;"",$N27="Ha",$H27&lt;&gt;"",$H27&lt;=Boshqaruv!$C$12,OR($AE27="",$AE27&gt;Boshqaruv!$C$12)),MAX($AH$4:$AH26)+1,"")</f>
        <v/>
      </c>
    </row>
    <row r="28" customFormat="false" ht="15" hidden="false" customHeight="false" outlineLevel="0" collapsed="false">
      <c r="A28" s="20" t="n">
        <v>24</v>
      </c>
      <c r="B28" s="12"/>
      <c r="C28" s="13"/>
      <c r="D28" s="24"/>
      <c r="E28" s="12"/>
      <c r="F28" s="25"/>
      <c r="G28" s="27" t="str">
        <f aca="false">IF(OR($B28="",$C28=""),"",$B28&amp;" ("&amp;DAY($C28)&amp;"."&amp;MONTH($C28)&amp;"."&amp;YEAR($C28)&amp;")")</f>
        <v/>
      </c>
      <c r="H28" s="13"/>
      <c r="I28" s="13"/>
      <c r="J28" s="15" t="str">
        <f aca="false">IF($I28="","",$I28+280)</f>
        <v/>
      </c>
      <c r="K28" s="14" t="str">
        <f aca="false">IF(OR($I28="",$AE28&lt;&gt;""),"",INT((Boshqaruv!$C$12-$I28)/7))</f>
        <v/>
      </c>
      <c r="L28" s="14" t="str">
        <f aca="false">IF(OR($C28="",$H28=""),"",INT(($H28-$C28)/365.25))</f>
        <v/>
      </c>
      <c r="M28" s="14" t="str">
        <f aca="false">IF($L28="","",IF($L28&lt;18,"Ha","Yo'q"))</f>
        <v/>
      </c>
      <c r="N28" s="25"/>
      <c r="O28" s="25"/>
      <c r="P28" s="25"/>
      <c r="Q28" s="12"/>
      <c r="R28" s="25"/>
      <c r="S28" s="12"/>
      <c r="T28" s="13"/>
      <c r="U28" s="12"/>
      <c r="V28" s="25"/>
      <c r="W28" s="25"/>
      <c r="X28" s="14" t="str">
        <f aca="false">IF(OR($V28="",$W28=""),"",IF(AND($V28&gt;=Spravochnik!$H$5,$W28&gt;=Spravochnik!$H$6),"Ha","Yo'q"))</f>
        <v/>
      </c>
      <c r="Y28" s="13"/>
      <c r="Z28" s="13"/>
      <c r="AA28" s="13"/>
      <c r="AB28" s="13"/>
      <c r="AC28" s="14" t="str">
        <f aca="false">IF(AND($B28&lt;&gt;"",$AE28="",$AB28&lt;&gt;"",$AB28&lt;Boshqaruv!$C$12),"Ha","")</f>
        <v/>
      </c>
      <c r="AD28" s="25"/>
      <c r="AE28" s="13"/>
      <c r="AF28" s="12"/>
      <c r="AG28" s="14" t="str">
        <f aca="false">IF(OR($B28="",$C28="",$H28=""),"",IF(COUNTIFS($B$5:$B$804,$B28,$C$5:$C$804,$C28,$H$5:$H$804,$H28)&gt;1,"Takror",""))</f>
        <v/>
      </c>
      <c r="AH28" s="28" t="str">
        <f aca="false">IF(AND($B28&lt;&gt;"",$N28="Ha",$H28&lt;&gt;"",$H28&lt;=Boshqaruv!$C$12,OR($AE28="",$AE28&gt;Boshqaruv!$C$12)),MAX($AH$4:$AH27)+1,"")</f>
        <v/>
      </c>
    </row>
    <row r="29" customFormat="false" ht="15" hidden="false" customHeight="false" outlineLevel="0" collapsed="false">
      <c r="A29" s="20" t="n">
        <v>25</v>
      </c>
      <c r="B29" s="12"/>
      <c r="C29" s="13"/>
      <c r="D29" s="24"/>
      <c r="E29" s="12"/>
      <c r="F29" s="25"/>
      <c r="G29" s="27" t="str">
        <f aca="false">IF(OR($B29="",$C29=""),"",$B29&amp;" ("&amp;DAY($C29)&amp;"."&amp;MONTH($C29)&amp;"."&amp;YEAR($C29)&amp;")")</f>
        <v/>
      </c>
      <c r="H29" s="13"/>
      <c r="I29" s="13"/>
      <c r="J29" s="15" t="str">
        <f aca="false">IF($I29="","",$I29+280)</f>
        <v/>
      </c>
      <c r="K29" s="14" t="str">
        <f aca="false">IF(OR($I29="",$AE29&lt;&gt;""),"",INT((Boshqaruv!$C$12-$I29)/7))</f>
        <v/>
      </c>
      <c r="L29" s="14" t="str">
        <f aca="false">IF(OR($C29="",$H29=""),"",INT(($H29-$C29)/365.25))</f>
        <v/>
      </c>
      <c r="M29" s="14" t="str">
        <f aca="false">IF($L29="","",IF($L29&lt;18,"Ha","Yo'q"))</f>
        <v/>
      </c>
      <c r="N29" s="25"/>
      <c r="O29" s="25"/>
      <c r="P29" s="25"/>
      <c r="Q29" s="12"/>
      <c r="R29" s="25"/>
      <c r="S29" s="12"/>
      <c r="T29" s="13"/>
      <c r="U29" s="12"/>
      <c r="V29" s="25"/>
      <c r="W29" s="25"/>
      <c r="X29" s="14" t="str">
        <f aca="false">IF(OR($V29="",$W29=""),"",IF(AND($V29&gt;=Spravochnik!$H$5,$W29&gt;=Spravochnik!$H$6),"Ha","Yo'q"))</f>
        <v/>
      </c>
      <c r="Y29" s="13"/>
      <c r="Z29" s="13"/>
      <c r="AA29" s="13"/>
      <c r="AB29" s="13"/>
      <c r="AC29" s="14" t="str">
        <f aca="false">IF(AND($B29&lt;&gt;"",$AE29="",$AB29&lt;&gt;"",$AB29&lt;Boshqaruv!$C$12),"Ha","")</f>
        <v/>
      </c>
      <c r="AD29" s="25"/>
      <c r="AE29" s="13"/>
      <c r="AF29" s="12"/>
      <c r="AG29" s="14" t="str">
        <f aca="false">IF(OR($B29="",$C29="",$H29=""),"",IF(COUNTIFS($B$5:$B$804,$B29,$C$5:$C$804,$C29,$H$5:$H$804,$H29)&gt;1,"Takror",""))</f>
        <v/>
      </c>
      <c r="AH29" s="28" t="str">
        <f aca="false">IF(AND($B29&lt;&gt;"",$N29="Ha",$H29&lt;&gt;"",$H29&lt;=Boshqaruv!$C$12,OR($AE29="",$AE29&gt;Boshqaruv!$C$12)),MAX($AH$4:$AH28)+1,"")</f>
        <v/>
      </c>
    </row>
    <row r="30" customFormat="false" ht="15" hidden="false" customHeight="false" outlineLevel="0" collapsed="false">
      <c r="A30" s="20" t="n">
        <v>26</v>
      </c>
      <c r="B30" s="12"/>
      <c r="C30" s="13"/>
      <c r="D30" s="24"/>
      <c r="E30" s="12"/>
      <c r="F30" s="25"/>
      <c r="G30" s="27" t="str">
        <f aca="false">IF(OR($B30="",$C30=""),"",$B30&amp;" ("&amp;DAY($C30)&amp;"."&amp;MONTH($C30)&amp;"."&amp;YEAR($C30)&amp;")")</f>
        <v/>
      </c>
      <c r="H30" s="13"/>
      <c r="I30" s="13"/>
      <c r="J30" s="15" t="str">
        <f aca="false">IF($I30="","",$I30+280)</f>
        <v/>
      </c>
      <c r="K30" s="14" t="str">
        <f aca="false">IF(OR($I30="",$AE30&lt;&gt;""),"",INT((Boshqaruv!$C$12-$I30)/7))</f>
        <v/>
      </c>
      <c r="L30" s="14" t="str">
        <f aca="false">IF(OR($C30="",$H30=""),"",INT(($H30-$C30)/365.25))</f>
        <v/>
      </c>
      <c r="M30" s="14" t="str">
        <f aca="false">IF($L30="","",IF($L30&lt;18,"Ha","Yo'q"))</f>
        <v/>
      </c>
      <c r="N30" s="25"/>
      <c r="O30" s="25"/>
      <c r="P30" s="25"/>
      <c r="Q30" s="12"/>
      <c r="R30" s="25"/>
      <c r="S30" s="12"/>
      <c r="T30" s="13"/>
      <c r="U30" s="12"/>
      <c r="V30" s="25"/>
      <c r="W30" s="25"/>
      <c r="X30" s="14" t="str">
        <f aca="false">IF(OR($V30="",$W30=""),"",IF(AND($V30&gt;=Spravochnik!$H$5,$W30&gt;=Spravochnik!$H$6),"Ha","Yo'q"))</f>
        <v/>
      </c>
      <c r="Y30" s="13"/>
      <c r="Z30" s="13"/>
      <c r="AA30" s="13"/>
      <c r="AB30" s="13"/>
      <c r="AC30" s="14" t="str">
        <f aca="false">IF(AND($B30&lt;&gt;"",$AE30="",$AB30&lt;&gt;"",$AB30&lt;Boshqaruv!$C$12),"Ha","")</f>
        <v/>
      </c>
      <c r="AD30" s="25"/>
      <c r="AE30" s="13"/>
      <c r="AF30" s="12"/>
      <c r="AG30" s="14" t="str">
        <f aca="false">IF(OR($B30="",$C30="",$H30=""),"",IF(COUNTIFS($B$5:$B$804,$B30,$C$5:$C$804,$C30,$H$5:$H$804,$H30)&gt;1,"Takror",""))</f>
        <v/>
      </c>
      <c r="AH30" s="28" t="str">
        <f aca="false">IF(AND($B30&lt;&gt;"",$N30="Ha",$H30&lt;&gt;"",$H30&lt;=Boshqaruv!$C$12,OR($AE30="",$AE30&gt;Boshqaruv!$C$12)),MAX($AH$4:$AH29)+1,"")</f>
        <v/>
      </c>
    </row>
    <row r="31" customFormat="false" ht="15" hidden="false" customHeight="false" outlineLevel="0" collapsed="false">
      <c r="A31" s="20" t="n">
        <v>27</v>
      </c>
      <c r="B31" s="12"/>
      <c r="C31" s="13"/>
      <c r="D31" s="24"/>
      <c r="E31" s="12"/>
      <c r="F31" s="25"/>
      <c r="G31" s="27" t="str">
        <f aca="false">IF(OR($B31="",$C31=""),"",$B31&amp;" ("&amp;DAY($C31)&amp;"."&amp;MONTH($C31)&amp;"."&amp;YEAR($C31)&amp;")")</f>
        <v/>
      </c>
      <c r="H31" s="13"/>
      <c r="I31" s="13"/>
      <c r="J31" s="15" t="str">
        <f aca="false">IF($I31="","",$I31+280)</f>
        <v/>
      </c>
      <c r="K31" s="14" t="str">
        <f aca="false">IF(OR($I31="",$AE31&lt;&gt;""),"",INT((Boshqaruv!$C$12-$I31)/7))</f>
        <v/>
      </c>
      <c r="L31" s="14" t="str">
        <f aca="false">IF(OR($C31="",$H31=""),"",INT(($H31-$C31)/365.25))</f>
        <v/>
      </c>
      <c r="M31" s="14" t="str">
        <f aca="false">IF($L31="","",IF($L31&lt;18,"Ha","Yo'q"))</f>
        <v/>
      </c>
      <c r="N31" s="25"/>
      <c r="O31" s="25"/>
      <c r="P31" s="25"/>
      <c r="Q31" s="12"/>
      <c r="R31" s="25"/>
      <c r="S31" s="12"/>
      <c r="T31" s="13"/>
      <c r="U31" s="12"/>
      <c r="V31" s="25"/>
      <c r="W31" s="25"/>
      <c r="X31" s="14" t="str">
        <f aca="false">IF(OR($V31="",$W31=""),"",IF(AND($V31&gt;=Spravochnik!$H$5,$W31&gt;=Spravochnik!$H$6),"Ha","Yo'q"))</f>
        <v/>
      </c>
      <c r="Y31" s="13"/>
      <c r="Z31" s="13"/>
      <c r="AA31" s="13"/>
      <c r="AB31" s="13"/>
      <c r="AC31" s="14" t="str">
        <f aca="false">IF(AND($B31&lt;&gt;"",$AE31="",$AB31&lt;&gt;"",$AB31&lt;Boshqaruv!$C$12),"Ha","")</f>
        <v/>
      </c>
      <c r="AD31" s="25"/>
      <c r="AE31" s="13"/>
      <c r="AF31" s="12"/>
      <c r="AG31" s="14" t="str">
        <f aca="false">IF(OR($B31="",$C31="",$H31=""),"",IF(COUNTIFS($B$5:$B$804,$B31,$C$5:$C$804,$C31,$H$5:$H$804,$H31)&gt;1,"Takror",""))</f>
        <v/>
      </c>
      <c r="AH31" s="28" t="str">
        <f aca="false">IF(AND($B31&lt;&gt;"",$N31="Ha",$H31&lt;&gt;"",$H31&lt;=Boshqaruv!$C$12,OR($AE31="",$AE31&gt;Boshqaruv!$C$12)),MAX($AH$4:$AH30)+1,"")</f>
        <v/>
      </c>
    </row>
    <row r="32" customFormat="false" ht="15" hidden="false" customHeight="false" outlineLevel="0" collapsed="false">
      <c r="A32" s="20" t="n">
        <v>28</v>
      </c>
      <c r="B32" s="12"/>
      <c r="C32" s="13"/>
      <c r="D32" s="24"/>
      <c r="E32" s="12"/>
      <c r="F32" s="25"/>
      <c r="G32" s="27" t="str">
        <f aca="false">IF(OR($B32="",$C32=""),"",$B32&amp;" ("&amp;DAY($C32)&amp;"."&amp;MONTH($C32)&amp;"."&amp;YEAR($C32)&amp;")")</f>
        <v/>
      </c>
      <c r="H32" s="13"/>
      <c r="I32" s="13"/>
      <c r="J32" s="15" t="str">
        <f aca="false">IF($I32="","",$I32+280)</f>
        <v/>
      </c>
      <c r="K32" s="14" t="str">
        <f aca="false">IF(OR($I32="",$AE32&lt;&gt;""),"",INT((Boshqaruv!$C$12-$I32)/7))</f>
        <v/>
      </c>
      <c r="L32" s="14" t="str">
        <f aca="false">IF(OR($C32="",$H32=""),"",INT(($H32-$C32)/365.25))</f>
        <v/>
      </c>
      <c r="M32" s="14" t="str">
        <f aca="false">IF($L32="","",IF($L32&lt;18,"Ha","Yo'q"))</f>
        <v/>
      </c>
      <c r="N32" s="25"/>
      <c r="O32" s="25"/>
      <c r="P32" s="25"/>
      <c r="Q32" s="12"/>
      <c r="R32" s="25"/>
      <c r="S32" s="12"/>
      <c r="T32" s="13"/>
      <c r="U32" s="12"/>
      <c r="V32" s="25"/>
      <c r="W32" s="25"/>
      <c r="X32" s="14" t="str">
        <f aca="false">IF(OR($V32="",$W32=""),"",IF(AND($V32&gt;=Spravochnik!$H$5,$W32&gt;=Spravochnik!$H$6),"Ha","Yo'q"))</f>
        <v/>
      </c>
      <c r="Y32" s="13"/>
      <c r="Z32" s="13"/>
      <c r="AA32" s="13"/>
      <c r="AB32" s="13"/>
      <c r="AC32" s="14" t="str">
        <f aca="false">IF(AND($B32&lt;&gt;"",$AE32="",$AB32&lt;&gt;"",$AB32&lt;Boshqaruv!$C$12),"Ha","")</f>
        <v/>
      </c>
      <c r="AD32" s="25"/>
      <c r="AE32" s="13"/>
      <c r="AF32" s="12"/>
      <c r="AG32" s="14" t="str">
        <f aca="false">IF(OR($B32="",$C32="",$H32=""),"",IF(COUNTIFS($B$5:$B$804,$B32,$C$5:$C$804,$C32,$H$5:$H$804,$H32)&gt;1,"Takror",""))</f>
        <v/>
      </c>
      <c r="AH32" s="28" t="str">
        <f aca="false">IF(AND($B32&lt;&gt;"",$N32="Ha",$H32&lt;&gt;"",$H32&lt;=Boshqaruv!$C$12,OR($AE32="",$AE32&gt;Boshqaruv!$C$12)),MAX($AH$4:$AH31)+1,"")</f>
        <v/>
      </c>
    </row>
    <row r="33" customFormat="false" ht="15" hidden="false" customHeight="false" outlineLevel="0" collapsed="false">
      <c r="A33" s="20" t="n">
        <v>29</v>
      </c>
      <c r="B33" s="12"/>
      <c r="C33" s="13"/>
      <c r="D33" s="24"/>
      <c r="E33" s="12"/>
      <c r="F33" s="25"/>
      <c r="G33" s="27" t="str">
        <f aca="false">IF(OR($B33="",$C33=""),"",$B33&amp;" ("&amp;DAY($C33)&amp;"."&amp;MONTH($C33)&amp;"."&amp;YEAR($C33)&amp;")")</f>
        <v/>
      </c>
      <c r="H33" s="13"/>
      <c r="I33" s="13"/>
      <c r="J33" s="15" t="str">
        <f aca="false">IF($I33="","",$I33+280)</f>
        <v/>
      </c>
      <c r="K33" s="14" t="str">
        <f aca="false">IF(OR($I33="",$AE33&lt;&gt;""),"",INT((Boshqaruv!$C$12-$I33)/7))</f>
        <v/>
      </c>
      <c r="L33" s="14" t="str">
        <f aca="false">IF(OR($C33="",$H33=""),"",INT(($H33-$C33)/365.25))</f>
        <v/>
      </c>
      <c r="M33" s="14" t="str">
        <f aca="false">IF($L33="","",IF($L33&lt;18,"Ha","Yo'q"))</f>
        <v/>
      </c>
      <c r="N33" s="25"/>
      <c r="O33" s="25"/>
      <c r="P33" s="25"/>
      <c r="Q33" s="12"/>
      <c r="R33" s="25"/>
      <c r="S33" s="12"/>
      <c r="T33" s="13"/>
      <c r="U33" s="12"/>
      <c r="V33" s="25"/>
      <c r="W33" s="25"/>
      <c r="X33" s="14" t="str">
        <f aca="false">IF(OR($V33="",$W33=""),"",IF(AND($V33&gt;=Spravochnik!$H$5,$W33&gt;=Spravochnik!$H$6),"Ha","Yo'q"))</f>
        <v/>
      </c>
      <c r="Y33" s="13"/>
      <c r="Z33" s="13"/>
      <c r="AA33" s="13"/>
      <c r="AB33" s="13"/>
      <c r="AC33" s="14" t="str">
        <f aca="false">IF(AND($B33&lt;&gt;"",$AE33="",$AB33&lt;&gt;"",$AB33&lt;Boshqaruv!$C$12),"Ha","")</f>
        <v/>
      </c>
      <c r="AD33" s="25"/>
      <c r="AE33" s="13"/>
      <c r="AF33" s="12"/>
      <c r="AG33" s="14" t="str">
        <f aca="false">IF(OR($B33="",$C33="",$H33=""),"",IF(COUNTIFS($B$5:$B$804,$B33,$C$5:$C$804,$C33,$H$5:$H$804,$H33)&gt;1,"Takror",""))</f>
        <v/>
      </c>
      <c r="AH33" s="28" t="str">
        <f aca="false">IF(AND($B33&lt;&gt;"",$N33="Ha",$H33&lt;&gt;"",$H33&lt;=Boshqaruv!$C$12,OR($AE33="",$AE33&gt;Boshqaruv!$C$12)),MAX($AH$4:$AH32)+1,"")</f>
        <v/>
      </c>
    </row>
    <row r="34" customFormat="false" ht="15" hidden="false" customHeight="false" outlineLevel="0" collapsed="false">
      <c r="A34" s="20" t="n">
        <v>30</v>
      </c>
      <c r="B34" s="12"/>
      <c r="C34" s="13"/>
      <c r="D34" s="24"/>
      <c r="E34" s="12"/>
      <c r="F34" s="25"/>
      <c r="G34" s="27" t="str">
        <f aca="false">IF(OR($B34="",$C34=""),"",$B34&amp;" ("&amp;DAY($C34)&amp;"."&amp;MONTH($C34)&amp;"."&amp;YEAR($C34)&amp;")")</f>
        <v/>
      </c>
      <c r="H34" s="13"/>
      <c r="I34" s="13"/>
      <c r="J34" s="15" t="str">
        <f aca="false">IF($I34="","",$I34+280)</f>
        <v/>
      </c>
      <c r="K34" s="14" t="str">
        <f aca="false">IF(OR($I34="",$AE34&lt;&gt;""),"",INT((Boshqaruv!$C$12-$I34)/7))</f>
        <v/>
      </c>
      <c r="L34" s="14" t="str">
        <f aca="false">IF(OR($C34="",$H34=""),"",INT(($H34-$C34)/365.25))</f>
        <v/>
      </c>
      <c r="M34" s="14" t="str">
        <f aca="false">IF($L34="","",IF($L34&lt;18,"Ha","Yo'q"))</f>
        <v/>
      </c>
      <c r="N34" s="25"/>
      <c r="O34" s="25"/>
      <c r="P34" s="25"/>
      <c r="Q34" s="12"/>
      <c r="R34" s="25"/>
      <c r="S34" s="12"/>
      <c r="T34" s="13"/>
      <c r="U34" s="12"/>
      <c r="V34" s="25"/>
      <c r="W34" s="25"/>
      <c r="X34" s="14" t="str">
        <f aca="false">IF(OR($V34="",$W34=""),"",IF(AND($V34&gt;=Spravochnik!$H$5,$W34&gt;=Spravochnik!$H$6),"Ha","Yo'q"))</f>
        <v/>
      </c>
      <c r="Y34" s="13"/>
      <c r="Z34" s="13"/>
      <c r="AA34" s="13"/>
      <c r="AB34" s="13"/>
      <c r="AC34" s="14" t="str">
        <f aca="false">IF(AND($B34&lt;&gt;"",$AE34="",$AB34&lt;&gt;"",$AB34&lt;Boshqaruv!$C$12),"Ha","")</f>
        <v/>
      </c>
      <c r="AD34" s="25"/>
      <c r="AE34" s="13"/>
      <c r="AF34" s="12"/>
      <c r="AG34" s="14" t="str">
        <f aca="false">IF(OR($B34="",$C34="",$H34=""),"",IF(COUNTIFS($B$5:$B$804,$B34,$C$5:$C$804,$C34,$H$5:$H$804,$H34)&gt;1,"Takror",""))</f>
        <v/>
      </c>
      <c r="AH34" s="28" t="str">
        <f aca="false">IF(AND($B34&lt;&gt;"",$N34="Ha",$H34&lt;&gt;"",$H34&lt;=Boshqaruv!$C$12,OR($AE34="",$AE34&gt;Boshqaruv!$C$12)),MAX($AH$4:$AH33)+1,"")</f>
        <v/>
      </c>
    </row>
    <row r="35" customFormat="false" ht="15" hidden="false" customHeight="false" outlineLevel="0" collapsed="false">
      <c r="A35" s="20" t="n">
        <v>31</v>
      </c>
      <c r="B35" s="12"/>
      <c r="C35" s="13"/>
      <c r="D35" s="24"/>
      <c r="E35" s="12"/>
      <c r="F35" s="25"/>
      <c r="G35" s="27" t="str">
        <f aca="false">IF(OR($B35="",$C35=""),"",$B35&amp;" ("&amp;DAY($C35)&amp;"."&amp;MONTH($C35)&amp;"."&amp;YEAR($C35)&amp;")")</f>
        <v/>
      </c>
      <c r="H35" s="13"/>
      <c r="I35" s="13"/>
      <c r="J35" s="15" t="str">
        <f aca="false">IF($I35="","",$I35+280)</f>
        <v/>
      </c>
      <c r="K35" s="14" t="str">
        <f aca="false">IF(OR($I35="",$AE35&lt;&gt;""),"",INT((Boshqaruv!$C$12-$I35)/7))</f>
        <v/>
      </c>
      <c r="L35" s="14" t="str">
        <f aca="false">IF(OR($C35="",$H35=""),"",INT(($H35-$C35)/365.25))</f>
        <v/>
      </c>
      <c r="M35" s="14" t="str">
        <f aca="false">IF($L35="","",IF($L35&lt;18,"Ha","Yo'q"))</f>
        <v/>
      </c>
      <c r="N35" s="25"/>
      <c r="O35" s="25"/>
      <c r="P35" s="25"/>
      <c r="Q35" s="12"/>
      <c r="R35" s="25"/>
      <c r="S35" s="12"/>
      <c r="T35" s="13"/>
      <c r="U35" s="12"/>
      <c r="V35" s="25"/>
      <c r="W35" s="25"/>
      <c r="X35" s="14" t="str">
        <f aca="false">IF(OR($V35="",$W35=""),"",IF(AND($V35&gt;=Spravochnik!$H$5,$W35&gt;=Spravochnik!$H$6),"Ha","Yo'q"))</f>
        <v/>
      </c>
      <c r="Y35" s="13"/>
      <c r="Z35" s="13"/>
      <c r="AA35" s="13"/>
      <c r="AB35" s="13"/>
      <c r="AC35" s="14" t="str">
        <f aca="false">IF(AND($B35&lt;&gt;"",$AE35="",$AB35&lt;&gt;"",$AB35&lt;Boshqaruv!$C$12),"Ha","")</f>
        <v/>
      </c>
      <c r="AD35" s="25"/>
      <c r="AE35" s="13"/>
      <c r="AF35" s="12"/>
      <c r="AG35" s="14" t="str">
        <f aca="false">IF(OR($B35="",$C35="",$H35=""),"",IF(COUNTIFS($B$5:$B$804,$B35,$C$5:$C$804,$C35,$H$5:$H$804,$H35)&gt;1,"Takror",""))</f>
        <v/>
      </c>
      <c r="AH35" s="28" t="str">
        <f aca="false">IF(AND($B35&lt;&gt;"",$N35="Ha",$H35&lt;&gt;"",$H35&lt;=Boshqaruv!$C$12,OR($AE35="",$AE35&gt;Boshqaruv!$C$12)),MAX($AH$4:$AH34)+1,"")</f>
        <v/>
      </c>
    </row>
    <row r="36" customFormat="false" ht="15" hidden="false" customHeight="false" outlineLevel="0" collapsed="false">
      <c r="A36" s="20" t="n">
        <v>32</v>
      </c>
      <c r="B36" s="12"/>
      <c r="C36" s="13"/>
      <c r="D36" s="24"/>
      <c r="E36" s="12"/>
      <c r="F36" s="25"/>
      <c r="G36" s="27" t="str">
        <f aca="false">IF(OR($B36="",$C36=""),"",$B36&amp;" ("&amp;DAY($C36)&amp;"."&amp;MONTH($C36)&amp;"."&amp;YEAR($C36)&amp;")")</f>
        <v/>
      </c>
      <c r="H36" s="13"/>
      <c r="I36" s="13"/>
      <c r="J36" s="15" t="str">
        <f aca="false">IF($I36="","",$I36+280)</f>
        <v/>
      </c>
      <c r="K36" s="14" t="str">
        <f aca="false">IF(OR($I36="",$AE36&lt;&gt;""),"",INT((Boshqaruv!$C$12-$I36)/7))</f>
        <v/>
      </c>
      <c r="L36" s="14" t="str">
        <f aca="false">IF(OR($C36="",$H36=""),"",INT(($H36-$C36)/365.25))</f>
        <v/>
      </c>
      <c r="M36" s="14" t="str">
        <f aca="false">IF($L36="","",IF($L36&lt;18,"Ha","Yo'q"))</f>
        <v/>
      </c>
      <c r="N36" s="25"/>
      <c r="O36" s="25"/>
      <c r="P36" s="25"/>
      <c r="Q36" s="12"/>
      <c r="R36" s="25"/>
      <c r="S36" s="12"/>
      <c r="T36" s="13"/>
      <c r="U36" s="12"/>
      <c r="V36" s="25"/>
      <c r="W36" s="25"/>
      <c r="X36" s="14" t="str">
        <f aca="false">IF(OR($V36="",$W36=""),"",IF(AND($V36&gt;=Spravochnik!$H$5,$W36&gt;=Spravochnik!$H$6),"Ha","Yo'q"))</f>
        <v/>
      </c>
      <c r="Y36" s="13"/>
      <c r="Z36" s="13"/>
      <c r="AA36" s="13"/>
      <c r="AB36" s="13"/>
      <c r="AC36" s="14" t="str">
        <f aca="false">IF(AND($B36&lt;&gt;"",$AE36="",$AB36&lt;&gt;"",$AB36&lt;Boshqaruv!$C$12),"Ha","")</f>
        <v/>
      </c>
      <c r="AD36" s="25"/>
      <c r="AE36" s="13"/>
      <c r="AF36" s="12"/>
      <c r="AG36" s="14" t="str">
        <f aca="false">IF(OR($B36="",$C36="",$H36=""),"",IF(COUNTIFS($B$5:$B$804,$B36,$C$5:$C$804,$C36,$H$5:$H$804,$H36)&gt;1,"Takror",""))</f>
        <v/>
      </c>
      <c r="AH36" s="28" t="str">
        <f aca="false">IF(AND($B36&lt;&gt;"",$N36="Ha",$H36&lt;&gt;"",$H36&lt;=Boshqaruv!$C$12,OR($AE36="",$AE36&gt;Boshqaruv!$C$12)),MAX($AH$4:$AH35)+1,"")</f>
        <v/>
      </c>
    </row>
    <row r="37" customFormat="false" ht="15" hidden="false" customHeight="false" outlineLevel="0" collapsed="false">
      <c r="A37" s="20" t="n">
        <v>33</v>
      </c>
      <c r="B37" s="12"/>
      <c r="C37" s="13"/>
      <c r="D37" s="24"/>
      <c r="E37" s="12"/>
      <c r="F37" s="25"/>
      <c r="G37" s="27" t="str">
        <f aca="false">IF(OR($B37="",$C37=""),"",$B37&amp;" ("&amp;DAY($C37)&amp;"."&amp;MONTH($C37)&amp;"."&amp;YEAR($C37)&amp;")")</f>
        <v/>
      </c>
      <c r="H37" s="13"/>
      <c r="I37" s="13"/>
      <c r="J37" s="15" t="str">
        <f aca="false">IF($I37="","",$I37+280)</f>
        <v/>
      </c>
      <c r="K37" s="14" t="str">
        <f aca="false">IF(OR($I37="",$AE37&lt;&gt;""),"",INT((Boshqaruv!$C$12-$I37)/7))</f>
        <v/>
      </c>
      <c r="L37" s="14" t="str">
        <f aca="false">IF(OR($C37="",$H37=""),"",INT(($H37-$C37)/365.25))</f>
        <v/>
      </c>
      <c r="M37" s="14" t="str">
        <f aca="false">IF($L37="","",IF($L37&lt;18,"Ha","Yo'q"))</f>
        <v/>
      </c>
      <c r="N37" s="25"/>
      <c r="O37" s="25"/>
      <c r="P37" s="25"/>
      <c r="Q37" s="12"/>
      <c r="R37" s="25"/>
      <c r="S37" s="12"/>
      <c r="T37" s="13"/>
      <c r="U37" s="12"/>
      <c r="V37" s="25"/>
      <c r="W37" s="25"/>
      <c r="X37" s="14" t="str">
        <f aca="false">IF(OR($V37="",$W37=""),"",IF(AND($V37&gt;=Spravochnik!$H$5,$W37&gt;=Spravochnik!$H$6),"Ha","Yo'q"))</f>
        <v/>
      </c>
      <c r="Y37" s="13"/>
      <c r="Z37" s="13"/>
      <c r="AA37" s="13"/>
      <c r="AB37" s="13"/>
      <c r="AC37" s="14" t="str">
        <f aca="false">IF(AND($B37&lt;&gt;"",$AE37="",$AB37&lt;&gt;"",$AB37&lt;Boshqaruv!$C$12),"Ha","")</f>
        <v/>
      </c>
      <c r="AD37" s="25"/>
      <c r="AE37" s="13"/>
      <c r="AF37" s="12"/>
      <c r="AG37" s="14" t="str">
        <f aca="false">IF(OR($B37="",$C37="",$H37=""),"",IF(COUNTIFS($B$5:$B$804,$B37,$C$5:$C$804,$C37,$H$5:$H$804,$H37)&gt;1,"Takror",""))</f>
        <v/>
      </c>
      <c r="AH37" s="28" t="str">
        <f aca="false">IF(AND($B37&lt;&gt;"",$N37="Ha",$H37&lt;&gt;"",$H37&lt;=Boshqaruv!$C$12,OR($AE37="",$AE37&gt;Boshqaruv!$C$12)),MAX($AH$4:$AH36)+1,"")</f>
        <v/>
      </c>
    </row>
    <row r="38" customFormat="false" ht="15" hidden="false" customHeight="false" outlineLevel="0" collapsed="false">
      <c r="A38" s="20" t="n">
        <v>34</v>
      </c>
      <c r="B38" s="12"/>
      <c r="C38" s="13"/>
      <c r="D38" s="24"/>
      <c r="E38" s="12"/>
      <c r="F38" s="25"/>
      <c r="G38" s="27" t="str">
        <f aca="false">IF(OR($B38="",$C38=""),"",$B38&amp;" ("&amp;DAY($C38)&amp;"."&amp;MONTH($C38)&amp;"."&amp;YEAR($C38)&amp;")")</f>
        <v/>
      </c>
      <c r="H38" s="13"/>
      <c r="I38" s="13"/>
      <c r="J38" s="15" t="str">
        <f aca="false">IF($I38="","",$I38+280)</f>
        <v/>
      </c>
      <c r="K38" s="14" t="str">
        <f aca="false">IF(OR($I38="",$AE38&lt;&gt;""),"",INT((Boshqaruv!$C$12-$I38)/7))</f>
        <v/>
      </c>
      <c r="L38" s="14" t="str">
        <f aca="false">IF(OR($C38="",$H38=""),"",INT(($H38-$C38)/365.25))</f>
        <v/>
      </c>
      <c r="M38" s="14" t="str">
        <f aca="false">IF($L38="","",IF($L38&lt;18,"Ha","Yo'q"))</f>
        <v/>
      </c>
      <c r="N38" s="25"/>
      <c r="O38" s="25"/>
      <c r="P38" s="25"/>
      <c r="Q38" s="12"/>
      <c r="R38" s="25"/>
      <c r="S38" s="12"/>
      <c r="T38" s="13"/>
      <c r="U38" s="12"/>
      <c r="V38" s="25"/>
      <c r="W38" s="25"/>
      <c r="X38" s="14" t="str">
        <f aca="false">IF(OR($V38="",$W38=""),"",IF(AND($V38&gt;=Spravochnik!$H$5,$W38&gt;=Spravochnik!$H$6),"Ha","Yo'q"))</f>
        <v/>
      </c>
      <c r="Y38" s="13"/>
      <c r="Z38" s="13"/>
      <c r="AA38" s="13"/>
      <c r="AB38" s="13"/>
      <c r="AC38" s="14" t="str">
        <f aca="false">IF(AND($B38&lt;&gt;"",$AE38="",$AB38&lt;&gt;"",$AB38&lt;Boshqaruv!$C$12),"Ha","")</f>
        <v/>
      </c>
      <c r="AD38" s="25"/>
      <c r="AE38" s="13"/>
      <c r="AF38" s="12"/>
      <c r="AG38" s="14" t="str">
        <f aca="false">IF(OR($B38="",$C38="",$H38=""),"",IF(COUNTIFS($B$5:$B$804,$B38,$C$5:$C$804,$C38,$H$5:$H$804,$H38)&gt;1,"Takror",""))</f>
        <v/>
      </c>
      <c r="AH38" s="28" t="str">
        <f aca="false">IF(AND($B38&lt;&gt;"",$N38="Ha",$H38&lt;&gt;"",$H38&lt;=Boshqaruv!$C$12,OR($AE38="",$AE38&gt;Boshqaruv!$C$12)),MAX($AH$4:$AH37)+1,"")</f>
        <v/>
      </c>
    </row>
    <row r="39" customFormat="false" ht="15" hidden="false" customHeight="false" outlineLevel="0" collapsed="false">
      <c r="A39" s="20" t="n">
        <v>35</v>
      </c>
      <c r="B39" s="12"/>
      <c r="C39" s="13"/>
      <c r="D39" s="24"/>
      <c r="E39" s="12"/>
      <c r="F39" s="25"/>
      <c r="G39" s="27" t="str">
        <f aca="false">IF(OR($B39="",$C39=""),"",$B39&amp;" ("&amp;DAY($C39)&amp;"."&amp;MONTH($C39)&amp;"."&amp;YEAR($C39)&amp;")")</f>
        <v/>
      </c>
      <c r="H39" s="13"/>
      <c r="I39" s="13"/>
      <c r="J39" s="15" t="str">
        <f aca="false">IF($I39="","",$I39+280)</f>
        <v/>
      </c>
      <c r="K39" s="14" t="str">
        <f aca="false">IF(OR($I39="",$AE39&lt;&gt;""),"",INT((Boshqaruv!$C$12-$I39)/7))</f>
        <v/>
      </c>
      <c r="L39" s="14" t="str">
        <f aca="false">IF(OR($C39="",$H39=""),"",INT(($H39-$C39)/365.25))</f>
        <v/>
      </c>
      <c r="M39" s="14" t="str">
        <f aca="false">IF($L39="","",IF($L39&lt;18,"Ha","Yo'q"))</f>
        <v/>
      </c>
      <c r="N39" s="25"/>
      <c r="O39" s="25"/>
      <c r="P39" s="25"/>
      <c r="Q39" s="12"/>
      <c r="R39" s="25"/>
      <c r="S39" s="12"/>
      <c r="T39" s="13"/>
      <c r="U39" s="12"/>
      <c r="V39" s="25"/>
      <c r="W39" s="25"/>
      <c r="X39" s="14" t="str">
        <f aca="false">IF(OR($V39="",$W39=""),"",IF(AND($V39&gt;=Spravochnik!$H$5,$W39&gt;=Spravochnik!$H$6),"Ha","Yo'q"))</f>
        <v/>
      </c>
      <c r="Y39" s="13"/>
      <c r="Z39" s="13"/>
      <c r="AA39" s="13"/>
      <c r="AB39" s="13"/>
      <c r="AC39" s="14" t="str">
        <f aca="false">IF(AND($B39&lt;&gt;"",$AE39="",$AB39&lt;&gt;"",$AB39&lt;Boshqaruv!$C$12),"Ha","")</f>
        <v/>
      </c>
      <c r="AD39" s="25"/>
      <c r="AE39" s="13"/>
      <c r="AF39" s="12"/>
      <c r="AG39" s="14" t="str">
        <f aca="false">IF(OR($B39="",$C39="",$H39=""),"",IF(COUNTIFS($B$5:$B$804,$B39,$C$5:$C$804,$C39,$H$5:$H$804,$H39)&gt;1,"Takror",""))</f>
        <v/>
      </c>
      <c r="AH39" s="28" t="str">
        <f aca="false">IF(AND($B39&lt;&gt;"",$N39="Ha",$H39&lt;&gt;"",$H39&lt;=Boshqaruv!$C$12,OR($AE39="",$AE39&gt;Boshqaruv!$C$12)),MAX($AH$4:$AH38)+1,"")</f>
        <v/>
      </c>
    </row>
    <row r="40" customFormat="false" ht="15" hidden="false" customHeight="false" outlineLevel="0" collapsed="false">
      <c r="A40" s="20" t="n">
        <v>36</v>
      </c>
      <c r="B40" s="12"/>
      <c r="C40" s="13"/>
      <c r="D40" s="24"/>
      <c r="E40" s="12"/>
      <c r="F40" s="25"/>
      <c r="G40" s="27" t="str">
        <f aca="false">IF(OR($B40="",$C40=""),"",$B40&amp;" ("&amp;DAY($C40)&amp;"."&amp;MONTH($C40)&amp;"."&amp;YEAR($C40)&amp;")")</f>
        <v/>
      </c>
      <c r="H40" s="13"/>
      <c r="I40" s="13"/>
      <c r="J40" s="15" t="str">
        <f aca="false">IF($I40="","",$I40+280)</f>
        <v/>
      </c>
      <c r="K40" s="14" t="str">
        <f aca="false">IF(OR($I40="",$AE40&lt;&gt;""),"",INT((Boshqaruv!$C$12-$I40)/7))</f>
        <v/>
      </c>
      <c r="L40" s="14" t="str">
        <f aca="false">IF(OR($C40="",$H40=""),"",INT(($H40-$C40)/365.25))</f>
        <v/>
      </c>
      <c r="M40" s="14" t="str">
        <f aca="false">IF($L40="","",IF($L40&lt;18,"Ha","Yo'q"))</f>
        <v/>
      </c>
      <c r="N40" s="25"/>
      <c r="O40" s="25"/>
      <c r="P40" s="25"/>
      <c r="Q40" s="12"/>
      <c r="R40" s="25"/>
      <c r="S40" s="12"/>
      <c r="T40" s="13"/>
      <c r="U40" s="12"/>
      <c r="V40" s="25"/>
      <c r="W40" s="25"/>
      <c r="X40" s="14" t="str">
        <f aca="false">IF(OR($V40="",$W40=""),"",IF(AND($V40&gt;=Spravochnik!$H$5,$W40&gt;=Spravochnik!$H$6),"Ha","Yo'q"))</f>
        <v/>
      </c>
      <c r="Y40" s="13"/>
      <c r="Z40" s="13"/>
      <c r="AA40" s="13"/>
      <c r="AB40" s="13"/>
      <c r="AC40" s="14" t="str">
        <f aca="false">IF(AND($B40&lt;&gt;"",$AE40="",$AB40&lt;&gt;"",$AB40&lt;Boshqaruv!$C$12),"Ha","")</f>
        <v/>
      </c>
      <c r="AD40" s="25"/>
      <c r="AE40" s="13"/>
      <c r="AF40" s="12"/>
      <c r="AG40" s="14" t="str">
        <f aca="false">IF(OR($B40="",$C40="",$H40=""),"",IF(COUNTIFS($B$5:$B$804,$B40,$C$5:$C$804,$C40,$H$5:$H$804,$H40)&gt;1,"Takror",""))</f>
        <v/>
      </c>
      <c r="AH40" s="28" t="str">
        <f aca="false">IF(AND($B40&lt;&gt;"",$N40="Ha",$H40&lt;&gt;"",$H40&lt;=Boshqaruv!$C$12,OR($AE40="",$AE40&gt;Boshqaruv!$C$12)),MAX($AH$4:$AH39)+1,"")</f>
        <v/>
      </c>
    </row>
    <row r="41" customFormat="false" ht="15" hidden="false" customHeight="false" outlineLevel="0" collapsed="false">
      <c r="A41" s="20" t="n">
        <v>37</v>
      </c>
      <c r="B41" s="12"/>
      <c r="C41" s="13"/>
      <c r="D41" s="24"/>
      <c r="E41" s="12"/>
      <c r="F41" s="25"/>
      <c r="G41" s="27" t="str">
        <f aca="false">IF(OR($B41="",$C41=""),"",$B41&amp;" ("&amp;DAY($C41)&amp;"."&amp;MONTH($C41)&amp;"."&amp;YEAR($C41)&amp;")")</f>
        <v/>
      </c>
      <c r="H41" s="13"/>
      <c r="I41" s="13"/>
      <c r="J41" s="15" t="str">
        <f aca="false">IF($I41="","",$I41+280)</f>
        <v/>
      </c>
      <c r="K41" s="14" t="str">
        <f aca="false">IF(OR($I41="",$AE41&lt;&gt;""),"",INT((Boshqaruv!$C$12-$I41)/7))</f>
        <v/>
      </c>
      <c r="L41" s="14" t="str">
        <f aca="false">IF(OR($C41="",$H41=""),"",INT(($H41-$C41)/365.25))</f>
        <v/>
      </c>
      <c r="M41" s="14" t="str">
        <f aca="false">IF($L41="","",IF($L41&lt;18,"Ha","Yo'q"))</f>
        <v/>
      </c>
      <c r="N41" s="25"/>
      <c r="O41" s="25"/>
      <c r="P41" s="25"/>
      <c r="Q41" s="12"/>
      <c r="R41" s="25"/>
      <c r="S41" s="12"/>
      <c r="T41" s="13"/>
      <c r="U41" s="12"/>
      <c r="V41" s="25"/>
      <c r="W41" s="25"/>
      <c r="X41" s="14" t="str">
        <f aca="false">IF(OR($V41="",$W41=""),"",IF(AND($V41&gt;=Spravochnik!$H$5,$W41&gt;=Spravochnik!$H$6),"Ha","Yo'q"))</f>
        <v/>
      </c>
      <c r="Y41" s="13"/>
      <c r="Z41" s="13"/>
      <c r="AA41" s="13"/>
      <c r="AB41" s="13"/>
      <c r="AC41" s="14" t="str">
        <f aca="false">IF(AND($B41&lt;&gt;"",$AE41="",$AB41&lt;&gt;"",$AB41&lt;Boshqaruv!$C$12),"Ha","")</f>
        <v/>
      </c>
      <c r="AD41" s="25"/>
      <c r="AE41" s="13"/>
      <c r="AF41" s="12"/>
      <c r="AG41" s="14" t="str">
        <f aca="false">IF(OR($B41="",$C41="",$H41=""),"",IF(COUNTIFS($B$5:$B$804,$B41,$C$5:$C$804,$C41,$H$5:$H$804,$H41)&gt;1,"Takror",""))</f>
        <v/>
      </c>
      <c r="AH41" s="28" t="str">
        <f aca="false">IF(AND($B41&lt;&gt;"",$N41="Ha",$H41&lt;&gt;"",$H41&lt;=Boshqaruv!$C$12,OR($AE41="",$AE41&gt;Boshqaruv!$C$12)),MAX($AH$4:$AH40)+1,"")</f>
        <v/>
      </c>
    </row>
    <row r="42" customFormat="false" ht="15" hidden="false" customHeight="false" outlineLevel="0" collapsed="false">
      <c r="A42" s="20" t="n">
        <v>38</v>
      </c>
      <c r="B42" s="12"/>
      <c r="C42" s="13"/>
      <c r="D42" s="24"/>
      <c r="E42" s="12"/>
      <c r="F42" s="25"/>
      <c r="G42" s="27" t="str">
        <f aca="false">IF(OR($B42="",$C42=""),"",$B42&amp;" ("&amp;DAY($C42)&amp;"."&amp;MONTH($C42)&amp;"."&amp;YEAR($C42)&amp;")")</f>
        <v/>
      </c>
      <c r="H42" s="13"/>
      <c r="I42" s="13"/>
      <c r="J42" s="15" t="str">
        <f aca="false">IF($I42="","",$I42+280)</f>
        <v/>
      </c>
      <c r="K42" s="14" t="str">
        <f aca="false">IF(OR($I42="",$AE42&lt;&gt;""),"",INT((Boshqaruv!$C$12-$I42)/7))</f>
        <v/>
      </c>
      <c r="L42" s="14" t="str">
        <f aca="false">IF(OR($C42="",$H42=""),"",INT(($H42-$C42)/365.25))</f>
        <v/>
      </c>
      <c r="M42" s="14" t="str">
        <f aca="false">IF($L42="","",IF($L42&lt;18,"Ha","Yo'q"))</f>
        <v/>
      </c>
      <c r="N42" s="25"/>
      <c r="O42" s="25"/>
      <c r="P42" s="25"/>
      <c r="Q42" s="12"/>
      <c r="R42" s="25"/>
      <c r="S42" s="12"/>
      <c r="T42" s="13"/>
      <c r="U42" s="12"/>
      <c r="V42" s="25"/>
      <c r="W42" s="25"/>
      <c r="X42" s="14" t="str">
        <f aca="false">IF(OR($V42="",$W42=""),"",IF(AND($V42&gt;=Spravochnik!$H$5,$W42&gt;=Spravochnik!$H$6),"Ha","Yo'q"))</f>
        <v/>
      </c>
      <c r="Y42" s="13"/>
      <c r="Z42" s="13"/>
      <c r="AA42" s="13"/>
      <c r="AB42" s="13"/>
      <c r="AC42" s="14" t="str">
        <f aca="false">IF(AND($B42&lt;&gt;"",$AE42="",$AB42&lt;&gt;"",$AB42&lt;Boshqaruv!$C$12),"Ha","")</f>
        <v/>
      </c>
      <c r="AD42" s="25"/>
      <c r="AE42" s="13"/>
      <c r="AF42" s="12"/>
      <c r="AG42" s="14" t="str">
        <f aca="false">IF(OR($B42="",$C42="",$H42=""),"",IF(COUNTIFS($B$5:$B$804,$B42,$C$5:$C$804,$C42,$H$5:$H$804,$H42)&gt;1,"Takror",""))</f>
        <v/>
      </c>
      <c r="AH42" s="28" t="str">
        <f aca="false">IF(AND($B42&lt;&gt;"",$N42="Ha",$H42&lt;&gt;"",$H42&lt;=Boshqaruv!$C$12,OR($AE42="",$AE42&gt;Boshqaruv!$C$12)),MAX($AH$4:$AH41)+1,"")</f>
        <v/>
      </c>
    </row>
    <row r="43" customFormat="false" ht="15" hidden="false" customHeight="false" outlineLevel="0" collapsed="false">
      <c r="A43" s="20" t="n">
        <v>39</v>
      </c>
      <c r="B43" s="12"/>
      <c r="C43" s="13"/>
      <c r="D43" s="24"/>
      <c r="E43" s="12"/>
      <c r="F43" s="25"/>
      <c r="G43" s="27" t="str">
        <f aca="false">IF(OR($B43="",$C43=""),"",$B43&amp;" ("&amp;DAY($C43)&amp;"."&amp;MONTH($C43)&amp;"."&amp;YEAR($C43)&amp;")")</f>
        <v/>
      </c>
      <c r="H43" s="13"/>
      <c r="I43" s="13"/>
      <c r="J43" s="15" t="str">
        <f aca="false">IF($I43="","",$I43+280)</f>
        <v/>
      </c>
      <c r="K43" s="14" t="str">
        <f aca="false">IF(OR($I43="",$AE43&lt;&gt;""),"",INT((Boshqaruv!$C$12-$I43)/7))</f>
        <v/>
      </c>
      <c r="L43" s="14" t="str">
        <f aca="false">IF(OR($C43="",$H43=""),"",INT(($H43-$C43)/365.25))</f>
        <v/>
      </c>
      <c r="M43" s="14" t="str">
        <f aca="false">IF($L43="","",IF($L43&lt;18,"Ha","Yo'q"))</f>
        <v/>
      </c>
      <c r="N43" s="25"/>
      <c r="O43" s="25"/>
      <c r="P43" s="25"/>
      <c r="Q43" s="12"/>
      <c r="R43" s="25"/>
      <c r="S43" s="12"/>
      <c r="T43" s="13"/>
      <c r="U43" s="12"/>
      <c r="V43" s="25"/>
      <c r="W43" s="25"/>
      <c r="X43" s="14" t="str">
        <f aca="false">IF(OR($V43="",$W43=""),"",IF(AND($V43&gt;=Spravochnik!$H$5,$W43&gt;=Spravochnik!$H$6),"Ha","Yo'q"))</f>
        <v/>
      </c>
      <c r="Y43" s="13"/>
      <c r="Z43" s="13"/>
      <c r="AA43" s="13"/>
      <c r="AB43" s="13"/>
      <c r="AC43" s="14" t="str">
        <f aca="false">IF(AND($B43&lt;&gt;"",$AE43="",$AB43&lt;&gt;"",$AB43&lt;Boshqaruv!$C$12),"Ha","")</f>
        <v/>
      </c>
      <c r="AD43" s="25"/>
      <c r="AE43" s="13"/>
      <c r="AF43" s="12"/>
      <c r="AG43" s="14" t="str">
        <f aca="false">IF(OR($B43="",$C43="",$H43=""),"",IF(COUNTIFS($B$5:$B$804,$B43,$C$5:$C$804,$C43,$H$5:$H$804,$H43)&gt;1,"Takror",""))</f>
        <v/>
      </c>
      <c r="AH43" s="28" t="str">
        <f aca="false">IF(AND($B43&lt;&gt;"",$N43="Ha",$H43&lt;&gt;"",$H43&lt;=Boshqaruv!$C$12,OR($AE43="",$AE43&gt;Boshqaruv!$C$12)),MAX($AH$4:$AH42)+1,"")</f>
        <v/>
      </c>
    </row>
    <row r="44" customFormat="false" ht="15" hidden="false" customHeight="false" outlineLevel="0" collapsed="false">
      <c r="A44" s="20" t="n">
        <v>40</v>
      </c>
      <c r="B44" s="12"/>
      <c r="C44" s="13"/>
      <c r="D44" s="24"/>
      <c r="E44" s="12"/>
      <c r="F44" s="25"/>
      <c r="G44" s="27" t="str">
        <f aca="false">IF(OR($B44="",$C44=""),"",$B44&amp;" ("&amp;DAY($C44)&amp;"."&amp;MONTH($C44)&amp;"."&amp;YEAR($C44)&amp;")")</f>
        <v/>
      </c>
      <c r="H44" s="13"/>
      <c r="I44" s="13"/>
      <c r="J44" s="15" t="str">
        <f aca="false">IF($I44="","",$I44+280)</f>
        <v/>
      </c>
      <c r="K44" s="14" t="str">
        <f aca="false">IF(OR($I44="",$AE44&lt;&gt;""),"",INT((Boshqaruv!$C$12-$I44)/7))</f>
        <v/>
      </c>
      <c r="L44" s="14" t="str">
        <f aca="false">IF(OR($C44="",$H44=""),"",INT(($H44-$C44)/365.25))</f>
        <v/>
      </c>
      <c r="M44" s="14" t="str">
        <f aca="false">IF($L44="","",IF($L44&lt;18,"Ha","Yo'q"))</f>
        <v/>
      </c>
      <c r="N44" s="25"/>
      <c r="O44" s="25"/>
      <c r="P44" s="25"/>
      <c r="Q44" s="12"/>
      <c r="R44" s="25"/>
      <c r="S44" s="12"/>
      <c r="T44" s="13"/>
      <c r="U44" s="12"/>
      <c r="V44" s="25"/>
      <c r="W44" s="25"/>
      <c r="X44" s="14" t="str">
        <f aca="false">IF(OR($V44="",$W44=""),"",IF(AND($V44&gt;=Spravochnik!$H$5,$W44&gt;=Spravochnik!$H$6),"Ha","Yo'q"))</f>
        <v/>
      </c>
      <c r="Y44" s="13"/>
      <c r="Z44" s="13"/>
      <c r="AA44" s="13"/>
      <c r="AB44" s="13"/>
      <c r="AC44" s="14" t="str">
        <f aca="false">IF(AND($B44&lt;&gt;"",$AE44="",$AB44&lt;&gt;"",$AB44&lt;Boshqaruv!$C$12),"Ha","")</f>
        <v/>
      </c>
      <c r="AD44" s="25"/>
      <c r="AE44" s="13"/>
      <c r="AF44" s="12"/>
      <c r="AG44" s="14" t="str">
        <f aca="false">IF(OR($B44="",$C44="",$H44=""),"",IF(COUNTIFS($B$5:$B$804,$B44,$C$5:$C$804,$C44,$H$5:$H$804,$H44)&gt;1,"Takror",""))</f>
        <v/>
      </c>
      <c r="AH44" s="28" t="str">
        <f aca="false">IF(AND($B44&lt;&gt;"",$N44="Ha",$H44&lt;&gt;"",$H44&lt;=Boshqaruv!$C$12,OR($AE44="",$AE44&gt;Boshqaruv!$C$12)),MAX($AH$4:$AH43)+1,"")</f>
        <v/>
      </c>
    </row>
    <row r="45" customFormat="false" ht="15" hidden="false" customHeight="false" outlineLevel="0" collapsed="false">
      <c r="A45" s="20" t="n">
        <v>41</v>
      </c>
      <c r="B45" s="12"/>
      <c r="C45" s="13"/>
      <c r="D45" s="24"/>
      <c r="E45" s="12"/>
      <c r="F45" s="25"/>
      <c r="G45" s="27" t="str">
        <f aca="false">IF(OR($B45="",$C45=""),"",$B45&amp;" ("&amp;DAY($C45)&amp;"."&amp;MONTH($C45)&amp;"."&amp;YEAR($C45)&amp;")")</f>
        <v/>
      </c>
      <c r="H45" s="13"/>
      <c r="I45" s="13"/>
      <c r="J45" s="15" t="str">
        <f aca="false">IF($I45="","",$I45+280)</f>
        <v/>
      </c>
      <c r="K45" s="14" t="str">
        <f aca="false">IF(OR($I45="",$AE45&lt;&gt;""),"",INT((Boshqaruv!$C$12-$I45)/7))</f>
        <v/>
      </c>
      <c r="L45" s="14" t="str">
        <f aca="false">IF(OR($C45="",$H45=""),"",INT(($H45-$C45)/365.25))</f>
        <v/>
      </c>
      <c r="M45" s="14" t="str">
        <f aca="false">IF($L45="","",IF($L45&lt;18,"Ha","Yo'q"))</f>
        <v/>
      </c>
      <c r="N45" s="25"/>
      <c r="O45" s="25"/>
      <c r="P45" s="25"/>
      <c r="Q45" s="12"/>
      <c r="R45" s="25"/>
      <c r="S45" s="12"/>
      <c r="T45" s="13"/>
      <c r="U45" s="12"/>
      <c r="V45" s="25"/>
      <c r="W45" s="25"/>
      <c r="X45" s="14" t="str">
        <f aca="false">IF(OR($V45="",$W45=""),"",IF(AND($V45&gt;=Spravochnik!$H$5,$W45&gt;=Spravochnik!$H$6),"Ha","Yo'q"))</f>
        <v/>
      </c>
      <c r="Y45" s="13"/>
      <c r="Z45" s="13"/>
      <c r="AA45" s="13"/>
      <c r="AB45" s="13"/>
      <c r="AC45" s="14" t="str">
        <f aca="false">IF(AND($B45&lt;&gt;"",$AE45="",$AB45&lt;&gt;"",$AB45&lt;Boshqaruv!$C$12),"Ha","")</f>
        <v/>
      </c>
      <c r="AD45" s="25"/>
      <c r="AE45" s="13"/>
      <c r="AF45" s="12"/>
      <c r="AG45" s="14" t="str">
        <f aca="false">IF(OR($B45="",$C45="",$H45=""),"",IF(COUNTIFS($B$5:$B$804,$B45,$C$5:$C$804,$C45,$H$5:$H$804,$H45)&gt;1,"Takror",""))</f>
        <v/>
      </c>
      <c r="AH45" s="28" t="str">
        <f aca="false">IF(AND($B45&lt;&gt;"",$N45="Ha",$H45&lt;&gt;"",$H45&lt;=Boshqaruv!$C$12,OR($AE45="",$AE45&gt;Boshqaruv!$C$12)),MAX($AH$4:$AH44)+1,"")</f>
        <v/>
      </c>
    </row>
    <row r="46" customFormat="false" ht="15" hidden="false" customHeight="false" outlineLevel="0" collapsed="false">
      <c r="A46" s="20" t="n">
        <v>42</v>
      </c>
      <c r="B46" s="12"/>
      <c r="C46" s="13"/>
      <c r="D46" s="24"/>
      <c r="E46" s="12"/>
      <c r="F46" s="25"/>
      <c r="G46" s="27" t="str">
        <f aca="false">IF(OR($B46="",$C46=""),"",$B46&amp;" ("&amp;DAY($C46)&amp;"."&amp;MONTH($C46)&amp;"."&amp;YEAR($C46)&amp;")")</f>
        <v/>
      </c>
      <c r="H46" s="13"/>
      <c r="I46" s="13"/>
      <c r="J46" s="15" t="str">
        <f aca="false">IF($I46="","",$I46+280)</f>
        <v/>
      </c>
      <c r="K46" s="14" t="str">
        <f aca="false">IF(OR($I46="",$AE46&lt;&gt;""),"",INT((Boshqaruv!$C$12-$I46)/7))</f>
        <v/>
      </c>
      <c r="L46" s="14" t="str">
        <f aca="false">IF(OR($C46="",$H46=""),"",INT(($H46-$C46)/365.25))</f>
        <v/>
      </c>
      <c r="M46" s="14" t="str">
        <f aca="false">IF($L46="","",IF($L46&lt;18,"Ha","Yo'q"))</f>
        <v/>
      </c>
      <c r="N46" s="25"/>
      <c r="O46" s="25"/>
      <c r="P46" s="25"/>
      <c r="Q46" s="12"/>
      <c r="R46" s="25"/>
      <c r="S46" s="12"/>
      <c r="T46" s="13"/>
      <c r="U46" s="12"/>
      <c r="V46" s="25"/>
      <c r="W46" s="25"/>
      <c r="X46" s="14" t="str">
        <f aca="false">IF(OR($V46="",$W46=""),"",IF(AND($V46&gt;=Spravochnik!$H$5,$W46&gt;=Spravochnik!$H$6),"Ha","Yo'q"))</f>
        <v/>
      </c>
      <c r="Y46" s="13"/>
      <c r="Z46" s="13"/>
      <c r="AA46" s="13"/>
      <c r="AB46" s="13"/>
      <c r="AC46" s="14" t="str">
        <f aca="false">IF(AND($B46&lt;&gt;"",$AE46="",$AB46&lt;&gt;"",$AB46&lt;Boshqaruv!$C$12),"Ha","")</f>
        <v/>
      </c>
      <c r="AD46" s="25"/>
      <c r="AE46" s="13"/>
      <c r="AF46" s="12"/>
      <c r="AG46" s="14" t="str">
        <f aca="false">IF(OR($B46="",$C46="",$H46=""),"",IF(COUNTIFS($B$5:$B$804,$B46,$C$5:$C$804,$C46,$H$5:$H$804,$H46)&gt;1,"Takror",""))</f>
        <v/>
      </c>
      <c r="AH46" s="28" t="str">
        <f aca="false">IF(AND($B46&lt;&gt;"",$N46="Ha",$H46&lt;&gt;"",$H46&lt;=Boshqaruv!$C$12,OR($AE46="",$AE46&gt;Boshqaruv!$C$12)),MAX($AH$4:$AH45)+1,"")</f>
        <v/>
      </c>
    </row>
    <row r="47" customFormat="false" ht="15" hidden="false" customHeight="false" outlineLevel="0" collapsed="false">
      <c r="A47" s="20" t="n">
        <v>43</v>
      </c>
      <c r="B47" s="12"/>
      <c r="C47" s="13"/>
      <c r="D47" s="24"/>
      <c r="E47" s="12"/>
      <c r="F47" s="25"/>
      <c r="G47" s="27" t="str">
        <f aca="false">IF(OR($B47="",$C47=""),"",$B47&amp;" ("&amp;DAY($C47)&amp;"."&amp;MONTH($C47)&amp;"."&amp;YEAR($C47)&amp;")")</f>
        <v/>
      </c>
      <c r="H47" s="13"/>
      <c r="I47" s="13"/>
      <c r="J47" s="15" t="str">
        <f aca="false">IF($I47="","",$I47+280)</f>
        <v/>
      </c>
      <c r="K47" s="14" t="str">
        <f aca="false">IF(OR($I47="",$AE47&lt;&gt;""),"",INT((Boshqaruv!$C$12-$I47)/7))</f>
        <v/>
      </c>
      <c r="L47" s="14" t="str">
        <f aca="false">IF(OR($C47="",$H47=""),"",INT(($H47-$C47)/365.25))</f>
        <v/>
      </c>
      <c r="M47" s="14" t="str">
        <f aca="false">IF($L47="","",IF($L47&lt;18,"Ha","Yo'q"))</f>
        <v/>
      </c>
      <c r="N47" s="25"/>
      <c r="O47" s="25"/>
      <c r="P47" s="25"/>
      <c r="Q47" s="12"/>
      <c r="R47" s="25"/>
      <c r="S47" s="12"/>
      <c r="T47" s="13"/>
      <c r="U47" s="12"/>
      <c r="V47" s="25"/>
      <c r="W47" s="25"/>
      <c r="X47" s="14" t="str">
        <f aca="false">IF(OR($V47="",$W47=""),"",IF(AND($V47&gt;=Spravochnik!$H$5,$W47&gt;=Spravochnik!$H$6),"Ha","Yo'q"))</f>
        <v/>
      </c>
      <c r="Y47" s="13"/>
      <c r="Z47" s="13"/>
      <c r="AA47" s="13"/>
      <c r="AB47" s="13"/>
      <c r="AC47" s="14" t="str">
        <f aca="false">IF(AND($B47&lt;&gt;"",$AE47="",$AB47&lt;&gt;"",$AB47&lt;Boshqaruv!$C$12),"Ha","")</f>
        <v/>
      </c>
      <c r="AD47" s="25"/>
      <c r="AE47" s="13"/>
      <c r="AF47" s="12"/>
      <c r="AG47" s="14" t="str">
        <f aca="false">IF(OR($B47="",$C47="",$H47=""),"",IF(COUNTIFS($B$5:$B$804,$B47,$C$5:$C$804,$C47,$H$5:$H$804,$H47)&gt;1,"Takror",""))</f>
        <v/>
      </c>
      <c r="AH47" s="28" t="str">
        <f aca="false">IF(AND($B47&lt;&gt;"",$N47="Ha",$H47&lt;&gt;"",$H47&lt;=Boshqaruv!$C$12,OR($AE47="",$AE47&gt;Boshqaruv!$C$12)),MAX($AH$4:$AH46)+1,"")</f>
        <v/>
      </c>
    </row>
    <row r="48" customFormat="false" ht="15" hidden="false" customHeight="false" outlineLevel="0" collapsed="false">
      <c r="A48" s="20" t="n">
        <v>44</v>
      </c>
      <c r="B48" s="12"/>
      <c r="C48" s="13"/>
      <c r="D48" s="24"/>
      <c r="E48" s="12"/>
      <c r="F48" s="25"/>
      <c r="G48" s="27" t="str">
        <f aca="false">IF(OR($B48="",$C48=""),"",$B48&amp;" ("&amp;DAY($C48)&amp;"."&amp;MONTH($C48)&amp;"."&amp;YEAR($C48)&amp;")")</f>
        <v/>
      </c>
      <c r="H48" s="13"/>
      <c r="I48" s="13"/>
      <c r="J48" s="15" t="str">
        <f aca="false">IF($I48="","",$I48+280)</f>
        <v/>
      </c>
      <c r="K48" s="14" t="str">
        <f aca="false">IF(OR($I48="",$AE48&lt;&gt;""),"",INT((Boshqaruv!$C$12-$I48)/7))</f>
        <v/>
      </c>
      <c r="L48" s="14" t="str">
        <f aca="false">IF(OR($C48="",$H48=""),"",INT(($H48-$C48)/365.25))</f>
        <v/>
      </c>
      <c r="M48" s="14" t="str">
        <f aca="false">IF($L48="","",IF($L48&lt;18,"Ha","Yo'q"))</f>
        <v/>
      </c>
      <c r="N48" s="25"/>
      <c r="O48" s="25"/>
      <c r="P48" s="25"/>
      <c r="Q48" s="12"/>
      <c r="R48" s="25"/>
      <c r="S48" s="12"/>
      <c r="T48" s="13"/>
      <c r="U48" s="12"/>
      <c r="V48" s="25"/>
      <c r="W48" s="25"/>
      <c r="X48" s="14" t="str">
        <f aca="false">IF(OR($V48="",$W48=""),"",IF(AND($V48&gt;=Spravochnik!$H$5,$W48&gt;=Spravochnik!$H$6),"Ha","Yo'q"))</f>
        <v/>
      </c>
      <c r="Y48" s="13"/>
      <c r="Z48" s="13"/>
      <c r="AA48" s="13"/>
      <c r="AB48" s="13"/>
      <c r="AC48" s="14" t="str">
        <f aca="false">IF(AND($B48&lt;&gt;"",$AE48="",$AB48&lt;&gt;"",$AB48&lt;Boshqaruv!$C$12),"Ha","")</f>
        <v/>
      </c>
      <c r="AD48" s="25"/>
      <c r="AE48" s="13"/>
      <c r="AF48" s="12"/>
      <c r="AG48" s="14" t="str">
        <f aca="false">IF(OR($B48="",$C48="",$H48=""),"",IF(COUNTIFS($B$5:$B$804,$B48,$C$5:$C$804,$C48,$H$5:$H$804,$H48)&gt;1,"Takror",""))</f>
        <v/>
      </c>
      <c r="AH48" s="28" t="str">
        <f aca="false">IF(AND($B48&lt;&gt;"",$N48="Ha",$H48&lt;&gt;"",$H48&lt;=Boshqaruv!$C$12,OR($AE48="",$AE48&gt;Boshqaruv!$C$12)),MAX($AH$4:$AH47)+1,"")</f>
        <v/>
      </c>
    </row>
    <row r="49" customFormat="false" ht="15" hidden="false" customHeight="false" outlineLevel="0" collapsed="false">
      <c r="A49" s="20" t="n">
        <v>45</v>
      </c>
      <c r="B49" s="12"/>
      <c r="C49" s="13"/>
      <c r="D49" s="24"/>
      <c r="E49" s="12"/>
      <c r="F49" s="25"/>
      <c r="G49" s="27" t="str">
        <f aca="false">IF(OR($B49="",$C49=""),"",$B49&amp;" ("&amp;DAY($C49)&amp;"."&amp;MONTH($C49)&amp;"."&amp;YEAR($C49)&amp;")")</f>
        <v/>
      </c>
      <c r="H49" s="13"/>
      <c r="I49" s="13"/>
      <c r="J49" s="15" t="str">
        <f aca="false">IF($I49="","",$I49+280)</f>
        <v/>
      </c>
      <c r="K49" s="14" t="str">
        <f aca="false">IF(OR($I49="",$AE49&lt;&gt;""),"",INT((Boshqaruv!$C$12-$I49)/7))</f>
        <v/>
      </c>
      <c r="L49" s="14" t="str">
        <f aca="false">IF(OR($C49="",$H49=""),"",INT(($H49-$C49)/365.25))</f>
        <v/>
      </c>
      <c r="M49" s="14" t="str">
        <f aca="false">IF($L49="","",IF($L49&lt;18,"Ha","Yo'q"))</f>
        <v/>
      </c>
      <c r="N49" s="25"/>
      <c r="O49" s="25"/>
      <c r="P49" s="25"/>
      <c r="Q49" s="12"/>
      <c r="R49" s="25"/>
      <c r="S49" s="12"/>
      <c r="T49" s="13"/>
      <c r="U49" s="12"/>
      <c r="V49" s="25"/>
      <c r="W49" s="25"/>
      <c r="X49" s="14" t="str">
        <f aca="false">IF(OR($V49="",$W49=""),"",IF(AND($V49&gt;=Spravochnik!$H$5,$W49&gt;=Spravochnik!$H$6),"Ha","Yo'q"))</f>
        <v/>
      </c>
      <c r="Y49" s="13"/>
      <c r="Z49" s="13"/>
      <c r="AA49" s="13"/>
      <c r="AB49" s="13"/>
      <c r="AC49" s="14" t="str">
        <f aca="false">IF(AND($B49&lt;&gt;"",$AE49="",$AB49&lt;&gt;"",$AB49&lt;Boshqaruv!$C$12),"Ha","")</f>
        <v/>
      </c>
      <c r="AD49" s="25"/>
      <c r="AE49" s="13"/>
      <c r="AF49" s="12"/>
      <c r="AG49" s="14" t="str">
        <f aca="false">IF(OR($B49="",$C49="",$H49=""),"",IF(COUNTIFS($B$5:$B$804,$B49,$C$5:$C$804,$C49,$H$5:$H$804,$H49)&gt;1,"Takror",""))</f>
        <v/>
      </c>
      <c r="AH49" s="28" t="str">
        <f aca="false">IF(AND($B49&lt;&gt;"",$N49="Ha",$H49&lt;&gt;"",$H49&lt;=Boshqaruv!$C$12,OR($AE49="",$AE49&gt;Boshqaruv!$C$12)),MAX($AH$4:$AH48)+1,"")</f>
        <v/>
      </c>
    </row>
    <row r="50" customFormat="false" ht="15" hidden="false" customHeight="false" outlineLevel="0" collapsed="false">
      <c r="A50" s="20" t="n">
        <v>46</v>
      </c>
      <c r="B50" s="12"/>
      <c r="C50" s="13"/>
      <c r="D50" s="24"/>
      <c r="E50" s="12"/>
      <c r="F50" s="25"/>
      <c r="G50" s="27" t="str">
        <f aca="false">IF(OR($B50="",$C50=""),"",$B50&amp;" ("&amp;DAY($C50)&amp;"."&amp;MONTH($C50)&amp;"."&amp;YEAR($C50)&amp;")")</f>
        <v/>
      </c>
      <c r="H50" s="13"/>
      <c r="I50" s="13"/>
      <c r="J50" s="15" t="str">
        <f aca="false">IF($I50="","",$I50+280)</f>
        <v/>
      </c>
      <c r="K50" s="14" t="str">
        <f aca="false">IF(OR($I50="",$AE50&lt;&gt;""),"",INT((Boshqaruv!$C$12-$I50)/7))</f>
        <v/>
      </c>
      <c r="L50" s="14" t="str">
        <f aca="false">IF(OR($C50="",$H50=""),"",INT(($H50-$C50)/365.25))</f>
        <v/>
      </c>
      <c r="M50" s="14" t="str">
        <f aca="false">IF($L50="","",IF($L50&lt;18,"Ha","Yo'q"))</f>
        <v/>
      </c>
      <c r="N50" s="25"/>
      <c r="O50" s="25"/>
      <c r="P50" s="25"/>
      <c r="Q50" s="12"/>
      <c r="R50" s="25"/>
      <c r="S50" s="12"/>
      <c r="T50" s="13"/>
      <c r="U50" s="12"/>
      <c r="V50" s="25"/>
      <c r="W50" s="25"/>
      <c r="X50" s="14" t="str">
        <f aca="false">IF(OR($V50="",$W50=""),"",IF(AND($V50&gt;=Spravochnik!$H$5,$W50&gt;=Spravochnik!$H$6),"Ha","Yo'q"))</f>
        <v/>
      </c>
      <c r="Y50" s="13"/>
      <c r="Z50" s="13"/>
      <c r="AA50" s="13"/>
      <c r="AB50" s="13"/>
      <c r="AC50" s="14" t="str">
        <f aca="false">IF(AND($B50&lt;&gt;"",$AE50="",$AB50&lt;&gt;"",$AB50&lt;Boshqaruv!$C$12),"Ha","")</f>
        <v/>
      </c>
      <c r="AD50" s="25"/>
      <c r="AE50" s="13"/>
      <c r="AF50" s="12"/>
      <c r="AG50" s="14" t="str">
        <f aca="false">IF(OR($B50="",$C50="",$H50=""),"",IF(COUNTIFS($B$5:$B$804,$B50,$C$5:$C$804,$C50,$H$5:$H$804,$H50)&gt;1,"Takror",""))</f>
        <v/>
      </c>
      <c r="AH50" s="28" t="str">
        <f aca="false">IF(AND($B50&lt;&gt;"",$N50="Ha",$H50&lt;&gt;"",$H50&lt;=Boshqaruv!$C$12,OR($AE50="",$AE50&gt;Boshqaruv!$C$12)),MAX($AH$4:$AH49)+1,"")</f>
        <v/>
      </c>
    </row>
    <row r="51" customFormat="false" ht="15" hidden="false" customHeight="false" outlineLevel="0" collapsed="false">
      <c r="A51" s="20" t="n">
        <v>47</v>
      </c>
      <c r="B51" s="12"/>
      <c r="C51" s="13"/>
      <c r="D51" s="24"/>
      <c r="E51" s="12"/>
      <c r="F51" s="25"/>
      <c r="G51" s="27" t="str">
        <f aca="false">IF(OR($B51="",$C51=""),"",$B51&amp;" ("&amp;DAY($C51)&amp;"."&amp;MONTH($C51)&amp;"."&amp;YEAR($C51)&amp;")")</f>
        <v/>
      </c>
      <c r="H51" s="13"/>
      <c r="I51" s="13"/>
      <c r="J51" s="15" t="str">
        <f aca="false">IF($I51="","",$I51+280)</f>
        <v/>
      </c>
      <c r="K51" s="14" t="str">
        <f aca="false">IF(OR($I51="",$AE51&lt;&gt;""),"",INT((Boshqaruv!$C$12-$I51)/7))</f>
        <v/>
      </c>
      <c r="L51" s="14" t="str">
        <f aca="false">IF(OR($C51="",$H51=""),"",INT(($H51-$C51)/365.25))</f>
        <v/>
      </c>
      <c r="M51" s="14" t="str">
        <f aca="false">IF($L51="","",IF($L51&lt;18,"Ha","Yo'q"))</f>
        <v/>
      </c>
      <c r="N51" s="25"/>
      <c r="O51" s="25"/>
      <c r="P51" s="25"/>
      <c r="Q51" s="12"/>
      <c r="R51" s="25"/>
      <c r="S51" s="12"/>
      <c r="T51" s="13"/>
      <c r="U51" s="12"/>
      <c r="V51" s="25"/>
      <c r="W51" s="25"/>
      <c r="X51" s="14" t="str">
        <f aca="false">IF(OR($V51="",$W51=""),"",IF(AND($V51&gt;=Spravochnik!$H$5,$W51&gt;=Spravochnik!$H$6),"Ha","Yo'q"))</f>
        <v/>
      </c>
      <c r="Y51" s="13"/>
      <c r="Z51" s="13"/>
      <c r="AA51" s="13"/>
      <c r="AB51" s="13"/>
      <c r="AC51" s="14" t="str">
        <f aca="false">IF(AND($B51&lt;&gt;"",$AE51="",$AB51&lt;&gt;"",$AB51&lt;Boshqaruv!$C$12),"Ha","")</f>
        <v/>
      </c>
      <c r="AD51" s="25"/>
      <c r="AE51" s="13"/>
      <c r="AF51" s="12"/>
      <c r="AG51" s="14" t="str">
        <f aca="false">IF(OR($B51="",$C51="",$H51=""),"",IF(COUNTIFS($B$5:$B$804,$B51,$C$5:$C$804,$C51,$H$5:$H$804,$H51)&gt;1,"Takror",""))</f>
        <v/>
      </c>
      <c r="AH51" s="28" t="str">
        <f aca="false">IF(AND($B51&lt;&gt;"",$N51="Ha",$H51&lt;&gt;"",$H51&lt;=Boshqaruv!$C$12,OR($AE51="",$AE51&gt;Boshqaruv!$C$12)),MAX($AH$4:$AH50)+1,"")</f>
        <v/>
      </c>
    </row>
    <row r="52" customFormat="false" ht="15" hidden="false" customHeight="false" outlineLevel="0" collapsed="false">
      <c r="A52" s="20" t="n">
        <v>48</v>
      </c>
      <c r="B52" s="12"/>
      <c r="C52" s="13"/>
      <c r="D52" s="24"/>
      <c r="E52" s="12"/>
      <c r="F52" s="25"/>
      <c r="G52" s="27" t="str">
        <f aca="false">IF(OR($B52="",$C52=""),"",$B52&amp;" ("&amp;DAY($C52)&amp;"."&amp;MONTH($C52)&amp;"."&amp;YEAR($C52)&amp;")")</f>
        <v/>
      </c>
      <c r="H52" s="13"/>
      <c r="I52" s="13"/>
      <c r="J52" s="15" t="str">
        <f aca="false">IF($I52="","",$I52+280)</f>
        <v/>
      </c>
      <c r="K52" s="14" t="str">
        <f aca="false">IF(OR($I52="",$AE52&lt;&gt;""),"",INT((Boshqaruv!$C$12-$I52)/7))</f>
        <v/>
      </c>
      <c r="L52" s="14" t="str">
        <f aca="false">IF(OR($C52="",$H52=""),"",INT(($H52-$C52)/365.25))</f>
        <v/>
      </c>
      <c r="M52" s="14" t="str">
        <f aca="false">IF($L52="","",IF($L52&lt;18,"Ha","Yo'q"))</f>
        <v/>
      </c>
      <c r="N52" s="25"/>
      <c r="O52" s="25"/>
      <c r="P52" s="25"/>
      <c r="Q52" s="12"/>
      <c r="R52" s="25"/>
      <c r="S52" s="12"/>
      <c r="T52" s="13"/>
      <c r="U52" s="12"/>
      <c r="V52" s="25"/>
      <c r="W52" s="25"/>
      <c r="X52" s="14" t="str">
        <f aca="false">IF(OR($V52="",$W52=""),"",IF(AND($V52&gt;=Spravochnik!$H$5,$W52&gt;=Spravochnik!$H$6),"Ha","Yo'q"))</f>
        <v/>
      </c>
      <c r="Y52" s="13"/>
      <c r="Z52" s="13"/>
      <c r="AA52" s="13"/>
      <c r="AB52" s="13"/>
      <c r="AC52" s="14" t="str">
        <f aca="false">IF(AND($B52&lt;&gt;"",$AE52="",$AB52&lt;&gt;"",$AB52&lt;Boshqaruv!$C$12),"Ha","")</f>
        <v/>
      </c>
      <c r="AD52" s="25"/>
      <c r="AE52" s="13"/>
      <c r="AF52" s="12"/>
      <c r="AG52" s="14" t="str">
        <f aca="false">IF(OR($B52="",$C52="",$H52=""),"",IF(COUNTIFS($B$5:$B$804,$B52,$C$5:$C$804,$C52,$H$5:$H$804,$H52)&gt;1,"Takror",""))</f>
        <v/>
      </c>
      <c r="AH52" s="28" t="str">
        <f aca="false">IF(AND($B52&lt;&gt;"",$N52="Ha",$H52&lt;&gt;"",$H52&lt;=Boshqaruv!$C$12,OR($AE52="",$AE52&gt;Boshqaruv!$C$12)),MAX($AH$4:$AH51)+1,"")</f>
        <v/>
      </c>
    </row>
    <row r="53" customFormat="false" ht="15" hidden="false" customHeight="false" outlineLevel="0" collapsed="false">
      <c r="A53" s="20" t="n">
        <v>49</v>
      </c>
      <c r="B53" s="12"/>
      <c r="C53" s="13"/>
      <c r="D53" s="24"/>
      <c r="E53" s="12"/>
      <c r="F53" s="25"/>
      <c r="G53" s="27" t="str">
        <f aca="false">IF(OR($B53="",$C53=""),"",$B53&amp;" ("&amp;DAY($C53)&amp;"."&amp;MONTH($C53)&amp;"."&amp;YEAR($C53)&amp;")")</f>
        <v/>
      </c>
      <c r="H53" s="13"/>
      <c r="I53" s="13"/>
      <c r="J53" s="15" t="str">
        <f aca="false">IF($I53="","",$I53+280)</f>
        <v/>
      </c>
      <c r="K53" s="14" t="str">
        <f aca="false">IF(OR($I53="",$AE53&lt;&gt;""),"",INT((Boshqaruv!$C$12-$I53)/7))</f>
        <v/>
      </c>
      <c r="L53" s="14" t="str">
        <f aca="false">IF(OR($C53="",$H53=""),"",INT(($H53-$C53)/365.25))</f>
        <v/>
      </c>
      <c r="M53" s="14" t="str">
        <f aca="false">IF($L53="","",IF($L53&lt;18,"Ha","Yo'q"))</f>
        <v/>
      </c>
      <c r="N53" s="25"/>
      <c r="O53" s="25"/>
      <c r="P53" s="25"/>
      <c r="Q53" s="12"/>
      <c r="R53" s="25"/>
      <c r="S53" s="12"/>
      <c r="T53" s="13"/>
      <c r="U53" s="12"/>
      <c r="V53" s="25"/>
      <c r="W53" s="25"/>
      <c r="X53" s="14" t="str">
        <f aca="false">IF(OR($V53="",$W53=""),"",IF(AND($V53&gt;=Spravochnik!$H$5,$W53&gt;=Spravochnik!$H$6),"Ha","Yo'q"))</f>
        <v/>
      </c>
      <c r="Y53" s="13"/>
      <c r="Z53" s="13"/>
      <c r="AA53" s="13"/>
      <c r="AB53" s="13"/>
      <c r="AC53" s="14" t="str">
        <f aca="false">IF(AND($B53&lt;&gt;"",$AE53="",$AB53&lt;&gt;"",$AB53&lt;Boshqaruv!$C$12),"Ha","")</f>
        <v/>
      </c>
      <c r="AD53" s="25"/>
      <c r="AE53" s="13"/>
      <c r="AF53" s="12"/>
      <c r="AG53" s="14" t="str">
        <f aca="false">IF(OR($B53="",$C53="",$H53=""),"",IF(COUNTIFS($B$5:$B$804,$B53,$C$5:$C$804,$C53,$H$5:$H$804,$H53)&gt;1,"Takror",""))</f>
        <v/>
      </c>
      <c r="AH53" s="28" t="str">
        <f aca="false">IF(AND($B53&lt;&gt;"",$N53="Ha",$H53&lt;&gt;"",$H53&lt;=Boshqaruv!$C$12,OR($AE53="",$AE53&gt;Boshqaruv!$C$12)),MAX($AH$4:$AH52)+1,"")</f>
        <v/>
      </c>
    </row>
    <row r="54" customFormat="false" ht="15" hidden="false" customHeight="false" outlineLevel="0" collapsed="false">
      <c r="A54" s="20" t="n">
        <v>50</v>
      </c>
      <c r="B54" s="12"/>
      <c r="C54" s="13"/>
      <c r="D54" s="24"/>
      <c r="E54" s="12"/>
      <c r="F54" s="25"/>
      <c r="G54" s="27" t="str">
        <f aca="false">IF(OR($B54="",$C54=""),"",$B54&amp;" ("&amp;DAY($C54)&amp;"."&amp;MONTH($C54)&amp;"."&amp;YEAR($C54)&amp;")")</f>
        <v/>
      </c>
      <c r="H54" s="13"/>
      <c r="I54" s="13"/>
      <c r="J54" s="15" t="str">
        <f aca="false">IF($I54="","",$I54+280)</f>
        <v/>
      </c>
      <c r="K54" s="14" t="str">
        <f aca="false">IF(OR($I54="",$AE54&lt;&gt;""),"",INT((Boshqaruv!$C$12-$I54)/7))</f>
        <v/>
      </c>
      <c r="L54" s="14" t="str">
        <f aca="false">IF(OR($C54="",$H54=""),"",INT(($H54-$C54)/365.25))</f>
        <v/>
      </c>
      <c r="M54" s="14" t="str">
        <f aca="false">IF($L54="","",IF($L54&lt;18,"Ha","Yo'q"))</f>
        <v/>
      </c>
      <c r="N54" s="25"/>
      <c r="O54" s="25"/>
      <c r="P54" s="25"/>
      <c r="Q54" s="12"/>
      <c r="R54" s="25"/>
      <c r="S54" s="12"/>
      <c r="T54" s="13"/>
      <c r="U54" s="12"/>
      <c r="V54" s="25"/>
      <c r="W54" s="25"/>
      <c r="X54" s="14" t="str">
        <f aca="false">IF(OR($V54="",$W54=""),"",IF(AND($V54&gt;=Spravochnik!$H$5,$W54&gt;=Spravochnik!$H$6),"Ha","Yo'q"))</f>
        <v/>
      </c>
      <c r="Y54" s="13"/>
      <c r="Z54" s="13"/>
      <c r="AA54" s="13"/>
      <c r="AB54" s="13"/>
      <c r="AC54" s="14" t="str">
        <f aca="false">IF(AND($B54&lt;&gt;"",$AE54="",$AB54&lt;&gt;"",$AB54&lt;Boshqaruv!$C$12),"Ha","")</f>
        <v/>
      </c>
      <c r="AD54" s="25"/>
      <c r="AE54" s="13"/>
      <c r="AF54" s="12"/>
      <c r="AG54" s="14" t="str">
        <f aca="false">IF(OR($B54="",$C54="",$H54=""),"",IF(COUNTIFS($B$5:$B$804,$B54,$C$5:$C$804,$C54,$H$5:$H$804,$H54)&gt;1,"Takror",""))</f>
        <v/>
      </c>
      <c r="AH54" s="28" t="str">
        <f aca="false">IF(AND($B54&lt;&gt;"",$N54="Ha",$H54&lt;&gt;"",$H54&lt;=Boshqaruv!$C$12,OR($AE54="",$AE54&gt;Boshqaruv!$C$12)),MAX($AH$4:$AH53)+1,"")</f>
        <v/>
      </c>
    </row>
    <row r="55" customFormat="false" ht="15" hidden="false" customHeight="false" outlineLevel="0" collapsed="false">
      <c r="A55" s="20" t="n">
        <v>51</v>
      </c>
      <c r="B55" s="12"/>
      <c r="C55" s="13"/>
      <c r="D55" s="24"/>
      <c r="E55" s="12"/>
      <c r="F55" s="25"/>
      <c r="G55" s="27" t="str">
        <f aca="false">IF(OR($B55="",$C55=""),"",$B55&amp;" ("&amp;DAY($C55)&amp;"."&amp;MONTH($C55)&amp;"."&amp;YEAR($C55)&amp;")")</f>
        <v/>
      </c>
      <c r="H55" s="13"/>
      <c r="I55" s="13"/>
      <c r="J55" s="15" t="str">
        <f aca="false">IF($I55="","",$I55+280)</f>
        <v/>
      </c>
      <c r="K55" s="14" t="str">
        <f aca="false">IF(OR($I55="",$AE55&lt;&gt;""),"",INT((Boshqaruv!$C$12-$I55)/7))</f>
        <v/>
      </c>
      <c r="L55" s="14" t="str">
        <f aca="false">IF(OR($C55="",$H55=""),"",INT(($H55-$C55)/365.25))</f>
        <v/>
      </c>
      <c r="M55" s="14" t="str">
        <f aca="false">IF($L55="","",IF($L55&lt;18,"Ha","Yo'q"))</f>
        <v/>
      </c>
      <c r="N55" s="25"/>
      <c r="O55" s="25"/>
      <c r="P55" s="25"/>
      <c r="Q55" s="12"/>
      <c r="R55" s="25"/>
      <c r="S55" s="12"/>
      <c r="T55" s="13"/>
      <c r="U55" s="12"/>
      <c r="V55" s="25"/>
      <c r="W55" s="25"/>
      <c r="X55" s="14" t="str">
        <f aca="false">IF(OR($V55="",$W55=""),"",IF(AND($V55&gt;=Spravochnik!$H$5,$W55&gt;=Spravochnik!$H$6),"Ha","Yo'q"))</f>
        <v/>
      </c>
      <c r="Y55" s="13"/>
      <c r="Z55" s="13"/>
      <c r="AA55" s="13"/>
      <c r="AB55" s="13"/>
      <c r="AC55" s="14" t="str">
        <f aca="false">IF(AND($B55&lt;&gt;"",$AE55="",$AB55&lt;&gt;"",$AB55&lt;Boshqaruv!$C$12),"Ha","")</f>
        <v/>
      </c>
      <c r="AD55" s="25"/>
      <c r="AE55" s="13"/>
      <c r="AF55" s="12"/>
      <c r="AG55" s="14" t="str">
        <f aca="false">IF(OR($B55="",$C55="",$H55=""),"",IF(COUNTIFS($B$5:$B$804,$B55,$C$5:$C$804,$C55,$H$5:$H$804,$H55)&gt;1,"Takror",""))</f>
        <v/>
      </c>
      <c r="AH55" s="28" t="str">
        <f aca="false">IF(AND($B55&lt;&gt;"",$N55="Ha",$H55&lt;&gt;"",$H55&lt;=Boshqaruv!$C$12,OR($AE55="",$AE55&gt;Boshqaruv!$C$12)),MAX($AH$4:$AH54)+1,"")</f>
        <v/>
      </c>
    </row>
    <row r="56" customFormat="false" ht="15" hidden="false" customHeight="false" outlineLevel="0" collapsed="false">
      <c r="A56" s="20" t="n">
        <v>52</v>
      </c>
      <c r="B56" s="12"/>
      <c r="C56" s="13"/>
      <c r="D56" s="24"/>
      <c r="E56" s="12"/>
      <c r="F56" s="25"/>
      <c r="G56" s="27" t="str">
        <f aca="false">IF(OR($B56="",$C56=""),"",$B56&amp;" ("&amp;DAY($C56)&amp;"."&amp;MONTH($C56)&amp;"."&amp;YEAR($C56)&amp;")")</f>
        <v/>
      </c>
      <c r="H56" s="13"/>
      <c r="I56" s="13"/>
      <c r="J56" s="15" t="str">
        <f aca="false">IF($I56="","",$I56+280)</f>
        <v/>
      </c>
      <c r="K56" s="14" t="str">
        <f aca="false">IF(OR($I56="",$AE56&lt;&gt;""),"",INT((Boshqaruv!$C$12-$I56)/7))</f>
        <v/>
      </c>
      <c r="L56" s="14" t="str">
        <f aca="false">IF(OR($C56="",$H56=""),"",INT(($H56-$C56)/365.25))</f>
        <v/>
      </c>
      <c r="M56" s="14" t="str">
        <f aca="false">IF($L56="","",IF($L56&lt;18,"Ha","Yo'q"))</f>
        <v/>
      </c>
      <c r="N56" s="25"/>
      <c r="O56" s="25"/>
      <c r="P56" s="25"/>
      <c r="Q56" s="12"/>
      <c r="R56" s="25"/>
      <c r="S56" s="12"/>
      <c r="T56" s="13"/>
      <c r="U56" s="12"/>
      <c r="V56" s="25"/>
      <c r="W56" s="25"/>
      <c r="X56" s="14" t="str">
        <f aca="false">IF(OR($V56="",$W56=""),"",IF(AND($V56&gt;=Spravochnik!$H$5,$W56&gt;=Spravochnik!$H$6),"Ha","Yo'q"))</f>
        <v/>
      </c>
      <c r="Y56" s="13"/>
      <c r="Z56" s="13"/>
      <c r="AA56" s="13"/>
      <c r="AB56" s="13"/>
      <c r="AC56" s="14" t="str">
        <f aca="false">IF(AND($B56&lt;&gt;"",$AE56="",$AB56&lt;&gt;"",$AB56&lt;Boshqaruv!$C$12),"Ha","")</f>
        <v/>
      </c>
      <c r="AD56" s="25"/>
      <c r="AE56" s="13"/>
      <c r="AF56" s="12"/>
      <c r="AG56" s="14" t="str">
        <f aca="false">IF(OR($B56="",$C56="",$H56=""),"",IF(COUNTIFS($B$5:$B$804,$B56,$C$5:$C$804,$C56,$H$5:$H$804,$H56)&gt;1,"Takror",""))</f>
        <v/>
      </c>
      <c r="AH56" s="28" t="str">
        <f aca="false">IF(AND($B56&lt;&gt;"",$N56="Ha",$H56&lt;&gt;"",$H56&lt;=Boshqaruv!$C$12,OR($AE56="",$AE56&gt;Boshqaruv!$C$12)),MAX($AH$4:$AH55)+1,"")</f>
        <v/>
      </c>
    </row>
    <row r="57" customFormat="false" ht="15" hidden="false" customHeight="false" outlineLevel="0" collapsed="false">
      <c r="A57" s="20" t="n">
        <v>53</v>
      </c>
      <c r="B57" s="12"/>
      <c r="C57" s="13"/>
      <c r="D57" s="24"/>
      <c r="E57" s="12"/>
      <c r="F57" s="25"/>
      <c r="G57" s="27" t="str">
        <f aca="false">IF(OR($B57="",$C57=""),"",$B57&amp;" ("&amp;DAY($C57)&amp;"."&amp;MONTH($C57)&amp;"."&amp;YEAR($C57)&amp;")")</f>
        <v/>
      </c>
      <c r="H57" s="13"/>
      <c r="I57" s="13"/>
      <c r="J57" s="15" t="str">
        <f aca="false">IF($I57="","",$I57+280)</f>
        <v/>
      </c>
      <c r="K57" s="14" t="str">
        <f aca="false">IF(OR($I57="",$AE57&lt;&gt;""),"",INT((Boshqaruv!$C$12-$I57)/7))</f>
        <v/>
      </c>
      <c r="L57" s="14" t="str">
        <f aca="false">IF(OR($C57="",$H57=""),"",INT(($H57-$C57)/365.25))</f>
        <v/>
      </c>
      <c r="M57" s="14" t="str">
        <f aca="false">IF($L57="","",IF($L57&lt;18,"Ha","Yo'q"))</f>
        <v/>
      </c>
      <c r="N57" s="25"/>
      <c r="O57" s="25"/>
      <c r="P57" s="25"/>
      <c r="Q57" s="12"/>
      <c r="R57" s="25"/>
      <c r="S57" s="12"/>
      <c r="T57" s="13"/>
      <c r="U57" s="12"/>
      <c r="V57" s="25"/>
      <c r="W57" s="25"/>
      <c r="X57" s="14" t="str">
        <f aca="false">IF(OR($V57="",$W57=""),"",IF(AND($V57&gt;=Spravochnik!$H$5,$W57&gt;=Spravochnik!$H$6),"Ha","Yo'q"))</f>
        <v/>
      </c>
      <c r="Y57" s="13"/>
      <c r="Z57" s="13"/>
      <c r="AA57" s="13"/>
      <c r="AB57" s="13"/>
      <c r="AC57" s="14" t="str">
        <f aca="false">IF(AND($B57&lt;&gt;"",$AE57="",$AB57&lt;&gt;"",$AB57&lt;Boshqaruv!$C$12),"Ha","")</f>
        <v/>
      </c>
      <c r="AD57" s="25"/>
      <c r="AE57" s="13"/>
      <c r="AF57" s="12"/>
      <c r="AG57" s="14" t="str">
        <f aca="false">IF(OR($B57="",$C57="",$H57=""),"",IF(COUNTIFS($B$5:$B$804,$B57,$C$5:$C$804,$C57,$H$5:$H$804,$H57)&gt;1,"Takror",""))</f>
        <v/>
      </c>
      <c r="AH57" s="28" t="str">
        <f aca="false">IF(AND($B57&lt;&gt;"",$N57="Ha",$H57&lt;&gt;"",$H57&lt;=Boshqaruv!$C$12,OR($AE57="",$AE57&gt;Boshqaruv!$C$12)),MAX($AH$4:$AH56)+1,"")</f>
        <v/>
      </c>
    </row>
    <row r="58" customFormat="false" ht="15" hidden="false" customHeight="false" outlineLevel="0" collapsed="false">
      <c r="A58" s="20" t="n">
        <v>54</v>
      </c>
      <c r="B58" s="12"/>
      <c r="C58" s="13"/>
      <c r="D58" s="24"/>
      <c r="E58" s="12"/>
      <c r="F58" s="25"/>
      <c r="G58" s="27" t="str">
        <f aca="false">IF(OR($B58="",$C58=""),"",$B58&amp;" ("&amp;DAY($C58)&amp;"."&amp;MONTH($C58)&amp;"."&amp;YEAR($C58)&amp;")")</f>
        <v/>
      </c>
      <c r="H58" s="13"/>
      <c r="I58" s="13"/>
      <c r="J58" s="15" t="str">
        <f aca="false">IF($I58="","",$I58+280)</f>
        <v/>
      </c>
      <c r="K58" s="14" t="str">
        <f aca="false">IF(OR($I58="",$AE58&lt;&gt;""),"",INT((Boshqaruv!$C$12-$I58)/7))</f>
        <v/>
      </c>
      <c r="L58" s="14" t="str">
        <f aca="false">IF(OR($C58="",$H58=""),"",INT(($H58-$C58)/365.25))</f>
        <v/>
      </c>
      <c r="M58" s="14" t="str">
        <f aca="false">IF($L58="","",IF($L58&lt;18,"Ha","Yo'q"))</f>
        <v/>
      </c>
      <c r="N58" s="25"/>
      <c r="O58" s="25"/>
      <c r="P58" s="25"/>
      <c r="Q58" s="12"/>
      <c r="R58" s="25"/>
      <c r="S58" s="12"/>
      <c r="T58" s="13"/>
      <c r="U58" s="12"/>
      <c r="V58" s="25"/>
      <c r="W58" s="25"/>
      <c r="X58" s="14" t="str">
        <f aca="false">IF(OR($V58="",$W58=""),"",IF(AND($V58&gt;=Spravochnik!$H$5,$W58&gt;=Spravochnik!$H$6),"Ha","Yo'q"))</f>
        <v/>
      </c>
      <c r="Y58" s="13"/>
      <c r="Z58" s="13"/>
      <c r="AA58" s="13"/>
      <c r="AB58" s="13"/>
      <c r="AC58" s="14" t="str">
        <f aca="false">IF(AND($B58&lt;&gt;"",$AE58="",$AB58&lt;&gt;"",$AB58&lt;Boshqaruv!$C$12),"Ha","")</f>
        <v/>
      </c>
      <c r="AD58" s="25"/>
      <c r="AE58" s="13"/>
      <c r="AF58" s="12"/>
      <c r="AG58" s="14" t="str">
        <f aca="false">IF(OR($B58="",$C58="",$H58=""),"",IF(COUNTIFS($B$5:$B$804,$B58,$C$5:$C$804,$C58,$H$5:$H$804,$H58)&gt;1,"Takror",""))</f>
        <v/>
      </c>
      <c r="AH58" s="28" t="str">
        <f aca="false">IF(AND($B58&lt;&gt;"",$N58="Ha",$H58&lt;&gt;"",$H58&lt;=Boshqaruv!$C$12,OR($AE58="",$AE58&gt;Boshqaruv!$C$12)),MAX($AH$4:$AH57)+1,"")</f>
        <v/>
      </c>
    </row>
    <row r="59" customFormat="false" ht="15" hidden="false" customHeight="false" outlineLevel="0" collapsed="false">
      <c r="A59" s="20" t="n">
        <v>55</v>
      </c>
      <c r="B59" s="12"/>
      <c r="C59" s="13"/>
      <c r="D59" s="24"/>
      <c r="E59" s="12"/>
      <c r="F59" s="25"/>
      <c r="G59" s="27" t="str">
        <f aca="false">IF(OR($B59="",$C59=""),"",$B59&amp;" ("&amp;DAY($C59)&amp;"."&amp;MONTH($C59)&amp;"."&amp;YEAR($C59)&amp;")")</f>
        <v/>
      </c>
      <c r="H59" s="13"/>
      <c r="I59" s="13"/>
      <c r="J59" s="15" t="str">
        <f aca="false">IF($I59="","",$I59+280)</f>
        <v/>
      </c>
      <c r="K59" s="14" t="str">
        <f aca="false">IF(OR($I59="",$AE59&lt;&gt;""),"",INT((Boshqaruv!$C$12-$I59)/7))</f>
        <v/>
      </c>
      <c r="L59" s="14" t="str">
        <f aca="false">IF(OR($C59="",$H59=""),"",INT(($H59-$C59)/365.25))</f>
        <v/>
      </c>
      <c r="M59" s="14" t="str">
        <f aca="false">IF($L59="","",IF($L59&lt;18,"Ha","Yo'q"))</f>
        <v/>
      </c>
      <c r="N59" s="25"/>
      <c r="O59" s="25"/>
      <c r="P59" s="25"/>
      <c r="Q59" s="12"/>
      <c r="R59" s="25"/>
      <c r="S59" s="12"/>
      <c r="T59" s="13"/>
      <c r="U59" s="12"/>
      <c r="V59" s="25"/>
      <c r="W59" s="25"/>
      <c r="X59" s="14" t="str">
        <f aca="false">IF(OR($V59="",$W59=""),"",IF(AND($V59&gt;=Spravochnik!$H$5,$W59&gt;=Spravochnik!$H$6),"Ha","Yo'q"))</f>
        <v/>
      </c>
      <c r="Y59" s="13"/>
      <c r="Z59" s="13"/>
      <c r="AA59" s="13"/>
      <c r="AB59" s="13"/>
      <c r="AC59" s="14" t="str">
        <f aca="false">IF(AND($B59&lt;&gt;"",$AE59="",$AB59&lt;&gt;"",$AB59&lt;Boshqaruv!$C$12),"Ha","")</f>
        <v/>
      </c>
      <c r="AD59" s="25"/>
      <c r="AE59" s="13"/>
      <c r="AF59" s="12"/>
      <c r="AG59" s="14" t="str">
        <f aca="false">IF(OR($B59="",$C59="",$H59=""),"",IF(COUNTIFS($B$5:$B$804,$B59,$C$5:$C$804,$C59,$H$5:$H$804,$H59)&gt;1,"Takror",""))</f>
        <v/>
      </c>
      <c r="AH59" s="28" t="str">
        <f aca="false">IF(AND($B59&lt;&gt;"",$N59="Ha",$H59&lt;&gt;"",$H59&lt;=Boshqaruv!$C$12,OR($AE59="",$AE59&gt;Boshqaruv!$C$12)),MAX($AH$4:$AH58)+1,"")</f>
        <v/>
      </c>
    </row>
    <row r="60" customFormat="false" ht="15" hidden="false" customHeight="false" outlineLevel="0" collapsed="false">
      <c r="A60" s="20" t="n">
        <v>56</v>
      </c>
      <c r="B60" s="12"/>
      <c r="C60" s="13"/>
      <c r="D60" s="24"/>
      <c r="E60" s="12"/>
      <c r="F60" s="25"/>
      <c r="G60" s="27" t="str">
        <f aca="false">IF(OR($B60="",$C60=""),"",$B60&amp;" ("&amp;DAY($C60)&amp;"."&amp;MONTH($C60)&amp;"."&amp;YEAR($C60)&amp;")")</f>
        <v/>
      </c>
      <c r="H60" s="13"/>
      <c r="I60" s="13"/>
      <c r="J60" s="15" t="str">
        <f aca="false">IF($I60="","",$I60+280)</f>
        <v/>
      </c>
      <c r="K60" s="14" t="str">
        <f aca="false">IF(OR($I60="",$AE60&lt;&gt;""),"",INT((Boshqaruv!$C$12-$I60)/7))</f>
        <v/>
      </c>
      <c r="L60" s="14" t="str">
        <f aca="false">IF(OR($C60="",$H60=""),"",INT(($H60-$C60)/365.25))</f>
        <v/>
      </c>
      <c r="M60" s="14" t="str">
        <f aca="false">IF($L60="","",IF($L60&lt;18,"Ha","Yo'q"))</f>
        <v/>
      </c>
      <c r="N60" s="25"/>
      <c r="O60" s="25"/>
      <c r="P60" s="25"/>
      <c r="Q60" s="12"/>
      <c r="R60" s="25"/>
      <c r="S60" s="12"/>
      <c r="T60" s="13"/>
      <c r="U60" s="12"/>
      <c r="V60" s="25"/>
      <c r="W60" s="25"/>
      <c r="X60" s="14" t="str">
        <f aca="false">IF(OR($V60="",$W60=""),"",IF(AND($V60&gt;=Spravochnik!$H$5,$W60&gt;=Spravochnik!$H$6),"Ha","Yo'q"))</f>
        <v/>
      </c>
      <c r="Y60" s="13"/>
      <c r="Z60" s="13"/>
      <c r="AA60" s="13"/>
      <c r="AB60" s="13"/>
      <c r="AC60" s="14" t="str">
        <f aca="false">IF(AND($B60&lt;&gt;"",$AE60="",$AB60&lt;&gt;"",$AB60&lt;Boshqaruv!$C$12),"Ha","")</f>
        <v/>
      </c>
      <c r="AD60" s="25"/>
      <c r="AE60" s="13"/>
      <c r="AF60" s="12"/>
      <c r="AG60" s="14" t="str">
        <f aca="false">IF(OR($B60="",$C60="",$H60=""),"",IF(COUNTIFS($B$5:$B$804,$B60,$C$5:$C$804,$C60,$H$5:$H$804,$H60)&gt;1,"Takror",""))</f>
        <v/>
      </c>
      <c r="AH60" s="28" t="str">
        <f aca="false">IF(AND($B60&lt;&gt;"",$N60="Ha",$H60&lt;&gt;"",$H60&lt;=Boshqaruv!$C$12,OR($AE60="",$AE60&gt;Boshqaruv!$C$12)),MAX($AH$4:$AH59)+1,"")</f>
        <v/>
      </c>
    </row>
    <row r="61" customFormat="false" ht="15" hidden="false" customHeight="false" outlineLevel="0" collapsed="false">
      <c r="A61" s="20" t="n">
        <v>57</v>
      </c>
      <c r="B61" s="12"/>
      <c r="C61" s="13"/>
      <c r="D61" s="24"/>
      <c r="E61" s="12"/>
      <c r="F61" s="25"/>
      <c r="G61" s="27" t="str">
        <f aca="false">IF(OR($B61="",$C61=""),"",$B61&amp;" ("&amp;DAY($C61)&amp;"."&amp;MONTH($C61)&amp;"."&amp;YEAR($C61)&amp;")")</f>
        <v/>
      </c>
      <c r="H61" s="13"/>
      <c r="I61" s="13"/>
      <c r="J61" s="15" t="str">
        <f aca="false">IF($I61="","",$I61+280)</f>
        <v/>
      </c>
      <c r="K61" s="14" t="str">
        <f aca="false">IF(OR($I61="",$AE61&lt;&gt;""),"",INT((Boshqaruv!$C$12-$I61)/7))</f>
        <v/>
      </c>
      <c r="L61" s="14" t="str">
        <f aca="false">IF(OR($C61="",$H61=""),"",INT(($H61-$C61)/365.25))</f>
        <v/>
      </c>
      <c r="M61" s="14" t="str">
        <f aca="false">IF($L61="","",IF($L61&lt;18,"Ha","Yo'q"))</f>
        <v/>
      </c>
      <c r="N61" s="25"/>
      <c r="O61" s="25"/>
      <c r="P61" s="25"/>
      <c r="Q61" s="12"/>
      <c r="R61" s="25"/>
      <c r="S61" s="12"/>
      <c r="T61" s="13"/>
      <c r="U61" s="12"/>
      <c r="V61" s="25"/>
      <c r="W61" s="25"/>
      <c r="X61" s="14" t="str">
        <f aca="false">IF(OR($V61="",$W61=""),"",IF(AND($V61&gt;=Spravochnik!$H$5,$W61&gt;=Spravochnik!$H$6),"Ha","Yo'q"))</f>
        <v/>
      </c>
      <c r="Y61" s="13"/>
      <c r="Z61" s="13"/>
      <c r="AA61" s="13"/>
      <c r="AB61" s="13"/>
      <c r="AC61" s="14" t="str">
        <f aca="false">IF(AND($B61&lt;&gt;"",$AE61="",$AB61&lt;&gt;"",$AB61&lt;Boshqaruv!$C$12),"Ha","")</f>
        <v/>
      </c>
      <c r="AD61" s="25"/>
      <c r="AE61" s="13"/>
      <c r="AF61" s="12"/>
      <c r="AG61" s="14" t="str">
        <f aca="false">IF(OR($B61="",$C61="",$H61=""),"",IF(COUNTIFS($B$5:$B$804,$B61,$C$5:$C$804,$C61,$H$5:$H$804,$H61)&gt;1,"Takror",""))</f>
        <v/>
      </c>
      <c r="AH61" s="28" t="str">
        <f aca="false">IF(AND($B61&lt;&gt;"",$N61="Ha",$H61&lt;&gt;"",$H61&lt;=Boshqaruv!$C$12,OR($AE61="",$AE61&gt;Boshqaruv!$C$12)),MAX($AH$4:$AH60)+1,"")</f>
        <v/>
      </c>
    </row>
    <row r="62" customFormat="false" ht="15" hidden="false" customHeight="false" outlineLevel="0" collapsed="false">
      <c r="A62" s="20" t="n">
        <v>58</v>
      </c>
      <c r="B62" s="12"/>
      <c r="C62" s="13"/>
      <c r="D62" s="24"/>
      <c r="E62" s="12"/>
      <c r="F62" s="25"/>
      <c r="G62" s="27" t="str">
        <f aca="false">IF(OR($B62="",$C62=""),"",$B62&amp;" ("&amp;DAY($C62)&amp;"."&amp;MONTH($C62)&amp;"."&amp;YEAR($C62)&amp;")")</f>
        <v/>
      </c>
      <c r="H62" s="13"/>
      <c r="I62" s="13"/>
      <c r="J62" s="15" t="str">
        <f aca="false">IF($I62="","",$I62+280)</f>
        <v/>
      </c>
      <c r="K62" s="14" t="str">
        <f aca="false">IF(OR($I62="",$AE62&lt;&gt;""),"",INT((Boshqaruv!$C$12-$I62)/7))</f>
        <v/>
      </c>
      <c r="L62" s="14" t="str">
        <f aca="false">IF(OR($C62="",$H62=""),"",INT(($H62-$C62)/365.25))</f>
        <v/>
      </c>
      <c r="M62" s="14" t="str">
        <f aca="false">IF($L62="","",IF($L62&lt;18,"Ha","Yo'q"))</f>
        <v/>
      </c>
      <c r="N62" s="25"/>
      <c r="O62" s="25"/>
      <c r="P62" s="25"/>
      <c r="Q62" s="12"/>
      <c r="R62" s="25"/>
      <c r="S62" s="12"/>
      <c r="T62" s="13"/>
      <c r="U62" s="12"/>
      <c r="V62" s="25"/>
      <c r="W62" s="25"/>
      <c r="X62" s="14" t="str">
        <f aca="false">IF(OR($V62="",$W62=""),"",IF(AND($V62&gt;=Spravochnik!$H$5,$W62&gt;=Spravochnik!$H$6),"Ha","Yo'q"))</f>
        <v/>
      </c>
      <c r="Y62" s="13"/>
      <c r="Z62" s="13"/>
      <c r="AA62" s="13"/>
      <c r="AB62" s="13"/>
      <c r="AC62" s="14" t="str">
        <f aca="false">IF(AND($B62&lt;&gt;"",$AE62="",$AB62&lt;&gt;"",$AB62&lt;Boshqaruv!$C$12),"Ha","")</f>
        <v/>
      </c>
      <c r="AD62" s="25"/>
      <c r="AE62" s="13"/>
      <c r="AF62" s="12"/>
      <c r="AG62" s="14" t="str">
        <f aca="false">IF(OR($B62="",$C62="",$H62=""),"",IF(COUNTIFS($B$5:$B$804,$B62,$C$5:$C$804,$C62,$H$5:$H$804,$H62)&gt;1,"Takror",""))</f>
        <v/>
      </c>
      <c r="AH62" s="28" t="str">
        <f aca="false">IF(AND($B62&lt;&gt;"",$N62="Ha",$H62&lt;&gt;"",$H62&lt;=Boshqaruv!$C$12,OR($AE62="",$AE62&gt;Boshqaruv!$C$12)),MAX($AH$4:$AH61)+1,"")</f>
        <v/>
      </c>
    </row>
    <row r="63" customFormat="false" ht="15" hidden="false" customHeight="false" outlineLevel="0" collapsed="false">
      <c r="A63" s="20" t="n">
        <v>59</v>
      </c>
      <c r="B63" s="12"/>
      <c r="C63" s="13"/>
      <c r="D63" s="24"/>
      <c r="E63" s="12"/>
      <c r="F63" s="25"/>
      <c r="G63" s="27" t="str">
        <f aca="false">IF(OR($B63="",$C63=""),"",$B63&amp;" ("&amp;DAY($C63)&amp;"."&amp;MONTH($C63)&amp;"."&amp;YEAR($C63)&amp;")")</f>
        <v/>
      </c>
      <c r="H63" s="13"/>
      <c r="I63" s="13"/>
      <c r="J63" s="15" t="str">
        <f aca="false">IF($I63="","",$I63+280)</f>
        <v/>
      </c>
      <c r="K63" s="14" t="str">
        <f aca="false">IF(OR($I63="",$AE63&lt;&gt;""),"",INT((Boshqaruv!$C$12-$I63)/7))</f>
        <v/>
      </c>
      <c r="L63" s="14" t="str">
        <f aca="false">IF(OR($C63="",$H63=""),"",INT(($H63-$C63)/365.25))</f>
        <v/>
      </c>
      <c r="M63" s="14" t="str">
        <f aca="false">IF($L63="","",IF($L63&lt;18,"Ha","Yo'q"))</f>
        <v/>
      </c>
      <c r="N63" s="25"/>
      <c r="O63" s="25"/>
      <c r="P63" s="25"/>
      <c r="Q63" s="12"/>
      <c r="R63" s="25"/>
      <c r="S63" s="12"/>
      <c r="T63" s="13"/>
      <c r="U63" s="12"/>
      <c r="V63" s="25"/>
      <c r="W63" s="25"/>
      <c r="X63" s="14" t="str">
        <f aca="false">IF(OR($V63="",$W63=""),"",IF(AND($V63&gt;=Spravochnik!$H$5,$W63&gt;=Spravochnik!$H$6),"Ha","Yo'q"))</f>
        <v/>
      </c>
      <c r="Y63" s="13"/>
      <c r="Z63" s="13"/>
      <c r="AA63" s="13"/>
      <c r="AB63" s="13"/>
      <c r="AC63" s="14" t="str">
        <f aca="false">IF(AND($B63&lt;&gt;"",$AE63="",$AB63&lt;&gt;"",$AB63&lt;Boshqaruv!$C$12),"Ha","")</f>
        <v/>
      </c>
      <c r="AD63" s="25"/>
      <c r="AE63" s="13"/>
      <c r="AF63" s="12"/>
      <c r="AG63" s="14" t="str">
        <f aca="false">IF(OR($B63="",$C63="",$H63=""),"",IF(COUNTIFS($B$5:$B$804,$B63,$C$5:$C$804,$C63,$H$5:$H$804,$H63)&gt;1,"Takror",""))</f>
        <v/>
      </c>
      <c r="AH63" s="28" t="str">
        <f aca="false">IF(AND($B63&lt;&gt;"",$N63="Ha",$H63&lt;&gt;"",$H63&lt;=Boshqaruv!$C$12,OR($AE63="",$AE63&gt;Boshqaruv!$C$12)),MAX($AH$4:$AH62)+1,"")</f>
        <v/>
      </c>
    </row>
    <row r="64" customFormat="false" ht="15" hidden="false" customHeight="false" outlineLevel="0" collapsed="false">
      <c r="A64" s="20" t="n">
        <v>60</v>
      </c>
      <c r="B64" s="12"/>
      <c r="C64" s="13"/>
      <c r="D64" s="24"/>
      <c r="E64" s="12"/>
      <c r="F64" s="25"/>
      <c r="G64" s="27" t="str">
        <f aca="false">IF(OR($B64="",$C64=""),"",$B64&amp;" ("&amp;DAY($C64)&amp;"."&amp;MONTH($C64)&amp;"."&amp;YEAR($C64)&amp;")")</f>
        <v/>
      </c>
      <c r="H64" s="13"/>
      <c r="I64" s="13"/>
      <c r="J64" s="15" t="str">
        <f aca="false">IF($I64="","",$I64+280)</f>
        <v/>
      </c>
      <c r="K64" s="14" t="str">
        <f aca="false">IF(OR($I64="",$AE64&lt;&gt;""),"",INT((Boshqaruv!$C$12-$I64)/7))</f>
        <v/>
      </c>
      <c r="L64" s="14" t="str">
        <f aca="false">IF(OR($C64="",$H64=""),"",INT(($H64-$C64)/365.25))</f>
        <v/>
      </c>
      <c r="M64" s="14" t="str">
        <f aca="false">IF($L64="","",IF($L64&lt;18,"Ha","Yo'q"))</f>
        <v/>
      </c>
      <c r="N64" s="25"/>
      <c r="O64" s="25"/>
      <c r="P64" s="25"/>
      <c r="Q64" s="12"/>
      <c r="R64" s="25"/>
      <c r="S64" s="12"/>
      <c r="T64" s="13"/>
      <c r="U64" s="12"/>
      <c r="V64" s="25"/>
      <c r="W64" s="25"/>
      <c r="X64" s="14" t="str">
        <f aca="false">IF(OR($V64="",$W64=""),"",IF(AND($V64&gt;=Spravochnik!$H$5,$W64&gt;=Spravochnik!$H$6),"Ha","Yo'q"))</f>
        <v/>
      </c>
      <c r="Y64" s="13"/>
      <c r="Z64" s="13"/>
      <c r="AA64" s="13"/>
      <c r="AB64" s="13"/>
      <c r="AC64" s="14" t="str">
        <f aca="false">IF(AND($B64&lt;&gt;"",$AE64="",$AB64&lt;&gt;"",$AB64&lt;Boshqaruv!$C$12),"Ha","")</f>
        <v/>
      </c>
      <c r="AD64" s="25"/>
      <c r="AE64" s="13"/>
      <c r="AF64" s="12"/>
      <c r="AG64" s="14" t="str">
        <f aca="false">IF(OR($B64="",$C64="",$H64=""),"",IF(COUNTIFS($B$5:$B$804,$B64,$C$5:$C$804,$C64,$H$5:$H$804,$H64)&gt;1,"Takror",""))</f>
        <v/>
      </c>
      <c r="AH64" s="28" t="str">
        <f aca="false">IF(AND($B64&lt;&gt;"",$N64="Ha",$H64&lt;&gt;"",$H64&lt;=Boshqaruv!$C$12,OR($AE64="",$AE64&gt;Boshqaruv!$C$12)),MAX($AH$4:$AH63)+1,"")</f>
        <v/>
      </c>
    </row>
    <row r="65" customFormat="false" ht="15" hidden="false" customHeight="false" outlineLevel="0" collapsed="false">
      <c r="A65" s="20" t="n">
        <v>61</v>
      </c>
      <c r="B65" s="12"/>
      <c r="C65" s="13"/>
      <c r="D65" s="24"/>
      <c r="E65" s="12"/>
      <c r="F65" s="25"/>
      <c r="G65" s="27" t="str">
        <f aca="false">IF(OR($B65="",$C65=""),"",$B65&amp;" ("&amp;DAY($C65)&amp;"."&amp;MONTH($C65)&amp;"."&amp;YEAR($C65)&amp;")")</f>
        <v/>
      </c>
      <c r="H65" s="13"/>
      <c r="I65" s="13"/>
      <c r="J65" s="15" t="str">
        <f aca="false">IF($I65="","",$I65+280)</f>
        <v/>
      </c>
      <c r="K65" s="14" t="str">
        <f aca="false">IF(OR($I65="",$AE65&lt;&gt;""),"",INT((Boshqaruv!$C$12-$I65)/7))</f>
        <v/>
      </c>
      <c r="L65" s="14" t="str">
        <f aca="false">IF(OR($C65="",$H65=""),"",INT(($H65-$C65)/365.25))</f>
        <v/>
      </c>
      <c r="M65" s="14" t="str">
        <f aca="false">IF($L65="","",IF($L65&lt;18,"Ha","Yo'q"))</f>
        <v/>
      </c>
      <c r="N65" s="25"/>
      <c r="O65" s="25"/>
      <c r="P65" s="25"/>
      <c r="Q65" s="12"/>
      <c r="R65" s="25"/>
      <c r="S65" s="12"/>
      <c r="T65" s="13"/>
      <c r="U65" s="12"/>
      <c r="V65" s="25"/>
      <c r="W65" s="25"/>
      <c r="X65" s="14" t="str">
        <f aca="false">IF(OR($V65="",$W65=""),"",IF(AND($V65&gt;=Spravochnik!$H$5,$W65&gt;=Spravochnik!$H$6),"Ha","Yo'q"))</f>
        <v/>
      </c>
      <c r="Y65" s="13"/>
      <c r="Z65" s="13"/>
      <c r="AA65" s="13"/>
      <c r="AB65" s="13"/>
      <c r="AC65" s="14" t="str">
        <f aca="false">IF(AND($B65&lt;&gt;"",$AE65="",$AB65&lt;&gt;"",$AB65&lt;Boshqaruv!$C$12),"Ha","")</f>
        <v/>
      </c>
      <c r="AD65" s="25"/>
      <c r="AE65" s="13"/>
      <c r="AF65" s="12"/>
      <c r="AG65" s="14" t="str">
        <f aca="false">IF(OR($B65="",$C65="",$H65=""),"",IF(COUNTIFS($B$5:$B$804,$B65,$C$5:$C$804,$C65,$H$5:$H$804,$H65)&gt;1,"Takror",""))</f>
        <v/>
      </c>
      <c r="AH65" s="28" t="str">
        <f aca="false">IF(AND($B65&lt;&gt;"",$N65="Ha",$H65&lt;&gt;"",$H65&lt;=Boshqaruv!$C$12,OR($AE65="",$AE65&gt;Boshqaruv!$C$12)),MAX($AH$4:$AH64)+1,"")</f>
        <v/>
      </c>
    </row>
    <row r="66" customFormat="false" ht="15" hidden="false" customHeight="false" outlineLevel="0" collapsed="false">
      <c r="A66" s="20" t="n">
        <v>62</v>
      </c>
      <c r="B66" s="12"/>
      <c r="C66" s="13"/>
      <c r="D66" s="24"/>
      <c r="E66" s="12"/>
      <c r="F66" s="25"/>
      <c r="G66" s="27" t="str">
        <f aca="false">IF(OR($B66="",$C66=""),"",$B66&amp;" ("&amp;DAY($C66)&amp;"."&amp;MONTH($C66)&amp;"."&amp;YEAR($C66)&amp;")")</f>
        <v/>
      </c>
      <c r="H66" s="13"/>
      <c r="I66" s="13"/>
      <c r="J66" s="15" t="str">
        <f aca="false">IF($I66="","",$I66+280)</f>
        <v/>
      </c>
      <c r="K66" s="14" t="str">
        <f aca="false">IF(OR($I66="",$AE66&lt;&gt;""),"",INT((Boshqaruv!$C$12-$I66)/7))</f>
        <v/>
      </c>
      <c r="L66" s="14" t="str">
        <f aca="false">IF(OR($C66="",$H66=""),"",INT(($H66-$C66)/365.25))</f>
        <v/>
      </c>
      <c r="M66" s="14" t="str">
        <f aca="false">IF($L66="","",IF($L66&lt;18,"Ha","Yo'q"))</f>
        <v/>
      </c>
      <c r="N66" s="25"/>
      <c r="O66" s="25"/>
      <c r="P66" s="25"/>
      <c r="Q66" s="12"/>
      <c r="R66" s="25"/>
      <c r="S66" s="12"/>
      <c r="T66" s="13"/>
      <c r="U66" s="12"/>
      <c r="V66" s="25"/>
      <c r="W66" s="25"/>
      <c r="X66" s="14" t="str">
        <f aca="false">IF(OR($V66="",$W66=""),"",IF(AND($V66&gt;=Spravochnik!$H$5,$W66&gt;=Spravochnik!$H$6),"Ha","Yo'q"))</f>
        <v/>
      </c>
      <c r="Y66" s="13"/>
      <c r="Z66" s="13"/>
      <c r="AA66" s="13"/>
      <c r="AB66" s="13"/>
      <c r="AC66" s="14" t="str">
        <f aca="false">IF(AND($B66&lt;&gt;"",$AE66="",$AB66&lt;&gt;"",$AB66&lt;Boshqaruv!$C$12),"Ha","")</f>
        <v/>
      </c>
      <c r="AD66" s="25"/>
      <c r="AE66" s="13"/>
      <c r="AF66" s="12"/>
      <c r="AG66" s="14" t="str">
        <f aca="false">IF(OR($B66="",$C66="",$H66=""),"",IF(COUNTIFS($B$5:$B$804,$B66,$C$5:$C$804,$C66,$H$5:$H$804,$H66)&gt;1,"Takror",""))</f>
        <v/>
      </c>
      <c r="AH66" s="28" t="str">
        <f aca="false">IF(AND($B66&lt;&gt;"",$N66="Ha",$H66&lt;&gt;"",$H66&lt;=Boshqaruv!$C$12,OR($AE66="",$AE66&gt;Boshqaruv!$C$12)),MAX($AH$4:$AH65)+1,"")</f>
        <v/>
      </c>
    </row>
    <row r="67" customFormat="false" ht="15" hidden="false" customHeight="false" outlineLevel="0" collapsed="false">
      <c r="A67" s="20" t="n">
        <v>63</v>
      </c>
      <c r="B67" s="12"/>
      <c r="C67" s="13"/>
      <c r="D67" s="24"/>
      <c r="E67" s="12"/>
      <c r="F67" s="25"/>
      <c r="G67" s="27" t="str">
        <f aca="false">IF(OR($B67="",$C67=""),"",$B67&amp;" ("&amp;DAY($C67)&amp;"."&amp;MONTH($C67)&amp;"."&amp;YEAR($C67)&amp;")")</f>
        <v/>
      </c>
      <c r="H67" s="13"/>
      <c r="I67" s="13"/>
      <c r="J67" s="15" t="str">
        <f aca="false">IF($I67="","",$I67+280)</f>
        <v/>
      </c>
      <c r="K67" s="14" t="str">
        <f aca="false">IF(OR($I67="",$AE67&lt;&gt;""),"",INT((Boshqaruv!$C$12-$I67)/7))</f>
        <v/>
      </c>
      <c r="L67" s="14" t="str">
        <f aca="false">IF(OR($C67="",$H67=""),"",INT(($H67-$C67)/365.25))</f>
        <v/>
      </c>
      <c r="M67" s="14" t="str">
        <f aca="false">IF($L67="","",IF($L67&lt;18,"Ha","Yo'q"))</f>
        <v/>
      </c>
      <c r="N67" s="25"/>
      <c r="O67" s="25"/>
      <c r="P67" s="25"/>
      <c r="Q67" s="12"/>
      <c r="R67" s="25"/>
      <c r="S67" s="12"/>
      <c r="T67" s="13"/>
      <c r="U67" s="12"/>
      <c r="V67" s="25"/>
      <c r="W67" s="25"/>
      <c r="X67" s="14" t="str">
        <f aca="false">IF(OR($V67="",$W67=""),"",IF(AND($V67&gt;=Spravochnik!$H$5,$W67&gt;=Spravochnik!$H$6),"Ha","Yo'q"))</f>
        <v/>
      </c>
      <c r="Y67" s="13"/>
      <c r="Z67" s="13"/>
      <c r="AA67" s="13"/>
      <c r="AB67" s="13"/>
      <c r="AC67" s="14" t="str">
        <f aca="false">IF(AND($B67&lt;&gt;"",$AE67="",$AB67&lt;&gt;"",$AB67&lt;Boshqaruv!$C$12),"Ha","")</f>
        <v/>
      </c>
      <c r="AD67" s="25"/>
      <c r="AE67" s="13"/>
      <c r="AF67" s="12"/>
      <c r="AG67" s="14" t="str">
        <f aca="false">IF(OR($B67="",$C67="",$H67=""),"",IF(COUNTIFS($B$5:$B$804,$B67,$C$5:$C$804,$C67,$H$5:$H$804,$H67)&gt;1,"Takror",""))</f>
        <v/>
      </c>
      <c r="AH67" s="28" t="str">
        <f aca="false">IF(AND($B67&lt;&gt;"",$N67="Ha",$H67&lt;&gt;"",$H67&lt;=Boshqaruv!$C$12,OR($AE67="",$AE67&gt;Boshqaruv!$C$12)),MAX($AH$4:$AH66)+1,"")</f>
        <v/>
      </c>
    </row>
    <row r="68" customFormat="false" ht="15" hidden="false" customHeight="false" outlineLevel="0" collapsed="false">
      <c r="A68" s="20" t="n">
        <v>64</v>
      </c>
      <c r="B68" s="12"/>
      <c r="C68" s="13"/>
      <c r="D68" s="24"/>
      <c r="E68" s="12"/>
      <c r="F68" s="25"/>
      <c r="G68" s="27" t="str">
        <f aca="false">IF(OR($B68="",$C68=""),"",$B68&amp;" ("&amp;DAY($C68)&amp;"."&amp;MONTH($C68)&amp;"."&amp;YEAR($C68)&amp;")")</f>
        <v/>
      </c>
      <c r="H68" s="13"/>
      <c r="I68" s="13"/>
      <c r="J68" s="15" t="str">
        <f aca="false">IF($I68="","",$I68+280)</f>
        <v/>
      </c>
      <c r="K68" s="14" t="str">
        <f aca="false">IF(OR($I68="",$AE68&lt;&gt;""),"",INT((Boshqaruv!$C$12-$I68)/7))</f>
        <v/>
      </c>
      <c r="L68" s="14" t="str">
        <f aca="false">IF(OR($C68="",$H68=""),"",INT(($H68-$C68)/365.25))</f>
        <v/>
      </c>
      <c r="M68" s="14" t="str">
        <f aca="false">IF($L68="","",IF($L68&lt;18,"Ha","Yo'q"))</f>
        <v/>
      </c>
      <c r="N68" s="25"/>
      <c r="O68" s="25"/>
      <c r="P68" s="25"/>
      <c r="Q68" s="12"/>
      <c r="R68" s="25"/>
      <c r="S68" s="12"/>
      <c r="T68" s="13"/>
      <c r="U68" s="12"/>
      <c r="V68" s="25"/>
      <c r="W68" s="25"/>
      <c r="X68" s="14" t="str">
        <f aca="false">IF(OR($V68="",$W68=""),"",IF(AND($V68&gt;=Spravochnik!$H$5,$W68&gt;=Spravochnik!$H$6),"Ha","Yo'q"))</f>
        <v/>
      </c>
      <c r="Y68" s="13"/>
      <c r="Z68" s="13"/>
      <c r="AA68" s="13"/>
      <c r="AB68" s="13"/>
      <c r="AC68" s="14" t="str">
        <f aca="false">IF(AND($B68&lt;&gt;"",$AE68="",$AB68&lt;&gt;"",$AB68&lt;Boshqaruv!$C$12),"Ha","")</f>
        <v/>
      </c>
      <c r="AD68" s="25"/>
      <c r="AE68" s="13"/>
      <c r="AF68" s="12"/>
      <c r="AG68" s="14" t="str">
        <f aca="false">IF(OR($B68="",$C68="",$H68=""),"",IF(COUNTIFS($B$5:$B$804,$B68,$C$5:$C$804,$C68,$H$5:$H$804,$H68)&gt;1,"Takror",""))</f>
        <v/>
      </c>
      <c r="AH68" s="28" t="str">
        <f aca="false">IF(AND($B68&lt;&gt;"",$N68="Ha",$H68&lt;&gt;"",$H68&lt;=Boshqaruv!$C$12,OR($AE68="",$AE68&gt;Boshqaruv!$C$12)),MAX($AH$4:$AH67)+1,"")</f>
        <v/>
      </c>
    </row>
    <row r="69" customFormat="false" ht="15" hidden="false" customHeight="false" outlineLevel="0" collapsed="false">
      <c r="A69" s="20" t="n">
        <v>65</v>
      </c>
      <c r="B69" s="12"/>
      <c r="C69" s="13"/>
      <c r="D69" s="24"/>
      <c r="E69" s="12"/>
      <c r="F69" s="25"/>
      <c r="G69" s="27" t="str">
        <f aca="false">IF(OR($B69="",$C69=""),"",$B69&amp;" ("&amp;DAY($C69)&amp;"."&amp;MONTH($C69)&amp;"."&amp;YEAR($C69)&amp;")")</f>
        <v/>
      </c>
      <c r="H69" s="13"/>
      <c r="I69" s="13"/>
      <c r="J69" s="15" t="str">
        <f aca="false">IF($I69="","",$I69+280)</f>
        <v/>
      </c>
      <c r="K69" s="14" t="str">
        <f aca="false">IF(OR($I69="",$AE69&lt;&gt;""),"",INT((Boshqaruv!$C$12-$I69)/7))</f>
        <v/>
      </c>
      <c r="L69" s="14" t="str">
        <f aca="false">IF(OR($C69="",$H69=""),"",INT(($H69-$C69)/365.25))</f>
        <v/>
      </c>
      <c r="M69" s="14" t="str">
        <f aca="false">IF($L69="","",IF($L69&lt;18,"Ha","Yo'q"))</f>
        <v/>
      </c>
      <c r="N69" s="25"/>
      <c r="O69" s="25"/>
      <c r="P69" s="25"/>
      <c r="Q69" s="12"/>
      <c r="R69" s="25"/>
      <c r="S69" s="12"/>
      <c r="T69" s="13"/>
      <c r="U69" s="12"/>
      <c r="V69" s="25"/>
      <c r="W69" s="25"/>
      <c r="X69" s="14" t="str">
        <f aca="false">IF(OR($V69="",$W69=""),"",IF(AND($V69&gt;=Spravochnik!$H$5,$W69&gt;=Spravochnik!$H$6),"Ha","Yo'q"))</f>
        <v/>
      </c>
      <c r="Y69" s="13"/>
      <c r="Z69" s="13"/>
      <c r="AA69" s="13"/>
      <c r="AB69" s="13"/>
      <c r="AC69" s="14" t="str">
        <f aca="false">IF(AND($B69&lt;&gt;"",$AE69="",$AB69&lt;&gt;"",$AB69&lt;Boshqaruv!$C$12),"Ha","")</f>
        <v/>
      </c>
      <c r="AD69" s="25"/>
      <c r="AE69" s="13"/>
      <c r="AF69" s="12"/>
      <c r="AG69" s="14" t="str">
        <f aca="false">IF(OR($B69="",$C69="",$H69=""),"",IF(COUNTIFS($B$5:$B$804,$B69,$C$5:$C$804,$C69,$H$5:$H$804,$H69)&gt;1,"Takror",""))</f>
        <v/>
      </c>
      <c r="AH69" s="28" t="str">
        <f aca="false">IF(AND($B69&lt;&gt;"",$N69="Ha",$H69&lt;&gt;"",$H69&lt;=Boshqaruv!$C$12,OR($AE69="",$AE69&gt;Boshqaruv!$C$12)),MAX($AH$4:$AH68)+1,"")</f>
        <v/>
      </c>
    </row>
    <row r="70" customFormat="false" ht="15" hidden="false" customHeight="false" outlineLevel="0" collapsed="false">
      <c r="A70" s="20" t="n">
        <v>66</v>
      </c>
      <c r="B70" s="12"/>
      <c r="C70" s="13"/>
      <c r="D70" s="24"/>
      <c r="E70" s="12"/>
      <c r="F70" s="25"/>
      <c r="G70" s="27" t="str">
        <f aca="false">IF(OR($B70="",$C70=""),"",$B70&amp;" ("&amp;DAY($C70)&amp;"."&amp;MONTH($C70)&amp;"."&amp;YEAR($C70)&amp;")")</f>
        <v/>
      </c>
      <c r="H70" s="13"/>
      <c r="I70" s="13"/>
      <c r="J70" s="15" t="str">
        <f aca="false">IF($I70="","",$I70+280)</f>
        <v/>
      </c>
      <c r="K70" s="14" t="str">
        <f aca="false">IF(OR($I70="",$AE70&lt;&gt;""),"",INT((Boshqaruv!$C$12-$I70)/7))</f>
        <v/>
      </c>
      <c r="L70" s="14" t="str">
        <f aca="false">IF(OR($C70="",$H70=""),"",INT(($H70-$C70)/365.25))</f>
        <v/>
      </c>
      <c r="M70" s="14" t="str">
        <f aca="false">IF($L70="","",IF($L70&lt;18,"Ha","Yo'q"))</f>
        <v/>
      </c>
      <c r="N70" s="25"/>
      <c r="O70" s="25"/>
      <c r="P70" s="25"/>
      <c r="Q70" s="12"/>
      <c r="R70" s="25"/>
      <c r="S70" s="12"/>
      <c r="T70" s="13"/>
      <c r="U70" s="12"/>
      <c r="V70" s="25"/>
      <c r="W70" s="25"/>
      <c r="X70" s="14" t="str">
        <f aca="false">IF(OR($V70="",$W70=""),"",IF(AND($V70&gt;=Spravochnik!$H$5,$W70&gt;=Spravochnik!$H$6),"Ha","Yo'q"))</f>
        <v/>
      </c>
      <c r="Y70" s="13"/>
      <c r="Z70" s="13"/>
      <c r="AA70" s="13"/>
      <c r="AB70" s="13"/>
      <c r="AC70" s="14" t="str">
        <f aca="false">IF(AND($B70&lt;&gt;"",$AE70="",$AB70&lt;&gt;"",$AB70&lt;Boshqaruv!$C$12),"Ha","")</f>
        <v/>
      </c>
      <c r="AD70" s="25"/>
      <c r="AE70" s="13"/>
      <c r="AF70" s="12"/>
      <c r="AG70" s="14" t="str">
        <f aca="false">IF(OR($B70="",$C70="",$H70=""),"",IF(COUNTIFS($B$5:$B$804,$B70,$C$5:$C$804,$C70,$H$5:$H$804,$H70)&gt;1,"Takror",""))</f>
        <v/>
      </c>
      <c r="AH70" s="28" t="str">
        <f aca="false">IF(AND($B70&lt;&gt;"",$N70="Ha",$H70&lt;&gt;"",$H70&lt;=Boshqaruv!$C$12,OR($AE70="",$AE70&gt;Boshqaruv!$C$12)),MAX($AH$4:$AH69)+1,"")</f>
        <v/>
      </c>
    </row>
    <row r="71" customFormat="false" ht="15" hidden="false" customHeight="false" outlineLevel="0" collapsed="false">
      <c r="A71" s="20" t="n">
        <v>67</v>
      </c>
      <c r="B71" s="12"/>
      <c r="C71" s="13"/>
      <c r="D71" s="24"/>
      <c r="E71" s="12"/>
      <c r="F71" s="25"/>
      <c r="G71" s="27" t="str">
        <f aca="false">IF(OR($B71="",$C71=""),"",$B71&amp;" ("&amp;DAY($C71)&amp;"."&amp;MONTH($C71)&amp;"."&amp;YEAR($C71)&amp;")")</f>
        <v/>
      </c>
      <c r="H71" s="13"/>
      <c r="I71" s="13"/>
      <c r="J71" s="15" t="str">
        <f aca="false">IF($I71="","",$I71+280)</f>
        <v/>
      </c>
      <c r="K71" s="14" t="str">
        <f aca="false">IF(OR($I71="",$AE71&lt;&gt;""),"",INT((Boshqaruv!$C$12-$I71)/7))</f>
        <v/>
      </c>
      <c r="L71" s="14" t="str">
        <f aca="false">IF(OR($C71="",$H71=""),"",INT(($H71-$C71)/365.25))</f>
        <v/>
      </c>
      <c r="M71" s="14" t="str">
        <f aca="false">IF($L71="","",IF($L71&lt;18,"Ha","Yo'q"))</f>
        <v/>
      </c>
      <c r="N71" s="25"/>
      <c r="O71" s="25"/>
      <c r="P71" s="25"/>
      <c r="Q71" s="12"/>
      <c r="R71" s="25"/>
      <c r="S71" s="12"/>
      <c r="T71" s="13"/>
      <c r="U71" s="12"/>
      <c r="V71" s="25"/>
      <c r="W71" s="25"/>
      <c r="X71" s="14" t="str">
        <f aca="false">IF(OR($V71="",$W71=""),"",IF(AND($V71&gt;=Spravochnik!$H$5,$W71&gt;=Spravochnik!$H$6),"Ha","Yo'q"))</f>
        <v/>
      </c>
      <c r="Y71" s="13"/>
      <c r="Z71" s="13"/>
      <c r="AA71" s="13"/>
      <c r="AB71" s="13"/>
      <c r="AC71" s="14" t="str">
        <f aca="false">IF(AND($B71&lt;&gt;"",$AE71="",$AB71&lt;&gt;"",$AB71&lt;Boshqaruv!$C$12),"Ha","")</f>
        <v/>
      </c>
      <c r="AD71" s="25"/>
      <c r="AE71" s="13"/>
      <c r="AF71" s="12"/>
      <c r="AG71" s="14" t="str">
        <f aca="false">IF(OR($B71="",$C71="",$H71=""),"",IF(COUNTIFS($B$5:$B$804,$B71,$C$5:$C$804,$C71,$H$5:$H$804,$H71)&gt;1,"Takror",""))</f>
        <v/>
      </c>
      <c r="AH71" s="28" t="str">
        <f aca="false">IF(AND($B71&lt;&gt;"",$N71="Ha",$H71&lt;&gt;"",$H71&lt;=Boshqaruv!$C$12,OR($AE71="",$AE71&gt;Boshqaruv!$C$12)),MAX($AH$4:$AH70)+1,"")</f>
        <v/>
      </c>
    </row>
    <row r="72" customFormat="false" ht="15" hidden="false" customHeight="false" outlineLevel="0" collapsed="false">
      <c r="A72" s="20" t="n">
        <v>68</v>
      </c>
      <c r="B72" s="12"/>
      <c r="C72" s="13"/>
      <c r="D72" s="24"/>
      <c r="E72" s="12"/>
      <c r="F72" s="25"/>
      <c r="G72" s="27" t="str">
        <f aca="false">IF(OR($B72="",$C72=""),"",$B72&amp;" ("&amp;DAY($C72)&amp;"."&amp;MONTH($C72)&amp;"."&amp;YEAR($C72)&amp;")")</f>
        <v/>
      </c>
      <c r="H72" s="13"/>
      <c r="I72" s="13"/>
      <c r="J72" s="15" t="str">
        <f aca="false">IF($I72="","",$I72+280)</f>
        <v/>
      </c>
      <c r="K72" s="14" t="str">
        <f aca="false">IF(OR($I72="",$AE72&lt;&gt;""),"",INT((Boshqaruv!$C$12-$I72)/7))</f>
        <v/>
      </c>
      <c r="L72" s="14" t="str">
        <f aca="false">IF(OR($C72="",$H72=""),"",INT(($H72-$C72)/365.25))</f>
        <v/>
      </c>
      <c r="M72" s="14" t="str">
        <f aca="false">IF($L72="","",IF($L72&lt;18,"Ha","Yo'q"))</f>
        <v/>
      </c>
      <c r="N72" s="25"/>
      <c r="O72" s="25"/>
      <c r="P72" s="25"/>
      <c r="Q72" s="12"/>
      <c r="R72" s="25"/>
      <c r="S72" s="12"/>
      <c r="T72" s="13"/>
      <c r="U72" s="12"/>
      <c r="V72" s="25"/>
      <c r="W72" s="25"/>
      <c r="X72" s="14" t="str">
        <f aca="false">IF(OR($V72="",$W72=""),"",IF(AND($V72&gt;=Spravochnik!$H$5,$W72&gt;=Spravochnik!$H$6),"Ha","Yo'q"))</f>
        <v/>
      </c>
      <c r="Y72" s="13"/>
      <c r="Z72" s="13"/>
      <c r="AA72" s="13"/>
      <c r="AB72" s="13"/>
      <c r="AC72" s="14" t="str">
        <f aca="false">IF(AND($B72&lt;&gt;"",$AE72="",$AB72&lt;&gt;"",$AB72&lt;Boshqaruv!$C$12),"Ha","")</f>
        <v/>
      </c>
      <c r="AD72" s="25"/>
      <c r="AE72" s="13"/>
      <c r="AF72" s="12"/>
      <c r="AG72" s="14" t="str">
        <f aca="false">IF(OR($B72="",$C72="",$H72=""),"",IF(COUNTIFS($B$5:$B$804,$B72,$C$5:$C$804,$C72,$H$5:$H$804,$H72)&gt;1,"Takror",""))</f>
        <v/>
      </c>
      <c r="AH72" s="28" t="str">
        <f aca="false">IF(AND($B72&lt;&gt;"",$N72="Ha",$H72&lt;&gt;"",$H72&lt;=Boshqaruv!$C$12,OR($AE72="",$AE72&gt;Boshqaruv!$C$12)),MAX($AH$4:$AH71)+1,"")</f>
        <v/>
      </c>
    </row>
    <row r="73" customFormat="false" ht="15" hidden="false" customHeight="false" outlineLevel="0" collapsed="false">
      <c r="A73" s="20" t="n">
        <v>69</v>
      </c>
      <c r="B73" s="12"/>
      <c r="C73" s="13"/>
      <c r="D73" s="24"/>
      <c r="E73" s="12"/>
      <c r="F73" s="25"/>
      <c r="G73" s="27" t="str">
        <f aca="false">IF(OR($B73="",$C73=""),"",$B73&amp;" ("&amp;DAY($C73)&amp;"."&amp;MONTH($C73)&amp;"."&amp;YEAR($C73)&amp;")")</f>
        <v/>
      </c>
      <c r="H73" s="13"/>
      <c r="I73" s="13"/>
      <c r="J73" s="15" t="str">
        <f aca="false">IF($I73="","",$I73+280)</f>
        <v/>
      </c>
      <c r="K73" s="14" t="str">
        <f aca="false">IF(OR($I73="",$AE73&lt;&gt;""),"",INT((Boshqaruv!$C$12-$I73)/7))</f>
        <v/>
      </c>
      <c r="L73" s="14" t="str">
        <f aca="false">IF(OR($C73="",$H73=""),"",INT(($H73-$C73)/365.25))</f>
        <v/>
      </c>
      <c r="M73" s="14" t="str">
        <f aca="false">IF($L73="","",IF($L73&lt;18,"Ha","Yo'q"))</f>
        <v/>
      </c>
      <c r="N73" s="25"/>
      <c r="O73" s="25"/>
      <c r="P73" s="25"/>
      <c r="Q73" s="12"/>
      <c r="R73" s="25"/>
      <c r="S73" s="12"/>
      <c r="T73" s="13"/>
      <c r="U73" s="12"/>
      <c r="V73" s="25"/>
      <c r="W73" s="25"/>
      <c r="X73" s="14" t="str">
        <f aca="false">IF(OR($V73="",$W73=""),"",IF(AND($V73&gt;=Spravochnik!$H$5,$W73&gt;=Spravochnik!$H$6),"Ha","Yo'q"))</f>
        <v/>
      </c>
      <c r="Y73" s="13"/>
      <c r="Z73" s="13"/>
      <c r="AA73" s="13"/>
      <c r="AB73" s="13"/>
      <c r="AC73" s="14" t="str">
        <f aca="false">IF(AND($B73&lt;&gt;"",$AE73="",$AB73&lt;&gt;"",$AB73&lt;Boshqaruv!$C$12),"Ha","")</f>
        <v/>
      </c>
      <c r="AD73" s="25"/>
      <c r="AE73" s="13"/>
      <c r="AF73" s="12"/>
      <c r="AG73" s="14" t="str">
        <f aca="false">IF(OR($B73="",$C73="",$H73=""),"",IF(COUNTIFS($B$5:$B$804,$B73,$C$5:$C$804,$C73,$H$5:$H$804,$H73)&gt;1,"Takror",""))</f>
        <v/>
      </c>
      <c r="AH73" s="28" t="str">
        <f aca="false">IF(AND($B73&lt;&gt;"",$N73="Ha",$H73&lt;&gt;"",$H73&lt;=Boshqaruv!$C$12,OR($AE73="",$AE73&gt;Boshqaruv!$C$12)),MAX($AH$4:$AH72)+1,"")</f>
        <v/>
      </c>
    </row>
    <row r="74" customFormat="false" ht="15" hidden="false" customHeight="false" outlineLevel="0" collapsed="false">
      <c r="A74" s="20" t="n">
        <v>70</v>
      </c>
      <c r="B74" s="12"/>
      <c r="C74" s="13"/>
      <c r="D74" s="24"/>
      <c r="E74" s="12"/>
      <c r="F74" s="25"/>
      <c r="G74" s="27" t="str">
        <f aca="false">IF(OR($B74="",$C74=""),"",$B74&amp;" ("&amp;DAY($C74)&amp;"."&amp;MONTH($C74)&amp;"."&amp;YEAR($C74)&amp;")")</f>
        <v/>
      </c>
      <c r="H74" s="13"/>
      <c r="I74" s="13"/>
      <c r="J74" s="15" t="str">
        <f aca="false">IF($I74="","",$I74+280)</f>
        <v/>
      </c>
      <c r="K74" s="14" t="str">
        <f aca="false">IF(OR($I74="",$AE74&lt;&gt;""),"",INT((Boshqaruv!$C$12-$I74)/7))</f>
        <v/>
      </c>
      <c r="L74" s="14" t="str">
        <f aca="false">IF(OR($C74="",$H74=""),"",INT(($H74-$C74)/365.25))</f>
        <v/>
      </c>
      <c r="M74" s="14" t="str">
        <f aca="false">IF($L74="","",IF($L74&lt;18,"Ha","Yo'q"))</f>
        <v/>
      </c>
      <c r="N74" s="25"/>
      <c r="O74" s="25"/>
      <c r="P74" s="25"/>
      <c r="Q74" s="12"/>
      <c r="R74" s="25"/>
      <c r="S74" s="12"/>
      <c r="T74" s="13"/>
      <c r="U74" s="12"/>
      <c r="V74" s="25"/>
      <c r="W74" s="25"/>
      <c r="X74" s="14" t="str">
        <f aca="false">IF(OR($V74="",$W74=""),"",IF(AND($V74&gt;=Spravochnik!$H$5,$W74&gt;=Spravochnik!$H$6),"Ha","Yo'q"))</f>
        <v/>
      </c>
      <c r="Y74" s="13"/>
      <c r="Z74" s="13"/>
      <c r="AA74" s="13"/>
      <c r="AB74" s="13"/>
      <c r="AC74" s="14" t="str">
        <f aca="false">IF(AND($B74&lt;&gt;"",$AE74="",$AB74&lt;&gt;"",$AB74&lt;Boshqaruv!$C$12),"Ha","")</f>
        <v/>
      </c>
      <c r="AD74" s="25"/>
      <c r="AE74" s="13"/>
      <c r="AF74" s="12"/>
      <c r="AG74" s="14" t="str">
        <f aca="false">IF(OR($B74="",$C74="",$H74=""),"",IF(COUNTIFS($B$5:$B$804,$B74,$C$5:$C$804,$C74,$H$5:$H$804,$H74)&gt;1,"Takror",""))</f>
        <v/>
      </c>
      <c r="AH74" s="28" t="str">
        <f aca="false">IF(AND($B74&lt;&gt;"",$N74="Ha",$H74&lt;&gt;"",$H74&lt;=Boshqaruv!$C$12,OR($AE74="",$AE74&gt;Boshqaruv!$C$12)),MAX($AH$4:$AH73)+1,"")</f>
        <v/>
      </c>
    </row>
    <row r="75" customFormat="false" ht="15" hidden="false" customHeight="false" outlineLevel="0" collapsed="false">
      <c r="A75" s="20" t="n">
        <v>71</v>
      </c>
      <c r="B75" s="12"/>
      <c r="C75" s="13"/>
      <c r="D75" s="24"/>
      <c r="E75" s="12"/>
      <c r="F75" s="25"/>
      <c r="G75" s="27" t="str">
        <f aca="false">IF(OR($B75="",$C75=""),"",$B75&amp;" ("&amp;DAY($C75)&amp;"."&amp;MONTH($C75)&amp;"."&amp;YEAR($C75)&amp;")")</f>
        <v/>
      </c>
      <c r="H75" s="13"/>
      <c r="I75" s="13"/>
      <c r="J75" s="15" t="str">
        <f aca="false">IF($I75="","",$I75+280)</f>
        <v/>
      </c>
      <c r="K75" s="14" t="str">
        <f aca="false">IF(OR($I75="",$AE75&lt;&gt;""),"",INT((Boshqaruv!$C$12-$I75)/7))</f>
        <v/>
      </c>
      <c r="L75" s="14" t="str">
        <f aca="false">IF(OR($C75="",$H75=""),"",INT(($H75-$C75)/365.25))</f>
        <v/>
      </c>
      <c r="M75" s="14" t="str">
        <f aca="false">IF($L75="","",IF($L75&lt;18,"Ha","Yo'q"))</f>
        <v/>
      </c>
      <c r="N75" s="25"/>
      <c r="O75" s="25"/>
      <c r="P75" s="25"/>
      <c r="Q75" s="12"/>
      <c r="R75" s="25"/>
      <c r="S75" s="12"/>
      <c r="T75" s="13"/>
      <c r="U75" s="12"/>
      <c r="V75" s="25"/>
      <c r="W75" s="25"/>
      <c r="X75" s="14" t="str">
        <f aca="false">IF(OR($V75="",$W75=""),"",IF(AND($V75&gt;=Spravochnik!$H$5,$W75&gt;=Spravochnik!$H$6),"Ha","Yo'q"))</f>
        <v/>
      </c>
      <c r="Y75" s="13"/>
      <c r="Z75" s="13"/>
      <c r="AA75" s="13"/>
      <c r="AB75" s="13"/>
      <c r="AC75" s="14" t="str">
        <f aca="false">IF(AND($B75&lt;&gt;"",$AE75="",$AB75&lt;&gt;"",$AB75&lt;Boshqaruv!$C$12),"Ha","")</f>
        <v/>
      </c>
      <c r="AD75" s="25"/>
      <c r="AE75" s="13"/>
      <c r="AF75" s="12"/>
      <c r="AG75" s="14" t="str">
        <f aca="false">IF(OR($B75="",$C75="",$H75=""),"",IF(COUNTIFS($B$5:$B$804,$B75,$C$5:$C$804,$C75,$H$5:$H$804,$H75)&gt;1,"Takror",""))</f>
        <v/>
      </c>
      <c r="AH75" s="28" t="str">
        <f aca="false">IF(AND($B75&lt;&gt;"",$N75="Ha",$H75&lt;&gt;"",$H75&lt;=Boshqaruv!$C$12,OR($AE75="",$AE75&gt;Boshqaruv!$C$12)),MAX($AH$4:$AH74)+1,"")</f>
        <v/>
      </c>
    </row>
    <row r="76" customFormat="false" ht="15" hidden="false" customHeight="false" outlineLevel="0" collapsed="false">
      <c r="A76" s="20" t="n">
        <v>72</v>
      </c>
      <c r="B76" s="12"/>
      <c r="C76" s="13"/>
      <c r="D76" s="24"/>
      <c r="E76" s="12"/>
      <c r="F76" s="25"/>
      <c r="G76" s="27" t="str">
        <f aca="false">IF(OR($B76="",$C76=""),"",$B76&amp;" ("&amp;DAY($C76)&amp;"."&amp;MONTH($C76)&amp;"."&amp;YEAR($C76)&amp;")")</f>
        <v/>
      </c>
      <c r="H76" s="13"/>
      <c r="I76" s="13"/>
      <c r="J76" s="15" t="str">
        <f aca="false">IF($I76="","",$I76+280)</f>
        <v/>
      </c>
      <c r="K76" s="14" t="str">
        <f aca="false">IF(OR($I76="",$AE76&lt;&gt;""),"",INT((Boshqaruv!$C$12-$I76)/7))</f>
        <v/>
      </c>
      <c r="L76" s="14" t="str">
        <f aca="false">IF(OR($C76="",$H76=""),"",INT(($H76-$C76)/365.25))</f>
        <v/>
      </c>
      <c r="M76" s="14" t="str">
        <f aca="false">IF($L76="","",IF($L76&lt;18,"Ha","Yo'q"))</f>
        <v/>
      </c>
      <c r="N76" s="25"/>
      <c r="O76" s="25"/>
      <c r="P76" s="25"/>
      <c r="Q76" s="12"/>
      <c r="R76" s="25"/>
      <c r="S76" s="12"/>
      <c r="T76" s="13"/>
      <c r="U76" s="12"/>
      <c r="V76" s="25"/>
      <c r="W76" s="25"/>
      <c r="X76" s="14" t="str">
        <f aca="false">IF(OR($V76="",$W76=""),"",IF(AND($V76&gt;=Spravochnik!$H$5,$W76&gt;=Spravochnik!$H$6),"Ha","Yo'q"))</f>
        <v/>
      </c>
      <c r="Y76" s="13"/>
      <c r="Z76" s="13"/>
      <c r="AA76" s="13"/>
      <c r="AB76" s="13"/>
      <c r="AC76" s="14" t="str">
        <f aca="false">IF(AND($B76&lt;&gt;"",$AE76="",$AB76&lt;&gt;"",$AB76&lt;Boshqaruv!$C$12),"Ha","")</f>
        <v/>
      </c>
      <c r="AD76" s="25"/>
      <c r="AE76" s="13"/>
      <c r="AF76" s="12"/>
      <c r="AG76" s="14" t="str">
        <f aca="false">IF(OR($B76="",$C76="",$H76=""),"",IF(COUNTIFS($B$5:$B$804,$B76,$C$5:$C$804,$C76,$H$5:$H$804,$H76)&gt;1,"Takror",""))</f>
        <v/>
      </c>
      <c r="AH76" s="28" t="str">
        <f aca="false">IF(AND($B76&lt;&gt;"",$N76="Ha",$H76&lt;&gt;"",$H76&lt;=Boshqaruv!$C$12,OR($AE76="",$AE76&gt;Boshqaruv!$C$12)),MAX($AH$4:$AH75)+1,"")</f>
        <v/>
      </c>
    </row>
    <row r="77" customFormat="false" ht="15" hidden="false" customHeight="false" outlineLevel="0" collapsed="false">
      <c r="A77" s="20" t="n">
        <v>73</v>
      </c>
      <c r="B77" s="12"/>
      <c r="C77" s="13"/>
      <c r="D77" s="24"/>
      <c r="E77" s="12"/>
      <c r="F77" s="25"/>
      <c r="G77" s="27" t="str">
        <f aca="false">IF(OR($B77="",$C77=""),"",$B77&amp;" ("&amp;DAY($C77)&amp;"."&amp;MONTH($C77)&amp;"."&amp;YEAR($C77)&amp;")")</f>
        <v/>
      </c>
      <c r="H77" s="13"/>
      <c r="I77" s="13"/>
      <c r="J77" s="15" t="str">
        <f aca="false">IF($I77="","",$I77+280)</f>
        <v/>
      </c>
      <c r="K77" s="14" t="str">
        <f aca="false">IF(OR($I77="",$AE77&lt;&gt;""),"",INT((Boshqaruv!$C$12-$I77)/7))</f>
        <v/>
      </c>
      <c r="L77" s="14" t="str">
        <f aca="false">IF(OR($C77="",$H77=""),"",INT(($H77-$C77)/365.25))</f>
        <v/>
      </c>
      <c r="M77" s="14" t="str">
        <f aca="false">IF($L77="","",IF($L77&lt;18,"Ha","Yo'q"))</f>
        <v/>
      </c>
      <c r="N77" s="25"/>
      <c r="O77" s="25"/>
      <c r="P77" s="25"/>
      <c r="Q77" s="12"/>
      <c r="R77" s="25"/>
      <c r="S77" s="12"/>
      <c r="T77" s="13"/>
      <c r="U77" s="12"/>
      <c r="V77" s="25"/>
      <c r="W77" s="25"/>
      <c r="X77" s="14" t="str">
        <f aca="false">IF(OR($V77="",$W77=""),"",IF(AND($V77&gt;=Spravochnik!$H$5,$W77&gt;=Spravochnik!$H$6),"Ha","Yo'q"))</f>
        <v/>
      </c>
      <c r="Y77" s="13"/>
      <c r="Z77" s="13"/>
      <c r="AA77" s="13"/>
      <c r="AB77" s="13"/>
      <c r="AC77" s="14" t="str">
        <f aca="false">IF(AND($B77&lt;&gt;"",$AE77="",$AB77&lt;&gt;"",$AB77&lt;Boshqaruv!$C$12),"Ha","")</f>
        <v/>
      </c>
      <c r="AD77" s="25"/>
      <c r="AE77" s="13"/>
      <c r="AF77" s="12"/>
      <c r="AG77" s="14" t="str">
        <f aca="false">IF(OR($B77="",$C77="",$H77=""),"",IF(COUNTIFS($B$5:$B$804,$B77,$C$5:$C$804,$C77,$H$5:$H$804,$H77)&gt;1,"Takror",""))</f>
        <v/>
      </c>
      <c r="AH77" s="28" t="str">
        <f aca="false">IF(AND($B77&lt;&gt;"",$N77="Ha",$H77&lt;&gt;"",$H77&lt;=Boshqaruv!$C$12,OR($AE77="",$AE77&gt;Boshqaruv!$C$12)),MAX($AH$4:$AH76)+1,"")</f>
        <v/>
      </c>
    </row>
    <row r="78" customFormat="false" ht="15" hidden="false" customHeight="false" outlineLevel="0" collapsed="false">
      <c r="A78" s="20" t="n">
        <v>74</v>
      </c>
      <c r="B78" s="12"/>
      <c r="C78" s="13"/>
      <c r="D78" s="24"/>
      <c r="E78" s="12"/>
      <c r="F78" s="25"/>
      <c r="G78" s="27" t="str">
        <f aca="false">IF(OR($B78="",$C78=""),"",$B78&amp;" ("&amp;DAY($C78)&amp;"."&amp;MONTH($C78)&amp;"."&amp;YEAR($C78)&amp;")")</f>
        <v/>
      </c>
      <c r="H78" s="13"/>
      <c r="I78" s="13"/>
      <c r="J78" s="15" t="str">
        <f aca="false">IF($I78="","",$I78+280)</f>
        <v/>
      </c>
      <c r="K78" s="14" t="str">
        <f aca="false">IF(OR($I78="",$AE78&lt;&gt;""),"",INT((Boshqaruv!$C$12-$I78)/7))</f>
        <v/>
      </c>
      <c r="L78" s="14" t="str">
        <f aca="false">IF(OR($C78="",$H78=""),"",INT(($H78-$C78)/365.25))</f>
        <v/>
      </c>
      <c r="M78" s="14" t="str">
        <f aca="false">IF($L78="","",IF($L78&lt;18,"Ha","Yo'q"))</f>
        <v/>
      </c>
      <c r="N78" s="25"/>
      <c r="O78" s="25"/>
      <c r="P78" s="25"/>
      <c r="Q78" s="12"/>
      <c r="R78" s="25"/>
      <c r="S78" s="12"/>
      <c r="T78" s="13"/>
      <c r="U78" s="12"/>
      <c r="V78" s="25"/>
      <c r="W78" s="25"/>
      <c r="X78" s="14" t="str">
        <f aca="false">IF(OR($V78="",$W78=""),"",IF(AND($V78&gt;=Spravochnik!$H$5,$W78&gt;=Spravochnik!$H$6),"Ha","Yo'q"))</f>
        <v/>
      </c>
      <c r="Y78" s="13"/>
      <c r="Z78" s="13"/>
      <c r="AA78" s="13"/>
      <c r="AB78" s="13"/>
      <c r="AC78" s="14" t="str">
        <f aca="false">IF(AND($B78&lt;&gt;"",$AE78="",$AB78&lt;&gt;"",$AB78&lt;Boshqaruv!$C$12),"Ha","")</f>
        <v/>
      </c>
      <c r="AD78" s="25"/>
      <c r="AE78" s="13"/>
      <c r="AF78" s="12"/>
      <c r="AG78" s="14" t="str">
        <f aca="false">IF(OR($B78="",$C78="",$H78=""),"",IF(COUNTIFS($B$5:$B$804,$B78,$C$5:$C$804,$C78,$H$5:$H$804,$H78)&gt;1,"Takror",""))</f>
        <v/>
      </c>
      <c r="AH78" s="28" t="str">
        <f aca="false">IF(AND($B78&lt;&gt;"",$N78="Ha",$H78&lt;&gt;"",$H78&lt;=Boshqaruv!$C$12,OR($AE78="",$AE78&gt;Boshqaruv!$C$12)),MAX($AH$4:$AH77)+1,"")</f>
        <v/>
      </c>
    </row>
    <row r="79" customFormat="false" ht="15" hidden="false" customHeight="false" outlineLevel="0" collapsed="false">
      <c r="A79" s="20" t="n">
        <v>75</v>
      </c>
      <c r="B79" s="12"/>
      <c r="C79" s="13"/>
      <c r="D79" s="24"/>
      <c r="E79" s="12"/>
      <c r="F79" s="25"/>
      <c r="G79" s="27" t="str">
        <f aca="false">IF(OR($B79="",$C79=""),"",$B79&amp;" ("&amp;DAY($C79)&amp;"."&amp;MONTH($C79)&amp;"."&amp;YEAR($C79)&amp;")")</f>
        <v/>
      </c>
      <c r="H79" s="13"/>
      <c r="I79" s="13"/>
      <c r="J79" s="15" t="str">
        <f aca="false">IF($I79="","",$I79+280)</f>
        <v/>
      </c>
      <c r="K79" s="14" t="str">
        <f aca="false">IF(OR($I79="",$AE79&lt;&gt;""),"",INT((Boshqaruv!$C$12-$I79)/7))</f>
        <v/>
      </c>
      <c r="L79" s="14" t="str">
        <f aca="false">IF(OR($C79="",$H79=""),"",INT(($H79-$C79)/365.25))</f>
        <v/>
      </c>
      <c r="M79" s="14" t="str">
        <f aca="false">IF($L79="","",IF($L79&lt;18,"Ha","Yo'q"))</f>
        <v/>
      </c>
      <c r="N79" s="25"/>
      <c r="O79" s="25"/>
      <c r="P79" s="25"/>
      <c r="Q79" s="12"/>
      <c r="R79" s="25"/>
      <c r="S79" s="12"/>
      <c r="T79" s="13"/>
      <c r="U79" s="12"/>
      <c r="V79" s="25"/>
      <c r="W79" s="25"/>
      <c r="X79" s="14" t="str">
        <f aca="false">IF(OR($V79="",$W79=""),"",IF(AND($V79&gt;=Spravochnik!$H$5,$W79&gt;=Spravochnik!$H$6),"Ha","Yo'q"))</f>
        <v/>
      </c>
      <c r="Y79" s="13"/>
      <c r="Z79" s="13"/>
      <c r="AA79" s="13"/>
      <c r="AB79" s="13"/>
      <c r="AC79" s="14" t="str">
        <f aca="false">IF(AND($B79&lt;&gt;"",$AE79="",$AB79&lt;&gt;"",$AB79&lt;Boshqaruv!$C$12),"Ha","")</f>
        <v/>
      </c>
      <c r="AD79" s="25"/>
      <c r="AE79" s="13"/>
      <c r="AF79" s="12"/>
      <c r="AG79" s="14" t="str">
        <f aca="false">IF(OR($B79="",$C79="",$H79=""),"",IF(COUNTIFS($B$5:$B$804,$B79,$C$5:$C$804,$C79,$H$5:$H$804,$H79)&gt;1,"Takror",""))</f>
        <v/>
      </c>
      <c r="AH79" s="28" t="str">
        <f aca="false">IF(AND($B79&lt;&gt;"",$N79="Ha",$H79&lt;&gt;"",$H79&lt;=Boshqaruv!$C$12,OR($AE79="",$AE79&gt;Boshqaruv!$C$12)),MAX($AH$4:$AH78)+1,"")</f>
        <v/>
      </c>
    </row>
    <row r="80" customFormat="false" ht="15" hidden="false" customHeight="false" outlineLevel="0" collapsed="false">
      <c r="A80" s="20" t="n">
        <v>76</v>
      </c>
      <c r="B80" s="12"/>
      <c r="C80" s="13"/>
      <c r="D80" s="24"/>
      <c r="E80" s="12"/>
      <c r="F80" s="25"/>
      <c r="G80" s="27" t="str">
        <f aca="false">IF(OR($B80="",$C80=""),"",$B80&amp;" ("&amp;DAY($C80)&amp;"."&amp;MONTH($C80)&amp;"."&amp;YEAR($C80)&amp;")")</f>
        <v/>
      </c>
      <c r="H80" s="13"/>
      <c r="I80" s="13"/>
      <c r="J80" s="15" t="str">
        <f aca="false">IF($I80="","",$I80+280)</f>
        <v/>
      </c>
      <c r="K80" s="14" t="str">
        <f aca="false">IF(OR($I80="",$AE80&lt;&gt;""),"",INT((Boshqaruv!$C$12-$I80)/7))</f>
        <v/>
      </c>
      <c r="L80" s="14" t="str">
        <f aca="false">IF(OR($C80="",$H80=""),"",INT(($H80-$C80)/365.25))</f>
        <v/>
      </c>
      <c r="M80" s="14" t="str">
        <f aca="false">IF($L80="","",IF($L80&lt;18,"Ha","Yo'q"))</f>
        <v/>
      </c>
      <c r="N80" s="25"/>
      <c r="O80" s="25"/>
      <c r="P80" s="25"/>
      <c r="Q80" s="12"/>
      <c r="R80" s="25"/>
      <c r="S80" s="12"/>
      <c r="T80" s="13"/>
      <c r="U80" s="12"/>
      <c r="V80" s="25"/>
      <c r="W80" s="25"/>
      <c r="X80" s="14" t="str">
        <f aca="false">IF(OR($V80="",$W80=""),"",IF(AND($V80&gt;=Spravochnik!$H$5,$W80&gt;=Spravochnik!$H$6),"Ha","Yo'q"))</f>
        <v/>
      </c>
      <c r="Y80" s="13"/>
      <c r="Z80" s="13"/>
      <c r="AA80" s="13"/>
      <c r="AB80" s="13"/>
      <c r="AC80" s="14" t="str">
        <f aca="false">IF(AND($B80&lt;&gt;"",$AE80="",$AB80&lt;&gt;"",$AB80&lt;Boshqaruv!$C$12),"Ha","")</f>
        <v/>
      </c>
      <c r="AD80" s="25"/>
      <c r="AE80" s="13"/>
      <c r="AF80" s="12"/>
      <c r="AG80" s="14" t="str">
        <f aca="false">IF(OR($B80="",$C80="",$H80=""),"",IF(COUNTIFS($B$5:$B$804,$B80,$C$5:$C$804,$C80,$H$5:$H$804,$H80)&gt;1,"Takror",""))</f>
        <v/>
      </c>
      <c r="AH80" s="28" t="str">
        <f aca="false">IF(AND($B80&lt;&gt;"",$N80="Ha",$H80&lt;&gt;"",$H80&lt;=Boshqaruv!$C$12,OR($AE80="",$AE80&gt;Boshqaruv!$C$12)),MAX($AH$4:$AH79)+1,"")</f>
        <v/>
      </c>
    </row>
    <row r="81" customFormat="false" ht="15" hidden="false" customHeight="false" outlineLevel="0" collapsed="false">
      <c r="A81" s="20" t="n">
        <v>77</v>
      </c>
      <c r="B81" s="12"/>
      <c r="C81" s="13"/>
      <c r="D81" s="24"/>
      <c r="E81" s="12"/>
      <c r="F81" s="25"/>
      <c r="G81" s="27" t="str">
        <f aca="false">IF(OR($B81="",$C81=""),"",$B81&amp;" ("&amp;DAY($C81)&amp;"."&amp;MONTH($C81)&amp;"."&amp;YEAR($C81)&amp;")")</f>
        <v/>
      </c>
      <c r="H81" s="13"/>
      <c r="I81" s="13"/>
      <c r="J81" s="15" t="str">
        <f aca="false">IF($I81="","",$I81+280)</f>
        <v/>
      </c>
      <c r="K81" s="14" t="str">
        <f aca="false">IF(OR($I81="",$AE81&lt;&gt;""),"",INT((Boshqaruv!$C$12-$I81)/7))</f>
        <v/>
      </c>
      <c r="L81" s="14" t="str">
        <f aca="false">IF(OR($C81="",$H81=""),"",INT(($H81-$C81)/365.25))</f>
        <v/>
      </c>
      <c r="M81" s="14" t="str">
        <f aca="false">IF($L81="","",IF($L81&lt;18,"Ha","Yo'q"))</f>
        <v/>
      </c>
      <c r="N81" s="25"/>
      <c r="O81" s="25"/>
      <c r="P81" s="25"/>
      <c r="Q81" s="12"/>
      <c r="R81" s="25"/>
      <c r="S81" s="12"/>
      <c r="T81" s="13"/>
      <c r="U81" s="12"/>
      <c r="V81" s="25"/>
      <c r="W81" s="25"/>
      <c r="X81" s="14" t="str">
        <f aca="false">IF(OR($V81="",$W81=""),"",IF(AND($V81&gt;=Spravochnik!$H$5,$W81&gt;=Spravochnik!$H$6),"Ha","Yo'q"))</f>
        <v/>
      </c>
      <c r="Y81" s="13"/>
      <c r="Z81" s="13"/>
      <c r="AA81" s="13"/>
      <c r="AB81" s="13"/>
      <c r="AC81" s="14" t="str">
        <f aca="false">IF(AND($B81&lt;&gt;"",$AE81="",$AB81&lt;&gt;"",$AB81&lt;Boshqaruv!$C$12),"Ha","")</f>
        <v/>
      </c>
      <c r="AD81" s="25"/>
      <c r="AE81" s="13"/>
      <c r="AF81" s="12"/>
      <c r="AG81" s="14" t="str">
        <f aca="false">IF(OR($B81="",$C81="",$H81=""),"",IF(COUNTIFS($B$5:$B$804,$B81,$C$5:$C$804,$C81,$H$5:$H$804,$H81)&gt;1,"Takror",""))</f>
        <v/>
      </c>
      <c r="AH81" s="28" t="str">
        <f aca="false">IF(AND($B81&lt;&gt;"",$N81="Ha",$H81&lt;&gt;"",$H81&lt;=Boshqaruv!$C$12,OR($AE81="",$AE81&gt;Boshqaruv!$C$12)),MAX($AH$4:$AH80)+1,"")</f>
        <v/>
      </c>
    </row>
    <row r="82" customFormat="false" ht="15" hidden="false" customHeight="false" outlineLevel="0" collapsed="false">
      <c r="A82" s="20" t="n">
        <v>78</v>
      </c>
      <c r="B82" s="12"/>
      <c r="C82" s="13"/>
      <c r="D82" s="24"/>
      <c r="E82" s="12"/>
      <c r="F82" s="25"/>
      <c r="G82" s="27" t="str">
        <f aca="false">IF(OR($B82="",$C82=""),"",$B82&amp;" ("&amp;DAY($C82)&amp;"."&amp;MONTH($C82)&amp;"."&amp;YEAR($C82)&amp;")")</f>
        <v/>
      </c>
      <c r="H82" s="13"/>
      <c r="I82" s="13"/>
      <c r="J82" s="15" t="str">
        <f aca="false">IF($I82="","",$I82+280)</f>
        <v/>
      </c>
      <c r="K82" s="14" t="str">
        <f aca="false">IF(OR($I82="",$AE82&lt;&gt;""),"",INT((Boshqaruv!$C$12-$I82)/7))</f>
        <v/>
      </c>
      <c r="L82" s="14" t="str">
        <f aca="false">IF(OR($C82="",$H82=""),"",INT(($H82-$C82)/365.25))</f>
        <v/>
      </c>
      <c r="M82" s="14" t="str">
        <f aca="false">IF($L82="","",IF($L82&lt;18,"Ha","Yo'q"))</f>
        <v/>
      </c>
      <c r="N82" s="25"/>
      <c r="O82" s="25"/>
      <c r="P82" s="25"/>
      <c r="Q82" s="12"/>
      <c r="R82" s="25"/>
      <c r="S82" s="12"/>
      <c r="T82" s="13"/>
      <c r="U82" s="12"/>
      <c r="V82" s="25"/>
      <c r="W82" s="25"/>
      <c r="X82" s="14" t="str">
        <f aca="false">IF(OR($V82="",$W82=""),"",IF(AND($V82&gt;=Spravochnik!$H$5,$W82&gt;=Spravochnik!$H$6),"Ha","Yo'q"))</f>
        <v/>
      </c>
      <c r="Y82" s="13"/>
      <c r="Z82" s="13"/>
      <c r="AA82" s="13"/>
      <c r="AB82" s="13"/>
      <c r="AC82" s="14" t="str">
        <f aca="false">IF(AND($B82&lt;&gt;"",$AE82="",$AB82&lt;&gt;"",$AB82&lt;Boshqaruv!$C$12),"Ha","")</f>
        <v/>
      </c>
      <c r="AD82" s="25"/>
      <c r="AE82" s="13"/>
      <c r="AF82" s="12"/>
      <c r="AG82" s="14" t="str">
        <f aca="false">IF(OR($B82="",$C82="",$H82=""),"",IF(COUNTIFS($B$5:$B$804,$B82,$C$5:$C$804,$C82,$H$5:$H$804,$H82)&gt;1,"Takror",""))</f>
        <v/>
      </c>
      <c r="AH82" s="28" t="str">
        <f aca="false">IF(AND($B82&lt;&gt;"",$N82="Ha",$H82&lt;&gt;"",$H82&lt;=Boshqaruv!$C$12,OR($AE82="",$AE82&gt;Boshqaruv!$C$12)),MAX($AH$4:$AH81)+1,"")</f>
        <v/>
      </c>
    </row>
    <row r="83" customFormat="false" ht="15" hidden="false" customHeight="false" outlineLevel="0" collapsed="false">
      <c r="A83" s="20" t="n">
        <v>79</v>
      </c>
      <c r="B83" s="12"/>
      <c r="C83" s="13"/>
      <c r="D83" s="24"/>
      <c r="E83" s="12"/>
      <c r="F83" s="25"/>
      <c r="G83" s="27" t="str">
        <f aca="false">IF(OR($B83="",$C83=""),"",$B83&amp;" ("&amp;DAY($C83)&amp;"."&amp;MONTH($C83)&amp;"."&amp;YEAR($C83)&amp;")")</f>
        <v/>
      </c>
      <c r="H83" s="13"/>
      <c r="I83" s="13"/>
      <c r="J83" s="15" t="str">
        <f aca="false">IF($I83="","",$I83+280)</f>
        <v/>
      </c>
      <c r="K83" s="14" t="str">
        <f aca="false">IF(OR($I83="",$AE83&lt;&gt;""),"",INT((Boshqaruv!$C$12-$I83)/7))</f>
        <v/>
      </c>
      <c r="L83" s="14" t="str">
        <f aca="false">IF(OR($C83="",$H83=""),"",INT(($H83-$C83)/365.25))</f>
        <v/>
      </c>
      <c r="M83" s="14" t="str">
        <f aca="false">IF($L83="","",IF($L83&lt;18,"Ha","Yo'q"))</f>
        <v/>
      </c>
      <c r="N83" s="25"/>
      <c r="O83" s="25"/>
      <c r="P83" s="25"/>
      <c r="Q83" s="12"/>
      <c r="R83" s="25"/>
      <c r="S83" s="12"/>
      <c r="T83" s="13"/>
      <c r="U83" s="12"/>
      <c r="V83" s="25"/>
      <c r="W83" s="25"/>
      <c r="X83" s="14" t="str">
        <f aca="false">IF(OR($V83="",$W83=""),"",IF(AND($V83&gt;=Spravochnik!$H$5,$W83&gt;=Spravochnik!$H$6),"Ha","Yo'q"))</f>
        <v/>
      </c>
      <c r="Y83" s="13"/>
      <c r="Z83" s="13"/>
      <c r="AA83" s="13"/>
      <c r="AB83" s="13"/>
      <c r="AC83" s="14" t="str">
        <f aca="false">IF(AND($B83&lt;&gt;"",$AE83="",$AB83&lt;&gt;"",$AB83&lt;Boshqaruv!$C$12),"Ha","")</f>
        <v/>
      </c>
      <c r="AD83" s="25"/>
      <c r="AE83" s="13"/>
      <c r="AF83" s="12"/>
      <c r="AG83" s="14" t="str">
        <f aca="false">IF(OR($B83="",$C83="",$H83=""),"",IF(COUNTIFS($B$5:$B$804,$B83,$C$5:$C$804,$C83,$H$5:$H$804,$H83)&gt;1,"Takror",""))</f>
        <v/>
      </c>
      <c r="AH83" s="28" t="str">
        <f aca="false">IF(AND($B83&lt;&gt;"",$N83="Ha",$H83&lt;&gt;"",$H83&lt;=Boshqaruv!$C$12,OR($AE83="",$AE83&gt;Boshqaruv!$C$12)),MAX($AH$4:$AH82)+1,"")</f>
        <v/>
      </c>
    </row>
    <row r="84" customFormat="false" ht="15" hidden="false" customHeight="false" outlineLevel="0" collapsed="false">
      <c r="A84" s="20" t="n">
        <v>80</v>
      </c>
      <c r="B84" s="12"/>
      <c r="C84" s="13"/>
      <c r="D84" s="24"/>
      <c r="E84" s="12"/>
      <c r="F84" s="25"/>
      <c r="G84" s="27" t="str">
        <f aca="false">IF(OR($B84="",$C84=""),"",$B84&amp;" ("&amp;DAY($C84)&amp;"."&amp;MONTH($C84)&amp;"."&amp;YEAR($C84)&amp;")")</f>
        <v/>
      </c>
      <c r="H84" s="13"/>
      <c r="I84" s="13"/>
      <c r="J84" s="15" t="str">
        <f aca="false">IF($I84="","",$I84+280)</f>
        <v/>
      </c>
      <c r="K84" s="14" t="str">
        <f aca="false">IF(OR($I84="",$AE84&lt;&gt;""),"",INT((Boshqaruv!$C$12-$I84)/7))</f>
        <v/>
      </c>
      <c r="L84" s="14" t="str">
        <f aca="false">IF(OR($C84="",$H84=""),"",INT(($H84-$C84)/365.25))</f>
        <v/>
      </c>
      <c r="M84" s="14" t="str">
        <f aca="false">IF($L84="","",IF($L84&lt;18,"Ha","Yo'q"))</f>
        <v/>
      </c>
      <c r="N84" s="25"/>
      <c r="O84" s="25"/>
      <c r="P84" s="25"/>
      <c r="Q84" s="12"/>
      <c r="R84" s="25"/>
      <c r="S84" s="12"/>
      <c r="T84" s="13"/>
      <c r="U84" s="12"/>
      <c r="V84" s="25"/>
      <c r="W84" s="25"/>
      <c r="X84" s="14" t="str">
        <f aca="false">IF(OR($V84="",$W84=""),"",IF(AND($V84&gt;=Spravochnik!$H$5,$W84&gt;=Spravochnik!$H$6),"Ha","Yo'q"))</f>
        <v/>
      </c>
      <c r="Y84" s="13"/>
      <c r="Z84" s="13"/>
      <c r="AA84" s="13"/>
      <c r="AB84" s="13"/>
      <c r="AC84" s="14" t="str">
        <f aca="false">IF(AND($B84&lt;&gt;"",$AE84="",$AB84&lt;&gt;"",$AB84&lt;Boshqaruv!$C$12),"Ha","")</f>
        <v/>
      </c>
      <c r="AD84" s="25"/>
      <c r="AE84" s="13"/>
      <c r="AF84" s="12"/>
      <c r="AG84" s="14" t="str">
        <f aca="false">IF(OR($B84="",$C84="",$H84=""),"",IF(COUNTIFS($B$5:$B$804,$B84,$C$5:$C$804,$C84,$H$5:$H$804,$H84)&gt;1,"Takror",""))</f>
        <v/>
      </c>
      <c r="AH84" s="28" t="str">
        <f aca="false">IF(AND($B84&lt;&gt;"",$N84="Ha",$H84&lt;&gt;"",$H84&lt;=Boshqaruv!$C$12,OR($AE84="",$AE84&gt;Boshqaruv!$C$12)),MAX($AH$4:$AH83)+1,"")</f>
        <v/>
      </c>
    </row>
    <row r="85" customFormat="false" ht="15" hidden="false" customHeight="false" outlineLevel="0" collapsed="false">
      <c r="A85" s="20" t="n">
        <v>81</v>
      </c>
      <c r="B85" s="12"/>
      <c r="C85" s="13"/>
      <c r="D85" s="24"/>
      <c r="E85" s="12"/>
      <c r="F85" s="25"/>
      <c r="G85" s="27" t="str">
        <f aca="false">IF(OR($B85="",$C85=""),"",$B85&amp;" ("&amp;DAY($C85)&amp;"."&amp;MONTH($C85)&amp;"."&amp;YEAR($C85)&amp;")")</f>
        <v/>
      </c>
      <c r="H85" s="13"/>
      <c r="I85" s="13"/>
      <c r="J85" s="15" t="str">
        <f aca="false">IF($I85="","",$I85+280)</f>
        <v/>
      </c>
      <c r="K85" s="14" t="str">
        <f aca="false">IF(OR($I85="",$AE85&lt;&gt;""),"",INT((Boshqaruv!$C$12-$I85)/7))</f>
        <v/>
      </c>
      <c r="L85" s="14" t="str">
        <f aca="false">IF(OR($C85="",$H85=""),"",INT(($H85-$C85)/365.25))</f>
        <v/>
      </c>
      <c r="M85" s="14" t="str">
        <f aca="false">IF($L85="","",IF($L85&lt;18,"Ha","Yo'q"))</f>
        <v/>
      </c>
      <c r="N85" s="25"/>
      <c r="O85" s="25"/>
      <c r="P85" s="25"/>
      <c r="Q85" s="12"/>
      <c r="R85" s="25"/>
      <c r="S85" s="12"/>
      <c r="T85" s="13"/>
      <c r="U85" s="12"/>
      <c r="V85" s="25"/>
      <c r="W85" s="25"/>
      <c r="X85" s="14" t="str">
        <f aca="false">IF(OR($V85="",$W85=""),"",IF(AND($V85&gt;=Spravochnik!$H$5,$W85&gt;=Spravochnik!$H$6),"Ha","Yo'q"))</f>
        <v/>
      </c>
      <c r="Y85" s="13"/>
      <c r="Z85" s="13"/>
      <c r="AA85" s="13"/>
      <c r="AB85" s="13"/>
      <c r="AC85" s="14" t="str">
        <f aca="false">IF(AND($B85&lt;&gt;"",$AE85="",$AB85&lt;&gt;"",$AB85&lt;Boshqaruv!$C$12),"Ha","")</f>
        <v/>
      </c>
      <c r="AD85" s="25"/>
      <c r="AE85" s="13"/>
      <c r="AF85" s="12"/>
      <c r="AG85" s="14" t="str">
        <f aca="false">IF(OR($B85="",$C85="",$H85=""),"",IF(COUNTIFS($B$5:$B$804,$B85,$C$5:$C$804,$C85,$H$5:$H$804,$H85)&gt;1,"Takror",""))</f>
        <v/>
      </c>
      <c r="AH85" s="28" t="str">
        <f aca="false">IF(AND($B85&lt;&gt;"",$N85="Ha",$H85&lt;&gt;"",$H85&lt;=Boshqaruv!$C$12,OR($AE85="",$AE85&gt;Boshqaruv!$C$12)),MAX($AH$4:$AH84)+1,"")</f>
        <v/>
      </c>
    </row>
    <row r="86" customFormat="false" ht="15" hidden="false" customHeight="false" outlineLevel="0" collapsed="false">
      <c r="A86" s="20" t="n">
        <v>82</v>
      </c>
      <c r="B86" s="12"/>
      <c r="C86" s="13"/>
      <c r="D86" s="24"/>
      <c r="E86" s="12"/>
      <c r="F86" s="25"/>
      <c r="G86" s="27" t="str">
        <f aca="false">IF(OR($B86="",$C86=""),"",$B86&amp;" ("&amp;DAY($C86)&amp;"."&amp;MONTH($C86)&amp;"."&amp;YEAR($C86)&amp;")")</f>
        <v/>
      </c>
      <c r="H86" s="13"/>
      <c r="I86" s="13"/>
      <c r="J86" s="15" t="str">
        <f aca="false">IF($I86="","",$I86+280)</f>
        <v/>
      </c>
      <c r="K86" s="14" t="str">
        <f aca="false">IF(OR($I86="",$AE86&lt;&gt;""),"",INT((Boshqaruv!$C$12-$I86)/7))</f>
        <v/>
      </c>
      <c r="L86" s="14" t="str">
        <f aca="false">IF(OR($C86="",$H86=""),"",INT(($H86-$C86)/365.25))</f>
        <v/>
      </c>
      <c r="M86" s="14" t="str">
        <f aca="false">IF($L86="","",IF($L86&lt;18,"Ha","Yo'q"))</f>
        <v/>
      </c>
      <c r="N86" s="25"/>
      <c r="O86" s="25"/>
      <c r="P86" s="25"/>
      <c r="Q86" s="12"/>
      <c r="R86" s="25"/>
      <c r="S86" s="12"/>
      <c r="T86" s="13"/>
      <c r="U86" s="12"/>
      <c r="V86" s="25"/>
      <c r="W86" s="25"/>
      <c r="X86" s="14" t="str">
        <f aca="false">IF(OR($V86="",$W86=""),"",IF(AND($V86&gt;=Spravochnik!$H$5,$W86&gt;=Spravochnik!$H$6),"Ha","Yo'q"))</f>
        <v/>
      </c>
      <c r="Y86" s="13"/>
      <c r="Z86" s="13"/>
      <c r="AA86" s="13"/>
      <c r="AB86" s="13"/>
      <c r="AC86" s="14" t="str">
        <f aca="false">IF(AND($B86&lt;&gt;"",$AE86="",$AB86&lt;&gt;"",$AB86&lt;Boshqaruv!$C$12),"Ha","")</f>
        <v/>
      </c>
      <c r="AD86" s="25"/>
      <c r="AE86" s="13"/>
      <c r="AF86" s="12"/>
      <c r="AG86" s="14" t="str">
        <f aca="false">IF(OR($B86="",$C86="",$H86=""),"",IF(COUNTIFS($B$5:$B$804,$B86,$C$5:$C$804,$C86,$H$5:$H$804,$H86)&gt;1,"Takror",""))</f>
        <v/>
      </c>
      <c r="AH86" s="28" t="str">
        <f aca="false">IF(AND($B86&lt;&gt;"",$N86="Ha",$H86&lt;&gt;"",$H86&lt;=Boshqaruv!$C$12,OR($AE86="",$AE86&gt;Boshqaruv!$C$12)),MAX($AH$4:$AH85)+1,"")</f>
        <v/>
      </c>
    </row>
    <row r="87" customFormat="false" ht="15" hidden="false" customHeight="false" outlineLevel="0" collapsed="false">
      <c r="A87" s="20" t="n">
        <v>83</v>
      </c>
      <c r="B87" s="12"/>
      <c r="C87" s="13"/>
      <c r="D87" s="24"/>
      <c r="E87" s="12"/>
      <c r="F87" s="25"/>
      <c r="G87" s="27" t="str">
        <f aca="false">IF(OR($B87="",$C87=""),"",$B87&amp;" ("&amp;DAY($C87)&amp;"."&amp;MONTH($C87)&amp;"."&amp;YEAR($C87)&amp;")")</f>
        <v/>
      </c>
      <c r="H87" s="13"/>
      <c r="I87" s="13"/>
      <c r="J87" s="15" t="str">
        <f aca="false">IF($I87="","",$I87+280)</f>
        <v/>
      </c>
      <c r="K87" s="14" t="str">
        <f aca="false">IF(OR($I87="",$AE87&lt;&gt;""),"",INT((Boshqaruv!$C$12-$I87)/7))</f>
        <v/>
      </c>
      <c r="L87" s="14" t="str">
        <f aca="false">IF(OR($C87="",$H87=""),"",INT(($H87-$C87)/365.25))</f>
        <v/>
      </c>
      <c r="M87" s="14" t="str">
        <f aca="false">IF($L87="","",IF($L87&lt;18,"Ha","Yo'q"))</f>
        <v/>
      </c>
      <c r="N87" s="25"/>
      <c r="O87" s="25"/>
      <c r="P87" s="25"/>
      <c r="Q87" s="12"/>
      <c r="R87" s="25"/>
      <c r="S87" s="12"/>
      <c r="T87" s="13"/>
      <c r="U87" s="12"/>
      <c r="V87" s="25"/>
      <c r="W87" s="25"/>
      <c r="X87" s="14" t="str">
        <f aca="false">IF(OR($V87="",$W87=""),"",IF(AND($V87&gt;=Spravochnik!$H$5,$W87&gt;=Spravochnik!$H$6),"Ha","Yo'q"))</f>
        <v/>
      </c>
      <c r="Y87" s="13"/>
      <c r="Z87" s="13"/>
      <c r="AA87" s="13"/>
      <c r="AB87" s="13"/>
      <c r="AC87" s="14" t="str">
        <f aca="false">IF(AND($B87&lt;&gt;"",$AE87="",$AB87&lt;&gt;"",$AB87&lt;Boshqaruv!$C$12),"Ha","")</f>
        <v/>
      </c>
      <c r="AD87" s="25"/>
      <c r="AE87" s="13"/>
      <c r="AF87" s="12"/>
      <c r="AG87" s="14" t="str">
        <f aca="false">IF(OR($B87="",$C87="",$H87=""),"",IF(COUNTIFS($B$5:$B$804,$B87,$C$5:$C$804,$C87,$H$5:$H$804,$H87)&gt;1,"Takror",""))</f>
        <v/>
      </c>
      <c r="AH87" s="28" t="str">
        <f aca="false">IF(AND($B87&lt;&gt;"",$N87="Ha",$H87&lt;&gt;"",$H87&lt;=Boshqaruv!$C$12,OR($AE87="",$AE87&gt;Boshqaruv!$C$12)),MAX($AH$4:$AH86)+1,"")</f>
        <v/>
      </c>
    </row>
    <row r="88" customFormat="false" ht="15" hidden="false" customHeight="false" outlineLevel="0" collapsed="false">
      <c r="A88" s="20" t="n">
        <v>84</v>
      </c>
      <c r="B88" s="12"/>
      <c r="C88" s="13"/>
      <c r="D88" s="24"/>
      <c r="E88" s="12"/>
      <c r="F88" s="25"/>
      <c r="G88" s="27" t="str">
        <f aca="false">IF(OR($B88="",$C88=""),"",$B88&amp;" ("&amp;DAY($C88)&amp;"."&amp;MONTH($C88)&amp;"."&amp;YEAR($C88)&amp;")")</f>
        <v/>
      </c>
      <c r="H88" s="13"/>
      <c r="I88" s="13"/>
      <c r="J88" s="15" t="str">
        <f aca="false">IF($I88="","",$I88+280)</f>
        <v/>
      </c>
      <c r="K88" s="14" t="str">
        <f aca="false">IF(OR($I88="",$AE88&lt;&gt;""),"",INT((Boshqaruv!$C$12-$I88)/7))</f>
        <v/>
      </c>
      <c r="L88" s="14" t="str">
        <f aca="false">IF(OR($C88="",$H88=""),"",INT(($H88-$C88)/365.25))</f>
        <v/>
      </c>
      <c r="M88" s="14" t="str">
        <f aca="false">IF($L88="","",IF($L88&lt;18,"Ha","Yo'q"))</f>
        <v/>
      </c>
      <c r="N88" s="25"/>
      <c r="O88" s="25"/>
      <c r="P88" s="25"/>
      <c r="Q88" s="12"/>
      <c r="R88" s="25"/>
      <c r="S88" s="12"/>
      <c r="T88" s="13"/>
      <c r="U88" s="12"/>
      <c r="V88" s="25"/>
      <c r="W88" s="25"/>
      <c r="X88" s="14" t="str">
        <f aca="false">IF(OR($V88="",$W88=""),"",IF(AND($V88&gt;=Spravochnik!$H$5,$W88&gt;=Spravochnik!$H$6),"Ha","Yo'q"))</f>
        <v/>
      </c>
      <c r="Y88" s="13"/>
      <c r="Z88" s="13"/>
      <c r="AA88" s="13"/>
      <c r="AB88" s="13"/>
      <c r="AC88" s="14" t="str">
        <f aca="false">IF(AND($B88&lt;&gt;"",$AE88="",$AB88&lt;&gt;"",$AB88&lt;Boshqaruv!$C$12),"Ha","")</f>
        <v/>
      </c>
      <c r="AD88" s="25"/>
      <c r="AE88" s="13"/>
      <c r="AF88" s="12"/>
      <c r="AG88" s="14" t="str">
        <f aca="false">IF(OR($B88="",$C88="",$H88=""),"",IF(COUNTIFS($B$5:$B$804,$B88,$C$5:$C$804,$C88,$H$5:$H$804,$H88)&gt;1,"Takror",""))</f>
        <v/>
      </c>
      <c r="AH88" s="28" t="str">
        <f aca="false">IF(AND($B88&lt;&gt;"",$N88="Ha",$H88&lt;&gt;"",$H88&lt;=Boshqaruv!$C$12,OR($AE88="",$AE88&gt;Boshqaruv!$C$12)),MAX($AH$4:$AH87)+1,"")</f>
        <v/>
      </c>
    </row>
    <row r="89" customFormat="false" ht="15" hidden="false" customHeight="false" outlineLevel="0" collapsed="false">
      <c r="A89" s="20" t="n">
        <v>85</v>
      </c>
      <c r="B89" s="12"/>
      <c r="C89" s="13"/>
      <c r="D89" s="24"/>
      <c r="E89" s="12"/>
      <c r="F89" s="25"/>
      <c r="G89" s="27" t="str">
        <f aca="false">IF(OR($B89="",$C89=""),"",$B89&amp;" ("&amp;DAY($C89)&amp;"."&amp;MONTH($C89)&amp;"."&amp;YEAR($C89)&amp;")")</f>
        <v/>
      </c>
      <c r="H89" s="13"/>
      <c r="I89" s="13"/>
      <c r="J89" s="15" t="str">
        <f aca="false">IF($I89="","",$I89+280)</f>
        <v/>
      </c>
      <c r="K89" s="14" t="str">
        <f aca="false">IF(OR($I89="",$AE89&lt;&gt;""),"",INT((Boshqaruv!$C$12-$I89)/7))</f>
        <v/>
      </c>
      <c r="L89" s="14" t="str">
        <f aca="false">IF(OR($C89="",$H89=""),"",INT(($H89-$C89)/365.25))</f>
        <v/>
      </c>
      <c r="M89" s="14" t="str">
        <f aca="false">IF($L89="","",IF($L89&lt;18,"Ha","Yo'q"))</f>
        <v/>
      </c>
      <c r="N89" s="25"/>
      <c r="O89" s="25"/>
      <c r="P89" s="25"/>
      <c r="Q89" s="12"/>
      <c r="R89" s="25"/>
      <c r="S89" s="12"/>
      <c r="T89" s="13"/>
      <c r="U89" s="12"/>
      <c r="V89" s="25"/>
      <c r="W89" s="25"/>
      <c r="X89" s="14" t="str">
        <f aca="false">IF(OR($V89="",$W89=""),"",IF(AND($V89&gt;=Spravochnik!$H$5,$W89&gt;=Spravochnik!$H$6),"Ha","Yo'q"))</f>
        <v/>
      </c>
      <c r="Y89" s="13"/>
      <c r="Z89" s="13"/>
      <c r="AA89" s="13"/>
      <c r="AB89" s="13"/>
      <c r="AC89" s="14" t="str">
        <f aca="false">IF(AND($B89&lt;&gt;"",$AE89="",$AB89&lt;&gt;"",$AB89&lt;Boshqaruv!$C$12),"Ha","")</f>
        <v/>
      </c>
      <c r="AD89" s="25"/>
      <c r="AE89" s="13"/>
      <c r="AF89" s="12"/>
      <c r="AG89" s="14" t="str">
        <f aca="false">IF(OR($B89="",$C89="",$H89=""),"",IF(COUNTIFS($B$5:$B$804,$B89,$C$5:$C$804,$C89,$H$5:$H$804,$H89)&gt;1,"Takror",""))</f>
        <v/>
      </c>
      <c r="AH89" s="28" t="str">
        <f aca="false">IF(AND($B89&lt;&gt;"",$N89="Ha",$H89&lt;&gt;"",$H89&lt;=Boshqaruv!$C$12,OR($AE89="",$AE89&gt;Boshqaruv!$C$12)),MAX($AH$4:$AH88)+1,"")</f>
        <v/>
      </c>
    </row>
    <row r="90" customFormat="false" ht="15" hidden="false" customHeight="false" outlineLevel="0" collapsed="false">
      <c r="A90" s="20" t="n">
        <v>86</v>
      </c>
      <c r="B90" s="12"/>
      <c r="C90" s="13"/>
      <c r="D90" s="24"/>
      <c r="E90" s="12"/>
      <c r="F90" s="25"/>
      <c r="G90" s="27" t="str">
        <f aca="false">IF(OR($B90="",$C90=""),"",$B90&amp;" ("&amp;DAY($C90)&amp;"."&amp;MONTH($C90)&amp;"."&amp;YEAR($C90)&amp;")")</f>
        <v/>
      </c>
      <c r="H90" s="13"/>
      <c r="I90" s="13"/>
      <c r="J90" s="15" t="str">
        <f aca="false">IF($I90="","",$I90+280)</f>
        <v/>
      </c>
      <c r="K90" s="14" t="str">
        <f aca="false">IF(OR($I90="",$AE90&lt;&gt;""),"",INT((Boshqaruv!$C$12-$I90)/7))</f>
        <v/>
      </c>
      <c r="L90" s="14" t="str">
        <f aca="false">IF(OR($C90="",$H90=""),"",INT(($H90-$C90)/365.25))</f>
        <v/>
      </c>
      <c r="M90" s="14" t="str">
        <f aca="false">IF($L90="","",IF($L90&lt;18,"Ha","Yo'q"))</f>
        <v/>
      </c>
      <c r="N90" s="25"/>
      <c r="O90" s="25"/>
      <c r="P90" s="25"/>
      <c r="Q90" s="12"/>
      <c r="R90" s="25"/>
      <c r="S90" s="12"/>
      <c r="T90" s="13"/>
      <c r="U90" s="12"/>
      <c r="V90" s="25"/>
      <c r="W90" s="25"/>
      <c r="X90" s="14" t="str">
        <f aca="false">IF(OR($V90="",$W90=""),"",IF(AND($V90&gt;=Spravochnik!$H$5,$W90&gt;=Spravochnik!$H$6),"Ha","Yo'q"))</f>
        <v/>
      </c>
      <c r="Y90" s="13"/>
      <c r="Z90" s="13"/>
      <c r="AA90" s="13"/>
      <c r="AB90" s="13"/>
      <c r="AC90" s="14" t="str">
        <f aca="false">IF(AND($B90&lt;&gt;"",$AE90="",$AB90&lt;&gt;"",$AB90&lt;Boshqaruv!$C$12),"Ha","")</f>
        <v/>
      </c>
      <c r="AD90" s="25"/>
      <c r="AE90" s="13"/>
      <c r="AF90" s="12"/>
      <c r="AG90" s="14" t="str">
        <f aca="false">IF(OR($B90="",$C90="",$H90=""),"",IF(COUNTIFS($B$5:$B$804,$B90,$C$5:$C$804,$C90,$H$5:$H$804,$H90)&gt;1,"Takror",""))</f>
        <v/>
      </c>
      <c r="AH90" s="28" t="str">
        <f aca="false">IF(AND($B90&lt;&gt;"",$N90="Ha",$H90&lt;&gt;"",$H90&lt;=Boshqaruv!$C$12,OR($AE90="",$AE90&gt;Boshqaruv!$C$12)),MAX($AH$4:$AH89)+1,"")</f>
        <v/>
      </c>
    </row>
    <row r="91" customFormat="false" ht="15" hidden="false" customHeight="false" outlineLevel="0" collapsed="false">
      <c r="A91" s="20" t="n">
        <v>87</v>
      </c>
      <c r="B91" s="12"/>
      <c r="C91" s="13"/>
      <c r="D91" s="24"/>
      <c r="E91" s="12"/>
      <c r="F91" s="25"/>
      <c r="G91" s="27" t="str">
        <f aca="false">IF(OR($B91="",$C91=""),"",$B91&amp;" ("&amp;DAY($C91)&amp;"."&amp;MONTH($C91)&amp;"."&amp;YEAR($C91)&amp;")")</f>
        <v/>
      </c>
      <c r="H91" s="13"/>
      <c r="I91" s="13"/>
      <c r="J91" s="15" t="str">
        <f aca="false">IF($I91="","",$I91+280)</f>
        <v/>
      </c>
      <c r="K91" s="14" t="str">
        <f aca="false">IF(OR($I91="",$AE91&lt;&gt;""),"",INT((Boshqaruv!$C$12-$I91)/7))</f>
        <v/>
      </c>
      <c r="L91" s="14" t="str">
        <f aca="false">IF(OR($C91="",$H91=""),"",INT(($H91-$C91)/365.25))</f>
        <v/>
      </c>
      <c r="M91" s="14" t="str">
        <f aca="false">IF($L91="","",IF($L91&lt;18,"Ha","Yo'q"))</f>
        <v/>
      </c>
      <c r="N91" s="25"/>
      <c r="O91" s="25"/>
      <c r="P91" s="25"/>
      <c r="Q91" s="12"/>
      <c r="R91" s="25"/>
      <c r="S91" s="12"/>
      <c r="T91" s="13"/>
      <c r="U91" s="12"/>
      <c r="V91" s="25"/>
      <c r="W91" s="25"/>
      <c r="X91" s="14" t="str">
        <f aca="false">IF(OR($V91="",$W91=""),"",IF(AND($V91&gt;=Spravochnik!$H$5,$W91&gt;=Spravochnik!$H$6),"Ha","Yo'q"))</f>
        <v/>
      </c>
      <c r="Y91" s="13"/>
      <c r="Z91" s="13"/>
      <c r="AA91" s="13"/>
      <c r="AB91" s="13"/>
      <c r="AC91" s="14" t="str">
        <f aca="false">IF(AND($B91&lt;&gt;"",$AE91="",$AB91&lt;&gt;"",$AB91&lt;Boshqaruv!$C$12),"Ha","")</f>
        <v/>
      </c>
      <c r="AD91" s="25"/>
      <c r="AE91" s="13"/>
      <c r="AF91" s="12"/>
      <c r="AG91" s="14" t="str">
        <f aca="false">IF(OR($B91="",$C91="",$H91=""),"",IF(COUNTIFS($B$5:$B$804,$B91,$C$5:$C$804,$C91,$H$5:$H$804,$H91)&gt;1,"Takror",""))</f>
        <v/>
      </c>
      <c r="AH91" s="28" t="str">
        <f aca="false">IF(AND($B91&lt;&gt;"",$N91="Ha",$H91&lt;&gt;"",$H91&lt;=Boshqaruv!$C$12,OR($AE91="",$AE91&gt;Boshqaruv!$C$12)),MAX($AH$4:$AH90)+1,"")</f>
        <v/>
      </c>
    </row>
    <row r="92" customFormat="false" ht="15" hidden="false" customHeight="false" outlineLevel="0" collapsed="false">
      <c r="A92" s="20" t="n">
        <v>88</v>
      </c>
      <c r="B92" s="12"/>
      <c r="C92" s="13"/>
      <c r="D92" s="24"/>
      <c r="E92" s="12"/>
      <c r="F92" s="25"/>
      <c r="G92" s="27" t="str">
        <f aca="false">IF(OR($B92="",$C92=""),"",$B92&amp;" ("&amp;DAY($C92)&amp;"."&amp;MONTH($C92)&amp;"."&amp;YEAR($C92)&amp;")")</f>
        <v/>
      </c>
      <c r="H92" s="13"/>
      <c r="I92" s="13"/>
      <c r="J92" s="15" t="str">
        <f aca="false">IF($I92="","",$I92+280)</f>
        <v/>
      </c>
      <c r="K92" s="14" t="str">
        <f aca="false">IF(OR($I92="",$AE92&lt;&gt;""),"",INT((Boshqaruv!$C$12-$I92)/7))</f>
        <v/>
      </c>
      <c r="L92" s="14" t="str">
        <f aca="false">IF(OR($C92="",$H92=""),"",INT(($H92-$C92)/365.25))</f>
        <v/>
      </c>
      <c r="M92" s="14" t="str">
        <f aca="false">IF($L92="","",IF($L92&lt;18,"Ha","Yo'q"))</f>
        <v/>
      </c>
      <c r="N92" s="25"/>
      <c r="O92" s="25"/>
      <c r="P92" s="25"/>
      <c r="Q92" s="12"/>
      <c r="R92" s="25"/>
      <c r="S92" s="12"/>
      <c r="T92" s="13"/>
      <c r="U92" s="12"/>
      <c r="V92" s="25"/>
      <c r="W92" s="25"/>
      <c r="X92" s="14" t="str">
        <f aca="false">IF(OR($V92="",$W92=""),"",IF(AND($V92&gt;=Spravochnik!$H$5,$W92&gt;=Spravochnik!$H$6),"Ha","Yo'q"))</f>
        <v/>
      </c>
      <c r="Y92" s="13"/>
      <c r="Z92" s="13"/>
      <c r="AA92" s="13"/>
      <c r="AB92" s="13"/>
      <c r="AC92" s="14" t="str">
        <f aca="false">IF(AND($B92&lt;&gt;"",$AE92="",$AB92&lt;&gt;"",$AB92&lt;Boshqaruv!$C$12),"Ha","")</f>
        <v/>
      </c>
      <c r="AD92" s="25"/>
      <c r="AE92" s="13"/>
      <c r="AF92" s="12"/>
      <c r="AG92" s="14" t="str">
        <f aca="false">IF(OR($B92="",$C92="",$H92=""),"",IF(COUNTIFS($B$5:$B$804,$B92,$C$5:$C$804,$C92,$H$5:$H$804,$H92)&gt;1,"Takror",""))</f>
        <v/>
      </c>
      <c r="AH92" s="28" t="str">
        <f aca="false">IF(AND($B92&lt;&gt;"",$N92="Ha",$H92&lt;&gt;"",$H92&lt;=Boshqaruv!$C$12,OR($AE92="",$AE92&gt;Boshqaruv!$C$12)),MAX($AH$4:$AH91)+1,"")</f>
        <v/>
      </c>
    </row>
    <row r="93" customFormat="false" ht="15" hidden="false" customHeight="false" outlineLevel="0" collapsed="false">
      <c r="A93" s="20" t="n">
        <v>89</v>
      </c>
      <c r="B93" s="12"/>
      <c r="C93" s="13"/>
      <c r="D93" s="24"/>
      <c r="E93" s="12"/>
      <c r="F93" s="25"/>
      <c r="G93" s="27" t="str">
        <f aca="false">IF(OR($B93="",$C93=""),"",$B93&amp;" ("&amp;DAY($C93)&amp;"."&amp;MONTH($C93)&amp;"."&amp;YEAR($C93)&amp;")")</f>
        <v/>
      </c>
      <c r="H93" s="13"/>
      <c r="I93" s="13"/>
      <c r="J93" s="15" t="str">
        <f aca="false">IF($I93="","",$I93+280)</f>
        <v/>
      </c>
      <c r="K93" s="14" t="str">
        <f aca="false">IF(OR($I93="",$AE93&lt;&gt;""),"",INT((Boshqaruv!$C$12-$I93)/7))</f>
        <v/>
      </c>
      <c r="L93" s="14" t="str">
        <f aca="false">IF(OR($C93="",$H93=""),"",INT(($H93-$C93)/365.25))</f>
        <v/>
      </c>
      <c r="M93" s="14" t="str">
        <f aca="false">IF($L93="","",IF($L93&lt;18,"Ha","Yo'q"))</f>
        <v/>
      </c>
      <c r="N93" s="25"/>
      <c r="O93" s="25"/>
      <c r="P93" s="25"/>
      <c r="Q93" s="12"/>
      <c r="R93" s="25"/>
      <c r="S93" s="12"/>
      <c r="T93" s="13"/>
      <c r="U93" s="12"/>
      <c r="V93" s="25"/>
      <c r="W93" s="25"/>
      <c r="X93" s="14" t="str">
        <f aca="false">IF(OR($V93="",$W93=""),"",IF(AND($V93&gt;=Spravochnik!$H$5,$W93&gt;=Spravochnik!$H$6),"Ha","Yo'q"))</f>
        <v/>
      </c>
      <c r="Y93" s="13"/>
      <c r="Z93" s="13"/>
      <c r="AA93" s="13"/>
      <c r="AB93" s="13"/>
      <c r="AC93" s="14" t="str">
        <f aca="false">IF(AND($B93&lt;&gt;"",$AE93="",$AB93&lt;&gt;"",$AB93&lt;Boshqaruv!$C$12),"Ha","")</f>
        <v/>
      </c>
      <c r="AD93" s="25"/>
      <c r="AE93" s="13"/>
      <c r="AF93" s="12"/>
      <c r="AG93" s="14" t="str">
        <f aca="false">IF(OR($B93="",$C93="",$H93=""),"",IF(COUNTIFS($B$5:$B$804,$B93,$C$5:$C$804,$C93,$H$5:$H$804,$H93)&gt;1,"Takror",""))</f>
        <v/>
      </c>
      <c r="AH93" s="28" t="str">
        <f aca="false">IF(AND($B93&lt;&gt;"",$N93="Ha",$H93&lt;&gt;"",$H93&lt;=Boshqaruv!$C$12,OR($AE93="",$AE93&gt;Boshqaruv!$C$12)),MAX($AH$4:$AH92)+1,"")</f>
        <v/>
      </c>
    </row>
    <row r="94" customFormat="false" ht="15" hidden="false" customHeight="false" outlineLevel="0" collapsed="false">
      <c r="A94" s="20" t="n">
        <v>90</v>
      </c>
      <c r="B94" s="12"/>
      <c r="C94" s="13"/>
      <c r="D94" s="24"/>
      <c r="E94" s="12"/>
      <c r="F94" s="25"/>
      <c r="G94" s="27" t="str">
        <f aca="false">IF(OR($B94="",$C94=""),"",$B94&amp;" ("&amp;DAY($C94)&amp;"."&amp;MONTH($C94)&amp;"."&amp;YEAR($C94)&amp;")")</f>
        <v/>
      </c>
      <c r="H94" s="13"/>
      <c r="I94" s="13"/>
      <c r="J94" s="15" t="str">
        <f aca="false">IF($I94="","",$I94+280)</f>
        <v/>
      </c>
      <c r="K94" s="14" t="str">
        <f aca="false">IF(OR($I94="",$AE94&lt;&gt;""),"",INT((Boshqaruv!$C$12-$I94)/7))</f>
        <v/>
      </c>
      <c r="L94" s="14" t="str">
        <f aca="false">IF(OR($C94="",$H94=""),"",INT(($H94-$C94)/365.25))</f>
        <v/>
      </c>
      <c r="M94" s="14" t="str">
        <f aca="false">IF($L94="","",IF($L94&lt;18,"Ha","Yo'q"))</f>
        <v/>
      </c>
      <c r="N94" s="25"/>
      <c r="O94" s="25"/>
      <c r="P94" s="25"/>
      <c r="Q94" s="12"/>
      <c r="R94" s="25"/>
      <c r="S94" s="12"/>
      <c r="T94" s="13"/>
      <c r="U94" s="12"/>
      <c r="V94" s="25"/>
      <c r="W94" s="25"/>
      <c r="X94" s="14" t="str">
        <f aca="false">IF(OR($V94="",$W94=""),"",IF(AND($V94&gt;=Spravochnik!$H$5,$W94&gt;=Spravochnik!$H$6),"Ha","Yo'q"))</f>
        <v/>
      </c>
      <c r="Y94" s="13"/>
      <c r="Z94" s="13"/>
      <c r="AA94" s="13"/>
      <c r="AB94" s="13"/>
      <c r="AC94" s="14" t="str">
        <f aca="false">IF(AND($B94&lt;&gt;"",$AE94="",$AB94&lt;&gt;"",$AB94&lt;Boshqaruv!$C$12),"Ha","")</f>
        <v/>
      </c>
      <c r="AD94" s="25"/>
      <c r="AE94" s="13"/>
      <c r="AF94" s="12"/>
      <c r="AG94" s="14" t="str">
        <f aca="false">IF(OR($B94="",$C94="",$H94=""),"",IF(COUNTIFS($B$5:$B$804,$B94,$C$5:$C$804,$C94,$H$5:$H$804,$H94)&gt;1,"Takror",""))</f>
        <v/>
      </c>
      <c r="AH94" s="28" t="str">
        <f aca="false">IF(AND($B94&lt;&gt;"",$N94="Ha",$H94&lt;&gt;"",$H94&lt;=Boshqaruv!$C$12,OR($AE94="",$AE94&gt;Boshqaruv!$C$12)),MAX($AH$4:$AH93)+1,"")</f>
        <v/>
      </c>
    </row>
    <row r="95" customFormat="false" ht="15" hidden="false" customHeight="false" outlineLevel="0" collapsed="false">
      <c r="A95" s="20" t="n">
        <v>91</v>
      </c>
      <c r="B95" s="12"/>
      <c r="C95" s="13"/>
      <c r="D95" s="24"/>
      <c r="E95" s="12"/>
      <c r="F95" s="25"/>
      <c r="G95" s="27" t="str">
        <f aca="false">IF(OR($B95="",$C95=""),"",$B95&amp;" ("&amp;DAY($C95)&amp;"."&amp;MONTH($C95)&amp;"."&amp;YEAR($C95)&amp;")")</f>
        <v/>
      </c>
      <c r="H95" s="13"/>
      <c r="I95" s="13"/>
      <c r="J95" s="15" t="str">
        <f aca="false">IF($I95="","",$I95+280)</f>
        <v/>
      </c>
      <c r="K95" s="14" t="str">
        <f aca="false">IF(OR($I95="",$AE95&lt;&gt;""),"",INT((Boshqaruv!$C$12-$I95)/7))</f>
        <v/>
      </c>
      <c r="L95" s="14" t="str">
        <f aca="false">IF(OR($C95="",$H95=""),"",INT(($H95-$C95)/365.25))</f>
        <v/>
      </c>
      <c r="M95" s="14" t="str">
        <f aca="false">IF($L95="","",IF($L95&lt;18,"Ha","Yo'q"))</f>
        <v/>
      </c>
      <c r="N95" s="25"/>
      <c r="O95" s="25"/>
      <c r="P95" s="25"/>
      <c r="Q95" s="12"/>
      <c r="R95" s="25"/>
      <c r="S95" s="12"/>
      <c r="T95" s="13"/>
      <c r="U95" s="12"/>
      <c r="V95" s="25"/>
      <c r="W95" s="25"/>
      <c r="X95" s="14" t="str">
        <f aca="false">IF(OR($V95="",$W95=""),"",IF(AND($V95&gt;=Spravochnik!$H$5,$W95&gt;=Spravochnik!$H$6),"Ha","Yo'q"))</f>
        <v/>
      </c>
      <c r="Y95" s="13"/>
      <c r="Z95" s="13"/>
      <c r="AA95" s="13"/>
      <c r="AB95" s="13"/>
      <c r="AC95" s="14" t="str">
        <f aca="false">IF(AND($B95&lt;&gt;"",$AE95="",$AB95&lt;&gt;"",$AB95&lt;Boshqaruv!$C$12),"Ha","")</f>
        <v/>
      </c>
      <c r="AD95" s="25"/>
      <c r="AE95" s="13"/>
      <c r="AF95" s="12"/>
      <c r="AG95" s="14" t="str">
        <f aca="false">IF(OR($B95="",$C95="",$H95=""),"",IF(COUNTIFS($B$5:$B$804,$B95,$C$5:$C$804,$C95,$H$5:$H$804,$H95)&gt;1,"Takror",""))</f>
        <v/>
      </c>
      <c r="AH95" s="28" t="str">
        <f aca="false">IF(AND($B95&lt;&gt;"",$N95="Ha",$H95&lt;&gt;"",$H95&lt;=Boshqaruv!$C$12,OR($AE95="",$AE95&gt;Boshqaruv!$C$12)),MAX($AH$4:$AH94)+1,"")</f>
        <v/>
      </c>
    </row>
    <row r="96" customFormat="false" ht="15" hidden="false" customHeight="false" outlineLevel="0" collapsed="false">
      <c r="A96" s="20" t="n">
        <v>92</v>
      </c>
      <c r="B96" s="12"/>
      <c r="C96" s="13"/>
      <c r="D96" s="24"/>
      <c r="E96" s="12"/>
      <c r="F96" s="25"/>
      <c r="G96" s="27" t="str">
        <f aca="false">IF(OR($B96="",$C96=""),"",$B96&amp;" ("&amp;DAY($C96)&amp;"."&amp;MONTH($C96)&amp;"."&amp;YEAR($C96)&amp;")")</f>
        <v/>
      </c>
      <c r="H96" s="13"/>
      <c r="I96" s="13"/>
      <c r="J96" s="15" t="str">
        <f aca="false">IF($I96="","",$I96+280)</f>
        <v/>
      </c>
      <c r="K96" s="14" t="str">
        <f aca="false">IF(OR($I96="",$AE96&lt;&gt;""),"",INT((Boshqaruv!$C$12-$I96)/7))</f>
        <v/>
      </c>
      <c r="L96" s="14" t="str">
        <f aca="false">IF(OR($C96="",$H96=""),"",INT(($H96-$C96)/365.25))</f>
        <v/>
      </c>
      <c r="M96" s="14" t="str">
        <f aca="false">IF($L96="","",IF($L96&lt;18,"Ha","Yo'q"))</f>
        <v/>
      </c>
      <c r="N96" s="25"/>
      <c r="O96" s="25"/>
      <c r="P96" s="25"/>
      <c r="Q96" s="12"/>
      <c r="R96" s="25"/>
      <c r="S96" s="12"/>
      <c r="T96" s="13"/>
      <c r="U96" s="12"/>
      <c r="V96" s="25"/>
      <c r="W96" s="25"/>
      <c r="X96" s="14" t="str">
        <f aca="false">IF(OR($V96="",$W96=""),"",IF(AND($V96&gt;=Spravochnik!$H$5,$W96&gt;=Spravochnik!$H$6),"Ha","Yo'q"))</f>
        <v/>
      </c>
      <c r="Y96" s="13"/>
      <c r="Z96" s="13"/>
      <c r="AA96" s="13"/>
      <c r="AB96" s="13"/>
      <c r="AC96" s="14" t="str">
        <f aca="false">IF(AND($B96&lt;&gt;"",$AE96="",$AB96&lt;&gt;"",$AB96&lt;Boshqaruv!$C$12),"Ha","")</f>
        <v/>
      </c>
      <c r="AD96" s="25"/>
      <c r="AE96" s="13"/>
      <c r="AF96" s="12"/>
      <c r="AG96" s="14" t="str">
        <f aca="false">IF(OR($B96="",$C96="",$H96=""),"",IF(COUNTIFS($B$5:$B$804,$B96,$C$5:$C$804,$C96,$H$5:$H$804,$H96)&gt;1,"Takror",""))</f>
        <v/>
      </c>
      <c r="AH96" s="28" t="str">
        <f aca="false">IF(AND($B96&lt;&gt;"",$N96="Ha",$H96&lt;&gt;"",$H96&lt;=Boshqaruv!$C$12,OR($AE96="",$AE96&gt;Boshqaruv!$C$12)),MAX($AH$4:$AH95)+1,"")</f>
        <v/>
      </c>
    </row>
    <row r="97" customFormat="false" ht="15" hidden="false" customHeight="false" outlineLevel="0" collapsed="false">
      <c r="A97" s="20" t="n">
        <v>93</v>
      </c>
      <c r="B97" s="12"/>
      <c r="C97" s="13"/>
      <c r="D97" s="24"/>
      <c r="E97" s="12"/>
      <c r="F97" s="25"/>
      <c r="G97" s="27" t="str">
        <f aca="false">IF(OR($B97="",$C97=""),"",$B97&amp;" ("&amp;DAY($C97)&amp;"."&amp;MONTH($C97)&amp;"."&amp;YEAR($C97)&amp;")")</f>
        <v/>
      </c>
      <c r="H97" s="13"/>
      <c r="I97" s="13"/>
      <c r="J97" s="15" t="str">
        <f aca="false">IF($I97="","",$I97+280)</f>
        <v/>
      </c>
      <c r="K97" s="14" t="str">
        <f aca="false">IF(OR($I97="",$AE97&lt;&gt;""),"",INT((Boshqaruv!$C$12-$I97)/7))</f>
        <v/>
      </c>
      <c r="L97" s="14" t="str">
        <f aca="false">IF(OR($C97="",$H97=""),"",INT(($H97-$C97)/365.25))</f>
        <v/>
      </c>
      <c r="M97" s="14" t="str">
        <f aca="false">IF($L97="","",IF($L97&lt;18,"Ha","Yo'q"))</f>
        <v/>
      </c>
      <c r="N97" s="25"/>
      <c r="O97" s="25"/>
      <c r="P97" s="25"/>
      <c r="Q97" s="12"/>
      <c r="R97" s="25"/>
      <c r="S97" s="12"/>
      <c r="T97" s="13"/>
      <c r="U97" s="12"/>
      <c r="V97" s="25"/>
      <c r="W97" s="25"/>
      <c r="X97" s="14" t="str">
        <f aca="false">IF(OR($V97="",$W97=""),"",IF(AND($V97&gt;=Spravochnik!$H$5,$W97&gt;=Spravochnik!$H$6),"Ha","Yo'q"))</f>
        <v/>
      </c>
      <c r="Y97" s="13"/>
      <c r="Z97" s="13"/>
      <c r="AA97" s="13"/>
      <c r="AB97" s="13"/>
      <c r="AC97" s="14" t="str">
        <f aca="false">IF(AND($B97&lt;&gt;"",$AE97="",$AB97&lt;&gt;"",$AB97&lt;Boshqaruv!$C$12),"Ha","")</f>
        <v/>
      </c>
      <c r="AD97" s="25"/>
      <c r="AE97" s="13"/>
      <c r="AF97" s="12"/>
      <c r="AG97" s="14" t="str">
        <f aca="false">IF(OR($B97="",$C97="",$H97=""),"",IF(COUNTIFS($B$5:$B$804,$B97,$C$5:$C$804,$C97,$H$5:$H$804,$H97)&gt;1,"Takror",""))</f>
        <v/>
      </c>
      <c r="AH97" s="28" t="str">
        <f aca="false">IF(AND($B97&lt;&gt;"",$N97="Ha",$H97&lt;&gt;"",$H97&lt;=Boshqaruv!$C$12,OR($AE97="",$AE97&gt;Boshqaruv!$C$12)),MAX($AH$4:$AH96)+1,"")</f>
        <v/>
      </c>
    </row>
    <row r="98" customFormat="false" ht="15" hidden="false" customHeight="false" outlineLevel="0" collapsed="false">
      <c r="A98" s="20" t="n">
        <v>94</v>
      </c>
      <c r="B98" s="12"/>
      <c r="C98" s="13"/>
      <c r="D98" s="24"/>
      <c r="E98" s="12"/>
      <c r="F98" s="25"/>
      <c r="G98" s="27" t="str">
        <f aca="false">IF(OR($B98="",$C98=""),"",$B98&amp;" ("&amp;DAY($C98)&amp;"."&amp;MONTH($C98)&amp;"."&amp;YEAR($C98)&amp;")")</f>
        <v/>
      </c>
      <c r="H98" s="13"/>
      <c r="I98" s="13"/>
      <c r="J98" s="15" t="str">
        <f aca="false">IF($I98="","",$I98+280)</f>
        <v/>
      </c>
      <c r="K98" s="14" t="str">
        <f aca="false">IF(OR($I98="",$AE98&lt;&gt;""),"",INT((Boshqaruv!$C$12-$I98)/7))</f>
        <v/>
      </c>
      <c r="L98" s="14" t="str">
        <f aca="false">IF(OR($C98="",$H98=""),"",INT(($H98-$C98)/365.25))</f>
        <v/>
      </c>
      <c r="M98" s="14" t="str">
        <f aca="false">IF($L98="","",IF($L98&lt;18,"Ha","Yo'q"))</f>
        <v/>
      </c>
      <c r="N98" s="25"/>
      <c r="O98" s="25"/>
      <c r="P98" s="25"/>
      <c r="Q98" s="12"/>
      <c r="R98" s="25"/>
      <c r="S98" s="12"/>
      <c r="T98" s="13"/>
      <c r="U98" s="12"/>
      <c r="V98" s="25"/>
      <c r="W98" s="25"/>
      <c r="X98" s="14" t="str">
        <f aca="false">IF(OR($V98="",$W98=""),"",IF(AND($V98&gt;=Spravochnik!$H$5,$W98&gt;=Spravochnik!$H$6),"Ha","Yo'q"))</f>
        <v/>
      </c>
      <c r="Y98" s="13"/>
      <c r="Z98" s="13"/>
      <c r="AA98" s="13"/>
      <c r="AB98" s="13"/>
      <c r="AC98" s="14" t="str">
        <f aca="false">IF(AND($B98&lt;&gt;"",$AE98="",$AB98&lt;&gt;"",$AB98&lt;Boshqaruv!$C$12),"Ha","")</f>
        <v/>
      </c>
      <c r="AD98" s="25"/>
      <c r="AE98" s="13"/>
      <c r="AF98" s="12"/>
      <c r="AG98" s="14" t="str">
        <f aca="false">IF(OR($B98="",$C98="",$H98=""),"",IF(COUNTIFS($B$5:$B$804,$B98,$C$5:$C$804,$C98,$H$5:$H$804,$H98)&gt;1,"Takror",""))</f>
        <v/>
      </c>
      <c r="AH98" s="28" t="str">
        <f aca="false">IF(AND($B98&lt;&gt;"",$N98="Ha",$H98&lt;&gt;"",$H98&lt;=Boshqaruv!$C$12,OR($AE98="",$AE98&gt;Boshqaruv!$C$12)),MAX($AH$4:$AH97)+1,"")</f>
        <v/>
      </c>
    </row>
    <row r="99" customFormat="false" ht="15" hidden="false" customHeight="false" outlineLevel="0" collapsed="false">
      <c r="A99" s="20" t="n">
        <v>95</v>
      </c>
      <c r="B99" s="12"/>
      <c r="C99" s="13"/>
      <c r="D99" s="24"/>
      <c r="E99" s="12"/>
      <c r="F99" s="25"/>
      <c r="G99" s="27" t="str">
        <f aca="false">IF(OR($B99="",$C99=""),"",$B99&amp;" ("&amp;DAY($C99)&amp;"."&amp;MONTH($C99)&amp;"."&amp;YEAR($C99)&amp;")")</f>
        <v/>
      </c>
      <c r="H99" s="13"/>
      <c r="I99" s="13"/>
      <c r="J99" s="15" t="str">
        <f aca="false">IF($I99="","",$I99+280)</f>
        <v/>
      </c>
      <c r="K99" s="14" t="str">
        <f aca="false">IF(OR($I99="",$AE99&lt;&gt;""),"",INT((Boshqaruv!$C$12-$I99)/7))</f>
        <v/>
      </c>
      <c r="L99" s="14" t="str">
        <f aca="false">IF(OR($C99="",$H99=""),"",INT(($H99-$C99)/365.25))</f>
        <v/>
      </c>
      <c r="M99" s="14" t="str">
        <f aca="false">IF($L99="","",IF($L99&lt;18,"Ha","Yo'q"))</f>
        <v/>
      </c>
      <c r="N99" s="25"/>
      <c r="O99" s="25"/>
      <c r="P99" s="25"/>
      <c r="Q99" s="12"/>
      <c r="R99" s="25"/>
      <c r="S99" s="12"/>
      <c r="T99" s="13"/>
      <c r="U99" s="12"/>
      <c r="V99" s="25"/>
      <c r="W99" s="25"/>
      <c r="X99" s="14" t="str">
        <f aca="false">IF(OR($V99="",$W99=""),"",IF(AND($V99&gt;=Spravochnik!$H$5,$W99&gt;=Spravochnik!$H$6),"Ha","Yo'q"))</f>
        <v/>
      </c>
      <c r="Y99" s="13"/>
      <c r="Z99" s="13"/>
      <c r="AA99" s="13"/>
      <c r="AB99" s="13"/>
      <c r="AC99" s="14" t="str">
        <f aca="false">IF(AND($B99&lt;&gt;"",$AE99="",$AB99&lt;&gt;"",$AB99&lt;Boshqaruv!$C$12),"Ha","")</f>
        <v/>
      </c>
      <c r="AD99" s="25"/>
      <c r="AE99" s="13"/>
      <c r="AF99" s="12"/>
      <c r="AG99" s="14" t="str">
        <f aca="false">IF(OR($B99="",$C99="",$H99=""),"",IF(COUNTIFS($B$5:$B$804,$B99,$C$5:$C$804,$C99,$H$5:$H$804,$H99)&gt;1,"Takror",""))</f>
        <v/>
      </c>
      <c r="AH99" s="28" t="str">
        <f aca="false">IF(AND($B99&lt;&gt;"",$N99="Ha",$H99&lt;&gt;"",$H99&lt;=Boshqaruv!$C$12,OR($AE99="",$AE99&gt;Boshqaruv!$C$12)),MAX($AH$4:$AH98)+1,"")</f>
        <v/>
      </c>
    </row>
    <row r="100" customFormat="false" ht="15" hidden="false" customHeight="false" outlineLevel="0" collapsed="false">
      <c r="A100" s="20" t="n">
        <v>96</v>
      </c>
      <c r="B100" s="12"/>
      <c r="C100" s="13"/>
      <c r="D100" s="24"/>
      <c r="E100" s="12"/>
      <c r="F100" s="25"/>
      <c r="G100" s="27" t="str">
        <f aca="false">IF(OR($B100="",$C100=""),"",$B100&amp;" ("&amp;DAY($C100)&amp;"."&amp;MONTH($C100)&amp;"."&amp;YEAR($C100)&amp;")")</f>
        <v/>
      </c>
      <c r="H100" s="13"/>
      <c r="I100" s="13"/>
      <c r="J100" s="15" t="str">
        <f aca="false">IF($I100="","",$I100+280)</f>
        <v/>
      </c>
      <c r="K100" s="14" t="str">
        <f aca="false">IF(OR($I100="",$AE100&lt;&gt;""),"",INT((Boshqaruv!$C$12-$I100)/7))</f>
        <v/>
      </c>
      <c r="L100" s="14" t="str">
        <f aca="false">IF(OR($C100="",$H100=""),"",INT(($H100-$C100)/365.25))</f>
        <v/>
      </c>
      <c r="M100" s="14" t="str">
        <f aca="false">IF($L100="","",IF($L100&lt;18,"Ha","Yo'q"))</f>
        <v/>
      </c>
      <c r="N100" s="25"/>
      <c r="O100" s="25"/>
      <c r="P100" s="25"/>
      <c r="Q100" s="12"/>
      <c r="R100" s="25"/>
      <c r="S100" s="12"/>
      <c r="T100" s="13"/>
      <c r="U100" s="12"/>
      <c r="V100" s="25"/>
      <c r="W100" s="25"/>
      <c r="X100" s="14" t="str">
        <f aca="false">IF(OR($V100="",$W100=""),"",IF(AND($V100&gt;=Spravochnik!$H$5,$W100&gt;=Spravochnik!$H$6),"Ha","Yo'q"))</f>
        <v/>
      </c>
      <c r="Y100" s="13"/>
      <c r="Z100" s="13"/>
      <c r="AA100" s="13"/>
      <c r="AB100" s="13"/>
      <c r="AC100" s="14" t="str">
        <f aca="false">IF(AND($B100&lt;&gt;"",$AE100="",$AB100&lt;&gt;"",$AB100&lt;Boshqaruv!$C$12),"Ha","")</f>
        <v/>
      </c>
      <c r="AD100" s="25"/>
      <c r="AE100" s="13"/>
      <c r="AF100" s="12"/>
      <c r="AG100" s="14" t="str">
        <f aca="false">IF(OR($B100="",$C100="",$H100=""),"",IF(COUNTIFS($B$5:$B$804,$B100,$C$5:$C$804,$C100,$H$5:$H$804,$H100)&gt;1,"Takror",""))</f>
        <v/>
      </c>
      <c r="AH100" s="28" t="str">
        <f aca="false">IF(AND($B100&lt;&gt;"",$N100="Ha",$H100&lt;&gt;"",$H100&lt;=Boshqaruv!$C$12,OR($AE100="",$AE100&gt;Boshqaruv!$C$12)),MAX($AH$4:$AH99)+1,"")</f>
        <v/>
      </c>
    </row>
    <row r="101" customFormat="false" ht="15" hidden="false" customHeight="false" outlineLevel="0" collapsed="false">
      <c r="A101" s="20" t="n">
        <v>97</v>
      </c>
      <c r="B101" s="12"/>
      <c r="C101" s="13"/>
      <c r="D101" s="24"/>
      <c r="E101" s="12"/>
      <c r="F101" s="25"/>
      <c r="G101" s="27" t="str">
        <f aca="false">IF(OR($B101="",$C101=""),"",$B101&amp;" ("&amp;DAY($C101)&amp;"."&amp;MONTH($C101)&amp;"."&amp;YEAR($C101)&amp;")")</f>
        <v/>
      </c>
      <c r="H101" s="13"/>
      <c r="I101" s="13"/>
      <c r="J101" s="15" t="str">
        <f aca="false">IF($I101="","",$I101+280)</f>
        <v/>
      </c>
      <c r="K101" s="14" t="str">
        <f aca="false">IF(OR($I101="",$AE101&lt;&gt;""),"",INT((Boshqaruv!$C$12-$I101)/7))</f>
        <v/>
      </c>
      <c r="L101" s="14" t="str">
        <f aca="false">IF(OR($C101="",$H101=""),"",INT(($H101-$C101)/365.25))</f>
        <v/>
      </c>
      <c r="M101" s="14" t="str">
        <f aca="false">IF($L101="","",IF($L101&lt;18,"Ha","Yo'q"))</f>
        <v/>
      </c>
      <c r="N101" s="25"/>
      <c r="O101" s="25"/>
      <c r="P101" s="25"/>
      <c r="Q101" s="12"/>
      <c r="R101" s="25"/>
      <c r="S101" s="12"/>
      <c r="T101" s="13"/>
      <c r="U101" s="12"/>
      <c r="V101" s="25"/>
      <c r="W101" s="25"/>
      <c r="X101" s="14" t="str">
        <f aca="false">IF(OR($V101="",$W101=""),"",IF(AND($V101&gt;=Spravochnik!$H$5,$W101&gt;=Spravochnik!$H$6),"Ha","Yo'q"))</f>
        <v/>
      </c>
      <c r="Y101" s="13"/>
      <c r="Z101" s="13"/>
      <c r="AA101" s="13"/>
      <c r="AB101" s="13"/>
      <c r="AC101" s="14" t="str">
        <f aca="false">IF(AND($B101&lt;&gt;"",$AE101="",$AB101&lt;&gt;"",$AB101&lt;Boshqaruv!$C$12),"Ha","")</f>
        <v/>
      </c>
      <c r="AD101" s="25"/>
      <c r="AE101" s="13"/>
      <c r="AF101" s="12"/>
      <c r="AG101" s="14" t="str">
        <f aca="false">IF(OR($B101="",$C101="",$H101=""),"",IF(COUNTIFS($B$5:$B$804,$B101,$C$5:$C$804,$C101,$H$5:$H$804,$H101)&gt;1,"Takror",""))</f>
        <v/>
      </c>
      <c r="AH101" s="28" t="str">
        <f aca="false">IF(AND($B101&lt;&gt;"",$N101="Ha",$H101&lt;&gt;"",$H101&lt;=Boshqaruv!$C$12,OR($AE101="",$AE101&gt;Boshqaruv!$C$12)),MAX($AH$4:$AH100)+1,"")</f>
        <v/>
      </c>
    </row>
    <row r="102" customFormat="false" ht="15" hidden="false" customHeight="false" outlineLevel="0" collapsed="false">
      <c r="A102" s="20" t="n">
        <v>98</v>
      </c>
      <c r="B102" s="12"/>
      <c r="C102" s="13"/>
      <c r="D102" s="24"/>
      <c r="E102" s="12"/>
      <c r="F102" s="25"/>
      <c r="G102" s="27" t="str">
        <f aca="false">IF(OR($B102="",$C102=""),"",$B102&amp;" ("&amp;DAY($C102)&amp;"."&amp;MONTH($C102)&amp;"."&amp;YEAR($C102)&amp;")")</f>
        <v/>
      </c>
      <c r="H102" s="13"/>
      <c r="I102" s="13"/>
      <c r="J102" s="15" t="str">
        <f aca="false">IF($I102="","",$I102+280)</f>
        <v/>
      </c>
      <c r="K102" s="14" t="str">
        <f aca="false">IF(OR($I102="",$AE102&lt;&gt;""),"",INT((Boshqaruv!$C$12-$I102)/7))</f>
        <v/>
      </c>
      <c r="L102" s="14" t="str">
        <f aca="false">IF(OR($C102="",$H102=""),"",INT(($H102-$C102)/365.25))</f>
        <v/>
      </c>
      <c r="M102" s="14" t="str">
        <f aca="false">IF($L102="","",IF($L102&lt;18,"Ha","Yo'q"))</f>
        <v/>
      </c>
      <c r="N102" s="25"/>
      <c r="O102" s="25"/>
      <c r="P102" s="25"/>
      <c r="Q102" s="12"/>
      <c r="R102" s="25"/>
      <c r="S102" s="12"/>
      <c r="T102" s="13"/>
      <c r="U102" s="12"/>
      <c r="V102" s="25"/>
      <c r="W102" s="25"/>
      <c r="X102" s="14" t="str">
        <f aca="false">IF(OR($V102="",$W102=""),"",IF(AND($V102&gt;=Spravochnik!$H$5,$W102&gt;=Spravochnik!$H$6),"Ha","Yo'q"))</f>
        <v/>
      </c>
      <c r="Y102" s="13"/>
      <c r="Z102" s="13"/>
      <c r="AA102" s="13"/>
      <c r="AB102" s="13"/>
      <c r="AC102" s="14" t="str">
        <f aca="false">IF(AND($B102&lt;&gt;"",$AE102="",$AB102&lt;&gt;"",$AB102&lt;Boshqaruv!$C$12),"Ha","")</f>
        <v/>
      </c>
      <c r="AD102" s="25"/>
      <c r="AE102" s="13"/>
      <c r="AF102" s="12"/>
      <c r="AG102" s="14" t="str">
        <f aca="false">IF(OR($B102="",$C102="",$H102=""),"",IF(COUNTIFS($B$5:$B$804,$B102,$C$5:$C$804,$C102,$H$5:$H$804,$H102)&gt;1,"Takror",""))</f>
        <v/>
      </c>
      <c r="AH102" s="28" t="str">
        <f aca="false">IF(AND($B102&lt;&gt;"",$N102="Ha",$H102&lt;&gt;"",$H102&lt;=Boshqaruv!$C$12,OR($AE102="",$AE102&gt;Boshqaruv!$C$12)),MAX($AH$4:$AH101)+1,"")</f>
        <v/>
      </c>
    </row>
    <row r="103" customFormat="false" ht="15" hidden="false" customHeight="false" outlineLevel="0" collapsed="false">
      <c r="A103" s="20" t="n">
        <v>99</v>
      </c>
      <c r="B103" s="12"/>
      <c r="C103" s="13"/>
      <c r="D103" s="24"/>
      <c r="E103" s="12"/>
      <c r="F103" s="25"/>
      <c r="G103" s="27" t="str">
        <f aca="false">IF(OR($B103="",$C103=""),"",$B103&amp;" ("&amp;DAY($C103)&amp;"."&amp;MONTH($C103)&amp;"."&amp;YEAR($C103)&amp;")")</f>
        <v/>
      </c>
      <c r="H103" s="13"/>
      <c r="I103" s="13"/>
      <c r="J103" s="15" t="str">
        <f aca="false">IF($I103="","",$I103+280)</f>
        <v/>
      </c>
      <c r="K103" s="14" t="str">
        <f aca="false">IF(OR($I103="",$AE103&lt;&gt;""),"",INT((Boshqaruv!$C$12-$I103)/7))</f>
        <v/>
      </c>
      <c r="L103" s="14" t="str">
        <f aca="false">IF(OR($C103="",$H103=""),"",INT(($H103-$C103)/365.25))</f>
        <v/>
      </c>
      <c r="M103" s="14" t="str">
        <f aca="false">IF($L103="","",IF($L103&lt;18,"Ha","Yo'q"))</f>
        <v/>
      </c>
      <c r="N103" s="25"/>
      <c r="O103" s="25"/>
      <c r="P103" s="25"/>
      <c r="Q103" s="12"/>
      <c r="R103" s="25"/>
      <c r="S103" s="12"/>
      <c r="T103" s="13"/>
      <c r="U103" s="12"/>
      <c r="V103" s="25"/>
      <c r="W103" s="25"/>
      <c r="X103" s="14" t="str">
        <f aca="false">IF(OR($V103="",$W103=""),"",IF(AND($V103&gt;=Spravochnik!$H$5,$W103&gt;=Spravochnik!$H$6),"Ha","Yo'q"))</f>
        <v/>
      </c>
      <c r="Y103" s="13"/>
      <c r="Z103" s="13"/>
      <c r="AA103" s="13"/>
      <c r="AB103" s="13"/>
      <c r="AC103" s="14" t="str">
        <f aca="false">IF(AND($B103&lt;&gt;"",$AE103="",$AB103&lt;&gt;"",$AB103&lt;Boshqaruv!$C$12),"Ha","")</f>
        <v/>
      </c>
      <c r="AD103" s="25"/>
      <c r="AE103" s="13"/>
      <c r="AF103" s="12"/>
      <c r="AG103" s="14" t="str">
        <f aca="false">IF(OR($B103="",$C103="",$H103=""),"",IF(COUNTIFS($B$5:$B$804,$B103,$C$5:$C$804,$C103,$H$5:$H$804,$H103)&gt;1,"Takror",""))</f>
        <v/>
      </c>
      <c r="AH103" s="28" t="str">
        <f aca="false">IF(AND($B103&lt;&gt;"",$N103="Ha",$H103&lt;&gt;"",$H103&lt;=Boshqaruv!$C$12,OR($AE103="",$AE103&gt;Boshqaruv!$C$12)),MAX($AH$4:$AH102)+1,"")</f>
        <v/>
      </c>
    </row>
    <row r="104" customFormat="false" ht="15" hidden="false" customHeight="false" outlineLevel="0" collapsed="false">
      <c r="A104" s="20" t="n">
        <v>100</v>
      </c>
      <c r="B104" s="12"/>
      <c r="C104" s="13"/>
      <c r="D104" s="24"/>
      <c r="E104" s="12"/>
      <c r="F104" s="25"/>
      <c r="G104" s="27" t="str">
        <f aca="false">IF(OR($B104="",$C104=""),"",$B104&amp;" ("&amp;DAY($C104)&amp;"."&amp;MONTH($C104)&amp;"."&amp;YEAR($C104)&amp;")")</f>
        <v/>
      </c>
      <c r="H104" s="13"/>
      <c r="I104" s="13"/>
      <c r="J104" s="15" t="str">
        <f aca="false">IF($I104="","",$I104+280)</f>
        <v/>
      </c>
      <c r="K104" s="14" t="str">
        <f aca="false">IF(OR($I104="",$AE104&lt;&gt;""),"",INT((Boshqaruv!$C$12-$I104)/7))</f>
        <v/>
      </c>
      <c r="L104" s="14" t="str">
        <f aca="false">IF(OR($C104="",$H104=""),"",INT(($H104-$C104)/365.25))</f>
        <v/>
      </c>
      <c r="M104" s="14" t="str">
        <f aca="false">IF($L104="","",IF($L104&lt;18,"Ha","Yo'q"))</f>
        <v/>
      </c>
      <c r="N104" s="25"/>
      <c r="O104" s="25"/>
      <c r="P104" s="25"/>
      <c r="Q104" s="12"/>
      <c r="R104" s="25"/>
      <c r="S104" s="12"/>
      <c r="T104" s="13"/>
      <c r="U104" s="12"/>
      <c r="V104" s="25"/>
      <c r="W104" s="25"/>
      <c r="X104" s="14" t="str">
        <f aca="false">IF(OR($V104="",$W104=""),"",IF(AND($V104&gt;=Spravochnik!$H$5,$W104&gt;=Spravochnik!$H$6),"Ha","Yo'q"))</f>
        <v/>
      </c>
      <c r="Y104" s="13"/>
      <c r="Z104" s="13"/>
      <c r="AA104" s="13"/>
      <c r="AB104" s="13"/>
      <c r="AC104" s="14" t="str">
        <f aca="false">IF(AND($B104&lt;&gt;"",$AE104="",$AB104&lt;&gt;"",$AB104&lt;Boshqaruv!$C$12),"Ha","")</f>
        <v/>
      </c>
      <c r="AD104" s="25"/>
      <c r="AE104" s="13"/>
      <c r="AF104" s="12"/>
      <c r="AG104" s="14" t="str">
        <f aca="false">IF(OR($B104="",$C104="",$H104=""),"",IF(COUNTIFS($B$5:$B$804,$B104,$C$5:$C$804,$C104,$H$5:$H$804,$H104)&gt;1,"Takror",""))</f>
        <v/>
      </c>
      <c r="AH104" s="28" t="str">
        <f aca="false">IF(AND($B104&lt;&gt;"",$N104="Ha",$H104&lt;&gt;"",$H104&lt;=Boshqaruv!$C$12,OR($AE104="",$AE104&gt;Boshqaruv!$C$12)),MAX($AH$4:$AH103)+1,"")</f>
        <v/>
      </c>
    </row>
    <row r="105" customFormat="false" ht="15" hidden="false" customHeight="false" outlineLevel="0" collapsed="false">
      <c r="A105" s="20" t="n">
        <v>101</v>
      </c>
      <c r="B105" s="12"/>
      <c r="C105" s="13"/>
      <c r="D105" s="24"/>
      <c r="E105" s="12"/>
      <c r="F105" s="25"/>
      <c r="G105" s="27" t="str">
        <f aca="false">IF(OR($B105="",$C105=""),"",$B105&amp;" ("&amp;DAY($C105)&amp;"."&amp;MONTH($C105)&amp;"."&amp;YEAR($C105)&amp;")")</f>
        <v/>
      </c>
      <c r="H105" s="13"/>
      <c r="I105" s="13"/>
      <c r="J105" s="15" t="str">
        <f aca="false">IF($I105="","",$I105+280)</f>
        <v/>
      </c>
      <c r="K105" s="14" t="str">
        <f aca="false">IF(OR($I105="",$AE105&lt;&gt;""),"",INT((Boshqaruv!$C$12-$I105)/7))</f>
        <v/>
      </c>
      <c r="L105" s="14" t="str">
        <f aca="false">IF(OR($C105="",$H105=""),"",INT(($H105-$C105)/365.25))</f>
        <v/>
      </c>
      <c r="M105" s="14" t="str">
        <f aca="false">IF($L105="","",IF($L105&lt;18,"Ha","Yo'q"))</f>
        <v/>
      </c>
      <c r="N105" s="25"/>
      <c r="O105" s="25"/>
      <c r="P105" s="25"/>
      <c r="Q105" s="12"/>
      <c r="R105" s="25"/>
      <c r="S105" s="12"/>
      <c r="T105" s="13"/>
      <c r="U105" s="12"/>
      <c r="V105" s="25"/>
      <c r="W105" s="25"/>
      <c r="X105" s="14" t="str">
        <f aca="false">IF(OR($V105="",$W105=""),"",IF(AND($V105&gt;=Spravochnik!$H$5,$W105&gt;=Spravochnik!$H$6),"Ha","Yo'q"))</f>
        <v/>
      </c>
      <c r="Y105" s="13"/>
      <c r="Z105" s="13"/>
      <c r="AA105" s="13"/>
      <c r="AB105" s="13"/>
      <c r="AC105" s="14" t="str">
        <f aca="false">IF(AND($B105&lt;&gt;"",$AE105="",$AB105&lt;&gt;"",$AB105&lt;Boshqaruv!$C$12),"Ha","")</f>
        <v/>
      </c>
      <c r="AD105" s="25"/>
      <c r="AE105" s="13"/>
      <c r="AF105" s="12"/>
      <c r="AG105" s="14" t="str">
        <f aca="false">IF(OR($B105="",$C105="",$H105=""),"",IF(COUNTIFS($B$5:$B$804,$B105,$C$5:$C$804,$C105,$H$5:$H$804,$H105)&gt;1,"Takror",""))</f>
        <v/>
      </c>
      <c r="AH105" s="28" t="str">
        <f aca="false">IF(AND($B105&lt;&gt;"",$N105="Ha",$H105&lt;&gt;"",$H105&lt;=Boshqaruv!$C$12,OR($AE105="",$AE105&gt;Boshqaruv!$C$12)),MAX($AH$4:$AH104)+1,"")</f>
        <v/>
      </c>
    </row>
    <row r="106" customFormat="false" ht="15" hidden="false" customHeight="false" outlineLevel="0" collapsed="false">
      <c r="A106" s="20" t="n">
        <v>102</v>
      </c>
      <c r="B106" s="12"/>
      <c r="C106" s="13"/>
      <c r="D106" s="24"/>
      <c r="E106" s="12"/>
      <c r="F106" s="25"/>
      <c r="G106" s="27" t="str">
        <f aca="false">IF(OR($B106="",$C106=""),"",$B106&amp;" ("&amp;DAY($C106)&amp;"."&amp;MONTH($C106)&amp;"."&amp;YEAR($C106)&amp;")")</f>
        <v/>
      </c>
      <c r="H106" s="13"/>
      <c r="I106" s="13"/>
      <c r="J106" s="15" t="str">
        <f aca="false">IF($I106="","",$I106+280)</f>
        <v/>
      </c>
      <c r="K106" s="14" t="str">
        <f aca="false">IF(OR($I106="",$AE106&lt;&gt;""),"",INT((Boshqaruv!$C$12-$I106)/7))</f>
        <v/>
      </c>
      <c r="L106" s="14" t="str">
        <f aca="false">IF(OR($C106="",$H106=""),"",INT(($H106-$C106)/365.25))</f>
        <v/>
      </c>
      <c r="M106" s="14" t="str">
        <f aca="false">IF($L106="","",IF($L106&lt;18,"Ha","Yo'q"))</f>
        <v/>
      </c>
      <c r="N106" s="25"/>
      <c r="O106" s="25"/>
      <c r="P106" s="25"/>
      <c r="Q106" s="12"/>
      <c r="R106" s="25"/>
      <c r="S106" s="12"/>
      <c r="T106" s="13"/>
      <c r="U106" s="12"/>
      <c r="V106" s="25"/>
      <c r="W106" s="25"/>
      <c r="X106" s="14" t="str">
        <f aca="false">IF(OR($V106="",$W106=""),"",IF(AND($V106&gt;=Spravochnik!$H$5,$W106&gt;=Spravochnik!$H$6),"Ha","Yo'q"))</f>
        <v/>
      </c>
      <c r="Y106" s="13"/>
      <c r="Z106" s="13"/>
      <c r="AA106" s="13"/>
      <c r="AB106" s="13"/>
      <c r="AC106" s="14" t="str">
        <f aca="false">IF(AND($B106&lt;&gt;"",$AE106="",$AB106&lt;&gt;"",$AB106&lt;Boshqaruv!$C$12),"Ha","")</f>
        <v/>
      </c>
      <c r="AD106" s="25"/>
      <c r="AE106" s="13"/>
      <c r="AF106" s="12"/>
      <c r="AG106" s="14" t="str">
        <f aca="false">IF(OR($B106="",$C106="",$H106=""),"",IF(COUNTIFS($B$5:$B$804,$B106,$C$5:$C$804,$C106,$H$5:$H$804,$H106)&gt;1,"Takror",""))</f>
        <v/>
      </c>
      <c r="AH106" s="28" t="str">
        <f aca="false">IF(AND($B106&lt;&gt;"",$N106="Ha",$H106&lt;&gt;"",$H106&lt;=Boshqaruv!$C$12,OR($AE106="",$AE106&gt;Boshqaruv!$C$12)),MAX($AH$4:$AH105)+1,"")</f>
        <v/>
      </c>
    </row>
    <row r="107" customFormat="false" ht="15" hidden="false" customHeight="false" outlineLevel="0" collapsed="false">
      <c r="A107" s="20" t="n">
        <v>103</v>
      </c>
      <c r="B107" s="12"/>
      <c r="C107" s="13"/>
      <c r="D107" s="24"/>
      <c r="E107" s="12"/>
      <c r="F107" s="25"/>
      <c r="G107" s="27" t="str">
        <f aca="false">IF(OR($B107="",$C107=""),"",$B107&amp;" ("&amp;DAY($C107)&amp;"."&amp;MONTH($C107)&amp;"."&amp;YEAR($C107)&amp;")")</f>
        <v/>
      </c>
      <c r="H107" s="13"/>
      <c r="I107" s="13"/>
      <c r="J107" s="15" t="str">
        <f aca="false">IF($I107="","",$I107+280)</f>
        <v/>
      </c>
      <c r="K107" s="14" t="str">
        <f aca="false">IF(OR($I107="",$AE107&lt;&gt;""),"",INT((Boshqaruv!$C$12-$I107)/7))</f>
        <v/>
      </c>
      <c r="L107" s="14" t="str">
        <f aca="false">IF(OR($C107="",$H107=""),"",INT(($H107-$C107)/365.25))</f>
        <v/>
      </c>
      <c r="M107" s="14" t="str">
        <f aca="false">IF($L107="","",IF($L107&lt;18,"Ha","Yo'q"))</f>
        <v/>
      </c>
      <c r="N107" s="25"/>
      <c r="O107" s="25"/>
      <c r="P107" s="25"/>
      <c r="Q107" s="12"/>
      <c r="R107" s="25"/>
      <c r="S107" s="12"/>
      <c r="T107" s="13"/>
      <c r="U107" s="12"/>
      <c r="V107" s="25"/>
      <c r="W107" s="25"/>
      <c r="X107" s="14" t="str">
        <f aca="false">IF(OR($V107="",$W107=""),"",IF(AND($V107&gt;=Spravochnik!$H$5,$W107&gt;=Spravochnik!$H$6),"Ha","Yo'q"))</f>
        <v/>
      </c>
      <c r="Y107" s="13"/>
      <c r="Z107" s="13"/>
      <c r="AA107" s="13"/>
      <c r="AB107" s="13"/>
      <c r="AC107" s="14" t="str">
        <f aca="false">IF(AND($B107&lt;&gt;"",$AE107="",$AB107&lt;&gt;"",$AB107&lt;Boshqaruv!$C$12),"Ha","")</f>
        <v/>
      </c>
      <c r="AD107" s="25"/>
      <c r="AE107" s="13"/>
      <c r="AF107" s="12"/>
      <c r="AG107" s="14" t="str">
        <f aca="false">IF(OR($B107="",$C107="",$H107=""),"",IF(COUNTIFS($B$5:$B$804,$B107,$C$5:$C$804,$C107,$H$5:$H$804,$H107)&gt;1,"Takror",""))</f>
        <v/>
      </c>
      <c r="AH107" s="28" t="str">
        <f aca="false">IF(AND($B107&lt;&gt;"",$N107="Ha",$H107&lt;&gt;"",$H107&lt;=Boshqaruv!$C$12,OR($AE107="",$AE107&gt;Boshqaruv!$C$12)),MAX($AH$4:$AH106)+1,"")</f>
        <v/>
      </c>
    </row>
    <row r="108" customFormat="false" ht="15" hidden="false" customHeight="false" outlineLevel="0" collapsed="false">
      <c r="A108" s="20" t="n">
        <v>104</v>
      </c>
      <c r="B108" s="12"/>
      <c r="C108" s="13"/>
      <c r="D108" s="24"/>
      <c r="E108" s="12"/>
      <c r="F108" s="25"/>
      <c r="G108" s="27" t="str">
        <f aca="false">IF(OR($B108="",$C108=""),"",$B108&amp;" ("&amp;DAY($C108)&amp;"."&amp;MONTH($C108)&amp;"."&amp;YEAR($C108)&amp;")")</f>
        <v/>
      </c>
      <c r="H108" s="13"/>
      <c r="I108" s="13"/>
      <c r="J108" s="15" t="str">
        <f aca="false">IF($I108="","",$I108+280)</f>
        <v/>
      </c>
      <c r="K108" s="14" t="str">
        <f aca="false">IF(OR($I108="",$AE108&lt;&gt;""),"",INT((Boshqaruv!$C$12-$I108)/7))</f>
        <v/>
      </c>
      <c r="L108" s="14" t="str">
        <f aca="false">IF(OR($C108="",$H108=""),"",INT(($H108-$C108)/365.25))</f>
        <v/>
      </c>
      <c r="M108" s="14" t="str">
        <f aca="false">IF($L108="","",IF($L108&lt;18,"Ha","Yo'q"))</f>
        <v/>
      </c>
      <c r="N108" s="25"/>
      <c r="O108" s="25"/>
      <c r="P108" s="25"/>
      <c r="Q108" s="12"/>
      <c r="R108" s="25"/>
      <c r="S108" s="12"/>
      <c r="T108" s="13"/>
      <c r="U108" s="12"/>
      <c r="V108" s="25"/>
      <c r="W108" s="25"/>
      <c r="X108" s="14" t="str">
        <f aca="false">IF(OR($V108="",$W108=""),"",IF(AND($V108&gt;=Spravochnik!$H$5,$W108&gt;=Spravochnik!$H$6),"Ha","Yo'q"))</f>
        <v/>
      </c>
      <c r="Y108" s="13"/>
      <c r="Z108" s="13"/>
      <c r="AA108" s="13"/>
      <c r="AB108" s="13"/>
      <c r="AC108" s="14" t="str">
        <f aca="false">IF(AND($B108&lt;&gt;"",$AE108="",$AB108&lt;&gt;"",$AB108&lt;Boshqaruv!$C$12),"Ha","")</f>
        <v/>
      </c>
      <c r="AD108" s="25"/>
      <c r="AE108" s="13"/>
      <c r="AF108" s="12"/>
      <c r="AG108" s="14" t="str">
        <f aca="false">IF(OR($B108="",$C108="",$H108=""),"",IF(COUNTIFS($B$5:$B$804,$B108,$C$5:$C$804,$C108,$H$5:$H$804,$H108)&gt;1,"Takror",""))</f>
        <v/>
      </c>
      <c r="AH108" s="28" t="str">
        <f aca="false">IF(AND($B108&lt;&gt;"",$N108="Ha",$H108&lt;&gt;"",$H108&lt;=Boshqaruv!$C$12,OR($AE108="",$AE108&gt;Boshqaruv!$C$12)),MAX($AH$4:$AH107)+1,"")</f>
        <v/>
      </c>
    </row>
    <row r="109" customFormat="false" ht="15" hidden="false" customHeight="false" outlineLevel="0" collapsed="false">
      <c r="A109" s="20" t="n">
        <v>105</v>
      </c>
      <c r="B109" s="12"/>
      <c r="C109" s="13"/>
      <c r="D109" s="24"/>
      <c r="E109" s="12"/>
      <c r="F109" s="25"/>
      <c r="G109" s="27" t="str">
        <f aca="false">IF(OR($B109="",$C109=""),"",$B109&amp;" ("&amp;DAY($C109)&amp;"."&amp;MONTH($C109)&amp;"."&amp;YEAR($C109)&amp;")")</f>
        <v/>
      </c>
      <c r="H109" s="13"/>
      <c r="I109" s="13"/>
      <c r="J109" s="15" t="str">
        <f aca="false">IF($I109="","",$I109+280)</f>
        <v/>
      </c>
      <c r="K109" s="14" t="str">
        <f aca="false">IF(OR($I109="",$AE109&lt;&gt;""),"",INT((Boshqaruv!$C$12-$I109)/7))</f>
        <v/>
      </c>
      <c r="L109" s="14" t="str">
        <f aca="false">IF(OR($C109="",$H109=""),"",INT(($H109-$C109)/365.25))</f>
        <v/>
      </c>
      <c r="M109" s="14" t="str">
        <f aca="false">IF($L109="","",IF($L109&lt;18,"Ha","Yo'q"))</f>
        <v/>
      </c>
      <c r="N109" s="25"/>
      <c r="O109" s="25"/>
      <c r="P109" s="25"/>
      <c r="Q109" s="12"/>
      <c r="R109" s="25"/>
      <c r="S109" s="12"/>
      <c r="T109" s="13"/>
      <c r="U109" s="12"/>
      <c r="V109" s="25"/>
      <c r="W109" s="25"/>
      <c r="X109" s="14" t="str">
        <f aca="false">IF(OR($V109="",$W109=""),"",IF(AND($V109&gt;=Spravochnik!$H$5,$W109&gt;=Spravochnik!$H$6),"Ha","Yo'q"))</f>
        <v/>
      </c>
      <c r="Y109" s="13"/>
      <c r="Z109" s="13"/>
      <c r="AA109" s="13"/>
      <c r="AB109" s="13"/>
      <c r="AC109" s="14" t="str">
        <f aca="false">IF(AND($B109&lt;&gt;"",$AE109="",$AB109&lt;&gt;"",$AB109&lt;Boshqaruv!$C$12),"Ha","")</f>
        <v/>
      </c>
      <c r="AD109" s="25"/>
      <c r="AE109" s="13"/>
      <c r="AF109" s="12"/>
      <c r="AG109" s="14" t="str">
        <f aca="false">IF(OR($B109="",$C109="",$H109=""),"",IF(COUNTIFS($B$5:$B$804,$B109,$C$5:$C$804,$C109,$H$5:$H$804,$H109)&gt;1,"Takror",""))</f>
        <v/>
      </c>
      <c r="AH109" s="28" t="str">
        <f aca="false">IF(AND($B109&lt;&gt;"",$N109="Ha",$H109&lt;&gt;"",$H109&lt;=Boshqaruv!$C$12,OR($AE109="",$AE109&gt;Boshqaruv!$C$12)),MAX($AH$4:$AH108)+1,"")</f>
        <v/>
      </c>
    </row>
    <row r="110" customFormat="false" ht="15" hidden="false" customHeight="false" outlineLevel="0" collapsed="false">
      <c r="A110" s="20" t="n">
        <v>106</v>
      </c>
      <c r="B110" s="12"/>
      <c r="C110" s="13"/>
      <c r="D110" s="24"/>
      <c r="E110" s="12"/>
      <c r="F110" s="25"/>
      <c r="G110" s="27" t="str">
        <f aca="false">IF(OR($B110="",$C110=""),"",$B110&amp;" ("&amp;DAY($C110)&amp;"."&amp;MONTH($C110)&amp;"."&amp;YEAR($C110)&amp;")")</f>
        <v/>
      </c>
      <c r="H110" s="13"/>
      <c r="I110" s="13"/>
      <c r="J110" s="15" t="str">
        <f aca="false">IF($I110="","",$I110+280)</f>
        <v/>
      </c>
      <c r="K110" s="14" t="str">
        <f aca="false">IF(OR($I110="",$AE110&lt;&gt;""),"",INT((Boshqaruv!$C$12-$I110)/7))</f>
        <v/>
      </c>
      <c r="L110" s="14" t="str">
        <f aca="false">IF(OR($C110="",$H110=""),"",INT(($H110-$C110)/365.25))</f>
        <v/>
      </c>
      <c r="M110" s="14" t="str">
        <f aca="false">IF($L110="","",IF($L110&lt;18,"Ha","Yo'q"))</f>
        <v/>
      </c>
      <c r="N110" s="25"/>
      <c r="O110" s="25"/>
      <c r="P110" s="25"/>
      <c r="Q110" s="12"/>
      <c r="R110" s="25"/>
      <c r="S110" s="12"/>
      <c r="T110" s="13"/>
      <c r="U110" s="12"/>
      <c r="V110" s="25"/>
      <c r="W110" s="25"/>
      <c r="X110" s="14" t="str">
        <f aca="false">IF(OR($V110="",$W110=""),"",IF(AND($V110&gt;=Spravochnik!$H$5,$W110&gt;=Spravochnik!$H$6),"Ha","Yo'q"))</f>
        <v/>
      </c>
      <c r="Y110" s="13"/>
      <c r="Z110" s="13"/>
      <c r="AA110" s="13"/>
      <c r="AB110" s="13"/>
      <c r="AC110" s="14" t="str">
        <f aca="false">IF(AND($B110&lt;&gt;"",$AE110="",$AB110&lt;&gt;"",$AB110&lt;Boshqaruv!$C$12),"Ha","")</f>
        <v/>
      </c>
      <c r="AD110" s="25"/>
      <c r="AE110" s="13"/>
      <c r="AF110" s="12"/>
      <c r="AG110" s="14" t="str">
        <f aca="false">IF(OR($B110="",$C110="",$H110=""),"",IF(COUNTIFS($B$5:$B$804,$B110,$C$5:$C$804,$C110,$H$5:$H$804,$H110)&gt;1,"Takror",""))</f>
        <v/>
      </c>
      <c r="AH110" s="28" t="str">
        <f aca="false">IF(AND($B110&lt;&gt;"",$N110="Ha",$H110&lt;&gt;"",$H110&lt;=Boshqaruv!$C$12,OR($AE110="",$AE110&gt;Boshqaruv!$C$12)),MAX($AH$4:$AH109)+1,"")</f>
        <v/>
      </c>
    </row>
    <row r="111" customFormat="false" ht="15" hidden="false" customHeight="false" outlineLevel="0" collapsed="false">
      <c r="A111" s="20" t="n">
        <v>107</v>
      </c>
      <c r="B111" s="12"/>
      <c r="C111" s="13"/>
      <c r="D111" s="24"/>
      <c r="E111" s="12"/>
      <c r="F111" s="25"/>
      <c r="G111" s="27" t="str">
        <f aca="false">IF(OR($B111="",$C111=""),"",$B111&amp;" ("&amp;DAY($C111)&amp;"."&amp;MONTH($C111)&amp;"."&amp;YEAR($C111)&amp;")")</f>
        <v/>
      </c>
      <c r="H111" s="13"/>
      <c r="I111" s="13"/>
      <c r="J111" s="15" t="str">
        <f aca="false">IF($I111="","",$I111+280)</f>
        <v/>
      </c>
      <c r="K111" s="14" t="str">
        <f aca="false">IF(OR($I111="",$AE111&lt;&gt;""),"",INT((Boshqaruv!$C$12-$I111)/7))</f>
        <v/>
      </c>
      <c r="L111" s="14" t="str">
        <f aca="false">IF(OR($C111="",$H111=""),"",INT(($H111-$C111)/365.25))</f>
        <v/>
      </c>
      <c r="M111" s="14" t="str">
        <f aca="false">IF($L111="","",IF($L111&lt;18,"Ha","Yo'q"))</f>
        <v/>
      </c>
      <c r="N111" s="25"/>
      <c r="O111" s="25"/>
      <c r="P111" s="25"/>
      <c r="Q111" s="12"/>
      <c r="R111" s="25"/>
      <c r="S111" s="12"/>
      <c r="T111" s="13"/>
      <c r="U111" s="12"/>
      <c r="V111" s="25"/>
      <c r="W111" s="25"/>
      <c r="X111" s="14" t="str">
        <f aca="false">IF(OR($V111="",$W111=""),"",IF(AND($V111&gt;=Spravochnik!$H$5,$W111&gt;=Spravochnik!$H$6),"Ha","Yo'q"))</f>
        <v/>
      </c>
      <c r="Y111" s="13"/>
      <c r="Z111" s="13"/>
      <c r="AA111" s="13"/>
      <c r="AB111" s="13"/>
      <c r="AC111" s="14" t="str">
        <f aca="false">IF(AND($B111&lt;&gt;"",$AE111="",$AB111&lt;&gt;"",$AB111&lt;Boshqaruv!$C$12),"Ha","")</f>
        <v/>
      </c>
      <c r="AD111" s="25"/>
      <c r="AE111" s="13"/>
      <c r="AF111" s="12"/>
      <c r="AG111" s="14" t="str">
        <f aca="false">IF(OR($B111="",$C111="",$H111=""),"",IF(COUNTIFS($B$5:$B$804,$B111,$C$5:$C$804,$C111,$H$5:$H$804,$H111)&gt;1,"Takror",""))</f>
        <v/>
      </c>
      <c r="AH111" s="28" t="str">
        <f aca="false">IF(AND($B111&lt;&gt;"",$N111="Ha",$H111&lt;&gt;"",$H111&lt;=Boshqaruv!$C$12,OR($AE111="",$AE111&gt;Boshqaruv!$C$12)),MAX($AH$4:$AH110)+1,"")</f>
        <v/>
      </c>
    </row>
    <row r="112" customFormat="false" ht="15" hidden="false" customHeight="false" outlineLevel="0" collapsed="false">
      <c r="A112" s="20" t="n">
        <v>108</v>
      </c>
      <c r="B112" s="12"/>
      <c r="C112" s="13"/>
      <c r="D112" s="24"/>
      <c r="E112" s="12"/>
      <c r="F112" s="25"/>
      <c r="G112" s="27" t="str">
        <f aca="false">IF(OR($B112="",$C112=""),"",$B112&amp;" ("&amp;DAY($C112)&amp;"."&amp;MONTH($C112)&amp;"."&amp;YEAR($C112)&amp;")")</f>
        <v/>
      </c>
      <c r="H112" s="13"/>
      <c r="I112" s="13"/>
      <c r="J112" s="15" t="str">
        <f aca="false">IF($I112="","",$I112+280)</f>
        <v/>
      </c>
      <c r="K112" s="14" t="str">
        <f aca="false">IF(OR($I112="",$AE112&lt;&gt;""),"",INT((Boshqaruv!$C$12-$I112)/7))</f>
        <v/>
      </c>
      <c r="L112" s="14" t="str">
        <f aca="false">IF(OR($C112="",$H112=""),"",INT(($H112-$C112)/365.25))</f>
        <v/>
      </c>
      <c r="M112" s="14" t="str">
        <f aca="false">IF($L112="","",IF($L112&lt;18,"Ha","Yo'q"))</f>
        <v/>
      </c>
      <c r="N112" s="25"/>
      <c r="O112" s="25"/>
      <c r="P112" s="25"/>
      <c r="Q112" s="12"/>
      <c r="R112" s="25"/>
      <c r="S112" s="12"/>
      <c r="T112" s="13"/>
      <c r="U112" s="12"/>
      <c r="V112" s="25"/>
      <c r="W112" s="25"/>
      <c r="X112" s="14" t="str">
        <f aca="false">IF(OR($V112="",$W112=""),"",IF(AND($V112&gt;=Spravochnik!$H$5,$W112&gt;=Spravochnik!$H$6),"Ha","Yo'q"))</f>
        <v/>
      </c>
      <c r="Y112" s="13"/>
      <c r="Z112" s="13"/>
      <c r="AA112" s="13"/>
      <c r="AB112" s="13"/>
      <c r="AC112" s="14" t="str">
        <f aca="false">IF(AND($B112&lt;&gt;"",$AE112="",$AB112&lt;&gt;"",$AB112&lt;Boshqaruv!$C$12),"Ha","")</f>
        <v/>
      </c>
      <c r="AD112" s="25"/>
      <c r="AE112" s="13"/>
      <c r="AF112" s="12"/>
      <c r="AG112" s="14" t="str">
        <f aca="false">IF(OR($B112="",$C112="",$H112=""),"",IF(COUNTIFS($B$5:$B$804,$B112,$C$5:$C$804,$C112,$H$5:$H$804,$H112)&gt;1,"Takror",""))</f>
        <v/>
      </c>
      <c r="AH112" s="28" t="str">
        <f aca="false">IF(AND($B112&lt;&gt;"",$N112="Ha",$H112&lt;&gt;"",$H112&lt;=Boshqaruv!$C$12,OR($AE112="",$AE112&gt;Boshqaruv!$C$12)),MAX($AH$4:$AH111)+1,"")</f>
        <v/>
      </c>
    </row>
    <row r="113" customFormat="false" ht="15" hidden="false" customHeight="false" outlineLevel="0" collapsed="false">
      <c r="A113" s="20" t="n">
        <v>109</v>
      </c>
      <c r="B113" s="12"/>
      <c r="C113" s="13"/>
      <c r="D113" s="24"/>
      <c r="E113" s="12"/>
      <c r="F113" s="25"/>
      <c r="G113" s="27" t="str">
        <f aca="false">IF(OR($B113="",$C113=""),"",$B113&amp;" ("&amp;DAY($C113)&amp;"."&amp;MONTH($C113)&amp;"."&amp;YEAR($C113)&amp;")")</f>
        <v/>
      </c>
      <c r="H113" s="13"/>
      <c r="I113" s="13"/>
      <c r="J113" s="15" t="str">
        <f aca="false">IF($I113="","",$I113+280)</f>
        <v/>
      </c>
      <c r="K113" s="14" t="str">
        <f aca="false">IF(OR($I113="",$AE113&lt;&gt;""),"",INT((Boshqaruv!$C$12-$I113)/7))</f>
        <v/>
      </c>
      <c r="L113" s="14" t="str">
        <f aca="false">IF(OR($C113="",$H113=""),"",INT(($H113-$C113)/365.25))</f>
        <v/>
      </c>
      <c r="M113" s="14" t="str">
        <f aca="false">IF($L113="","",IF($L113&lt;18,"Ha","Yo'q"))</f>
        <v/>
      </c>
      <c r="N113" s="25"/>
      <c r="O113" s="25"/>
      <c r="P113" s="25"/>
      <c r="Q113" s="12"/>
      <c r="R113" s="25"/>
      <c r="S113" s="12"/>
      <c r="T113" s="13"/>
      <c r="U113" s="12"/>
      <c r="V113" s="25"/>
      <c r="W113" s="25"/>
      <c r="X113" s="14" t="str">
        <f aca="false">IF(OR($V113="",$W113=""),"",IF(AND($V113&gt;=Spravochnik!$H$5,$W113&gt;=Spravochnik!$H$6),"Ha","Yo'q"))</f>
        <v/>
      </c>
      <c r="Y113" s="13"/>
      <c r="Z113" s="13"/>
      <c r="AA113" s="13"/>
      <c r="AB113" s="13"/>
      <c r="AC113" s="14" t="str">
        <f aca="false">IF(AND($B113&lt;&gt;"",$AE113="",$AB113&lt;&gt;"",$AB113&lt;Boshqaruv!$C$12),"Ha","")</f>
        <v/>
      </c>
      <c r="AD113" s="25"/>
      <c r="AE113" s="13"/>
      <c r="AF113" s="12"/>
      <c r="AG113" s="14" t="str">
        <f aca="false">IF(OR($B113="",$C113="",$H113=""),"",IF(COUNTIFS($B$5:$B$804,$B113,$C$5:$C$804,$C113,$H$5:$H$804,$H113)&gt;1,"Takror",""))</f>
        <v/>
      </c>
      <c r="AH113" s="28" t="str">
        <f aca="false">IF(AND($B113&lt;&gt;"",$N113="Ha",$H113&lt;&gt;"",$H113&lt;=Boshqaruv!$C$12,OR($AE113="",$AE113&gt;Boshqaruv!$C$12)),MAX($AH$4:$AH112)+1,"")</f>
        <v/>
      </c>
    </row>
    <row r="114" customFormat="false" ht="15" hidden="false" customHeight="false" outlineLevel="0" collapsed="false">
      <c r="A114" s="20" t="n">
        <v>110</v>
      </c>
      <c r="B114" s="12"/>
      <c r="C114" s="13"/>
      <c r="D114" s="24"/>
      <c r="E114" s="12"/>
      <c r="F114" s="25"/>
      <c r="G114" s="27" t="str">
        <f aca="false">IF(OR($B114="",$C114=""),"",$B114&amp;" ("&amp;DAY($C114)&amp;"."&amp;MONTH($C114)&amp;"."&amp;YEAR($C114)&amp;")")</f>
        <v/>
      </c>
      <c r="H114" s="13"/>
      <c r="I114" s="13"/>
      <c r="J114" s="15" t="str">
        <f aca="false">IF($I114="","",$I114+280)</f>
        <v/>
      </c>
      <c r="K114" s="14" t="str">
        <f aca="false">IF(OR($I114="",$AE114&lt;&gt;""),"",INT((Boshqaruv!$C$12-$I114)/7))</f>
        <v/>
      </c>
      <c r="L114" s="14" t="str">
        <f aca="false">IF(OR($C114="",$H114=""),"",INT(($H114-$C114)/365.25))</f>
        <v/>
      </c>
      <c r="M114" s="14" t="str">
        <f aca="false">IF($L114="","",IF($L114&lt;18,"Ha","Yo'q"))</f>
        <v/>
      </c>
      <c r="N114" s="25"/>
      <c r="O114" s="25"/>
      <c r="P114" s="25"/>
      <c r="Q114" s="12"/>
      <c r="R114" s="25"/>
      <c r="S114" s="12"/>
      <c r="T114" s="13"/>
      <c r="U114" s="12"/>
      <c r="V114" s="25"/>
      <c r="W114" s="25"/>
      <c r="X114" s="14" t="str">
        <f aca="false">IF(OR($V114="",$W114=""),"",IF(AND($V114&gt;=Spravochnik!$H$5,$W114&gt;=Spravochnik!$H$6),"Ha","Yo'q"))</f>
        <v/>
      </c>
      <c r="Y114" s="13"/>
      <c r="Z114" s="13"/>
      <c r="AA114" s="13"/>
      <c r="AB114" s="13"/>
      <c r="AC114" s="14" t="str">
        <f aca="false">IF(AND($B114&lt;&gt;"",$AE114="",$AB114&lt;&gt;"",$AB114&lt;Boshqaruv!$C$12),"Ha","")</f>
        <v/>
      </c>
      <c r="AD114" s="25"/>
      <c r="AE114" s="13"/>
      <c r="AF114" s="12"/>
      <c r="AG114" s="14" t="str">
        <f aca="false">IF(OR($B114="",$C114="",$H114=""),"",IF(COUNTIFS($B$5:$B$804,$B114,$C$5:$C$804,$C114,$H$5:$H$804,$H114)&gt;1,"Takror",""))</f>
        <v/>
      </c>
      <c r="AH114" s="28" t="str">
        <f aca="false">IF(AND($B114&lt;&gt;"",$N114="Ha",$H114&lt;&gt;"",$H114&lt;=Boshqaruv!$C$12,OR($AE114="",$AE114&gt;Boshqaruv!$C$12)),MAX($AH$4:$AH113)+1,"")</f>
        <v/>
      </c>
    </row>
    <row r="115" customFormat="false" ht="15" hidden="false" customHeight="false" outlineLevel="0" collapsed="false">
      <c r="A115" s="20" t="n">
        <v>111</v>
      </c>
      <c r="B115" s="12"/>
      <c r="C115" s="13"/>
      <c r="D115" s="24"/>
      <c r="E115" s="12"/>
      <c r="F115" s="25"/>
      <c r="G115" s="27" t="str">
        <f aca="false">IF(OR($B115="",$C115=""),"",$B115&amp;" ("&amp;DAY($C115)&amp;"."&amp;MONTH($C115)&amp;"."&amp;YEAR($C115)&amp;")")</f>
        <v/>
      </c>
      <c r="H115" s="13"/>
      <c r="I115" s="13"/>
      <c r="J115" s="15" t="str">
        <f aca="false">IF($I115="","",$I115+280)</f>
        <v/>
      </c>
      <c r="K115" s="14" t="str">
        <f aca="false">IF(OR($I115="",$AE115&lt;&gt;""),"",INT((Boshqaruv!$C$12-$I115)/7))</f>
        <v/>
      </c>
      <c r="L115" s="14" t="str">
        <f aca="false">IF(OR($C115="",$H115=""),"",INT(($H115-$C115)/365.25))</f>
        <v/>
      </c>
      <c r="M115" s="14" t="str">
        <f aca="false">IF($L115="","",IF($L115&lt;18,"Ha","Yo'q"))</f>
        <v/>
      </c>
      <c r="N115" s="25"/>
      <c r="O115" s="25"/>
      <c r="P115" s="25"/>
      <c r="Q115" s="12"/>
      <c r="R115" s="25"/>
      <c r="S115" s="12"/>
      <c r="T115" s="13"/>
      <c r="U115" s="12"/>
      <c r="V115" s="25"/>
      <c r="W115" s="25"/>
      <c r="X115" s="14" t="str">
        <f aca="false">IF(OR($V115="",$W115=""),"",IF(AND($V115&gt;=Spravochnik!$H$5,$W115&gt;=Spravochnik!$H$6),"Ha","Yo'q"))</f>
        <v/>
      </c>
      <c r="Y115" s="13"/>
      <c r="Z115" s="13"/>
      <c r="AA115" s="13"/>
      <c r="AB115" s="13"/>
      <c r="AC115" s="14" t="str">
        <f aca="false">IF(AND($B115&lt;&gt;"",$AE115="",$AB115&lt;&gt;"",$AB115&lt;Boshqaruv!$C$12),"Ha","")</f>
        <v/>
      </c>
      <c r="AD115" s="25"/>
      <c r="AE115" s="13"/>
      <c r="AF115" s="12"/>
      <c r="AG115" s="14" t="str">
        <f aca="false">IF(OR($B115="",$C115="",$H115=""),"",IF(COUNTIFS($B$5:$B$804,$B115,$C$5:$C$804,$C115,$H$5:$H$804,$H115)&gt;1,"Takror",""))</f>
        <v/>
      </c>
      <c r="AH115" s="28" t="str">
        <f aca="false">IF(AND($B115&lt;&gt;"",$N115="Ha",$H115&lt;&gt;"",$H115&lt;=Boshqaruv!$C$12,OR($AE115="",$AE115&gt;Boshqaruv!$C$12)),MAX($AH$4:$AH114)+1,"")</f>
        <v/>
      </c>
    </row>
    <row r="116" customFormat="false" ht="15" hidden="false" customHeight="false" outlineLevel="0" collapsed="false">
      <c r="A116" s="20" t="n">
        <v>112</v>
      </c>
      <c r="B116" s="12"/>
      <c r="C116" s="13"/>
      <c r="D116" s="24"/>
      <c r="E116" s="12"/>
      <c r="F116" s="25"/>
      <c r="G116" s="27" t="str">
        <f aca="false">IF(OR($B116="",$C116=""),"",$B116&amp;" ("&amp;DAY($C116)&amp;"."&amp;MONTH($C116)&amp;"."&amp;YEAR($C116)&amp;")")</f>
        <v/>
      </c>
      <c r="H116" s="13"/>
      <c r="I116" s="13"/>
      <c r="J116" s="15" t="str">
        <f aca="false">IF($I116="","",$I116+280)</f>
        <v/>
      </c>
      <c r="K116" s="14" t="str">
        <f aca="false">IF(OR($I116="",$AE116&lt;&gt;""),"",INT((Boshqaruv!$C$12-$I116)/7))</f>
        <v/>
      </c>
      <c r="L116" s="14" t="str">
        <f aca="false">IF(OR($C116="",$H116=""),"",INT(($H116-$C116)/365.25))</f>
        <v/>
      </c>
      <c r="M116" s="14" t="str">
        <f aca="false">IF($L116="","",IF($L116&lt;18,"Ha","Yo'q"))</f>
        <v/>
      </c>
      <c r="N116" s="25"/>
      <c r="O116" s="25"/>
      <c r="P116" s="25"/>
      <c r="Q116" s="12"/>
      <c r="R116" s="25"/>
      <c r="S116" s="12"/>
      <c r="T116" s="13"/>
      <c r="U116" s="12"/>
      <c r="V116" s="25"/>
      <c r="W116" s="25"/>
      <c r="X116" s="14" t="str">
        <f aca="false">IF(OR($V116="",$W116=""),"",IF(AND($V116&gt;=Spravochnik!$H$5,$W116&gt;=Spravochnik!$H$6),"Ha","Yo'q"))</f>
        <v/>
      </c>
      <c r="Y116" s="13"/>
      <c r="Z116" s="13"/>
      <c r="AA116" s="13"/>
      <c r="AB116" s="13"/>
      <c r="AC116" s="14" t="str">
        <f aca="false">IF(AND($B116&lt;&gt;"",$AE116="",$AB116&lt;&gt;"",$AB116&lt;Boshqaruv!$C$12),"Ha","")</f>
        <v/>
      </c>
      <c r="AD116" s="25"/>
      <c r="AE116" s="13"/>
      <c r="AF116" s="12"/>
      <c r="AG116" s="14" t="str">
        <f aca="false">IF(OR($B116="",$C116="",$H116=""),"",IF(COUNTIFS($B$5:$B$804,$B116,$C$5:$C$804,$C116,$H$5:$H$804,$H116)&gt;1,"Takror",""))</f>
        <v/>
      </c>
      <c r="AH116" s="28" t="str">
        <f aca="false">IF(AND($B116&lt;&gt;"",$N116="Ha",$H116&lt;&gt;"",$H116&lt;=Boshqaruv!$C$12,OR($AE116="",$AE116&gt;Boshqaruv!$C$12)),MAX($AH$4:$AH115)+1,"")</f>
        <v/>
      </c>
    </row>
    <row r="117" customFormat="false" ht="15" hidden="false" customHeight="false" outlineLevel="0" collapsed="false">
      <c r="A117" s="20" t="n">
        <v>113</v>
      </c>
      <c r="B117" s="12"/>
      <c r="C117" s="13"/>
      <c r="D117" s="24"/>
      <c r="E117" s="12"/>
      <c r="F117" s="25"/>
      <c r="G117" s="27" t="str">
        <f aca="false">IF(OR($B117="",$C117=""),"",$B117&amp;" ("&amp;DAY($C117)&amp;"."&amp;MONTH($C117)&amp;"."&amp;YEAR($C117)&amp;")")</f>
        <v/>
      </c>
      <c r="H117" s="13"/>
      <c r="I117" s="13"/>
      <c r="J117" s="15" t="str">
        <f aca="false">IF($I117="","",$I117+280)</f>
        <v/>
      </c>
      <c r="K117" s="14" t="str">
        <f aca="false">IF(OR($I117="",$AE117&lt;&gt;""),"",INT((Boshqaruv!$C$12-$I117)/7))</f>
        <v/>
      </c>
      <c r="L117" s="14" t="str">
        <f aca="false">IF(OR($C117="",$H117=""),"",INT(($H117-$C117)/365.25))</f>
        <v/>
      </c>
      <c r="M117" s="14" t="str">
        <f aca="false">IF($L117="","",IF($L117&lt;18,"Ha","Yo'q"))</f>
        <v/>
      </c>
      <c r="N117" s="25"/>
      <c r="O117" s="25"/>
      <c r="P117" s="25"/>
      <c r="Q117" s="12"/>
      <c r="R117" s="25"/>
      <c r="S117" s="12"/>
      <c r="T117" s="13"/>
      <c r="U117" s="12"/>
      <c r="V117" s="25"/>
      <c r="W117" s="25"/>
      <c r="X117" s="14" t="str">
        <f aca="false">IF(OR($V117="",$W117=""),"",IF(AND($V117&gt;=Spravochnik!$H$5,$W117&gt;=Spravochnik!$H$6),"Ha","Yo'q"))</f>
        <v/>
      </c>
      <c r="Y117" s="13"/>
      <c r="Z117" s="13"/>
      <c r="AA117" s="13"/>
      <c r="AB117" s="13"/>
      <c r="AC117" s="14" t="str">
        <f aca="false">IF(AND($B117&lt;&gt;"",$AE117="",$AB117&lt;&gt;"",$AB117&lt;Boshqaruv!$C$12),"Ha","")</f>
        <v/>
      </c>
      <c r="AD117" s="25"/>
      <c r="AE117" s="13"/>
      <c r="AF117" s="12"/>
      <c r="AG117" s="14" t="str">
        <f aca="false">IF(OR($B117="",$C117="",$H117=""),"",IF(COUNTIFS($B$5:$B$804,$B117,$C$5:$C$804,$C117,$H$5:$H$804,$H117)&gt;1,"Takror",""))</f>
        <v/>
      </c>
      <c r="AH117" s="28" t="str">
        <f aca="false">IF(AND($B117&lt;&gt;"",$N117="Ha",$H117&lt;&gt;"",$H117&lt;=Boshqaruv!$C$12,OR($AE117="",$AE117&gt;Boshqaruv!$C$12)),MAX($AH$4:$AH116)+1,"")</f>
        <v/>
      </c>
    </row>
    <row r="118" customFormat="false" ht="15" hidden="false" customHeight="false" outlineLevel="0" collapsed="false">
      <c r="A118" s="20" t="n">
        <v>114</v>
      </c>
      <c r="B118" s="12"/>
      <c r="C118" s="13"/>
      <c r="D118" s="24"/>
      <c r="E118" s="12"/>
      <c r="F118" s="25"/>
      <c r="G118" s="27" t="str">
        <f aca="false">IF(OR($B118="",$C118=""),"",$B118&amp;" ("&amp;DAY($C118)&amp;"."&amp;MONTH($C118)&amp;"."&amp;YEAR($C118)&amp;")")</f>
        <v/>
      </c>
      <c r="H118" s="13"/>
      <c r="I118" s="13"/>
      <c r="J118" s="15" t="str">
        <f aca="false">IF($I118="","",$I118+280)</f>
        <v/>
      </c>
      <c r="K118" s="14" t="str">
        <f aca="false">IF(OR($I118="",$AE118&lt;&gt;""),"",INT((Boshqaruv!$C$12-$I118)/7))</f>
        <v/>
      </c>
      <c r="L118" s="14" t="str">
        <f aca="false">IF(OR($C118="",$H118=""),"",INT(($H118-$C118)/365.25))</f>
        <v/>
      </c>
      <c r="M118" s="14" t="str">
        <f aca="false">IF($L118="","",IF($L118&lt;18,"Ha","Yo'q"))</f>
        <v/>
      </c>
      <c r="N118" s="25"/>
      <c r="O118" s="25"/>
      <c r="P118" s="25"/>
      <c r="Q118" s="12"/>
      <c r="R118" s="25"/>
      <c r="S118" s="12"/>
      <c r="T118" s="13"/>
      <c r="U118" s="12"/>
      <c r="V118" s="25"/>
      <c r="W118" s="25"/>
      <c r="X118" s="14" t="str">
        <f aca="false">IF(OR($V118="",$W118=""),"",IF(AND($V118&gt;=Spravochnik!$H$5,$W118&gt;=Spravochnik!$H$6),"Ha","Yo'q"))</f>
        <v/>
      </c>
      <c r="Y118" s="13"/>
      <c r="Z118" s="13"/>
      <c r="AA118" s="13"/>
      <c r="AB118" s="13"/>
      <c r="AC118" s="14" t="str">
        <f aca="false">IF(AND($B118&lt;&gt;"",$AE118="",$AB118&lt;&gt;"",$AB118&lt;Boshqaruv!$C$12),"Ha","")</f>
        <v/>
      </c>
      <c r="AD118" s="25"/>
      <c r="AE118" s="13"/>
      <c r="AF118" s="12"/>
      <c r="AG118" s="14" t="str">
        <f aca="false">IF(OR($B118="",$C118="",$H118=""),"",IF(COUNTIFS($B$5:$B$804,$B118,$C$5:$C$804,$C118,$H$5:$H$804,$H118)&gt;1,"Takror",""))</f>
        <v/>
      </c>
      <c r="AH118" s="28" t="str">
        <f aca="false">IF(AND($B118&lt;&gt;"",$N118="Ha",$H118&lt;&gt;"",$H118&lt;=Boshqaruv!$C$12,OR($AE118="",$AE118&gt;Boshqaruv!$C$12)),MAX($AH$4:$AH117)+1,"")</f>
        <v/>
      </c>
    </row>
    <row r="119" customFormat="false" ht="15" hidden="false" customHeight="false" outlineLevel="0" collapsed="false">
      <c r="A119" s="20" t="n">
        <v>115</v>
      </c>
      <c r="B119" s="12"/>
      <c r="C119" s="13"/>
      <c r="D119" s="24"/>
      <c r="E119" s="12"/>
      <c r="F119" s="25"/>
      <c r="G119" s="27" t="str">
        <f aca="false">IF(OR($B119="",$C119=""),"",$B119&amp;" ("&amp;DAY($C119)&amp;"."&amp;MONTH($C119)&amp;"."&amp;YEAR($C119)&amp;")")</f>
        <v/>
      </c>
      <c r="H119" s="13"/>
      <c r="I119" s="13"/>
      <c r="J119" s="15" t="str">
        <f aca="false">IF($I119="","",$I119+280)</f>
        <v/>
      </c>
      <c r="K119" s="14" t="str">
        <f aca="false">IF(OR($I119="",$AE119&lt;&gt;""),"",INT((Boshqaruv!$C$12-$I119)/7))</f>
        <v/>
      </c>
      <c r="L119" s="14" t="str">
        <f aca="false">IF(OR($C119="",$H119=""),"",INT(($H119-$C119)/365.25))</f>
        <v/>
      </c>
      <c r="M119" s="14" t="str">
        <f aca="false">IF($L119="","",IF($L119&lt;18,"Ha","Yo'q"))</f>
        <v/>
      </c>
      <c r="N119" s="25"/>
      <c r="O119" s="25"/>
      <c r="P119" s="25"/>
      <c r="Q119" s="12"/>
      <c r="R119" s="25"/>
      <c r="S119" s="12"/>
      <c r="T119" s="13"/>
      <c r="U119" s="12"/>
      <c r="V119" s="25"/>
      <c r="W119" s="25"/>
      <c r="X119" s="14" t="str">
        <f aca="false">IF(OR($V119="",$W119=""),"",IF(AND($V119&gt;=Spravochnik!$H$5,$W119&gt;=Spravochnik!$H$6),"Ha","Yo'q"))</f>
        <v/>
      </c>
      <c r="Y119" s="13"/>
      <c r="Z119" s="13"/>
      <c r="AA119" s="13"/>
      <c r="AB119" s="13"/>
      <c r="AC119" s="14" t="str">
        <f aca="false">IF(AND($B119&lt;&gt;"",$AE119="",$AB119&lt;&gt;"",$AB119&lt;Boshqaruv!$C$12),"Ha","")</f>
        <v/>
      </c>
      <c r="AD119" s="25"/>
      <c r="AE119" s="13"/>
      <c r="AF119" s="12"/>
      <c r="AG119" s="14" t="str">
        <f aca="false">IF(OR($B119="",$C119="",$H119=""),"",IF(COUNTIFS($B$5:$B$804,$B119,$C$5:$C$804,$C119,$H$5:$H$804,$H119)&gt;1,"Takror",""))</f>
        <v/>
      </c>
      <c r="AH119" s="28" t="str">
        <f aca="false">IF(AND($B119&lt;&gt;"",$N119="Ha",$H119&lt;&gt;"",$H119&lt;=Boshqaruv!$C$12,OR($AE119="",$AE119&gt;Boshqaruv!$C$12)),MAX($AH$4:$AH118)+1,"")</f>
        <v/>
      </c>
    </row>
    <row r="120" customFormat="false" ht="15" hidden="false" customHeight="false" outlineLevel="0" collapsed="false">
      <c r="A120" s="20" t="n">
        <v>116</v>
      </c>
      <c r="B120" s="12"/>
      <c r="C120" s="13"/>
      <c r="D120" s="24"/>
      <c r="E120" s="12"/>
      <c r="F120" s="25"/>
      <c r="G120" s="27" t="str">
        <f aca="false">IF(OR($B120="",$C120=""),"",$B120&amp;" ("&amp;DAY($C120)&amp;"."&amp;MONTH($C120)&amp;"."&amp;YEAR($C120)&amp;")")</f>
        <v/>
      </c>
      <c r="H120" s="13"/>
      <c r="I120" s="13"/>
      <c r="J120" s="15" t="str">
        <f aca="false">IF($I120="","",$I120+280)</f>
        <v/>
      </c>
      <c r="K120" s="14" t="str">
        <f aca="false">IF(OR($I120="",$AE120&lt;&gt;""),"",INT((Boshqaruv!$C$12-$I120)/7))</f>
        <v/>
      </c>
      <c r="L120" s="14" t="str">
        <f aca="false">IF(OR($C120="",$H120=""),"",INT(($H120-$C120)/365.25))</f>
        <v/>
      </c>
      <c r="M120" s="14" t="str">
        <f aca="false">IF($L120="","",IF($L120&lt;18,"Ha","Yo'q"))</f>
        <v/>
      </c>
      <c r="N120" s="25"/>
      <c r="O120" s="25"/>
      <c r="P120" s="25"/>
      <c r="Q120" s="12"/>
      <c r="R120" s="25"/>
      <c r="S120" s="12"/>
      <c r="T120" s="13"/>
      <c r="U120" s="12"/>
      <c r="V120" s="25"/>
      <c r="W120" s="25"/>
      <c r="X120" s="14" t="str">
        <f aca="false">IF(OR($V120="",$W120=""),"",IF(AND($V120&gt;=Spravochnik!$H$5,$W120&gt;=Spravochnik!$H$6),"Ha","Yo'q"))</f>
        <v/>
      </c>
      <c r="Y120" s="13"/>
      <c r="Z120" s="13"/>
      <c r="AA120" s="13"/>
      <c r="AB120" s="13"/>
      <c r="AC120" s="14" t="str">
        <f aca="false">IF(AND($B120&lt;&gt;"",$AE120="",$AB120&lt;&gt;"",$AB120&lt;Boshqaruv!$C$12),"Ha","")</f>
        <v/>
      </c>
      <c r="AD120" s="25"/>
      <c r="AE120" s="13"/>
      <c r="AF120" s="12"/>
      <c r="AG120" s="14" t="str">
        <f aca="false">IF(OR($B120="",$C120="",$H120=""),"",IF(COUNTIFS($B$5:$B$804,$B120,$C$5:$C$804,$C120,$H$5:$H$804,$H120)&gt;1,"Takror",""))</f>
        <v/>
      </c>
      <c r="AH120" s="28" t="str">
        <f aca="false">IF(AND($B120&lt;&gt;"",$N120="Ha",$H120&lt;&gt;"",$H120&lt;=Boshqaruv!$C$12,OR($AE120="",$AE120&gt;Boshqaruv!$C$12)),MAX($AH$4:$AH119)+1,"")</f>
        <v/>
      </c>
    </row>
    <row r="121" customFormat="false" ht="15" hidden="false" customHeight="false" outlineLevel="0" collapsed="false">
      <c r="A121" s="20" t="n">
        <v>117</v>
      </c>
      <c r="B121" s="12"/>
      <c r="C121" s="13"/>
      <c r="D121" s="24"/>
      <c r="E121" s="12"/>
      <c r="F121" s="25"/>
      <c r="G121" s="27" t="str">
        <f aca="false">IF(OR($B121="",$C121=""),"",$B121&amp;" ("&amp;DAY($C121)&amp;"."&amp;MONTH($C121)&amp;"."&amp;YEAR($C121)&amp;")")</f>
        <v/>
      </c>
      <c r="H121" s="13"/>
      <c r="I121" s="13"/>
      <c r="J121" s="15" t="str">
        <f aca="false">IF($I121="","",$I121+280)</f>
        <v/>
      </c>
      <c r="K121" s="14" t="str">
        <f aca="false">IF(OR($I121="",$AE121&lt;&gt;""),"",INT((Boshqaruv!$C$12-$I121)/7))</f>
        <v/>
      </c>
      <c r="L121" s="14" t="str">
        <f aca="false">IF(OR($C121="",$H121=""),"",INT(($H121-$C121)/365.25))</f>
        <v/>
      </c>
      <c r="M121" s="14" t="str">
        <f aca="false">IF($L121="","",IF($L121&lt;18,"Ha","Yo'q"))</f>
        <v/>
      </c>
      <c r="N121" s="25"/>
      <c r="O121" s="25"/>
      <c r="P121" s="25"/>
      <c r="Q121" s="12"/>
      <c r="R121" s="25"/>
      <c r="S121" s="12"/>
      <c r="T121" s="13"/>
      <c r="U121" s="12"/>
      <c r="V121" s="25"/>
      <c r="W121" s="25"/>
      <c r="X121" s="14" t="str">
        <f aca="false">IF(OR($V121="",$W121=""),"",IF(AND($V121&gt;=Spravochnik!$H$5,$W121&gt;=Spravochnik!$H$6),"Ha","Yo'q"))</f>
        <v/>
      </c>
      <c r="Y121" s="13"/>
      <c r="Z121" s="13"/>
      <c r="AA121" s="13"/>
      <c r="AB121" s="13"/>
      <c r="AC121" s="14" t="str">
        <f aca="false">IF(AND($B121&lt;&gt;"",$AE121="",$AB121&lt;&gt;"",$AB121&lt;Boshqaruv!$C$12),"Ha","")</f>
        <v/>
      </c>
      <c r="AD121" s="25"/>
      <c r="AE121" s="13"/>
      <c r="AF121" s="12"/>
      <c r="AG121" s="14" t="str">
        <f aca="false">IF(OR($B121="",$C121="",$H121=""),"",IF(COUNTIFS($B$5:$B$804,$B121,$C$5:$C$804,$C121,$H$5:$H$804,$H121)&gt;1,"Takror",""))</f>
        <v/>
      </c>
      <c r="AH121" s="28" t="str">
        <f aca="false">IF(AND($B121&lt;&gt;"",$N121="Ha",$H121&lt;&gt;"",$H121&lt;=Boshqaruv!$C$12,OR($AE121="",$AE121&gt;Boshqaruv!$C$12)),MAX($AH$4:$AH120)+1,"")</f>
        <v/>
      </c>
    </row>
    <row r="122" customFormat="false" ht="15" hidden="false" customHeight="false" outlineLevel="0" collapsed="false">
      <c r="A122" s="20" t="n">
        <v>118</v>
      </c>
      <c r="B122" s="12"/>
      <c r="C122" s="13"/>
      <c r="D122" s="24"/>
      <c r="E122" s="12"/>
      <c r="F122" s="25"/>
      <c r="G122" s="27" t="str">
        <f aca="false">IF(OR($B122="",$C122=""),"",$B122&amp;" ("&amp;DAY($C122)&amp;"."&amp;MONTH($C122)&amp;"."&amp;YEAR($C122)&amp;")")</f>
        <v/>
      </c>
      <c r="H122" s="13"/>
      <c r="I122" s="13"/>
      <c r="J122" s="15" t="str">
        <f aca="false">IF($I122="","",$I122+280)</f>
        <v/>
      </c>
      <c r="K122" s="14" t="str">
        <f aca="false">IF(OR($I122="",$AE122&lt;&gt;""),"",INT((Boshqaruv!$C$12-$I122)/7))</f>
        <v/>
      </c>
      <c r="L122" s="14" t="str">
        <f aca="false">IF(OR($C122="",$H122=""),"",INT(($H122-$C122)/365.25))</f>
        <v/>
      </c>
      <c r="M122" s="14" t="str">
        <f aca="false">IF($L122="","",IF($L122&lt;18,"Ha","Yo'q"))</f>
        <v/>
      </c>
      <c r="N122" s="25"/>
      <c r="O122" s="25"/>
      <c r="P122" s="25"/>
      <c r="Q122" s="12"/>
      <c r="R122" s="25"/>
      <c r="S122" s="12"/>
      <c r="T122" s="13"/>
      <c r="U122" s="12"/>
      <c r="V122" s="25"/>
      <c r="W122" s="25"/>
      <c r="X122" s="14" t="str">
        <f aca="false">IF(OR($V122="",$W122=""),"",IF(AND($V122&gt;=Spravochnik!$H$5,$W122&gt;=Spravochnik!$H$6),"Ha","Yo'q"))</f>
        <v/>
      </c>
      <c r="Y122" s="13"/>
      <c r="Z122" s="13"/>
      <c r="AA122" s="13"/>
      <c r="AB122" s="13"/>
      <c r="AC122" s="14" t="str">
        <f aca="false">IF(AND($B122&lt;&gt;"",$AE122="",$AB122&lt;&gt;"",$AB122&lt;Boshqaruv!$C$12),"Ha","")</f>
        <v/>
      </c>
      <c r="AD122" s="25"/>
      <c r="AE122" s="13"/>
      <c r="AF122" s="12"/>
      <c r="AG122" s="14" t="str">
        <f aca="false">IF(OR($B122="",$C122="",$H122=""),"",IF(COUNTIFS($B$5:$B$804,$B122,$C$5:$C$804,$C122,$H$5:$H$804,$H122)&gt;1,"Takror",""))</f>
        <v/>
      </c>
      <c r="AH122" s="28" t="str">
        <f aca="false">IF(AND($B122&lt;&gt;"",$N122="Ha",$H122&lt;&gt;"",$H122&lt;=Boshqaruv!$C$12,OR($AE122="",$AE122&gt;Boshqaruv!$C$12)),MAX($AH$4:$AH121)+1,"")</f>
        <v/>
      </c>
    </row>
    <row r="123" customFormat="false" ht="15" hidden="false" customHeight="false" outlineLevel="0" collapsed="false">
      <c r="A123" s="20" t="n">
        <v>119</v>
      </c>
      <c r="B123" s="12"/>
      <c r="C123" s="13"/>
      <c r="D123" s="24"/>
      <c r="E123" s="12"/>
      <c r="F123" s="25"/>
      <c r="G123" s="27" t="str">
        <f aca="false">IF(OR($B123="",$C123=""),"",$B123&amp;" ("&amp;DAY($C123)&amp;"."&amp;MONTH($C123)&amp;"."&amp;YEAR($C123)&amp;")")</f>
        <v/>
      </c>
      <c r="H123" s="13"/>
      <c r="I123" s="13"/>
      <c r="J123" s="15" t="str">
        <f aca="false">IF($I123="","",$I123+280)</f>
        <v/>
      </c>
      <c r="K123" s="14" t="str">
        <f aca="false">IF(OR($I123="",$AE123&lt;&gt;""),"",INT((Boshqaruv!$C$12-$I123)/7))</f>
        <v/>
      </c>
      <c r="L123" s="14" t="str">
        <f aca="false">IF(OR($C123="",$H123=""),"",INT(($H123-$C123)/365.25))</f>
        <v/>
      </c>
      <c r="M123" s="14" t="str">
        <f aca="false">IF($L123="","",IF($L123&lt;18,"Ha","Yo'q"))</f>
        <v/>
      </c>
      <c r="N123" s="25"/>
      <c r="O123" s="25"/>
      <c r="P123" s="25"/>
      <c r="Q123" s="12"/>
      <c r="R123" s="25"/>
      <c r="S123" s="12"/>
      <c r="T123" s="13"/>
      <c r="U123" s="12"/>
      <c r="V123" s="25"/>
      <c r="W123" s="25"/>
      <c r="X123" s="14" t="str">
        <f aca="false">IF(OR($V123="",$W123=""),"",IF(AND($V123&gt;=Spravochnik!$H$5,$W123&gt;=Spravochnik!$H$6),"Ha","Yo'q"))</f>
        <v/>
      </c>
      <c r="Y123" s="13"/>
      <c r="Z123" s="13"/>
      <c r="AA123" s="13"/>
      <c r="AB123" s="13"/>
      <c r="AC123" s="14" t="str">
        <f aca="false">IF(AND($B123&lt;&gt;"",$AE123="",$AB123&lt;&gt;"",$AB123&lt;Boshqaruv!$C$12),"Ha","")</f>
        <v/>
      </c>
      <c r="AD123" s="25"/>
      <c r="AE123" s="13"/>
      <c r="AF123" s="12"/>
      <c r="AG123" s="14" t="str">
        <f aca="false">IF(OR($B123="",$C123="",$H123=""),"",IF(COUNTIFS($B$5:$B$804,$B123,$C$5:$C$804,$C123,$H$5:$H$804,$H123)&gt;1,"Takror",""))</f>
        <v/>
      </c>
      <c r="AH123" s="28" t="str">
        <f aca="false">IF(AND($B123&lt;&gt;"",$N123="Ha",$H123&lt;&gt;"",$H123&lt;=Boshqaruv!$C$12,OR($AE123="",$AE123&gt;Boshqaruv!$C$12)),MAX($AH$4:$AH122)+1,"")</f>
        <v/>
      </c>
    </row>
    <row r="124" customFormat="false" ht="15" hidden="false" customHeight="false" outlineLevel="0" collapsed="false">
      <c r="A124" s="20" t="n">
        <v>120</v>
      </c>
      <c r="B124" s="12"/>
      <c r="C124" s="13"/>
      <c r="D124" s="24"/>
      <c r="E124" s="12"/>
      <c r="F124" s="25"/>
      <c r="G124" s="27" t="str">
        <f aca="false">IF(OR($B124="",$C124=""),"",$B124&amp;" ("&amp;DAY($C124)&amp;"."&amp;MONTH($C124)&amp;"."&amp;YEAR($C124)&amp;")")</f>
        <v/>
      </c>
      <c r="H124" s="13"/>
      <c r="I124" s="13"/>
      <c r="J124" s="15" t="str">
        <f aca="false">IF($I124="","",$I124+280)</f>
        <v/>
      </c>
      <c r="K124" s="14" t="str">
        <f aca="false">IF(OR($I124="",$AE124&lt;&gt;""),"",INT((Boshqaruv!$C$12-$I124)/7))</f>
        <v/>
      </c>
      <c r="L124" s="14" t="str">
        <f aca="false">IF(OR($C124="",$H124=""),"",INT(($H124-$C124)/365.25))</f>
        <v/>
      </c>
      <c r="M124" s="14" t="str">
        <f aca="false">IF($L124="","",IF($L124&lt;18,"Ha","Yo'q"))</f>
        <v/>
      </c>
      <c r="N124" s="25"/>
      <c r="O124" s="25"/>
      <c r="P124" s="25"/>
      <c r="Q124" s="12"/>
      <c r="R124" s="25"/>
      <c r="S124" s="12"/>
      <c r="T124" s="13"/>
      <c r="U124" s="12"/>
      <c r="V124" s="25"/>
      <c r="W124" s="25"/>
      <c r="X124" s="14" t="str">
        <f aca="false">IF(OR($V124="",$W124=""),"",IF(AND($V124&gt;=Spravochnik!$H$5,$W124&gt;=Spravochnik!$H$6),"Ha","Yo'q"))</f>
        <v/>
      </c>
      <c r="Y124" s="13"/>
      <c r="Z124" s="13"/>
      <c r="AA124" s="13"/>
      <c r="AB124" s="13"/>
      <c r="AC124" s="14" t="str">
        <f aca="false">IF(AND($B124&lt;&gt;"",$AE124="",$AB124&lt;&gt;"",$AB124&lt;Boshqaruv!$C$12),"Ha","")</f>
        <v/>
      </c>
      <c r="AD124" s="25"/>
      <c r="AE124" s="13"/>
      <c r="AF124" s="12"/>
      <c r="AG124" s="14" t="str">
        <f aca="false">IF(OR($B124="",$C124="",$H124=""),"",IF(COUNTIFS($B$5:$B$804,$B124,$C$5:$C$804,$C124,$H$5:$H$804,$H124)&gt;1,"Takror",""))</f>
        <v/>
      </c>
      <c r="AH124" s="28" t="str">
        <f aca="false">IF(AND($B124&lt;&gt;"",$N124="Ha",$H124&lt;&gt;"",$H124&lt;=Boshqaruv!$C$12,OR($AE124="",$AE124&gt;Boshqaruv!$C$12)),MAX($AH$4:$AH123)+1,"")</f>
        <v/>
      </c>
    </row>
    <row r="125" customFormat="false" ht="15" hidden="false" customHeight="false" outlineLevel="0" collapsed="false">
      <c r="A125" s="20" t="n">
        <v>121</v>
      </c>
      <c r="B125" s="12"/>
      <c r="C125" s="13"/>
      <c r="D125" s="24"/>
      <c r="E125" s="12"/>
      <c r="F125" s="25"/>
      <c r="G125" s="27" t="str">
        <f aca="false">IF(OR($B125="",$C125=""),"",$B125&amp;" ("&amp;DAY($C125)&amp;"."&amp;MONTH($C125)&amp;"."&amp;YEAR($C125)&amp;")")</f>
        <v/>
      </c>
      <c r="H125" s="13"/>
      <c r="I125" s="13"/>
      <c r="J125" s="15" t="str">
        <f aca="false">IF($I125="","",$I125+280)</f>
        <v/>
      </c>
      <c r="K125" s="14" t="str">
        <f aca="false">IF(OR($I125="",$AE125&lt;&gt;""),"",INT((Boshqaruv!$C$12-$I125)/7))</f>
        <v/>
      </c>
      <c r="L125" s="14" t="str">
        <f aca="false">IF(OR($C125="",$H125=""),"",INT(($H125-$C125)/365.25))</f>
        <v/>
      </c>
      <c r="M125" s="14" t="str">
        <f aca="false">IF($L125="","",IF($L125&lt;18,"Ha","Yo'q"))</f>
        <v/>
      </c>
      <c r="N125" s="25"/>
      <c r="O125" s="25"/>
      <c r="P125" s="25"/>
      <c r="Q125" s="12"/>
      <c r="R125" s="25"/>
      <c r="S125" s="12"/>
      <c r="T125" s="13"/>
      <c r="U125" s="12"/>
      <c r="V125" s="25"/>
      <c r="W125" s="25"/>
      <c r="X125" s="14" t="str">
        <f aca="false">IF(OR($V125="",$W125=""),"",IF(AND($V125&gt;=Spravochnik!$H$5,$W125&gt;=Spravochnik!$H$6),"Ha","Yo'q"))</f>
        <v/>
      </c>
      <c r="Y125" s="13"/>
      <c r="Z125" s="13"/>
      <c r="AA125" s="13"/>
      <c r="AB125" s="13"/>
      <c r="AC125" s="14" t="str">
        <f aca="false">IF(AND($B125&lt;&gt;"",$AE125="",$AB125&lt;&gt;"",$AB125&lt;Boshqaruv!$C$12),"Ha","")</f>
        <v/>
      </c>
      <c r="AD125" s="25"/>
      <c r="AE125" s="13"/>
      <c r="AF125" s="12"/>
      <c r="AG125" s="14" t="str">
        <f aca="false">IF(OR($B125="",$C125="",$H125=""),"",IF(COUNTIFS($B$5:$B$804,$B125,$C$5:$C$804,$C125,$H$5:$H$804,$H125)&gt;1,"Takror",""))</f>
        <v/>
      </c>
      <c r="AH125" s="28" t="str">
        <f aca="false">IF(AND($B125&lt;&gt;"",$N125="Ha",$H125&lt;&gt;"",$H125&lt;=Boshqaruv!$C$12,OR($AE125="",$AE125&gt;Boshqaruv!$C$12)),MAX($AH$4:$AH124)+1,"")</f>
        <v/>
      </c>
    </row>
    <row r="126" customFormat="false" ht="15" hidden="false" customHeight="false" outlineLevel="0" collapsed="false">
      <c r="A126" s="20" t="n">
        <v>122</v>
      </c>
      <c r="B126" s="12"/>
      <c r="C126" s="13"/>
      <c r="D126" s="24"/>
      <c r="E126" s="12"/>
      <c r="F126" s="25"/>
      <c r="G126" s="27" t="str">
        <f aca="false">IF(OR($B126="",$C126=""),"",$B126&amp;" ("&amp;DAY($C126)&amp;"."&amp;MONTH($C126)&amp;"."&amp;YEAR($C126)&amp;")")</f>
        <v/>
      </c>
      <c r="H126" s="13"/>
      <c r="I126" s="13"/>
      <c r="J126" s="15" t="str">
        <f aca="false">IF($I126="","",$I126+280)</f>
        <v/>
      </c>
      <c r="K126" s="14" t="str">
        <f aca="false">IF(OR($I126="",$AE126&lt;&gt;""),"",INT((Boshqaruv!$C$12-$I126)/7))</f>
        <v/>
      </c>
      <c r="L126" s="14" t="str">
        <f aca="false">IF(OR($C126="",$H126=""),"",INT(($H126-$C126)/365.25))</f>
        <v/>
      </c>
      <c r="M126" s="14" t="str">
        <f aca="false">IF($L126="","",IF($L126&lt;18,"Ha","Yo'q"))</f>
        <v/>
      </c>
      <c r="N126" s="25"/>
      <c r="O126" s="25"/>
      <c r="P126" s="25"/>
      <c r="Q126" s="12"/>
      <c r="R126" s="25"/>
      <c r="S126" s="12"/>
      <c r="T126" s="13"/>
      <c r="U126" s="12"/>
      <c r="V126" s="25"/>
      <c r="W126" s="25"/>
      <c r="X126" s="14" t="str">
        <f aca="false">IF(OR($V126="",$W126=""),"",IF(AND($V126&gt;=Spravochnik!$H$5,$W126&gt;=Spravochnik!$H$6),"Ha","Yo'q"))</f>
        <v/>
      </c>
      <c r="Y126" s="13"/>
      <c r="Z126" s="13"/>
      <c r="AA126" s="13"/>
      <c r="AB126" s="13"/>
      <c r="AC126" s="14" t="str">
        <f aca="false">IF(AND($B126&lt;&gt;"",$AE126="",$AB126&lt;&gt;"",$AB126&lt;Boshqaruv!$C$12),"Ha","")</f>
        <v/>
      </c>
      <c r="AD126" s="25"/>
      <c r="AE126" s="13"/>
      <c r="AF126" s="12"/>
      <c r="AG126" s="14" t="str">
        <f aca="false">IF(OR($B126="",$C126="",$H126=""),"",IF(COUNTIFS($B$5:$B$804,$B126,$C$5:$C$804,$C126,$H$5:$H$804,$H126)&gt;1,"Takror",""))</f>
        <v/>
      </c>
      <c r="AH126" s="28" t="str">
        <f aca="false">IF(AND($B126&lt;&gt;"",$N126="Ha",$H126&lt;&gt;"",$H126&lt;=Boshqaruv!$C$12,OR($AE126="",$AE126&gt;Boshqaruv!$C$12)),MAX($AH$4:$AH125)+1,"")</f>
        <v/>
      </c>
    </row>
    <row r="127" customFormat="false" ht="15" hidden="false" customHeight="false" outlineLevel="0" collapsed="false">
      <c r="A127" s="20" t="n">
        <v>123</v>
      </c>
      <c r="B127" s="12"/>
      <c r="C127" s="13"/>
      <c r="D127" s="24"/>
      <c r="E127" s="12"/>
      <c r="F127" s="25"/>
      <c r="G127" s="27" t="str">
        <f aca="false">IF(OR($B127="",$C127=""),"",$B127&amp;" ("&amp;DAY($C127)&amp;"."&amp;MONTH($C127)&amp;"."&amp;YEAR($C127)&amp;")")</f>
        <v/>
      </c>
      <c r="H127" s="13"/>
      <c r="I127" s="13"/>
      <c r="J127" s="15" t="str">
        <f aca="false">IF($I127="","",$I127+280)</f>
        <v/>
      </c>
      <c r="K127" s="14" t="str">
        <f aca="false">IF(OR($I127="",$AE127&lt;&gt;""),"",INT((Boshqaruv!$C$12-$I127)/7))</f>
        <v/>
      </c>
      <c r="L127" s="14" t="str">
        <f aca="false">IF(OR($C127="",$H127=""),"",INT(($H127-$C127)/365.25))</f>
        <v/>
      </c>
      <c r="M127" s="14" t="str">
        <f aca="false">IF($L127="","",IF($L127&lt;18,"Ha","Yo'q"))</f>
        <v/>
      </c>
      <c r="N127" s="25"/>
      <c r="O127" s="25"/>
      <c r="P127" s="25"/>
      <c r="Q127" s="12"/>
      <c r="R127" s="25"/>
      <c r="S127" s="12"/>
      <c r="T127" s="13"/>
      <c r="U127" s="12"/>
      <c r="V127" s="25"/>
      <c r="W127" s="25"/>
      <c r="X127" s="14" t="str">
        <f aca="false">IF(OR($V127="",$W127=""),"",IF(AND($V127&gt;=Spravochnik!$H$5,$W127&gt;=Spravochnik!$H$6),"Ha","Yo'q"))</f>
        <v/>
      </c>
      <c r="Y127" s="13"/>
      <c r="Z127" s="13"/>
      <c r="AA127" s="13"/>
      <c r="AB127" s="13"/>
      <c r="AC127" s="14" t="str">
        <f aca="false">IF(AND($B127&lt;&gt;"",$AE127="",$AB127&lt;&gt;"",$AB127&lt;Boshqaruv!$C$12),"Ha","")</f>
        <v/>
      </c>
      <c r="AD127" s="25"/>
      <c r="AE127" s="13"/>
      <c r="AF127" s="12"/>
      <c r="AG127" s="14" t="str">
        <f aca="false">IF(OR($B127="",$C127="",$H127=""),"",IF(COUNTIFS($B$5:$B$804,$B127,$C$5:$C$804,$C127,$H$5:$H$804,$H127)&gt;1,"Takror",""))</f>
        <v/>
      </c>
      <c r="AH127" s="28" t="str">
        <f aca="false">IF(AND($B127&lt;&gt;"",$N127="Ha",$H127&lt;&gt;"",$H127&lt;=Boshqaruv!$C$12,OR($AE127="",$AE127&gt;Boshqaruv!$C$12)),MAX($AH$4:$AH126)+1,"")</f>
        <v/>
      </c>
    </row>
    <row r="128" customFormat="false" ht="15" hidden="false" customHeight="false" outlineLevel="0" collapsed="false">
      <c r="A128" s="20" t="n">
        <v>124</v>
      </c>
      <c r="B128" s="12"/>
      <c r="C128" s="13"/>
      <c r="D128" s="24"/>
      <c r="E128" s="12"/>
      <c r="F128" s="25"/>
      <c r="G128" s="27" t="str">
        <f aca="false">IF(OR($B128="",$C128=""),"",$B128&amp;" ("&amp;DAY($C128)&amp;"."&amp;MONTH($C128)&amp;"."&amp;YEAR($C128)&amp;")")</f>
        <v/>
      </c>
      <c r="H128" s="13"/>
      <c r="I128" s="13"/>
      <c r="J128" s="15" t="str">
        <f aca="false">IF($I128="","",$I128+280)</f>
        <v/>
      </c>
      <c r="K128" s="14" t="str">
        <f aca="false">IF(OR($I128="",$AE128&lt;&gt;""),"",INT((Boshqaruv!$C$12-$I128)/7))</f>
        <v/>
      </c>
      <c r="L128" s="14" t="str">
        <f aca="false">IF(OR($C128="",$H128=""),"",INT(($H128-$C128)/365.25))</f>
        <v/>
      </c>
      <c r="M128" s="14" t="str">
        <f aca="false">IF($L128="","",IF($L128&lt;18,"Ha","Yo'q"))</f>
        <v/>
      </c>
      <c r="N128" s="25"/>
      <c r="O128" s="25"/>
      <c r="P128" s="25"/>
      <c r="Q128" s="12"/>
      <c r="R128" s="25"/>
      <c r="S128" s="12"/>
      <c r="T128" s="13"/>
      <c r="U128" s="12"/>
      <c r="V128" s="25"/>
      <c r="W128" s="25"/>
      <c r="X128" s="14" t="str">
        <f aca="false">IF(OR($V128="",$W128=""),"",IF(AND($V128&gt;=Spravochnik!$H$5,$W128&gt;=Spravochnik!$H$6),"Ha","Yo'q"))</f>
        <v/>
      </c>
      <c r="Y128" s="13"/>
      <c r="Z128" s="13"/>
      <c r="AA128" s="13"/>
      <c r="AB128" s="13"/>
      <c r="AC128" s="14" t="str">
        <f aca="false">IF(AND($B128&lt;&gt;"",$AE128="",$AB128&lt;&gt;"",$AB128&lt;Boshqaruv!$C$12),"Ha","")</f>
        <v/>
      </c>
      <c r="AD128" s="25"/>
      <c r="AE128" s="13"/>
      <c r="AF128" s="12"/>
      <c r="AG128" s="14" t="str">
        <f aca="false">IF(OR($B128="",$C128="",$H128=""),"",IF(COUNTIFS($B$5:$B$804,$B128,$C$5:$C$804,$C128,$H$5:$H$804,$H128)&gt;1,"Takror",""))</f>
        <v/>
      </c>
      <c r="AH128" s="28" t="str">
        <f aca="false">IF(AND($B128&lt;&gt;"",$N128="Ha",$H128&lt;&gt;"",$H128&lt;=Boshqaruv!$C$12,OR($AE128="",$AE128&gt;Boshqaruv!$C$12)),MAX($AH$4:$AH127)+1,"")</f>
        <v/>
      </c>
    </row>
    <row r="129" customFormat="false" ht="15" hidden="false" customHeight="false" outlineLevel="0" collapsed="false">
      <c r="A129" s="20" t="n">
        <v>125</v>
      </c>
      <c r="B129" s="12"/>
      <c r="C129" s="13"/>
      <c r="D129" s="24"/>
      <c r="E129" s="12"/>
      <c r="F129" s="25"/>
      <c r="G129" s="27" t="str">
        <f aca="false">IF(OR($B129="",$C129=""),"",$B129&amp;" ("&amp;DAY($C129)&amp;"."&amp;MONTH($C129)&amp;"."&amp;YEAR($C129)&amp;")")</f>
        <v/>
      </c>
      <c r="H129" s="13"/>
      <c r="I129" s="13"/>
      <c r="J129" s="15" t="str">
        <f aca="false">IF($I129="","",$I129+280)</f>
        <v/>
      </c>
      <c r="K129" s="14" t="str">
        <f aca="false">IF(OR($I129="",$AE129&lt;&gt;""),"",INT((Boshqaruv!$C$12-$I129)/7))</f>
        <v/>
      </c>
      <c r="L129" s="14" t="str">
        <f aca="false">IF(OR($C129="",$H129=""),"",INT(($H129-$C129)/365.25))</f>
        <v/>
      </c>
      <c r="M129" s="14" t="str">
        <f aca="false">IF($L129="","",IF($L129&lt;18,"Ha","Yo'q"))</f>
        <v/>
      </c>
      <c r="N129" s="25"/>
      <c r="O129" s="25"/>
      <c r="P129" s="25"/>
      <c r="Q129" s="12"/>
      <c r="R129" s="25"/>
      <c r="S129" s="12"/>
      <c r="T129" s="13"/>
      <c r="U129" s="12"/>
      <c r="V129" s="25"/>
      <c r="W129" s="25"/>
      <c r="X129" s="14" t="str">
        <f aca="false">IF(OR($V129="",$W129=""),"",IF(AND($V129&gt;=Spravochnik!$H$5,$W129&gt;=Spravochnik!$H$6),"Ha","Yo'q"))</f>
        <v/>
      </c>
      <c r="Y129" s="13"/>
      <c r="Z129" s="13"/>
      <c r="AA129" s="13"/>
      <c r="AB129" s="13"/>
      <c r="AC129" s="14" t="str">
        <f aca="false">IF(AND($B129&lt;&gt;"",$AE129="",$AB129&lt;&gt;"",$AB129&lt;Boshqaruv!$C$12),"Ha","")</f>
        <v/>
      </c>
      <c r="AD129" s="25"/>
      <c r="AE129" s="13"/>
      <c r="AF129" s="12"/>
      <c r="AG129" s="14" t="str">
        <f aca="false">IF(OR($B129="",$C129="",$H129=""),"",IF(COUNTIFS($B$5:$B$804,$B129,$C$5:$C$804,$C129,$H$5:$H$804,$H129)&gt;1,"Takror",""))</f>
        <v/>
      </c>
      <c r="AH129" s="28" t="str">
        <f aca="false">IF(AND($B129&lt;&gt;"",$N129="Ha",$H129&lt;&gt;"",$H129&lt;=Boshqaruv!$C$12,OR($AE129="",$AE129&gt;Boshqaruv!$C$12)),MAX($AH$4:$AH128)+1,"")</f>
        <v/>
      </c>
    </row>
    <row r="130" customFormat="false" ht="15" hidden="false" customHeight="false" outlineLevel="0" collapsed="false">
      <c r="A130" s="20" t="n">
        <v>126</v>
      </c>
      <c r="B130" s="12"/>
      <c r="C130" s="13"/>
      <c r="D130" s="24"/>
      <c r="E130" s="12"/>
      <c r="F130" s="25"/>
      <c r="G130" s="27" t="str">
        <f aca="false">IF(OR($B130="",$C130=""),"",$B130&amp;" ("&amp;DAY($C130)&amp;"."&amp;MONTH($C130)&amp;"."&amp;YEAR($C130)&amp;")")</f>
        <v/>
      </c>
      <c r="H130" s="13"/>
      <c r="I130" s="13"/>
      <c r="J130" s="15" t="str">
        <f aca="false">IF($I130="","",$I130+280)</f>
        <v/>
      </c>
      <c r="K130" s="14" t="str">
        <f aca="false">IF(OR($I130="",$AE130&lt;&gt;""),"",INT((Boshqaruv!$C$12-$I130)/7))</f>
        <v/>
      </c>
      <c r="L130" s="14" t="str">
        <f aca="false">IF(OR($C130="",$H130=""),"",INT(($H130-$C130)/365.25))</f>
        <v/>
      </c>
      <c r="M130" s="14" t="str">
        <f aca="false">IF($L130="","",IF($L130&lt;18,"Ha","Yo'q"))</f>
        <v/>
      </c>
      <c r="N130" s="25"/>
      <c r="O130" s="25"/>
      <c r="P130" s="25"/>
      <c r="Q130" s="12"/>
      <c r="R130" s="25"/>
      <c r="S130" s="12"/>
      <c r="T130" s="13"/>
      <c r="U130" s="12"/>
      <c r="V130" s="25"/>
      <c r="W130" s="25"/>
      <c r="X130" s="14" t="str">
        <f aca="false">IF(OR($V130="",$W130=""),"",IF(AND($V130&gt;=Spravochnik!$H$5,$W130&gt;=Spravochnik!$H$6),"Ha","Yo'q"))</f>
        <v/>
      </c>
      <c r="Y130" s="13"/>
      <c r="Z130" s="13"/>
      <c r="AA130" s="13"/>
      <c r="AB130" s="13"/>
      <c r="AC130" s="14" t="str">
        <f aca="false">IF(AND($B130&lt;&gt;"",$AE130="",$AB130&lt;&gt;"",$AB130&lt;Boshqaruv!$C$12),"Ha","")</f>
        <v/>
      </c>
      <c r="AD130" s="25"/>
      <c r="AE130" s="13"/>
      <c r="AF130" s="12"/>
      <c r="AG130" s="14" t="str">
        <f aca="false">IF(OR($B130="",$C130="",$H130=""),"",IF(COUNTIFS($B$5:$B$804,$B130,$C$5:$C$804,$C130,$H$5:$H$804,$H130)&gt;1,"Takror",""))</f>
        <v/>
      </c>
      <c r="AH130" s="28" t="str">
        <f aca="false">IF(AND($B130&lt;&gt;"",$N130="Ha",$H130&lt;&gt;"",$H130&lt;=Boshqaruv!$C$12,OR($AE130="",$AE130&gt;Boshqaruv!$C$12)),MAX($AH$4:$AH129)+1,"")</f>
        <v/>
      </c>
    </row>
    <row r="131" customFormat="false" ht="15" hidden="false" customHeight="false" outlineLevel="0" collapsed="false">
      <c r="A131" s="20" t="n">
        <v>127</v>
      </c>
      <c r="B131" s="12"/>
      <c r="C131" s="13"/>
      <c r="D131" s="24"/>
      <c r="E131" s="12"/>
      <c r="F131" s="25"/>
      <c r="G131" s="27" t="str">
        <f aca="false">IF(OR($B131="",$C131=""),"",$B131&amp;" ("&amp;DAY($C131)&amp;"."&amp;MONTH($C131)&amp;"."&amp;YEAR($C131)&amp;")")</f>
        <v/>
      </c>
      <c r="H131" s="13"/>
      <c r="I131" s="13"/>
      <c r="J131" s="15" t="str">
        <f aca="false">IF($I131="","",$I131+280)</f>
        <v/>
      </c>
      <c r="K131" s="14" t="str">
        <f aca="false">IF(OR($I131="",$AE131&lt;&gt;""),"",INT((Boshqaruv!$C$12-$I131)/7))</f>
        <v/>
      </c>
      <c r="L131" s="14" t="str">
        <f aca="false">IF(OR($C131="",$H131=""),"",INT(($H131-$C131)/365.25))</f>
        <v/>
      </c>
      <c r="M131" s="14" t="str">
        <f aca="false">IF($L131="","",IF($L131&lt;18,"Ha","Yo'q"))</f>
        <v/>
      </c>
      <c r="N131" s="25"/>
      <c r="O131" s="25"/>
      <c r="P131" s="25"/>
      <c r="Q131" s="12"/>
      <c r="R131" s="25"/>
      <c r="S131" s="12"/>
      <c r="T131" s="13"/>
      <c r="U131" s="12"/>
      <c r="V131" s="25"/>
      <c r="W131" s="25"/>
      <c r="X131" s="14" t="str">
        <f aca="false">IF(OR($V131="",$W131=""),"",IF(AND($V131&gt;=Spravochnik!$H$5,$W131&gt;=Spravochnik!$H$6),"Ha","Yo'q"))</f>
        <v/>
      </c>
      <c r="Y131" s="13"/>
      <c r="Z131" s="13"/>
      <c r="AA131" s="13"/>
      <c r="AB131" s="13"/>
      <c r="AC131" s="14" t="str">
        <f aca="false">IF(AND($B131&lt;&gt;"",$AE131="",$AB131&lt;&gt;"",$AB131&lt;Boshqaruv!$C$12),"Ha","")</f>
        <v/>
      </c>
      <c r="AD131" s="25"/>
      <c r="AE131" s="13"/>
      <c r="AF131" s="12"/>
      <c r="AG131" s="14" t="str">
        <f aca="false">IF(OR($B131="",$C131="",$H131=""),"",IF(COUNTIFS($B$5:$B$804,$B131,$C$5:$C$804,$C131,$H$5:$H$804,$H131)&gt;1,"Takror",""))</f>
        <v/>
      </c>
      <c r="AH131" s="28" t="str">
        <f aca="false">IF(AND($B131&lt;&gt;"",$N131="Ha",$H131&lt;&gt;"",$H131&lt;=Boshqaruv!$C$12,OR($AE131="",$AE131&gt;Boshqaruv!$C$12)),MAX($AH$4:$AH130)+1,"")</f>
        <v/>
      </c>
    </row>
    <row r="132" customFormat="false" ht="15" hidden="false" customHeight="false" outlineLevel="0" collapsed="false">
      <c r="A132" s="20" t="n">
        <v>128</v>
      </c>
      <c r="B132" s="12"/>
      <c r="C132" s="13"/>
      <c r="D132" s="24"/>
      <c r="E132" s="12"/>
      <c r="F132" s="25"/>
      <c r="G132" s="27" t="str">
        <f aca="false">IF(OR($B132="",$C132=""),"",$B132&amp;" ("&amp;DAY($C132)&amp;"."&amp;MONTH($C132)&amp;"."&amp;YEAR($C132)&amp;")")</f>
        <v/>
      </c>
      <c r="H132" s="13"/>
      <c r="I132" s="13"/>
      <c r="J132" s="15" t="str">
        <f aca="false">IF($I132="","",$I132+280)</f>
        <v/>
      </c>
      <c r="K132" s="14" t="str">
        <f aca="false">IF(OR($I132="",$AE132&lt;&gt;""),"",INT((Boshqaruv!$C$12-$I132)/7))</f>
        <v/>
      </c>
      <c r="L132" s="14" t="str">
        <f aca="false">IF(OR($C132="",$H132=""),"",INT(($H132-$C132)/365.25))</f>
        <v/>
      </c>
      <c r="M132" s="14" t="str">
        <f aca="false">IF($L132="","",IF($L132&lt;18,"Ha","Yo'q"))</f>
        <v/>
      </c>
      <c r="N132" s="25"/>
      <c r="O132" s="25"/>
      <c r="P132" s="25"/>
      <c r="Q132" s="12"/>
      <c r="R132" s="25"/>
      <c r="S132" s="12"/>
      <c r="T132" s="13"/>
      <c r="U132" s="12"/>
      <c r="V132" s="25"/>
      <c r="W132" s="25"/>
      <c r="X132" s="14" t="str">
        <f aca="false">IF(OR($V132="",$W132=""),"",IF(AND($V132&gt;=Spravochnik!$H$5,$W132&gt;=Spravochnik!$H$6),"Ha","Yo'q"))</f>
        <v/>
      </c>
      <c r="Y132" s="13"/>
      <c r="Z132" s="13"/>
      <c r="AA132" s="13"/>
      <c r="AB132" s="13"/>
      <c r="AC132" s="14" t="str">
        <f aca="false">IF(AND($B132&lt;&gt;"",$AE132="",$AB132&lt;&gt;"",$AB132&lt;Boshqaruv!$C$12),"Ha","")</f>
        <v/>
      </c>
      <c r="AD132" s="25"/>
      <c r="AE132" s="13"/>
      <c r="AF132" s="12"/>
      <c r="AG132" s="14" t="str">
        <f aca="false">IF(OR($B132="",$C132="",$H132=""),"",IF(COUNTIFS($B$5:$B$804,$B132,$C$5:$C$804,$C132,$H$5:$H$804,$H132)&gt;1,"Takror",""))</f>
        <v/>
      </c>
      <c r="AH132" s="28" t="str">
        <f aca="false">IF(AND($B132&lt;&gt;"",$N132="Ha",$H132&lt;&gt;"",$H132&lt;=Boshqaruv!$C$12,OR($AE132="",$AE132&gt;Boshqaruv!$C$12)),MAX($AH$4:$AH131)+1,"")</f>
        <v/>
      </c>
    </row>
    <row r="133" customFormat="false" ht="15" hidden="false" customHeight="false" outlineLevel="0" collapsed="false">
      <c r="A133" s="20" t="n">
        <v>129</v>
      </c>
      <c r="B133" s="12"/>
      <c r="C133" s="13"/>
      <c r="D133" s="24"/>
      <c r="E133" s="12"/>
      <c r="F133" s="25"/>
      <c r="G133" s="27" t="str">
        <f aca="false">IF(OR($B133="",$C133=""),"",$B133&amp;" ("&amp;DAY($C133)&amp;"."&amp;MONTH($C133)&amp;"."&amp;YEAR($C133)&amp;")")</f>
        <v/>
      </c>
      <c r="H133" s="13"/>
      <c r="I133" s="13"/>
      <c r="J133" s="15" t="str">
        <f aca="false">IF($I133="","",$I133+280)</f>
        <v/>
      </c>
      <c r="K133" s="14" t="str">
        <f aca="false">IF(OR($I133="",$AE133&lt;&gt;""),"",INT((Boshqaruv!$C$12-$I133)/7))</f>
        <v/>
      </c>
      <c r="L133" s="14" t="str">
        <f aca="false">IF(OR($C133="",$H133=""),"",INT(($H133-$C133)/365.25))</f>
        <v/>
      </c>
      <c r="M133" s="14" t="str">
        <f aca="false">IF($L133="","",IF($L133&lt;18,"Ha","Yo'q"))</f>
        <v/>
      </c>
      <c r="N133" s="25"/>
      <c r="O133" s="25"/>
      <c r="P133" s="25"/>
      <c r="Q133" s="12"/>
      <c r="R133" s="25"/>
      <c r="S133" s="12"/>
      <c r="T133" s="13"/>
      <c r="U133" s="12"/>
      <c r="V133" s="25"/>
      <c r="W133" s="25"/>
      <c r="X133" s="14" t="str">
        <f aca="false">IF(OR($V133="",$W133=""),"",IF(AND($V133&gt;=Spravochnik!$H$5,$W133&gt;=Spravochnik!$H$6),"Ha","Yo'q"))</f>
        <v/>
      </c>
      <c r="Y133" s="13"/>
      <c r="Z133" s="13"/>
      <c r="AA133" s="13"/>
      <c r="AB133" s="13"/>
      <c r="AC133" s="14" t="str">
        <f aca="false">IF(AND($B133&lt;&gt;"",$AE133="",$AB133&lt;&gt;"",$AB133&lt;Boshqaruv!$C$12),"Ha","")</f>
        <v/>
      </c>
      <c r="AD133" s="25"/>
      <c r="AE133" s="13"/>
      <c r="AF133" s="12"/>
      <c r="AG133" s="14" t="str">
        <f aca="false">IF(OR($B133="",$C133="",$H133=""),"",IF(COUNTIFS($B$5:$B$804,$B133,$C$5:$C$804,$C133,$H$5:$H$804,$H133)&gt;1,"Takror",""))</f>
        <v/>
      </c>
      <c r="AH133" s="28" t="str">
        <f aca="false">IF(AND($B133&lt;&gt;"",$N133="Ha",$H133&lt;&gt;"",$H133&lt;=Boshqaruv!$C$12,OR($AE133="",$AE133&gt;Boshqaruv!$C$12)),MAX($AH$4:$AH132)+1,"")</f>
        <v/>
      </c>
    </row>
    <row r="134" customFormat="false" ht="15" hidden="false" customHeight="false" outlineLevel="0" collapsed="false">
      <c r="A134" s="20" t="n">
        <v>130</v>
      </c>
      <c r="B134" s="12"/>
      <c r="C134" s="13"/>
      <c r="D134" s="24"/>
      <c r="E134" s="12"/>
      <c r="F134" s="25"/>
      <c r="G134" s="27" t="str">
        <f aca="false">IF(OR($B134="",$C134=""),"",$B134&amp;" ("&amp;DAY($C134)&amp;"."&amp;MONTH($C134)&amp;"."&amp;YEAR($C134)&amp;")")</f>
        <v/>
      </c>
      <c r="H134" s="13"/>
      <c r="I134" s="13"/>
      <c r="J134" s="15" t="str">
        <f aca="false">IF($I134="","",$I134+280)</f>
        <v/>
      </c>
      <c r="K134" s="14" t="str">
        <f aca="false">IF(OR($I134="",$AE134&lt;&gt;""),"",INT((Boshqaruv!$C$12-$I134)/7))</f>
        <v/>
      </c>
      <c r="L134" s="14" t="str">
        <f aca="false">IF(OR($C134="",$H134=""),"",INT(($H134-$C134)/365.25))</f>
        <v/>
      </c>
      <c r="M134" s="14" t="str">
        <f aca="false">IF($L134="","",IF($L134&lt;18,"Ha","Yo'q"))</f>
        <v/>
      </c>
      <c r="N134" s="25"/>
      <c r="O134" s="25"/>
      <c r="P134" s="25"/>
      <c r="Q134" s="12"/>
      <c r="R134" s="25"/>
      <c r="S134" s="12"/>
      <c r="T134" s="13"/>
      <c r="U134" s="12"/>
      <c r="V134" s="25"/>
      <c r="W134" s="25"/>
      <c r="X134" s="14" t="str">
        <f aca="false">IF(OR($V134="",$W134=""),"",IF(AND($V134&gt;=Spravochnik!$H$5,$W134&gt;=Spravochnik!$H$6),"Ha","Yo'q"))</f>
        <v/>
      </c>
      <c r="Y134" s="13"/>
      <c r="Z134" s="13"/>
      <c r="AA134" s="13"/>
      <c r="AB134" s="13"/>
      <c r="AC134" s="14" t="str">
        <f aca="false">IF(AND($B134&lt;&gt;"",$AE134="",$AB134&lt;&gt;"",$AB134&lt;Boshqaruv!$C$12),"Ha","")</f>
        <v/>
      </c>
      <c r="AD134" s="25"/>
      <c r="AE134" s="13"/>
      <c r="AF134" s="12"/>
      <c r="AG134" s="14" t="str">
        <f aca="false">IF(OR($B134="",$C134="",$H134=""),"",IF(COUNTIFS($B$5:$B$804,$B134,$C$5:$C$804,$C134,$H$5:$H$804,$H134)&gt;1,"Takror",""))</f>
        <v/>
      </c>
      <c r="AH134" s="28" t="str">
        <f aca="false">IF(AND($B134&lt;&gt;"",$N134="Ha",$H134&lt;&gt;"",$H134&lt;=Boshqaruv!$C$12,OR($AE134="",$AE134&gt;Boshqaruv!$C$12)),MAX($AH$4:$AH133)+1,"")</f>
        <v/>
      </c>
    </row>
    <row r="135" customFormat="false" ht="15" hidden="false" customHeight="false" outlineLevel="0" collapsed="false">
      <c r="A135" s="20" t="n">
        <v>131</v>
      </c>
      <c r="B135" s="12"/>
      <c r="C135" s="13"/>
      <c r="D135" s="24"/>
      <c r="E135" s="12"/>
      <c r="F135" s="25"/>
      <c r="G135" s="27" t="str">
        <f aca="false">IF(OR($B135="",$C135=""),"",$B135&amp;" ("&amp;DAY($C135)&amp;"."&amp;MONTH($C135)&amp;"."&amp;YEAR($C135)&amp;")")</f>
        <v/>
      </c>
      <c r="H135" s="13"/>
      <c r="I135" s="13"/>
      <c r="J135" s="15" t="str">
        <f aca="false">IF($I135="","",$I135+280)</f>
        <v/>
      </c>
      <c r="K135" s="14" t="str">
        <f aca="false">IF(OR($I135="",$AE135&lt;&gt;""),"",INT((Boshqaruv!$C$12-$I135)/7))</f>
        <v/>
      </c>
      <c r="L135" s="14" t="str">
        <f aca="false">IF(OR($C135="",$H135=""),"",INT(($H135-$C135)/365.25))</f>
        <v/>
      </c>
      <c r="M135" s="14" t="str">
        <f aca="false">IF($L135="","",IF($L135&lt;18,"Ha","Yo'q"))</f>
        <v/>
      </c>
      <c r="N135" s="25"/>
      <c r="O135" s="25"/>
      <c r="P135" s="25"/>
      <c r="Q135" s="12"/>
      <c r="R135" s="25"/>
      <c r="S135" s="12"/>
      <c r="T135" s="13"/>
      <c r="U135" s="12"/>
      <c r="V135" s="25"/>
      <c r="W135" s="25"/>
      <c r="X135" s="14" t="str">
        <f aca="false">IF(OR($V135="",$W135=""),"",IF(AND($V135&gt;=Spravochnik!$H$5,$W135&gt;=Spravochnik!$H$6),"Ha","Yo'q"))</f>
        <v/>
      </c>
      <c r="Y135" s="13"/>
      <c r="Z135" s="13"/>
      <c r="AA135" s="13"/>
      <c r="AB135" s="13"/>
      <c r="AC135" s="14" t="str">
        <f aca="false">IF(AND($B135&lt;&gt;"",$AE135="",$AB135&lt;&gt;"",$AB135&lt;Boshqaruv!$C$12),"Ha","")</f>
        <v/>
      </c>
      <c r="AD135" s="25"/>
      <c r="AE135" s="13"/>
      <c r="AF135" s="12"/>
      <c r="AG135" s="14" t="str">
        <f aca="false">IF(OR($B135="",$C135="",$H135=""),"",IF(COUNTIFS($B$5:$B$804,$B135,$C$5:$C$804,$C135,$H$5:$H$804,$H135)&gt;1,"Takror",""))</f>
        <v/>
      </c>
      <c r="AH135" s="28" t="str">
        <f aca="false">IF(AND($B135&lt;&gt;"",$N135="Ha",$H135&lt;&gt;"",$H135&lt;=Boshqaruv!$C$12,OR($AE135="",$AE135&gt;Boshqaruv!$C$12)),MAX($AH$4:$AH134)+1,"")</f>
        <v/>
      </c>
    </row>
    <row r="136" customFormat="false" ht="15" hidden="false" customHeight="false" outlineLevel="0" collapsed="false">
      <c r="A136" s="20" t="n">
        <v>132</v>
      </c>
      <c r="B136" s="12"/>
      <c r="C136" s="13"/>
      <c r="D136" s="24"/>
      <c r="E136" s="12"/>
      <c r="F136" s="25"/>
      <c r="G136" s="27" t="str">
        <f aca="false">IF(OR($B136="",$C136=""),"",$B136&amp;" ("&amp;DAY($C136)&amp;"."&amp;MONTH($C136)&amp;"."&amp;YEAR($C136)&amp;")")</f>
        <v/>
      </c>
      <c r="H136" s="13"/>
      <c r="I136" s="13"/>
      <c r="J136" s="15" t="str">
        <f aca="false">IF($I136="","",$I136+280)</f>
        <v/>
      </c>
      <c r="K136" s="14" t="str">
        <f aca="false">IF(OR($I136="",$AE136&lt;&gt;""),"",INT((Boshqaruv!$C$12-$I136)/7))</f>
        <v/>
      </c>
      <c r="L136" s="14" t="str">
        <f aca="false">IF(OR($C136="",$H136=""),"",INT(($H136-$C136)/365.25))</f>
        <v/>
      </c>
      <c r="M136" s="14" t="str">
        <f aca="false">IF($L136="","",IF($L136&lt;18,"Ha","Yo'q"))</f>
        <v/>
      </c>
      <c r="N136" s="25"/>
      <c r="O136" s="25"/>
      <c r="P136" s="25"/>
      <c r="Q136" s="12"/>
      <c r="R136" s="25"/>
      <c r="S136" s="12"/>
      <c r="T136" s="13"/>
      <c r="U136" s="12"/>
      <c r="V136" s="25"/>
      <c r="W136" s="25"/>
      <c r="X136" s="14" t="str">
        <f aca="false">IF(OR($V136="",$W136=""),"",IF(AND($V136&gt;=Spravochnik!$H$5,$W136&gt;=Spravochnik!$H$6),"Ha","Yo'q"))</f>
        <v/>
      </c>
      <c r="Y136" s="13"/>
      <c r="Z136" s="13"/>
      <c r="AA136" s="13"/>
      <c r="AB136" s="13"/>
      <c r="AC136" s="14" t="str">
        <f aca="false">IF(AND($B136&lt;&gt;"",$AE136="",$AB136&lt;&gt;"",$AB136&lt;Boshqaruv!$C$12),"Ha","")</f>
        <v/>
      </c>
      <c r="AD136" s="25"/>
      <c r="AE136" s="13"/>
      <c r="AF136" s="12"/>
      <c r="AG136" s="14" t="str">
        <f aca="false">IF(OR($B136="",$C136="",$H136=""),"",IF(COUNTIFS($B$5:$B$804,$B136,$C$5:$C$804,$C136,$H$5:$H$804,$H136)&gt;1,"Takror",""))</f>
        <v/>
      </c>
      <c r="AH136" s="28" t="str">
        <f aca="false">IF(AND($B136&lt;&gt;"",$N136="Ha",$H136&lt;&gt;"",$H136&lt;=Boshqaruv!$C$12,OR($AE136="",$AE136&gt;Boshqaruv!$C$12)),MAX($AH$4:$AH135)+1,"")</f>
        <v/>
      </c>
    </row>
    <row r="137" customFormat="false" ht="15" hidden="false" customHeight="false" outlineLevel="0" collapsed="false">
      <c r="A137" s="20" t="n">
        <v>133</v>
      </c>
      <c r="B137" s="12"/>
      <c r="C137" s="13"/>
      <c r="D137" s="24"/>
      <c r="E137" s="12"/>
      <c r="F137" s="25"/>
      <c r="G137" s="27" t="str">
        <f aca="false">IF(OR($B137="",$C137=""),"",$B137&amp;" ("&amp;DAY($C137)&amp;"."&amp;MONTH($C137)&amp;"."&amp;YEAR($C137)&amp;")")</f>
        <v/>
      </c>
      <c r="H137" s="13"/>
      <c r="I137" s="13"/>
      <c r="J137" s="15" t="str">
        <f aca="false">IF($I137="","",$I137+280)</f>
        <v/>
      </c>
      <c r="K137" s="14" t="str">
        <f aca="false">IF(OR($I137="",$AE137&lt;&gt;""),"",INT((Boshqaruv!$C$12-$I137)/7))</f>
        <v/>
      </c>
      <c r="L137" s="14" t="str">
        <f aca="false">IF(OR($C137="",$H137=""),"",INT(($H137-$C137)/365.25))</f>
        <v/>
      </c>
      <c r="M137" s="14" t="str">
        <f aca="false">IF($L137="","",IF($L137&lt;18,"Ha","Yo'q"))</f>
        <v/>
      </c>
      <c r="N137" s="25"/>
      <c r="O137" s="25"/>
      <c r="P137" s="25"/>
      <c r="Q137" s="12"/>
      <c r="R137" s="25"/>
      <c r="S137" s="12"/>
      <c r="T137" s="13"/>
      <c r="U137" s="12"/>
      <c r="V137" s="25"/>
      <c r="W137" s="25"/>
      <c r="X137" s="14" t="str">
        <f aca="false">IF(OR($V137="",$W137=""),"",IF(AND($V137&gt;=Spravochnik!$H$5,$W137&gt;=Spravochnik!$H$6),"Ha","Yo'q"))</f>
        <v/>
      </c>
      <c r="Y137" s="13"/>
      <c r="Z137" s="13"/>
      <c r="AA137" s="13"/>
      <c r="AB137" s="13"/>
      <c r="AC137" s="14" t="str">
        <f aca="false">IF(AND($B137&lt;&gt;"",$AE137="",$AB137&lt;&gt;"",$AB137&lt;Boshqaruv!$C$12),"Ha","")</f>
        <v/>
      </c>
      <c r="AD137" s="25"/>
      <c r="AE137" s="13"/>
      <c r="AF137" s="12"/>
      <c r="AG137" s="14" t="str">
        <f aca="false">IF(OR($B137="",$C137="",$H137=""),"",IF(COUNTIFS($B$5:$B$804,$B137,$C$5:$C$804,$C137,$H$5:$H$804,$H137)&gt;1,"Takror",""))</f>
        <v/>
      </c>
      <c r="AH137" s="28" t="str">
        <f aca="false">IF(AND($B137&lt;&gt;"",$N137="Ha",$H137&lt;&gt;"",$H137&lt;=Boshqaruv!$C$12,OR($AE137="",$AE137&gt;Boshqaruv!$C$12)),MAX($AH$4:$AH136)+1,"")</f>
        <v/>
      </c>
    </row>
    <row r="138" customFormat="false" ht="15" hidden="false" customHeight="false" outlineLevel="0" collapsed="false">
      <c r="A138" s="20" t="n">
        <v>134</v>
      </c>
      <c r="B138" s="12"/>
      <c r="C138" s="13"/>
      <c r="D138" s="24"/>
      <c r="E138" s="12"/>
      <c r="F138" s="25"/>
      <c r="G138" s="27" t="str">
        <f aca="false">IF(OR($B138="",$C138=""),"",$B138&amp;" ("&amp;DAY($C138)&amp;"."&amp;MONTH($C138)&amp;"."&amp;YEAR($C138)&amp;")")</f>
        <v/>
      </c>
      <c r="H138" s="13"/>
      <c r="I138" s="13"/>
      <c r="J138" s="15" t="str">
        <f aca="false">IF($I138="","",$I138+280)</f>
        <v/>
      </c>
      <c r="K138" s="14" t="str">
        <f aca="false">IF(OR($I138="",$AE138&lt;&gt;""),"",INT((Boshqaruv!$C$12-$I138)/7))</f>
        <v/>
      </c>
      <c r="L138" s="14" t="str">
        <f aca="false">IF(OR($C138="",$H138=""),"",INT(($H138-$C138)/365.25))</f>
        <v/>
      </c>
      <c r="M138" s="14" t="str">
        <f aca="false">IF($L138="","",IF($L138&lt;18,"Ha","Yo'q"))</f>
        <v/>
      </c>
      <c r="N138" s="25"/>
      <c r="O138" s="25"/>
      <c r="P138" s="25"/>
      <c r="Q138" s="12"/>
      <c r="R138" s="25"/>
      <c r="S138" s="12"/>
      <c r="T138" s="13"/>
      <c r="U138" s="12"/>
      <c r="V138" s="25"/>
      <c r="W138" s="25"/>
      <c r="X138" s="14" t="str">
        <f aca="false">IF(OR($V138="",$W138=""),"",IF(AND($V138&gt;=Spravochnik!$H$5,$W138&gt;=Spravochnik!$H$6),"Ha","Yo'q"))</f>
        <v/>
      </c>
      <c r="Y138" s="13"/>
      <c r="Z138" s="13"/>
      <c r="AA138" s="13"/>
      <c r="AB138" s="13"/>
      <c r="AC138" s="14" t="str">
        <f aca="false">IF(AND($B138&lt;&gt;"",$AE138="",$AB138&lt;&gt;"",$AB138&lt;Boshqaruv!$C$12),"Ha","")</f>
        <v/>
      </c>
      <c r="AD138" s="25"/>
      <c r="AE138" s="13"/>
      <c r="AF138" s="12"/>
      <c r="AG138" s="14" t="str">
        <f aca="false">IF(OR($B138="",$C138="",$H138=""),"",IF(COUNTIFS($B$5:$B$804,$B138,$C$5:$C$804,$C138,$H$5:$H$804,$H138)&gt;1,"Takror",""))</f>
        <v/>
      </c>
      <c r="AH138" s="28" t="str">
        <f aca="false">IF(AND($B138&lt;&gt;"",$N138="Ha",$H138&lt;&gt;"",$H138&lt;=Boshqaruv!$C$12,OR($AE138="",$AE138&gt;Boshqaruv!$C$12)),MAX($AH$4:$AH137)+1,"")</f>
        <v/>
      </c>
    </row>
    <row r="139" customFormat="false" ht="15" hidden="false" customHeight="false" outlineLevel="0" collapsed="false">
      <c r="A139" s="20" t="n">
        <v>135</v>
      </c>
      <c r="B139" s="12"/>
      <c r="C139" s="13"/>
      <c r="D139" s="24"/>
      <c r="E139" s="12"/>
      <c r="F139" s="25"/>
      <c r="G139" s="27" t="str">
        <f aca="false">IF(OR($B139="",$C139=""),"",$B139&amp;" ("&amp;DAY($C139)&amp;"."&amp;MONTH($C139)&amp;"."&amp;YEAR($C139)&amp;")")</f>
        <v/>
      </c>
      <c r="H139" s="13"/>
      <c r="I139" s="13"/>
      <c r="J139" s="15" t="str">
        <f aca="false">IF($I139="","",$I139+280)</f>
        <v/>
      </c>
      <c r="K139" s="14" t="str">
        <f aca="false">IF(OR($I139="",$AE139&lt;&gt;""),"",INT((Boshqaruv!$C$12-$I139)/7))</f>
        <v/>
      </c>
      <c r="L139" s="14" t="str">
        <f aca="false">IF(OR($C139="",$H139=""),"",INT(($H139-$C139)/365.25))</f>
        <v/>
      </c>
      <c r="M139" s="14" t="str">
        <f aca="false">IF($L139="","",IF($L139&lt;18,"Ha","Yo'q"))</f>
        <v/>
      </c>
      <c r="N139" s="25"/>
      <c r="O139" s="25"/>
      <c r="P139" s="25"/>
      <c r="Q139" s="12"/>
      <c r="R139" s="25"/>
      <c r="S139" s="12"/>
      <c r="T139" s="13"/>
      <c r="U139" s="12"/>
      <c r="V139" s="25"/>
      <c r="W139" s="25"/>
      <c r="X139" s="14" t="str">
        <f aca="false">IF(OR($V139="",$W139=""),"",IF(AND($V139&gt;=Spravochnik!$H$5,$W139&gt;=Spravochnik!$H$6),"Ha","Yo'q"))</f>
        <v/>
      </c>
      <c r="Y139" s="13"/>
      <c r="Z139" s="13"/>
      <c r="AA139" s="13"/>
      <c r="AB139" s="13"/>
      <c r="AC139" s="14" t="str">
        <f aca="false">IF(AND($B139&lt;&gt;"",$AE139="",$AB139&lt;&gt;"",$AB139&lt;Boshqaruv!$C$12),"Ha","")</f>
        <v/>
      </c>
      <c r="AD139" s="25"/>
      <c r="AE139" s="13"/>
      <c r="AF139" s="12"/>
      <c r="AG139" s="14" t="str">
        <f aca="false">IF(OR($B139="",$C139="",$H139=""),"",IF(COUNTIFS($B$5:$B$804,$B139,$C$5:$C$804,$C139,$H$5:$H$804,$H139)&gt;1,"Takror",""))</f>
        <v/>
      </c>
      <c r="AH139" s="28" t="str">
        <f aca="false">IF(AND($B139&lt;&gt;"",$N139="Ha",$H139&lt;&gt;"",$H139&lt;=Boshqaruv!$C$12,OR($AE139="",$AE139&gt;Boshqaruv!$C$12)),MAX($AH$4:$AH138)+1,"")</f>
        <v/>
      </c>
    </row>
    <row r="140" customFormat="false" ht="15" hidden="false" customHeight="false" outlineLevel="0" collapsed="false">
      <c r="A140" s="20" t="n">
        <v>136</v>
      </c>
      <c r="B140" s="12"/>
      <c r="C140" s="13"/>
      <c r="D140" s="24"/>
      <c r="E140" s="12"/>
      <c r="F140" s="25"/>
      <c r="G140" s="27" t="str">
        <f aca="false">IF(OR($B140="",$C140=""),"",$B140&amp;" ("&amp;DAY($C140)&amp;"."&amp;MONTH($C140)&amp;"."&amp;YEAR($C140)&amp;")")</f>
        <v/>
      </c>
      <c r="H140" s="13"/>
      <c r="I140" s="13"/>
      <c r="J140" s="15" t="str">
        <f aca="false">IF($I140="","",$I140+280)</f>
        <v/>
      </c>
      <c r="K140" s="14" t="str">
        <f aca="false">IF(OR($I140="",$AE140&lt;&gt;""),"",INT((Boshqaruv!$C$12-$I140)/7))</f>
        <v/>
      </c>
      <c r="L140" s="14" t="str">
        <f aca="false">IF(OR($C140="",$H140=""),"",INT(($H140-$C140)/365.25))</f>
        <v/>
      </c>
      <c r="M140" s="14" t="str">
        <f aca="false">IF($L140="","",IF($L140&lt;18,"Ha","Yo'q"))</f>
        <v/>
      </c>
      <c r="N140" s="25"/>
      <c r="O140" s="25"/>
      <c r="P140" s="25"/>
      <c r="Q140" s="12"/>
      <c r="R140" s="25"/>
      <c r="S140" s="12"/>
      <c r="T140" s="13"/>
      <c r="U140" s="12"/>
      <c r="V140" s="25"/>
      <c r="W140" s="25"/>
      <c r="X140" s="14" t="str">
        <f aca="false">IF(OR($V140="",$W140=""),"",IF(AND($V140&gt;=Spravochnik!$H$5,$W140&gt;=Spravochnik!$H$6),"Ha","Yo'q"))</f>
        <v/>
      </c>
      <c r="Y140" s="13"/>
      <c r="Z140" s="13"/>
      <c r="AA140" s="13"/>
      <c r="AB140" s="13"/>
      <c r="AC140" s="14" t="str">
        <f aca="false">IF(AND($B140&lt;&gt;"",$AE140="",$AB140&lt;&gt;"",$AB140&lt;Boshqaruv!$C$12),"Ha","")</f>
        <v/>
      </c>
      <c r="AD140" s="25"/>
      <c r="AE140" s="13"/>
      <c r="AF140" s="12"/>
      <c r="AG140" s="14" t="str">
        <f aca="false">IF(OR($B140="",$C140="",$H140=""),"",IF(COUNTIFS($B$5:$B$804,$B140,$C$5:$C$804,$C140,$H$5:$H$804,$H140)&gt;1,"Takror",""))</f>
        <v/>
      </c>
      <c r="AH140" s="28" t="str">
        <f aca="false">IF(AND($B140&lt;&gt;"",$N140="Ha",$H140&lt;&gt;"",$H140&lt;=Boshqaruv!$C$12,OR($AE140="",$AE140&gt;Boshqaruv!$C$12)),MAX($AH$4:$AH139)+1,"")</f>
        <v/>
      </c>
    </row>
    <row r="141" customFormat="false" ht="15" hidden="false" customHeight="false" outlineLevel="0" collapsed="false">
      <c r="A141" s="20" t="n">
        <v>137</v>
      </c>
      <c r="B141" s="12"/>
      <c r="C141" s="13"/>
      <c r="D141" s="24"/>
      <c r="E141" s="12"/>
      <c r="F141" s="25"/>
      <c r="G141" s="27" t="str">
        <f aca="false">IF(OR($B141="",$C141=""),"",$B141&amp;" ("&amp;DAY($C141)&amp;"."&amp;MONTH($C141)&amp;"."&amp;YEAR($C141)&amp;")")</f>
        <v/>
      </c>
      <c r="H141" s="13"/>
      <c r="I141" s="13"/>
      <c r="J141" s="15" t="str">
        <f aca="false">IF($I141="","",$I141+280)</f>
        <v/>
      </c>
      <c r="K141" s="14" t="str">
        <f aca="false">IF(OR($I141="",$AE141&lt;&gt;""),"",INT((Boshqaruv!$C$12-$I141)/7))</f>
        <v/>
      </c>
      <c r="L141" s="14" t="str">
        <f aca="false">IF(OR($C141="",$H141=""),"",INT(($H141-$C141)/365.25))</f>
        <v/>
      </c>
      <c r="M141" s="14" t="str">
        <f aca="false">IF($L141="","",IF($L141&lt;18,"Ha","Yo'q"))</f>
        <v/>
      </c>
      <c r="N141" s="25"/>
      <c r="O141" s="25"/>
      <c r="P141" s="25"/>
      <c r="Q141" s="12"/>
      <c r="R141" s="25"/>
      <c r="S141" s="12"/>
      <c r="T141" s="13"/>
      <c r="U141" s="12"/>
      <c r="V141" s="25"/>
      <c r="W141" s="25"/>
      <c r="X141" s="14" t="str">
        <f aca="false">IF(OR($V141="",$W141=""),"",IF(AND($V141&gt;=Spravochnik!$H$5,$W141&gt;=Spravochnik!$H$6),"Ha","Yo'q"))</f>
        <v/>
      </c>
      <c r="Y141" s="13"/>
      <c r="Z141" s="13"/>
      <c r="AA141" s="13"/>
      <c r="AB141" s="13"/>
      <c r="AC141" s="14" t="str">
        <f aca="false">IF(AND($B141&lt;&gt;"",$AE141="",$AB141&lt;&gt;"",$AB141&lt;Boshqaruv!$C$12),"Ha","")</f>
        <v/>
      </c>
      <c r="AD141" s="25"/>
      <c r="AE141" s="13"/>
      <c r="AF141" s="12"/>
      <c r="AG141" s="14" t="str">
        <f aca="false">IF(OR($B141="",$C141="",$H141=""),"",IF(COUNTIFS($B$5:$B$804,$B141,$C$5:$C$804,$C141,$H$5:$H$804,$H141)&gt;1,"Takror",""))</f>
        <v/>
      </c>
      <c r="AH141" s="28" t="str">
        <f aca="false">IF(AND($B141&lt;&gt;"",$N141="Ha",$H141&lt;&gt;"",$H141&lt;=Boshqaruv!$C$12,OR($AE141="",$AE141&gt;Boshqaruv!$C$12)),MAX($AH$4:$AH140)+1,"")</f>
        <v/>
      </c>
    </row>
    <row r="142" customFormat="false" ht="15" hidden="false" customHeight="false" outlineLevel="0" collapsed="false">
      <c r="A142" s="20" t="n">
        <v>138</v>
      </c>
      <c r="B142" s="12"/>
      <c r="C142" s="13"/>
      <c r="D142" s="24"/>
      <c r="E142" s="12"/>
      <c r="F142" s="25"/>
      <c r="G142" s="27" t="str">
        <f aca="false">IF(OR($B142="",$C142=""),"",$B142&amp;" ("&amp;DAY($C142)&amp;"."&amp;MONTH($C142)&amp;"."&amp;YEAR($C142)&amp;")")</f>
        <v/>
      </c>
      <c r="H142" s="13"/>
      <c r="I142" s="13"/>
      <c r="J142" s="15" t="str">
        <f aca="false">IF($I142="","",$I142+280)</f>
        <v/>
      </c>
      <c r="K142" s="14" t="str">
        <f aca="false">IF(OR($I142="",$AE142&lt;&gt;""),"",INT((Boshqaruv!$C$12-$I142)/7))</f>
        <v/>
      </c>
      <c r="L142" s="14" t="str">
        <f aca="false">IF(OR($C142="",$H142=""),"",INT(($H142-$C142)/365.25))</f>
        <v/>
      </c>
      <c r="M142" s="14" t="str">
        <f aca="false">IF($L142="","",IF($L142&lt;18,"Ha","Yo'q"))</f>
        <v/>
      </c>
      <c r="N142" s="25"/>
      <c r="O142" s="25"/>
      <c r="P142" s="25"/>
      <c r="Q142" s="12"/>
      <c r="R142" s="25"/>
      <c r="S142" s="12"/>
      <c r="T142" s="13"/>
      <c r="U142" s="12"/>
      <c r="V142" s="25"/>
      <c r="W142" s="25"/>
      <c r="X142" s="14" t="str">
        <f aca="false">IF(OR($V142="",$W142=""),"",IF(AND($V142&gt;=Spravochnik!$H$5,$W142&gt;=Spravochnik!$H$6),"Ha","Yo'q"))</f>
        <v/>
      </c>
      <c r="Y142" s="13"/>
      <c r="Z142" s="13"/>
      <c r="AA142" s="13"/>
      <c r="AB142" s="13"/>
      <c r="AC142" s="14" t="str">
        <f aca="false">IF(AND($B142&lt;&gt;"",$AE142="",$AB142&lt;&gt;"",$AB142&lt;Boshqaruv!$C$12),"Ha","")</f>
        <v/>
      </c>
      <c r="AD142" s="25"/>
      <c r="AE142" s="13"/>
      <c r="AF142" s="12"/>
      <c r="AG142" s="14" t="str">
        <f aca="false">IF(OR($B142="",$C142="",$H142=""),"",IF(COUNTIFS($B$5:$B$804,$B142,$C$5:$C$804,$C142,$H$5:$H$804,$H142)&gt;1,"Takror",""))</f>
        <v/>
      </c>
      <c r="AH142" s="28" t="str">
        <f aca="false">IF(AND($B142&lt;&gt;"",$N142="Ha",$H142&lt;&gt;"",$H142&lt;=Boshqaruv!$C$12,OR($AE142="",$AE142&gt;Boshqaruv!$C$12)),MAX($AH$4:$AH141)+1,"")</f>
        <v/>
      </c>
    </row>
    <row r="143" customFormat="false" ht="15" hidden="false" customHeight="false" outlineLevel="0" collapsed="false">
      <c r="A143" s="20" t="n">
        <v>139</v>
      </c>
      <c r="B143" s="12"/>
      <c r="C143" s="13"/>
      <c r="D143" s="24"/>
      <c r="E143" s="12"/>
      <c r="F143" s="25"/>
      <c r="G143" s="27" t="str">
        <f aca="false">IF(OR($B143="",$C143=""),"",$B143&amp;" ("&amp;DAY($C143)&amp;"."&amp;MONTH($C143)&amp;"."&amp;YEAR($C143)&amp;")")</f>
        <v/>
      </c>
      <c r="H143" s="13"/>
      <c r="I143" s="13"/>
      <c r="J143" s="15" t="str">
        <f aca="false">IF($I143="","",$I143+280)</f>
        <v/>
      </c>
      <c r="K143" s="14" t="str">
        <f aca="false">IF(OR($I143="",$AE143&lt;&gt;""),"",INT((Boshqaruv!$C$12-$I143)/7))</f>
        <v/>
      </c>
      <c r="L143" s="14" t="str">
        <f aca="false">IF(OR($C143="",$H143=""),"",INT(($H143-$C143)/365.25))</f>
        <v/>
      </c>
      <c r="M143" s="14" t="str">
        <f aca="false">IF($L143="","",IF($L143&lt;18,"Ha","Yo'q"))</f>
        <v/>
      </c>
      <c r="N143" s="25"/>
      <c r="O143" s="25"/>
      <c r="P143" s="25"/>
      <c r="Q143" s="12"/>
      <c r="R143" s="25"/>
      <c r="S143" s="12"/>
      <c r="T143" s="13"/>
      <c r="U143" s="12"/>
      <c r="V143" s="25"/>
      <c r="W143" s="25"/>
      <c r="X143" s="14" t="str">
        <f aca="false">IF(OR($V143="",$W143=""),"",IF(AND($V143&gt;=Spravochnik!$H$5,$W143&gt;=Spravochnik!$H$6),"Ha","Yo'q"))</f>
        <v/>
      </c>
      <c r="Y143" s="13"/>
      <c r="Z143" s="13"/>
      <c r="AA143" s="13"/>
      <c r="AB143" s="13"/>
      <c r="AC143" s="14" t="str">
        <f aca="false">IF(AND($B143&lt;&gt;"",$AE143="",$AB143&lt;&gt;"",$AB143&lt;Boshqaruv!$C$12),"Ha","")</f>
        <v/>
      </c>
      <c r="AD143" s="25"/>
      <c r="AE143" s="13"/>
      <c r="AF143" s="12"/>
      <c r="AG143" s="14" t="str">
        <f aca="false">IF(OR($B143="",$C143="",$H143=""),"",IF(COUNTIFS($B$5:$B$804,$B143,$C$5:$C$804,$C143,$H$5:$H$804,$H143)&gt;1,"Takror",""))</f>
        <v/>
      </c>
      <c r="AH143" s="28" t="str">
        <f aca="false">IF(AND($B143&lt;&gt;"",$N143="Ha",$H143&lt;&gt;"",$H143&lt;=Boshqaruv!$C$12,OR($AE143="",$AE143&gt;Boshqaruv!$C$12)),MAX($AH$4:$AH142)+1,"")</f>
        <v/>
      </c>
    </row>
    <row r="144" customFormat="false" ht="15" hidden="false" customHeight="false" outlineLevel="0" collapsed="false">
      <c r="A144" s="20" t="n">
        <v>140</v>
      </c>
      <c r="B144" s="12"/>
      <c r="C144" s="13"/>
      <c r="D144" s="24"/>
      <c r="E144" s="12"/>
      <c r="F144" s="25"/>
      <c r="G144" s="27" t="str">
        <f aca="false">IF(OR($B144="",$C144=""),"",$B144&amp;" ("&amp;DAY($C144)&amp;"."&amp;MONTH($C144)&amp;"."&amp;YEAR($C144)&amp;")")</f>
        <v/>
      </c>
      <c r="H144" s="13"/>
      <c r="I144" s="13"/>
      <c r="J144" s="15" t="str">
        <f aca="false">IF($I144="","",$I144+280)</f>
        <v/>
      </c>
      <c r="K144" s="14" t="str">
        <f aca="false">IF(OR($I144="",$AE144&lt;&gt;""),"",INT((Boshqaruv!$C$12-$I144)/7))</f>
        <v/>
      </c>
      <c r="L144" s="14" t="str">
        <f aca="false">IF(OR($C144="",$H144=""),"",INT(($H144-$C144)/365.25))</f>
        <v/>
      </c>
      <c r="M144" s="14" t="str">
        <f aca="false">IF($L144="","",IF($L144&lt;18,"Ha","Yo'q"))</f>
        <v/>
      </c>
      <c r="N144" s="25"/>
      <c r="O144" s="25"/>
      <c r="P144" s="25"/>
      <c r="Q144" s="12"/>
      <c r="R144" s="25"/>
      <c r="S144" s="12"/>
      <c r="T144" s="13"/>
      <c r="U144" s="12"/>
      <c r="V144" s="25"/>
      <c r="W144" s="25"/>
      <c r="X144" s="14" t="str">
        <f aca="false">IF(OR($V144="",$W144=""),"",IF(AND($V144&gt;=Spravochnik!$H$5,$W144&gt;=Spravochnik!$H$6),"Ha","Yo'q"))</f>
        <v/>
      </c>
      <c r="Y144" s="13"/>
      <c r="Z144" s="13"/>
      <c r="AA144" s="13"/>
      <c r="AB144" s="13"/>
      <c r="AC144" s="14" t="str">
        <f aca="false">IF(AND($B144&lt;&gt;"",$AE144="",$AB144&lt;&gt;"",$AB144&lt;Boshqaruv!$C$12),"Ha","")</f>
        <v/>
      </c>
      <c r="AD144" s="25"/>
      <c r="AE144" s="13"/>
      <c r="AF144" s="12"/>
      <c r="AG144" s="14" t="str">
        <f aca="false">IF(OR($B144="",$C144="",$H144=""),"",IF(COUNTIFS($B$5:$B$804,$B144,$C$5:$C$804,$C144,$H$5:$H$804,$H144)&gt;1,"Takror",""))</f>
        <v/>
      </c>
      <c r="AH144" s="28" t="str">
        <f aca="false">IF(AND($B144&lt;&gt;"",$N144="Ha",$H144&lt;&gt;"",$H144&lt;=Boshqaruv!$C$12,OR($AE144="",$AE144&gt;Boshqaruv!$C$12)),MAX($AH$4:$AH143)+1,"")</f>
        <v/>
      </c>
    </row>
    <row r="145" customFormat="false" ht="15" hidden="false" customHeight="false" outlineLevel="0" collapsed="false">
      <c r="A145" s="20" t="n">
        <v>141</v>
      </c>
      <c r="B145" s="12"/>
      <c r="C145" s="13"/>
      <c r="D145" s="24"/>
      <c r="E145" s="12"/>
      <c r="F145" s="25"/>
      <c r="G145" s="27" t="str">
        <f aca="false">IF(OR($B145="",$C145=""),"",$B145&amp;" ("&amp;DAY($C145)&amp;"."&amp;MONTH($C145)&amp;"."&amp;YEAR($C145)&amp;")")</f>
        <v/>
      </c>
      <c r="H145" s="13"/>
      <c r="I145" s="13"/>
      <c r="J145" s="15" t="str">
        <f aca="false">IF($I145="","",$I145+280)</f>
        <v/>
      </c>
      <c r="K145" s="14" t="str">
        <f aca="false">IF(OR($I145="",$AE145&lt;&gt;""),"",INT((Boshqaruv!$C$12-$I145)/7))</f>
        <v/>
      </c>
      <c r="L145" s="14" t="str">
        <f aca="false">IF(OR($C145="",$H145=""),"",INT(($H145-$C145)/365.25))</f>
        <v/>
      </c>
      <c r="M145" s="14" t="str">
        <f aca="false">IF($L145="","",IF($L145&lt;18,"Ha","Yo'q"))</f>
        <v/>
      </c>
      <c r="N145" s="25"/>
      <c r="O145" s="25"/>
      <c r="P145" s="25"/>
      <c r="Q145" s="12"/>
      <c r="R145" s="25"/>
      <c r="S145" s="12"/>
      <c r="T145" s="13"/>
      <c r="U145" s="12"/>
      <c r="V145" s="25"/>
      <c r="W145" s="25"/>
      <c r="X145" s="14" t="str">
        <f aca="false">IF(OR($V145="",$W145=""),"",IF(AND($V145&gt;=Spravochnik!$H$5,$W145&gt;=Spravochnik!$H$6),"Ha","Yo'q"))</f>
        <v/>
      </c>
      <c r="Y145" s="13"/>
      <c r="Z145" s="13"/>
      <c r="AA145" s="13"/>
      <c r="AB145" s="13"/>
      <c r="AC145" s="14" t="str">
        <f aca="false">IF(AND($B145&lt;&gt;"",$AE145="",$AB145&lt;&gt;"",$AB145&lt;Boshqaruv!$C$12),"Ha","")</f>
        <v/>
      </c>
      <c r="AD145" s="25"/>
      <c r="AE145" s="13"/>
      <c r="AF145" s="12"/>
      <c r="AG145" s="14" t="str">
        <f aca="false">IF(OR($B145="",$C145="",$H145=""),"",IF(COUNTIFS($B$5:$B$804,$B145,$C$5:$C$804,$C145,$H$5:$H$804,$H145)&gt;1,"Takror",""))</f>
        <v/>
      </c>
      <c r="AH145" s="28" t="str">
        <f aca="false">IF(AND($B145&lt;&gt;"",$N145="Ha",$H145&lt;&gt;"",$H145&lt;=Boshqaruv!$C$12,OR($AE145="",$AE145&gt;Boshqaruv!$C$12)),MAX($AH$4:$AH144)+1,"")</f>
        <v/>
      </c>
    </row>
    <row r="146" customFormat="false" ht="15" hidden="false" customHeight="false" outlineLevel="0" collapsed="false">
      <c r="A146" s="20" t="n">
        <v>142</v>
      </c>
      <c r="B146" s="12"/>
      <c r="C146" s="13"/>
      <c r="D146" s="24"/>
      <c r="E146" s="12"/>
      <c r="F146" s="25"/>
      <c r="G146" s="27" t="str">
        <f aca="false">IF(OR($B146="",$C146=""),"",$B146&amp;" ("&amp;DAY($C146)&amp;"."&amp;MONTH($C146)&amp;"."&amp;YEAR($C146)&amp;")")</f>
        <v/>
      </c>
      <c r="H146" s="13"/>
      <c r="I146" s="13"/>
      <c r="J146" s="15" t="str">
        <f aca="false">IF($I146="","",$I146+280)</f>
        <v/>
      </c>
      <c r="K146" s="14" t="str">
        <f aca="false">IF(OR($I146="",$AE146&lt;&gt;""),"",INT((Boshqaruv!$C$12-$I146)/7))</f>
        <v/>
      </c>
      <c r="L146" s="14" t="str">
        <f aca="false">IF(OR($C146="",$H146=""),"",INT(($H146-$C146)/365.25))</f>
        <v/>
      </c>
      <c r="M146" s="14" t="str">
        <f aca="false">IF($L146="","",IF($L146&lt;18,"Ha","Yo'q"))</f>
        <v/>
      </c>
      <c r="N146" s="25"/>
      <c r="O146" s="25"/>
      <c r="P146" s="25"/>
      <c r="Q146" s="12"/>
      <c r="R146" s="25"/>
      <c r="S146" s="12"/>
      <c r="T146" s="13"/>
      <c r="U146" s="12"/>
      <c r="V146" s="25"/>
      <c r="W146" s="25"/>
      <c r="X146" s="14" t="str">
        <f aca="false">IF(OR($V146="",$W146=""),"",IF(AND($V146&gt;=Spravochnik!$H$5,$W146&gt;=Spravochnik!$H$6),"Ha","Yo'q"))</f>
        <v/>
      </c>
      <c r="Y146" s="13"/>
      <c r="Z146" s="13"/>
      <c r="AA146" s="13"/>
      <c r="AB146" s="13"/>
      <c r="AC146" s="14" t="str">
        <f aca="false">IF(AND($B146&lt;&gt;"",$AE146="",$AB146&lt;&gt;"",$AB146&lt;Boshqaruv!$C$12),"Ha","")</f>
        <v/>
      </c>
      <c r="AD146" s="25"/>
      <c r="AE146" s="13"/>
      <c r="AF146" s="12"/>
      <c r="AG146" s="14" t="str">
        <f aca="false">IF(OR($B146="",$C146="",$H146=""),"",IF(COUNTIFS($B$5:$B$804,$B146,$C$5:$C$804,$C146,$H$5:$H$804,$H146)&gt;1,"Takror",""))</f>
        <v/>
      </c>
      <c r="AH146" s="28" t="str">
        <f aca="false">IF(AND($B146&lt;&gt;"",$N146="Ha",$H146&lt;&gt;"",$H146&lt;=Boshqaruv!$C$12,OR($AE146="",$AE146&gt;Boshqaruv!$C$12)),MAX($AH$4:$AH145)+1,"")</f>
        <v/>
      </c>
    </row>
    <row r="147" customFormat="false" ht="15" hidden="false" customHeight="false" outlineLevel="0" collapsed="false">
      <c r="A147" s="20" t="n">
        <v>143</v>
      </c>
      <c r="B147" s="12"/>
      <c r="C147" s="13"/>
      <c r="D147" s="24"/>
      <c r="E147" s="12"/>
      <c r="F147" s="25"/>
      <c r="G147" s="27" t="str">
        <f aca="false">IF(OR($B147="",$C147=""),"",$B147&amp;" ("&amp;DAY($C147)&amp;"."&amp;MONTH($C147)&amp;"."&amp;YEAR($C147)&amp;")")</f>
        <v/>
      </c>
      <c r="H147" s="13"/>
      <c r="I147" s="13"/>
      <c r="J147" s="15" t="str">
        <f aca="false">IF($I147="","",$I147+280)</f>
        <v/>
      </c>
      <c r="K147" s="14" t="str">
        <f aca="false">IF(OR($I147="",$AE147&lt;&gt;""),"",INT((Boshqaruv!$C$12-$I147)/7))</f>
        <v/>
      </c>
      <c r="L147" s="14" t="str">
        <f aca="false">IF(OR($C147="",$H147=""),"",INT(($H147-$C147)/365.25))</f>
        <v/>
      </c>
      <c r="M147" s="14" t="str">
        <f aca="false">IF($L147="","",IF($L147&lt;18,"Ha","Yo'q"))</f>
        <v/>
      </c>
      <c r="N147" s="25"/>
      <c r="O147" s="25"/>
      <c r="P147" s="25"/>
      <c r="Q147" s="12"/>
      <c r="R147" s="25"/>
      <c r="S147" s="12"/>
      <c r="T147" s="13"/>
      <c r="U147" s="12"/>
      <c r="V147" s="25"/>
      <c r="W147" s="25"/>
      <c r="X147" s="14" t="str">
        <f aca="false">IF(OR($V147="",$W147=""),"",IF(AND($V147&gt;=Spravochnik!$H$5,$W147&gt;=Spravochnik!$H$6),"Ha","Yo'q"))</f>
        <v/>
      </c>
      <c r="Y147" s="13"/>
      <c r="Z147" s="13"/>
      <c r="AA147" s="13"/>
      <c r="AB147" s="13"/>
      <c r="AC147" s="14" t="str">
        <f aca="false">IF(AND($B147&lt;&gt;"",$AE147="",$AB147&lt;&gt;"",$AB147&lt;Boshqaruv!$C$12),"Ha","")</f>
        <v/>
      </c>
      <c r="AD147" s="25"/>
      <c r="AE147" s="13"/>
      <c r="AF147" s="12"/>
      <c r="AG147" s="14" t="str">
        <f aca="false">IF(OR($B147="",$C147="",$H147=""),"",IF(COUNTIFS($B$5:$B$804,$B147,$C$5:$C$804,$C147,$H$5:$H$804,$H147)&gt;1,"Takror",""))</f>
        <v/>
      </c>
      <c r="AH147" s="28" t="str">
        <f aca="false">IF(AND($B147&lt;&gt;"",$N147="Ha",$H147&lt;&gt;"",$H147&lt;=Boshqaruv!$C$12,OR($AE147="",$AE147&gt;Boshqaruv!$C$12)),MAX($AH$4:$AH146)+1,"")</f>
        <v/>
      </c>
    </row>
    <row r="148" customFormat="false" ht="15" hidden="false" customHeight="false" outlineLevel="0" collapsed="false">
      <c r="A148" s="20" t="n">
        <v>144</v>
      </c>
      <c r="B148" s="12"/>
      <c r="C148" s="13"/>
      <c r="D148" s="24"/>
      <c r="E148" s="12"/>
      <c r="F148" s="25"/>
      <c r="G148" s="27" t="str">
        <f aca="false">IF(OR($B148="",$C148=""),"",$B148&amp;" ("&amp;DAY($C148)&amp;"."&amp;MONTH($C148)&amp;"."&amp;YEAR($C148)&amp;")")</f>
        <v/>
      </c>
      <c r="H148" s="13"/>
      <c r="I148" s="13"/>
      <c r="J148" s="15" t="str">
        <f aca="false">IF($I148="","",$I148+280)</f>
        <v/>
      </c>
      <c r="K148" s="14" t="str">
        <f aca="false">IF(OR($I148="",$AE148&lt;&gt;""),"",INT((Boshqaruv!$C$12-$I148)/7))</f>
        <v/>
      </c>
      <c r="L148" s="14" t="str">
        <f aca="false">IF(OR($C148="",$H148=""),"",INT(($H148-$C148)/365.25))</f>
        <v/>
      </c>
      <c r="M148" s="14" t="str">
        <f aca="false">IF($L148="","",IF($L148&lt;18,"Ha","Yo'q"))</f>
        <v/>
      </c>
      <c r="N148" s="25"/>
      <c r="O148" s="25"/>
      <c r="P148" s="25"/>
      <c r="Q148" s="12"/>
      <c r="R148" s="25"/>
      <c r="S148" s="12"/>
      <c r="T148" s="13"/>
      <c r="U148" s="12"/>
      <c r="V148" s="25"/>
      <c r="W148" s="25"/>
      <c r="X148" s="14" t="str">
        <f aca="false">IF(OR($V148="",$W148=""),"",IF(AND($V148&gt;=Spravochnik!$H$5,$W148&gt;=Spravochnik!$H$6),"Ha","Yo'q"))</f>
        <v/>
      </c>
      <c r="Y148" s="13"/>
      <c r="Z148" s="13"/>
      <c r="AA148" s="13"/>
      <c r="AB148" s="13"/>
      <c r="AC148" s="14" t="str">
        <f aca="false">IF(AND($B148&lt;&gt;"",$AE148="",$AB148&lt;&gt;"",$AB148&lt;Boshqaruv!$C$12),"Ha","")</f>
        <v/>
      </c>
      <c r="AD148" s="25"/>
      <c r="AE148" s="13"/>
      <c r="AF148" s="12"/>
      <c r="AG148" s="14" t="str">
        <f aca="false">IF(OR($B148="",$C148="",$H148=""),"",IF(COUNTIFS($B$5:$B$804,$B148,$C$5:$C$804,$C148,$H$5:$H$804,$H148)&gt;1,"Takror",""))</f>
        <v/>
      </c>
      <c r="AH148" s="28" t="str">
        <f aca="false">IF(AND($B148&lt;&gt;"",$N148="Ha",$H148&lt;&gt;"",$H148&lt;=Boshqaruv!$C$12,OR($AE148="",$AE148&gt;Boshqaruv!$C$12)),MAX($AH$4:$AH147)+1,"")</f>
        <v/>
      </c>
    </row>
    <row r="149" customFormat="false" ht="15" hidden="false" customHeight="false" outlineLevel="0" collapsed="false">
      <c r="A149" s="20" t="n">
        <v>145</v>
      </c>
      <c r="B149" s="12"/>
      <c r="C149" s="13"/>
      <c r="D149" s="24"/>
      <c r="E149" s="12"/>
      <c r="F149" s="25"/>
      <c r="G149" s="27" t="str">
        <f aca="false">IF(OR($B149="",$C149=""),"",$B149&amp;" ("&amp;DAY($C149)&amp;"."&amp;MONTH($C149)&amp;"."&amp;YEAR($C149)&amp;")")</f>
        <v/>
      </c>
      <c r="H149" s="13"/>
      <c r="I149" s="13"/>
      <c r="J149" s="15" t="str">
        <f aca="false">IF($I149="","",$I149+280)</f>
        <v/>
      </c>
      <c r="K149" s="14" t="str">
        <f aca="false">IF(OR($I149="",$AE149&lt;&gt;""),"",INT((Boshqaruv!$C$12-$I149)/7))</f>
        <v/>
      </c>
      <c r="L149" s="14" t="str">
        <f aca="false">IF(OR($C149="",$H149=""),"",INT(($H149-$C149)/365.25))</f>
        <v/>
      </c>
      <c r="M149" s="14" t="str">
        <f aca="false">IF($L149="","",IF($L149&lt;18,"Ha","Yo'q"))</f>
        <v/>
      </c>
      <c r="N149" s="25"/>
      <c r="O149" s="25"/>
      <c r="P149" s="25"/>
      <c r="Q149" s="12"/>
      <c r="R149" s="25"/>
      <c r="S149" s="12"/>
      <c r="T149" s="13"/>
      <c r="U149" s="12"/>
      <c r="V149" s="25"/>
      <c r="W149" s="25"/>
      <c r="X149" s="14" t="str">
        <f aca="false">IF(OR($V149="",$W149=""),"",IF(AND($V149&gt;=Spravochnik!$H$5,$W149&gt;=Spravochnik!$H$6),"Ha","Yo'q"))</f>
        <v/>
      </c>
      <c r="Y149" s="13"/>
      <c r="Z149" s="13"/>
      <c r="AA149" s="13"/>
      <c r="AB149" s="13"/>
      <c r="AC149" s="14" t="str">
        <f aca="false">IF(AND($B149&lt;&gt;"",$AE149="",$AB149&lt;&gt;"",$AB149&lt;Boshqaruv!$C$12),"Ha","")</f>
        <v/>
      </c>
      <c r="AD149" s="25"/>
      <c r="AE149" s="13"/>
      <c r="AF149" s="12"/>
      <c r="AG149" s="14" t="str">
        <f aca="false">IF(OR($B149="",$C149="",$H149=""),"",IF(COUNTIFS($B$5:$B$804,$B149,$C$5:$C$804,$C149,$H$5:$H$804,$H149)&gt;1,"Takror",""))</f>
        <v/>
      </c>
      <c r="AH149" s="28" t="str">
        <f aca="false">IF(AND($B149&lt;&gt;"",$N149="Ha",$H149&lt;&gt;"",$H149&lt;=Boshqaruv!$C$12,OR($AE149="",$AE149&gt;Boshqaruv!$C$12)),MAX($AH$4:$AH148)+1,"")</f>
        <v/>
      </c>
    </row>
    <row r="150" customFormat="false" ht="15" hidden="false" customHeight="false" outlineLevel="0" collapsed="false">
      <c r="A150" s="20" t="n">
        <v>146</v>
      </c>
      <c r="B150" s="12"/>
      <c r="C150" s="13"/>
      <c r="D150" s="24"/>
      <c r="E150" s="12"/>
      <c r="F150" s="25"/>
      <c r="G150" s="27" t="str">
        <f aca="false">IF(OR($B150="",$C150=""),"",$B150&amp;" ("&amp;DAY($C150)&amp;"."&amp;MONTH($C150)&amp;"."&amp;YEAR($C150)&amp;")")</f>
        <v/>
      </c>
      <c r="H150" s="13"/>
      <c r="I150" s="13"/>
      <c r="J150" s="15" t="str">
        <f aca="false">IF($I150="","",$I150+280)</f>
        <v/>
      </c>
      <c r="K150" s="14" t="str">
        <f aca="false">IF(OR($I150="",$AE150&lt;&gt;""),"",INT((Boshqaruv!$C$12-$I150)/7))</f>
        <v/>
      </c>
      <c r="L150" s="14" t="str">
        <f aca="false">IF(OR($C150="",$H150=""),"",INT(($H150-$C150)/365.25))</f>
        <v/>
      </c>
      <c r="M150" s="14" t="str">
        <f aca="false">IF($L150="","",IF($L150&lt;18,"Ha","Yo'q"))</f>
        <v/>
      </c>
      <c r="N150" s="25"/>
      <c r="O150" s="25"/>
      <c r="P150" s="25"/>
      <c r="Q150" s="12"/>
      <c r="R150" s="25"/>
      <c r="S150" s="12"/>
      <c r="T150" s="13"/>
      <c r="U150" s="12"/>
      <c r="V150" s="25"/>
      <c r="W150" s="25"/>
      <c r="X150" s="14" t="str">
        <f aca="false">IF(OR($V150="",$W150=""),"",IF(AND($V150&gt;=Spravochnik!$H$5,$W150&gt;=Spravochnik!$H$6),"Ha","Yo'q"))</f>
        <v/>
      </c>
      <c r="Y150" s="13"/>
      <c r="Z150" s="13"/>
      <c r="AA150" s="13"/>
      <c r="AB150" s="13"/>
      <c r="AC150" s="14" t="str">
        <f aca="false">IF(AND($B150&lt;&gt;"",$AE150="",$AB150&lt;&gt;"",$AB150&lt;Boshqaruv!$C$12),"Ha","")</f>
        <v/>
      </c>
      <c r="AD150" s="25"/>
      <c r="AE150" s="13"/>
      <c r="AF150" s="12"/>
      <c r="AG150" s="14" t="str">
        <f aca="false">IF(OR($B150="",$C150="",$H150=""),"",IF(COUNTIFS($B$5:$B$804,$B150,$C$5:$C$804,$C150,$H$5:$H$804,$H150)&gt;1,"Takror",""))</f>
        <v/>
      </c>
      <c r="AH150" s="28" t="str">
        <f aca="false">IF(AND($B150&lt;&gt;"",$N150="Ha",$H150&lt;&gt;"",$H150&lt;=Boshqaruv!$C$12,OR($AE150="",$AE150&gt;Boshqaruv!$C$12)),MAX($AH$4:$AH149)+1,"")</f>
        <v/>
      </c>
    </row>
    <row r="151" customFormat="false" ht="15" hidden="false" customHeight="false" outlineLevel="0" collapsed="false">
      <c r="A151" s="20" t="n">
        <v>147</v>
      </c>
      <c r="B151" s="12"/>
      <c r="C151" s="13"/>
      <c r="D151" s="24"/>
      <c r="E151" s="12"/>
      <c r="F151" s="25"/>
      <c r="G151" s="27" t="str">
        <f aca="false">IF(OR($B151="",$C151=""),"",$B151&amp;" ("&amp;DAY($C151)&amp;"."&amp;MONTH($C151)&amp;"."&amp;YEAR($C151)&amp;")")</f>
        <v/>
      </c>
      <c r="H151" s="13"/>
      <c r="I151" s="13"/>
      <c r="J151" s="15" t="str">
        <f aca="false">IF($I151="","",$I151+280)</f>
        <v/>
      </c>
      <c r="K151" s="14" t="str">
        <f aca="false">IF(OR($I151="",$AE151&lt;&gt;""),"",INT((Boshqaruv!$C$12-$I151)/7))</f>
        <v/>
      </c>
      <c r="L151" s="14" t="str">
        <f aca="false">IF(OR($C151="",$H151=""),"",INT(($H151-$C151)/365.25))</f>
        <v/>
      </c>
      <c r="M151" s="14" t="str">
        <f aca="false">IF($L151="","",IF($L151&lt;18,"Ha","Yo'q"))</f>
        <v/>
      </c>
      <c r="N151" s="25"/>
      <c r="O151" s="25"/>
      <c r="P151" s="25"/>
      <c r="Q151" s="12"/>
      <c r="R151" s="25"/>
      <c r="S151" s="12"/>
      <c r="T151" s="13"/>
      <c r="U151" s="12"/>
      <c r="V151" s="25"/>
      <c r="W151" s="25"/>
      <c r="X151" s="14" t="str">
        <f aca="false">IF(OR($V151="",$W151=""),"",IF(AND($V151&gt;=Spravochnik!$H$5,$W151&gt;=Spravochnik!$H$6),"Ha","Yo'q"))</f>
        <v/>
      </c>
      <c r="Y151" s="13"/>
      <c r="Z151" s="13"/>
      <c r="AA151" s="13"/>
      <c r="AB151" s="13"/>
      <c r="AC151" s="14" t="str">
        <f aca="false">IF(AND($B151&lt;&gt;"",$AE151="",$AB151&lt;&gt;"",$AB151&lt;Boshqaruv!$C$12),"Ha","")</f>
        <v/>
      </c>
      <c r="AD151" s="25"/>
      <c r="AE151" s="13"/>
      <c r="AF151" s="12"/>
      <c r="AG151" s="14" t="str">
        <f aca="false">IF(OR($B151="",$C151="",$H151=""),"",IF(COUNTIFS($B$5:$B$804,$B151,$C$5:$C$804,$C151,$H$5:$H$804,$H151)&gt;1,"Takror",""))</f>
        <v/>
      </c>
      <c r="AH151" s="28" t="str">
        <f aca="false">IF(AND($B151&lt;&gt;"",$N151="Ha",$H151&lt;&gt;"",$H151&lt;=Boshqaruv!$C$12,OR($AE151="",$AE151&gt;Boshqaruv!$C$12)),MAX($AH$4:$AH150)+1,"")</f>
        <v/>
      </c>
    </row>
    <row r="152" customFormat="false" ht="15" hidden="false" customHeight="false" outlineLevel="0" collapsed="false">
      <c r="A152" s="20" t="n">
        <v>148</v>
      </c>
      <c r="B152" s="12"/>
      <c r="C152" s="13"/>
      <c r="D152" s="24"/>
      <c r="E152" s="12"/>
      <c r="F152" s="25"/>
      <c r="G152" s="27" t="str">
        <f aca="false">IF(OR($B152="",$C152=""),"",$B152&amp;" ("&amp;DAY($C152)&amp;"."&amp;MONTH($C152)&amp;"."&amp;YEAR($C152)&amp;")")</f>
        <v/>
      </c>
      <c r="H152" s="13"/>
      <c r="I152" s="13"/>
      <c r="J152" s="15" t="str">
        <f aca="false">IF($I152="","",$I152+280)</f>
        <v/>
      </c>
      <c r="K152" s="14" t="str">
        <f aca="false">IF(OR($I152="",$AE152&lt;&gt;""),"",INT((Boshqaruv!$C$12-$I152)/7))</f>
        <v/>
      </c>
      <c r="L152" s="14" t="str">
        <f aca="false">IF(OR($C152="",$H152=""),"",INT(($H152-$C152)/365.25))</f>
        <v/>
      </c>
      <c r="M152" s="14" t="str">
        <f aca="false">IF($L152="","",IF($L152&lt;18,"Ha","Yo'q"))</f>
        <v/>
      </c>
      <c r="N152" s="25"/>
      <c r="O152" s="25"/>
      <c r="P152" s="25"/>
      <c r="Q152" s="12"/>
      <c r="R152" s="25"/>
      <c r="S152" s="12"/>
      <c r="T152" s="13"/>
      <c r="U152" s="12"/>
      <c r="V152" s="25"/>
      <c r="W152" s="25"/>
      <c r="X152" s="14" t="str">
        <f aca="false">IF(OR($V152="",$W152=""),"",IF(AND($V152&gt;=Spravochnik!$H$5,$W152&gt;=Spravochnik!$H$6),"Ha","Yo'q"))</f>
        <v/>
      </c>
      <c r="Y152" s="13"/>
      <c r="Z152" s="13"/>
      <c r="AA152" s="13"/>
      <c r="AB152" s="13"/>
      <c r="AC152" s="14" t="str">
        <f aca="false">IF(AND($B152&lt;&gt;"",$AE152="",$AB152&lt;&gt;"",$AB152&lt;Boshqaruv!$C$12),"Ha","")</f>
        <v/>
      </c>
      <c r="AD152" s="25"/>
      <c r="AE152" s="13"/>
      <c r="AF152" s="12"/>
      <c r="AG152" s="14" t="str">
        <f aca="false">IF(OR($B152="",$C152="",$H152=""),"",IF(COUNTIFS($B$5:$B$804,$B152,$C$5:$C$804,$C152,$H$5:$H$804,$H152)&gt;1,"Takror",""))</f>
        <v/>
      </c>
      <c r="AH152" s="28" t="str">
        <f aca="false">IF(AND($B152&lt;&gt;"",$N152="Ha",$H152&lt;&gt;"",$H152&lt;=Boshqaruv!$C$12,OR($AE152="",$AE152&gt;Boshqaruv!$C$12)),MAX($AH$4:$AH151)+1,"")</f>
        <v/>
      </c>
    </row>
    <row r="153" customFormat="false" ht="15" hidden="false" customHeight="false" outlineLevel="0" collapsed="false">
      <c r="A153" s="20" t="n">
        <v>149</v>
      </c>
      <c r="B153" s="12"/>
      <c r="C153" s="13"/>
      <c r="D153" s="24"/>
      <c r="E153" s="12"/>
      <c r="F153" s="25"/>
      <c r="G153" s="27" t="str">
        <f aca="false">IF(OR($B153="",$C153=""),"",$B153&amp;" ("&amp;DAY($C153)&amp;"."&amp;MONTH($C153)&amp;"."&amp;YEAR($C153)&amp;")")</f>
        <v/>
      </c>
      <c r="H153" s="13"/>
      <c r="I153" s="13"/>
      <c r="J153" s="15" t="str">
        <f aca="false">IF($I153="","",$I153+280)</f>
        <v/>
      </c>
      <c r="K153" s="14" t="str">
        <f aca="false">IF(OR($I153="",$AE153&lt;&gt;""),"",INT((Boshqaruv!$C$12-$I153)/7))</f>
        <v/>
      </c>
      <c r="L153" s="14" t="str">
        <f aca="false">IF(OR($C153="",$H153=""),"",INT(($H153-$C153)/365.25))</f>
        <v/>
      </c>
      <c r="M153" s="14" t="str">
        <f aca="false">IF($L153="","",IF($L153&lt;18,"Ha","Yo'q"))</f>
        <v/>
      </c>
      <c r="N153" s="25"/>
      <c r="O153" s="25"/>
      <c r="P153" s="25"/>
      <c r="Q153" s="12"/>
      <c r="R153" s="25"/>
      <c r="S153" s="12"/>
      <c r="T153" s="13"/>
      <c r="U153" s="12"/>
      <c r="V153" s="25"/>
      <c r="W153" s="25"/>
      <c r="X153" s="14" t="str">
        <f aca="false">IF(OR($V153="",$W153=""),"",IF(AND($V153&gt;=Spravochnik!$H$5,$W153&gt;=Spravochnik!$H$6),"Ha","Yo'q"))</f>
        <v/>
      </c>
      <c r="Y153" s="13"/>
      <c r="Z153" s="13"/>
      <c r="AA153" s="13"/>
      <c r="AB153" s="13"/>
      <c r="AC153" s="14" t="str">
        <f aca="false">IF(AND($B153&lt;&gt;"",$AE153="",$AB153&lt;&gt;"",$AB153&lt;Boshqaruv!$C$12),"Ha","")</f>
        <v/>
      </c>
      <c r="AD153" s="25"/>
      <c r="AE153" s="13"/>
      <c r="AF153" s="12"/>
      <c r="AG153" s="14" t="str">
        <f aca="false">IF(OR($B153="",$C153="",$H153=""),"",IF(COUNTIFS($B$5:$B$804,$B153,$C$5:$C$804,$C153,$H$5:$H$804,$H153)&gt;1,"Takror",""))</f>
        <v/>
      </c>
      <c r="AH153" s="28" t="str">
        <f aca="false">IF(AND($B153&lt;&gt;"",$N153="Ha",$H153&lt;&gt;"",$H153&lt;=Boshqaruv!$C$12,OR($AE153="",$AE153&gt;Boshqaruv!$C$12)),MAX($AH$4:$AH152)+1,"")</f>
        <v/>
      </c>
    </row>
    <row r="154" customFormat="false" ht="15" hidden="false" customHeight="false" outlineLevel="0" collapsed="false">
      <c r="A154" s="20" t="n">
        <v>150</v>
      </c>
      <c r="B154" s="12"/>
      <c r="C154" s="13"/>
      <c r="D154" s="24"/>
      <c r="E154" s="12"/>
      <c r="F154" s="25"/>
      <c r="G154" s="27" t="str">
        <f aca="false">IF(OR($B154="",$C154=""),"",$B154&amp;" ("&amp;DAY($C154)&amp;"."&amp;MONTH($C154)&amp;"."&amp;YEAR($C154)&amp;")")</f>
        <v/>
      </c>
      <c r="H154" s="13"/>
      <c r="I154" s="13"/>
      <c r="J154" s="15" t="str">
        <f aca="false">IF($I154="","",$I154+280)</f>
        <v/>
      </c>
      <c r="K154" s="14" t="str">
        <f aca="false">IF(OR($I154="",$AE154&lt;&gt;""),"",INT((Boshqaruv!$C$12-$I154)/7))</f>
        <v/>
      </c>
      <c r="L154" s="14" t="str">
        <f aca="false">IF(OR($C154="",$H154=""),"",INT(($H154-$C154)/365.25))</f>
        <v/>
      </c>
      <c r="M154" s="14" t="str">
        <f aca="false">IF($L154="","",IF($L154&lt;18,"Ha","Yo'q"))</f>
        <v/>
      </c>
      <c r="N154" s="25"/>
      <c r="O154" s="25"/>
      <c r="P154" s="25"/>
      <c r="Q154" s="12"/>
      <c r="R154" s="25"/>
      <c r="S154" s="12"/>
      <c r="T154" s="13"/>
      <c r="U154" s="12"/>
      <c r="V154" s="25"/>
      <c r="W154" s="25"/>
      <c r="X154" s="14" t="str">
        <f aca="false">IF(OR($V154="",$W154=""),"",IF(AND($V154&gt;=Spravochnik!$H$5,$W154&gt;=Spravochnik!$H$6),"Ha","Yo'q"))</f>
        <v/>
      </c>
      <c r="Y154" s="13"/>
      <c r="Z154" s="13"/>
      <c r="AA154" s="13"/>
      <c r="AB154" s="13"/>
      <c r="AC154" s="14" t="str">
        <f aca="false">IF(AND($B154&lt;&gt;"",$AE154="",$AB154&lt;&gt;"",$AB154&lt;Boshqaruv!$C$12),"Ha","")</f>
        <v/>
      </c>
      <c r="AD154" s="25"/>
      <c r="AE154" s="13"/>
      <c r="AF154" s="12"/>
      <c r="AG154" s="14" t="str">
        <f aca="false">IF(OR($B154="",$C154="",$H154=""),"",IF(COUNTIFS($B$5:$B$804,$B154,$C$5:$C$804,$C154,$H$5:$H$804,$H154)&gt;1,"Takror",""))</f>
        <v/>
      </c>
      <c r="AH154" s="28" t="str">
        <f aca="false">IF(AND($B154&lt;&gt;"",$N154="Ha",$H154&lt;&gt;"",$H154&lt;=Boshqaruv!$C$12,OR($AE154="",$AE154&gt;Boshqaruv!$C$12)),MAX($AH$4:$AH153)+1,"")</f>
        <v/>
      </c>
    </row>
    <row r="155" customFormat="false" ht="15" hidden="false" customHeight="false" outlineLevel="0" collapsed="false">
      <c r="A155" s="20" t="n">
        <v>151</v>
      </c>
      <c r="B155" s="12"/>
      <c r="C155" s="13"/>
      <c r="D155" s="24"/>
      <c r="E155" s="12"/>
      <c r="F155" s="25"/>
      <c r="G155" s="27" t="str">
        <f aca="false">IF(OR($B155="",$C155=""),"",$B155&amp;" ("&amp;DAY($C155)&amp;"."&amp;MONTH($C155)&amp;"."&amp;YEAR($C155)&amp;")")</f>
        <v/>
      </c>
      <c r="H155" s="13"/>
      <c r="I155" s="13"/>
      <c r="J155" s="15" t="str">
        <f aca="false">IF($I155="","",$I155+280)</f>
        <v/>
      </c>
      <c r="K155" s="14" t="str">
        <f aca="false">IF(OR($I155="",$AE155&lt;&gt;""),"",INT((Boshqaruv!$C$12-$I155)/7))</f>
        <v/>
      </c>
      <c r="L155" s="14" t="str">
        <f aca="false">IF(OR($C155="",$H155=""),"",INT(($H155-$C155)/365.25))</f>
        <v/>
      </c>
      <c r="M155" s="14" t="str">
        <f aca="false">IF($L155="","",IF($L155&lt;18,"Ha","Yo'q"))</f>
        <v/>
      </c>
      <c r="N155" s="25"/>
      <c r="O155" s="25"/>
      <c r="P155" s="25"/>
      <c r="Q155" s="12"/>
      <c r="R155" s="25"/>
      <c r="S155" s="12"/>
      <c r="T155" s="13"/>
      <c r="U155" s="12"/>
      <c r="V155" s="25"/>
      <c r="W155" s="25"/>
      <c r="X155" s="14" t="str">
        <f aca="false">IF(OR($V155="",$W155=""),"",IF(AND($V155&gt;=Spravochnik!$H$5,$W155&gt;=Spravochnik!$H$6),"Ha","Yo'q"))</f>
        <v/>
      </c>
      <c r="Y155" s="13"/>
      <c r="Z155" s="13"/>
      <c r="AA155" s="13"/>
      <c r="AB155" s="13"/>
      <c r="AC155" s="14" t="str">
        <f aca="false">IF(AND($B155&lt;&gt;"",$AE155="",$AB155&lt;&gt;"",$AB155&lt;Boshqaruv!$C$12),"Ha","")</f>
        <v/>
      </c>
      <c r="AD155" s="25"/>
      <c r="AE155" s="13"/>
      <c r="AF155" s="12"/>
      <c r="AG155" s="14" t="str">
        <f aca="false">IF(OR($B155="",$C155="",$H155=""),"",IF(COUNTIFS($B$5:$B$804,$B155,$C$5:$C$804,$C155,$H$5:$H$804,$H155)&gt;1,"Takror",""))</f>
        <v/>
      </c>
      <c r="AH155" s="28" t="str">
        <f aca="false">IF(AND($B155&lt;&gt;"",$N155="Ha",$H155&lt;&gt;"",$H155&lt;=Boshqaruv!$C$12,OR($AE155="",$AE155&gt;Boshqaruv!$C$12)),MAX($AH$4:$AH154)+1,"")</f>
        <v/>
      </c>
    </row>
    <row r="156" customFormat="false" ht="15" hidden="false" customHeight="false" outlineLevel="0" collapsed="false">
      <c r="A156" s="20" t="n">
        <v>152</v>
      </c>
      <c r="B156" s="12"/>
      <c r="C156" s="13"/>
      <c r="D156" s="24"/>
      <c r="E156" s="12"/>
      <c r="F156" s="25"/>
      <c r="G156" s="27" t="str">
        <f aca="false">IF(OR($B156="",$C156=""),"",$B156&amp;" ("&amp;DAY($C156)&amp;"."&amp;MONTH($C156)&amp;"."&amp;YEAR($C156)&amp;")")</f>
        <v/>
      </c>
      <c r="H156" s="13"/>
      <c r="I156" s="13"/>
      <c r="J156" s="15" t="str">
        <f aca="false">IF($I156="","",$I156+280)</f>
        <v/>
      </c>
      <c r="K156" s="14" t="str">
        <f aca="false">IF(OR($I156="",$AE156&lt;&gt;""),"",INT((Boshqaruv!$C$12-$I156)/7))</f>
        <v/>
      </c>
      <c r="L156" s="14" t="str">
        <f aca="false">IF(OR($C156="",$H156=""),"",INT(($H156-$C156)/365.25))</f>
        <v/>
      </c>
      <c r="M156" s="14" t="str">
        <f aca="false">IF($L156="","",IF($L156&lt;18,"Ha","Yo'q"))</f>
        <v/>
      </c>
      <c r="N156" s="25"/>
      <c r="O156" s="25"/>
      <c r="P156" s="25"/>
      <c r="Q156" s="12"/>
      <c r="R156" s="25"/>
      <c r="S156" s="12"/>
      <c r="T156" s="13"/>
      <c r="U156" s="12"/>
      <c r="V156" s="25"/>
      <c r="W156" s="25"/>
      <c r="X156" s="14" t="str">
        <f aca="false">IF(OR($V156="",$W156=""),"",IF(AND($V156&gt;=Spravochnik!$H$5,$W156&gt;=Spravochnik!$H$6),"Ha","Yo'q"))</f>
        <v/>
      </c>
      <c r="Y156" s="13"/>
      <c r="Z156" s="13"/>
      <c r="AA156" s="13"/>
      <c r="AB156" s="13"/>
      <c r="AC156" s="14" t="str">
        <f aca="false">IF(AND($B156&lt;&gt;"",$AE156="",$AB156&lt;&gt;"",$AB156&lt;Boshqaruv!$C$12),"Ha","")</f>
        <v/>
      </c>
      <c r="AD156" s="25"/>
      <c r="AE156" s="13"/>
      <c r="AF156" s="12"/>
      <c r="AG156" s="14" t="str">
        <f aca="false">IF(OR($B156="",$C156="",$H156=""),"",IF(COUNTIFS($B$5:$B$804,$B156,$C$5:$C$804,$C156,$H$5:$H$804,$H156)&gt;1,"Takror",""))</f>
        <v/>
      </c>
      <c r="AH156" s="28" t="str">
        <f aca="false">IF(AND($B156&lt;&gt;"",$N156="Ha",$H156&lt;&gt;"",$H156&lt;=Boshqaruv!$C$12,OR($AE156="",$AE156&gt;Boshqaruv!$C$12)),MAX($AH$4:$AH155)+1,"")</f>
        <v/>
      </c>
    </row>
    <row r="157" customFormat="false" ht="15" hidden="false" customHeight="false" outlineLevel="0" collapsed="false">
      <c r="A157" s="20" t="n">
        <v>153</v>
      </c>
      <c r="B157" s="12"/>
      <c r="C157" s="13"/>
      <c r="D157" s="24"/>
      <c r="E157" s="12"/>
      <c r="F157" s="25"/>
      <c r="G157" s="27" t="str">
        <f aca="false">IF(OR($B157="",$C157=""),"",$B157&amp;" ("&amp;DAY($C157)&amp;"."&amp;MONTH($C157)&amp;"."&amp;YEAR($C157)&amp;")")</f>
        <v/>
      </c>
      <c r="H157" s="13"/>
      <c r="I157" s="13"/>
      <c r="J157" s="15" t="str">
        <f aca="false">IF($I157="","",$I157+280)</f>
        <v/>
      </c>
      <c r="K157" s="14" t="str">
        <f aca="false">IF(OR($I157="",$AE157&lt;&gt;""),"",INT((Boshqaruv!$C$12-$I157)/7))</f>
        <v/>
      </c>
      <c r="L157" s="14" t="str">
        <f aca="false">IF(OR($C157="",$H157=""),"",INT(($H157-$C157)/365.25))</f>
        <v/>
      </c>
      <c r="M157" s="14" t="str">
        <f aca="false">IF($L157="","",IF($L157&lt;18,"Ha","Yo'q"))</f>
        <v/>
      </c>
      <c r="N157" s="25"/>
      <c r="O157" s="25"/>
      <c r="P157" s="25"/>
      <c r="Q157" s="12"/>
      <c r="R157" s="25"/>
      <c r="S157" s="12"/>
      <c r="T157" s="13"/>
      <c r="U157" s="12"/>
      <c r="V157" s="25"/>
      <c r="W157" s="25"/>
      <c r="X157" s="14" t="str">
        <f aca="false">IF(OR($V157="",$W157=""),"",IF(AND($V157&gt;=Spravochnik!$H$5,$W157&gt;=Spravochnik!$H$6),"Ha","Yo'q"))</f>
        <v/>
      </c>
      <c r="Y157" s="13"/>
      <c r="Z157" s="13"/>
      <c r="AA157" s="13"/>
      <c r="AB157" s="13"/>
      <c r="AC157" s="14" t="str">
        <f aca="false">IF(AND($B157&lt;&gt;"",$AE157="",$AB157&lt;&gt;"",$AB157&lt;Boshqaruv!$C$12),"Ha","")</f>
        <v/>
      </c>
      <c r="AD157" s="25"/>
      <c r="AE157" s="13"/>
      <c r="AF157" s="12"/>
      <c r="AG157" s="14" t="str">
        <f aca="false">IF(OR($B157="",$C157="",$H157=""),"",IF(COUNTIFS($B$5:$B$804,$B157,$C$5:$C$804,$C157,$H$5:$H$804,$H157)&gt;1,"Takror",""))</f>
        <v/>
      </c>
      <c r="AH157" s="28" t="str">
        <f aca="false">IF(AND($B157&lt;&gt;"",$N157="Ha",$H157&lt;&gt;"",$H157&lt;=Boshqaruv!$C$12,OR($AE157="",$AE157&gt;Boshqaruv!$C$12)),MAX($AH$4:$AH156)+1,"")</f>
        <v/>
      </c>
    </row>
    <row r="158" customFormat="false" ht="15" hidden="false" customHeight="false" outlineLevel="0" collapsed="false">
      <c r="A158" s="20" t="n">
        <v>154</v>
      </c>
      <c r="B158" s="12"/>
      <c r="C158" s="13"/>
      <c r="D158" s="24"/>
      <c r="E158" s="12"/>
      <c r="F158" s="25"/>
      <c r="G158" s="27" t="str">
        <f aca="false">IF(OR($B158="",$C158=""),"",$B158&amp;" ("&amp;DAY($C158)&amp;"."&amp;MONTH($C158)&amp;"."&amp;YEAR($C158)&amp;")")</f>
        <v/>
      </c>
      <c r="H158" s="13"/>
      <c r="I158" s="13"/>
      <c r="J158" s="15" t="str">
        <f aca="false">IF($I158="","",$I158+280)</f>
        <v/>
      </c>
      <c r="K158" s="14" t="str">
        <f aca="false">IF(OR($I158="",$AE158&lt;&gt;""),"",INT((Boshqaruv!$C$12-$I158)/7))</f>
        <v/>
      </c>
      <c r="L158" s="14" t="str">
        <f aca="false">IF(OR($C158="",$H158=""),"",INT(($H158-$C158)/365.25))</f>
        <v/>
      </c>
      <c r="M158" s="14" t="str">
        <f aca="false">IF($L158="","",IF($L158&lt;18,"Ha","Yo'q"))</f>
        <v/>
      </c>
      <c r="N158" s="25"/>
      <c r="O158" s="25"/>
      <c r="P158" s="25"/>
      <c r="Q158" s="12"/>
      <c r="R158" s="25"/>
      <c r="S158" s="12"/>
      <c r="T158" s="13"/>
      <c r="U158" s="12"/>
      <c r="V158" s="25"/>
      <c r="W158" s="25"/>
      <c r="X158" s="14" t="str">
        <f aca="false">IF(OR($V158="",$W158=""),"",IF(AND($V158&gt;=Spravochnik!$H$5,$W158&gt;=Spravochnik!$H$6),"Ha","Yo'q"))</f>
        <v/>
      </c>
      <c r="Y158" s="13"/>
      <c r="Z158" s="13"/>
      <c r="AA158" s="13"/>
      <c r="AB158" s="13"/>
      <c r="AC158" s="14" t="str">
        <f aca="false">IF(AND($B158&lt;&gt;"",$AE158="",$AB158&lt;&gt;"",$AB158&lt;Boshqaruv!$C$12),"Ha","")</f>
        <v/>
      </c>
      <c r="AD158" s="25"/>
      <c r="AE158" s="13"/>
      <c r="AF158" s="12"/>
      <c r="AG158" s="14" t="str">
        <f aca="false">IF(OR($B158="",$C158="",$H158=""),"",IF(COUNTIFS($B$5:$B$804,$B158,$C$5:$C$804,$C158,$H$5:$H$804,$H158)&gt;1,"Takror",""))</f>
        <v/>
      </c>
      <c r="AH158" s="28" t="str">
        <f aca="false">IF(AND($B158&lt;&gt;"",$N158="Ha",$H158&lt;&gt;"",$H158&lt;=Boshqaruv!$C$12,OR($AE158="",$AE158&gt;Boshqaruv!$C$12)),MAX($AH$4:$AH157)+1,"")</f>
        <v/>
      </c>
    </row>
    <row r="159" customFormat="false" ht="15" hidden="false" customHeight="false" outlineLevel="0" collapsed="false">
      <c r="A159" s="20" t="n">
        <v>155</v>
      </c>
      <c r="B159" s="12"/>
      <c r="C159" s="13"/>
      <c r="D159" s="24"/>
      <c r="E159" s="12"/>
      <c r="F159" s="25"/>
      <c r="G159" s="27" t="str">
        <f aca="false">IF(OR($B159="",$C159=""),"",$B159&amp;" ("&amp;DAY($C159)&amp;"."&amp;MONTH($C159)&amp;"."&amp;YEAR($C159)&amp;")")</f>
        <v/>
      </c>
      <c r="H159" s="13"/>
      <c r="I159" s="13"/>
      <c r="J159" s="15" t="str">
        <f aca="false">IF($I159="","",$I159+280)</f>
        <v/>
      </c>
      <c r="K159" s="14" t="str">
        <f aca="false">IF(OR($I159="",$AE159&lt;&gt;""),"",INT((Boshqaruv!$C$12-$I159)/7))</f>
        <v/>
      </c>
      <c r="L159" s="14" t="str">
        <f aca="false">IF(OR($C159="",$H159=""),"",INT(($H159-$C159)/365.25))</f>
        <v/>
      </c>
      <c r="M159" s="14" t="str">
        <f aca="false">IF($L159="","",IF($L159&lt;18,"Ha","Yo'q"))</f>
        <v/>
      </c>
      <c r="N159" s="25"/>
      <c r="O159" s="25"/>
      <c r="P159" s="25"/>
      <c r="Q159" s="12"/>
      <c r="R159" s="25"/>
      <c r="S159" s="12"/>
      <c r="T159" s="13"/>
      <c r="U159" s="12"/>
      <c r="V159" s="25"/>
      <c r="W159" s="25"/>
      <c r="X159" s="14" t="str">
        <f aca="false">IF(OR($V159="",$W159=""),"",IF(AND($V159&gt;=Spravochnik!$H$5,$W159&gt;=Spravochnik!$H$6),"Ha","Yo'q"))</f>
        <v/>
      </c>
      <c r="Y159" s="13"/>
      <c r="Z159" s="13"/>
      <c r="AA159" s="13"/>
      <c r="AB159" s="13"/>
      <c r="AC159" s="14" t="str">
        <f aca="false">IF(AND($B159&lt;&gt;"",$AE159="",$AB159&lt;&gt;"",$AB159&lt;Boshqaruv!$C$12),"Ha","")</f>
        <v/>
      </c>
      <c r="AD159" s="25"/>
      <c r="AE159" s="13"/>
      <c r="AF159" s="12"/>
      <c r="AG159" s="14" t="str">
        <f aca="false">IF(OR($B159="",$C159="",$H159=""),"",IF(COUNTIFS($B$5:$B$804,$B159,$C$5:$C$804,$C159,$H$5:$H$804,$H159)&gt;1,"Takror",""))</f>
        <v/>
      </c>
      <c r="AH159" s="28" t="str">
        <f aca="false">IF(AND($B159&lt;&gt;"",$N159="Ha",$H159&lt;&gt;"",$H159&lt;=Boshqaruv!$C$12,OR($AE159="",$AE159&gt;Boshqaruv!$C$12)),MAX($AH$4:$AH158)+1,"")</f>
        <v/>
      </c>
    </row>
    <row r="160" customFormat="false" ht="15" hidden="false" customHeight="false" outlineLevel="0" collapsed="false">
      <c r="A160" s="20" t="n">
        <v>156</v>
      </c>
      <c r="B160" s="12"/>
      <c r="C160" s="13"/>
      <c r="D160" s="24"/>
      <c r="E160" s="12"/>
      <c r="F160" s="25"/>
      <c r="G160" s="27" t="str">
        <f aca="false">IF(OR($B160="",$C160=""),"",$B160&amp;" ("&amp;DAY($C160)&amp;"."&amp;MONTH($C160)&amp;"."&amp;YEAR($C160)&amp;")")</f>
        <v/>
      </c>
      <c r="H160" s="13"/>
      <c r="I160" s="13"/>
      <c r="J160" s="15" t="str">
        <f aca="false">IF($I160="","",$I160+280)</f>
        <v/>
      </c>
      <c r="K160" s="14" t="str">
        <f aca="false">IF(OR($I160="",$AE160&lt;&gt;""),"",INT((Boshqaruv!$C$12-$I160)/7))</f>
        <v/>
      </c>
      <c r="L160" s="14" t="str">
        <f aca="false">IF(OR($C160="",$H160=""),"",INT(($H160-$C160)/365.25))</f>
        <v/>
      </c>
      <c r="M160" s="14" t="str">
        <f aca="false">IF($L160="","",IF($L160&lt;18,"Ha","Yo'q"))</f>
        <v/>
      </c>
      <c r="N160" s="25"/>
      <c r="O160" s="25"/>
      <c r="P160" s="25"/>
      <c r="Q160" s="12"/>
      <c r="R160" s="25"/>
      <c r="S160" s="12"/>
      <c r="T160" s="13"/>
      <c r="U160" s="12"/>
      <c r="V160" s="25"/>
      <c r="W160" s="25"/>
      <c r="X160" s="14" t="str">
        <f aca="false">IF(OR($V160="",$W160=""),"",IF(AND($V160&gt;=Spravochnik!$H$5,$W160&gt;=Spravochnik!$H$6),"Ha","Yo'q"))</f>
        <v/>
      </c>
      <c r="Y160" s="13"/>
      <c r="Z160" s="13"/>
      <c r="AA160" s="13"/>
      <c r="AB160" s="13"/>
      <c r="AC160" s="14" t="str">
        <f aca="false">IF(AND($B160&lt;&gt;"",$AE160="",$AB160&lt;&gt;"",$AB160&lt;Boshqaruv!$C$12),"Ha","")</f>
        <v/>
      </c>
      <c r="AD160" s="25"/>
      <c r="AE160" s="13"/>
      <c r="AF160" s="12"/>
      <c r="AG160" s="14" t="str">
        <f aca="false">IF(OR($B160="",$C160="",$H160=""),"",IF(COUNTIFS($B$5:$B$804,$B160,$C$5:$C$804,$C160,$H$5:$H$804,$H160)&gt;1,"Takror",""))</f>
        <v/>
      </c>
      <c r="AH160" s="28" t="str">
        <f aca="false">IF(AND($B160&lt;&gt;"",$N160="Ha",$H160&lt;&gt;"",$H160&lt;=Boshqaruv!$C$12,OR($AE160="",$AE160&gt;Boshqaruv!$C$12)),MAX($AH$4:$AH159)+1,"")</f>
        <v/>
      </c>
    </row>
    <row r="161" customFormat="false" ht="15" hidden="false" customHeight="false" outlineLevel="0" collapsed="false">
      <c r="A161" s="20" t="n">
        <v>157</v>
      </c>
      <c r="B161" s="12"/>
      <c r="C161" s="13"/>
      <c r="D161" s="24"/>
      <c r="E161" s="12"/>
      <c r="F161" s="25"/>
      <c r="G161" s="27" t="str">
        <f aca="false">IF(OR($B161="",$C161=""),"",$B161&amp;" ("&amp;DAY($C161)&amp;"."&amp;MONTH($C161)&amp;"."&amp;YEAR($C161)&amp;")")</f>
        <v/>
      </c>
      <c r="H161" s="13"/>
      <c r="I161" s="13"/>
      <c r="J161" s="15" t="str">
        <f aca="false">IF($I161="","",$I161+280)</f>
        <v/>
      </c>
      <c r="K161" s="14" t="str">
        <f aca="false">IF(OR($I161="",$AE161&lt;&gt;""),"",INT((Boshqaruv!$C$12-$I161)/7))</f>
        <v/>
      </c>
      <c r="L161" s="14" t="str">
        <f aca="false">IF(OR($C161="",$H161=""),"",INT(($H161-$C161)/365.25))</f>
        <v/>
      </c>
      <c r="M161" s="14" t="str">
        <f aca="false">IF($L161="","",IF($L161&lt;18,"Ha","Yo'q"))</f>
        <v/>
      </c>
      <c r="N161" s="25"/>
      <c r="O161" s="25"/>
      <c r="P161" s="25"/>
      <c r="Q161" s="12"/>
      <c r="R161" s="25"/>
      <c r="S161" s="12"/>
      <c r="T161" s="13"/>
      <c r="U161" s="12"/>
      <c r="V161" s="25"/>
      <c r="W161" s="25"/>
      <c r="X161" s="14" t="str">
        <f aca="false">IF(OR($V161="",$W161=""),"",IF(AND($V161&gt;=Spravochnik!$H$5,$W161&gt;=Spravochnik!$H$6),"Ha","Yo'q"))</f>
        <v/>
      </c>
      <c r="Y161" s="13"/>
      <c r="Z161" s="13"/>
      <c r="AA161" s="13"/>
      <c r="AB161" s="13"/>
      <c r="AC161" s="14" t="str">
        <f aca="false">IF(AND($B161&lt;&gt;"",$AE161="",$AB161&lt;&gt;"",$AB161&lt;Boshqaruv!$C$12),"Ha","")</f>
        <v/>
      </c>
      <c r="AD161" s="25"/>
      <c r="AE161" s="13"/>
      <c r="AF161" s="12"/>
      <c r="AG161" s="14" t="str">
        <f aca="false">IF(OR($B161="",$C161="",$H161=""),"",IF(COUNTIFS($B$5:$B$804,$B161,$C$5:$C$804,$C161,$H$5:$H$804,$H161)&gt;1,"Takror",""))</f>
        <v/>
      </c>
      <c r="AH161" s="28" t="str">
        <f aca="false">IF(AND($B161&lt;&gt;"",$N161="Ha",$H161&lt;&gt;"",$H161&lt;=Boshqaruv!$C$12,OR($AE161="",$AE161&gt;Boshqaruv!$C$12)),MAX($AH$4:$AH160)+1,"")</f>
        <v/>
      </c>
    </row>
    <row r="162" customFormat="false" ht="15" hidden="false" customHeight="false" outlineLevel="0" collapsed="false">
      <c r="A162" s="20" t="n">
        <v>158</v>
      </c>
      <c r="B162" s="12"/>
      <c r="C162" s="13"/>
      <c r="D162" s="24"/>
      <c r="E162" s="12"/>
      <c r="F162" s="25"/>
      <c r="G162" s="27" t="str">
        <f aca="false">IF(OR($B162="",$C162=""),"",$B162&amp;" ("&amp;DAY($C162)&amp;"."&amp;MONTH($C162)&amp;"."&amp;YEAR($C162)&amp;")")</f>
        <v/>
      </c>
      <c r="H162" s="13"/>
      <c r="I162" s="13"/>
      <c r="J162" s="15" t="str">
        <f aca="false">IF($I162="","",$I162+280)</f>
        <v/>
      </c>
      <c r="K162" s="14" t="str">
        <f aca="false">IF(OR($I162="",$AE162&lt;&gt;""),"",INT((Boshqaruv!$C$12-$I162)/7))</f>
        <v/>
      </c>
      <c r="L162" s="14" t="str">
        <f aca="false">IF(OR($C162="",$H162=""),"",INT(($H162-$C162)/365.25))</f>
        <v/>
      </c>
      <c r="M162" s="14" t="str">
        <f aca="false">IF($L162="","",IF($L162&lt;18,"Ha","Yo'q"))</f>
        <v/>
      </c>
      <c r="N162" s="25"/>
      <c r="O162" s="25"/>
      <c r="P162" s="25"/>
      <c r="Q162" s="12"/>
      <c r="R162" s="25"/>
      <c r="S162" s="12"/>
      <c r="T162" s="13"/>
      <c r="U162" s="12"/>
      <c r="V162" s="25"/>
      <c r="W162" s="25"/>
      <c r="X162" s="14" t="str">
        <f aca="false">IF(OR($V162="",$W162=""),"",IF(AND($V162&gt;=Spravochnik!$H$5,$W162&gt;=Spravochnik!$H$6),"Ha","Yo'q"))</f>
        <v/>
      </c>
      <c r="Y162" s="13"/>
      <c r="Z162" s="13"/>
      <c r="AA162" s="13"/>
      <c r="AB162" s="13"/>
      <c r="AC162" s="14" t="str">
        <f aca="false">IF(AND($B162&lt;&gt;"",$AE162="",$AB162&lt;&gt;"",$AB162&lt;Boshqaruv!$C$12),"Ha","")</f>
        <v/>
      </c>
      <c r="AD162" s="25"/>
      <c r="AE162" s="13"/>
      <c r="AF162" s="12"/>
      <c r="AG162" s="14" t="str">
        <f aca="false">IF(OR($B162="",$C162="",$H162=""),"",IF(COUNTIFS($B$5:$B$804,$B162,$C$5:$C$804,$C162,$H$5:$H$804,$H162)&gt;1,"Takror",""))</f>
        <v/>
      </c>
      <c r="AH162" s="28" t="str">
        <f aca="false">IF(AND($B162&lt;&gt;"",$N162="Ha",$H162&lt;&gt;"",$H162&lt;=Boshqaruv!$C$12,OR($AE162="",$AE162&gt;Boshqaruv!$C$12)),MAX($AH$4:$AH161)+1,"")</f>
        <v/>
      </c>
    </row>
    <row r="163" customFormat="false" ht="15" hidden="false" customHeight="false" outlineLevel="0" collapsed="false">
      <c r="A163" s="20" t="n">
        <v>159</v>
      </c>
      <c r="B163" s="12"/>
      <c r="C163" s="13"/>
      <c r="D163" s="24"/>
      <c r="E163" s="12"/>
      <c r="F163" s="25"/>
      <c r="G163" s="27" t="str">
        <f aca="false">IF(OR($B163="",$C163=""),"",$B163&amp;" ("&amp;DAY($C163)&amp;"."&amp;MONTH($C163)&amp;"."&amp;YEAR($C163)&amp;")")</f>
        <v/>
      </c>
      <c r="H163" s="13"/>
      <c r="I163" s="13"/>
      <c r="J163" s="15" t="str">
        <f aca="false">IF($I163="","",$I163+280)</f>
        <v/>
      </c>
      <c r="K163" s="14" t="str">
        <f aca="false">IF(OR($I163="",$AE163&lt;&gt;""),"",INT((Boshqaruv!$C$12-$I163)/7))</f>
        <v/>
      </c>
      <c r="L163" s="14" t="str">
        <f aca="false">IF(OR($C163="",$H163=""),"",INT(($H163-$C163)/365.25))</f>
        <v/>
      </c>
      <c r="M163" s="14" t="str">
        <f aca="false">IF($L163="","",IF($L163&lt;18,"Ha","Yo'q"))</f>
        <v/>
      </c>
      <c r="N163" s="25"/>
      <c r="O163" s="25"/>
      <c r="P163" s="25"/>
      <c r="Q163" s="12"/>
      <c r="R163" s="25"/>
      <c r="S163" s="12"/>
      <c r="T163" s="13"/>
      <c r="U163" s="12"/>
      <c r="V163" s="25"/>
      <c r="W163" s="25"/>
      <c r="X163" s="14" t="str">
        <f aca="false">IF(OR($V163="",$W163=""),"",IF(AND($V163&gt;=Spravochnik!$H$5,$W163&gt;=Spravochnik!$H$6),"Ha","Yo'q"))</f>
        <v/>
      </c>
      <c r="Y163" s="13"/>
      <c r="Z163" s="13"/>
      <c r="AA163" s="13"/>
      <c r="AB163" s="13"/>
      <c r="AC163" s="14" t="str">
        <f aca="false">IF(AND($B163&lt;&gt;"",$AE163="",$AB163&lt;&gt;"",$AB163&lt;Boshqaruv!$C$12),"Ha","")</f>
        <v/>
      </c>
      <c r="AD163" s="25"/>
      <c r="AE163" s="13"/>
      <c r="AF163" s="12"/>
      <c r="AG163" s="14" t="str">
        <f aca="false">IF(OR($B163="",$C163="",$H163=""),"",IF(COUNTIFS($B$5:$B$804,$B163,$C$5:$C$804,$C163,$H$5:$H$804,$H163)&gt;1,"Takror",""))</f>
        <v/>
      </c>
      <c r="AH163" s="28" t="str">
        <f aca="false">IF(AND($B163&lt;&gt;"",$N163="Ha",$H163&lt;&gt;"",$H163&lt;=Boshqaruv!$C$12,OR($AE163="",$AE163&gt;Boshqaruv!$C$12)),MAX($AH$4:$AH162)+1,"")</f>
        <v/>
      </c>
    </row>
    <row r="164" customFormat="false" ht="15" hidden="false" customHeight="false" outlineLevel="0" collapsed="false">
      <c r="A164" s="20" t="n">
        <v>160</v>
      </c>
      <c r="B164" s="12"/>
      <c r="C164" s="13"/>
      <c r="D164" s="24"/>
      <c r="E164" s="12"/>
      <c r="F164" s="25"/>
      <c r="G164" s="27" t="str">
        <f aca="false">IF(OR($B164="",$C164=""),"",$B164&amp;" ("&amp;DAY($C164)&amp;"."&amp;MONTH($C164)&amp;"."&amp;YEAR($C164)&amp;")")</f>
        <v/>
      </c>
      <c r="H164" s="13"/>
      <c r="I164" s="13"/>
      <c r="J164" s="15" t="str">
        <f aca="false">IF($I164="","",$I164+280)</f>
        <v/>
      </c>
      <c r="K164" s="14" t="str">
        <f aca="false">IF(OR($I164="",$AE164&lt;&gt;""),"",INT((Boshqaruv!$C$12-$I164)/7))</f>
        <v/>
      </c>
      <c r="L164" s="14" t="str">
        <f aca="false">IF(OR($C164="",$H164=""),"",INT(($H164-$C164)/365.25))</f>
        <v/>
      </c>
      <c r="M164" s="14" t="str">
        <f aca="false">IF($L164="","",IF($L164&lt;18,"Ha","Yo'q"))</f>
        <v/>
      </c>
      <c r="N164" s="25"/>
      <c r="O164" s="25"/>
      <c r="P164" s="25"/>
      <c r="Q164" s="12"/>
      <c r="R164" s="25"/>
      <c r="S164" s="12"/>
      <c r="T164" s="13"/>
      <c r="U164" s="12"/>
      <c r="V164" s="25"/>
      <c r="W164" s="25"/>
      <c r="X164" s="14" t="str">
        <f aca="false">IF(OR($V164="",$W164=""),"",IF(AND($V164&gt;=Spravochnik!$H$5,$W164&gt;=Spravochnik!$H$6),"Ha","Yo'q"))</f>
        <v/>
      </c>
      <c r="Y164" s="13"/>
      <c r="Z164" s="13"/>
      <c r="AA164" s="13"/>
      <c r="AB164" s="13"/>
      <c r="AC164" s="14" t="str">
        <f aca="false">IF(AND($B164&lt;&gt;"",$AE164="",$AB164&lt;&gt;"",$AB164&lt;Boshqaruv!$C$12),"Ha","")</f>
        <v/>
      </c>
      <c r="AD164" s="25"/>
      <c r="AE164" s="13"/>
      <c r="AF164" s="12"/>
      <c r="AG164" s="14" t="str">
        <f aca="false">IF(OR($B164="",$C164="",$H164=""),"",IF(COUNTIFS($B$5:$B$804,$B164,$C$5:$C$804,$C164,$H$5:$H$804,$H164)&gt;1,"Takror",""))</f>
        <v/>
      </c>
      <c r="AH164" s="28" t="str">
        <f aca="false">IF(AND($B164&lt;&gt;"",$N164="Ha",$H164&lt;&gt;"",$H164&lt;=Boshqaruv!$C$12,OR($AE164="",$AE164&gt;Boshqaruv!$C$12)),MAX($AH$4:$AH163)+1,"")</f>
        <v/>
      </c>
    </row>
    <row r="165" customFormat="false" ht="15" hidden="false" customHeight="false" outlineLevel="0" collapsed="false">
      <c r="A165" s="20" t="n">
        <v>161</v>
      </c>
      <c r="B165" s="12"/>
      <c r="C165" s="13"/>
      <c r="D165" s="24"/>
      <c r="E165" s="12"/>
      <c r="F165" s="25"/>
      <c r="G165" s="27" t="str">
        <f aca="false">IF(OR($B165="",$C165=""),"",$B165&amp;" ("&amp;DAY($C165)&amp;"."&amp;MONTH($C165)&amp;"."&amp;YEAR($C165)&amp;")")</f>
        <v/>
      </c>
      <c r="H165" s="13"/>
      <c r="I165" s="13"/>
      <c r="J165" s="15" t="str">
        <f aca="false">IF($I165="","",$I165+280)</f>
        <v/>
      </c>
      <c r="K165" s="14" t="str">
        <f aca="false">IF(OR($I165="",$AE165&lt;&gt;""),"",INT((Boshqaruv!$C$12-$I165)/7))</f>
        <v/>
      </c>
      <c r="L165" s="14" t="str">
        <f aca="false">IF(OR($C165="",$H165=""),"",INT(($H165-$C165)/365.25))</f>
        <v/>
      </c>
      <c r="M165" s="14" t="str">
        <f aca="false">IF($L165="","",IF($L165&lt;18,"Ha","Yo'q"))</f>
        <v/>
      </c>
      <c r="N165" s="25"/>
      <c r="O165" s="25"/>
      <c r="P165" s="25"/>
      <c r="Q165" s="12"/>
      <c r="R165" s="25"/>
      <c r="S165" s="12"/>
      <c r="T165" s="13"/>
      <c r="U165" s="12"/>
      <c r="V165" s="25"/>
      <c r="W165" s="25"/>
      <c r="X165" s="14" t="str">
        <f aca="false">IF(OR($V165="",$W165=""),"",IF(AND($V165&gt;=Spravochnik!$H$5,$W165&gt;=Spravochnik!$H$6),"Ha","Yo'q"))</f>
        <v/>
      </c>
      <c r="Y165" s="13"/>
      <c r="Z165" s="13"/>
      <c r="AA165" s="13"/>
      <c r="AB165" s="13"/>
      <c r="AC165" s="14" t="str">
        <f aca="false">IF(AND($B165&lt;&gt;"",$AE165="",$AB165&lt;&gt;"",$AB165&lt;Boshqaruv!$C$12),"Ha","")</f>
        <v/>
      </c>
      <c r="AD165" s="25"/>
      <c r="AE165" s="13"/>
      <c r="AF165" s="12"/>
      <c r="AG165" s="14" t="str">
        <f aca="false">IF(OR($B165="",$C165="",$H165=""),"",IF(COUNTIFS($B$5:$B$804,$B165,$C$5:$C$804,$C165,$H$5:$H$804,$H165)&gt;1,"Takror",""))</f>
        <v/>
      </c>
      <c r="AH165" s="28" t="str">
        <f aca="false">IF(AND($B165&lt;&gt;"",$N165="Ha",$H165&lt;&gt;"",$H165&lt;=Boshqaruv!$C$12,OR($AE165="",$AE165&gt;Boshqaruv!$C$12)),MAX($AH$4:$AH164)+1,"")</f>
        <v/>
      </c>
    </row>
    <row r="166" customFormat="false" ht="15" hidden="false" customHeight="false" outlineLevel="0" collapsed="false">
      <c r="A166" s="20" t="n">
        <v>162</v>
      </c>
      <c r="B166" s="12"/>
      <c r="C166" s="13"/>
      <c r="D166" s="24"/>
      <c r="E166" s="12"/>
      <c r="F166" s="25"/>
      <c r="G166" s="27" t="str">
        <f aca="false">IF(OR($B166="",$C166=""),"",$B166&amp;" ("&amp;DAY($C166)&amp;"."&amp;MONTH($C166)&amp;"."&amp;YEAR($C166)&amp;")")</f>
        <v/>
      </c>
      <c r="H166" s="13"/>
      <c r="I166" s="13"/>
      <c r="J166" s="15" t="str">
        <f aca="false">IF($I166="","",$I166+280)</f>
        <v/>
      </c>
      <c r="K166" s="14" t="str">
        <f aca="false">IF(OR($I166="",$AE166&lt;&gt;""),"",INT((Boshqaruv!$C$12-$I166)/7))</f>
        <v/>
      </c>
      <c r="L166" s="14" t="str">
        <f aca="false">IF(OR($C166="",$H166=""),"",INT(($H166-$C166)/365.25))</f>
        <v/>
      </c>
      <c r="M166" s="14" t="str">
        <f aca="false">IF($L166="","",IF($L166&lt;18,"Ha","Yo'q"))</f>
        <v/>
      </c>
      <c r="N166" s="25"/>
      <c r="O166" s="25"/>
      <c r="P166" s="25"/>
      <c r="Q166" s="12"/>
      <c r="R166" s="25"/>
      <c r="S166" s="12"/>
      <c r="T166" s="13"/>
      <c r="U166" s="12"/>
      <c r="V166" s="25"/>
      <c r="W166" s="25"/>
      <c r="X166" s="14" t="str">
        <f aca="false">IF(OR($V166="",$W166=""),"",IF(AND($V166&gt;=Spravochnik!$H$5,$W166&gt;=Spravochnik!$H$6),"Ha","Yo'q"))</f>
        <v/>
      </c>
      <c r="Y166" s="13"/>
      <c r="Z166" s="13"/>
      <c r="AA166" s="13"/>
      <c r="AB166" s="13"/>
      <c r="AC166" s="14" t="str">
        <f aca="false">IF(AND($B166&lt;&gt;"",$AE166="",$AB166&lt;&gt;"",$AB166&lt;Boshqaruv!$C$12),"Ha","")</f>
        <v/>
      </c>
      <c r="AD166" s="25"/>
      <c r="AE166" s="13"/>
      <c r="AF166" s="12"/>
      <c r="AG166" s="14" t="str">
        <f aca="false">IF(OR($B166="",$C166="",$H166=""),"",IF(COUNTIFS($B$5:$B$804,$B166,$C$5:$C$804,$C166,$H$5:$H$804,$H166)&gt;1,"Takror",""))</f>
        <v/>
      </c>
      <c r="AH166" s="28" t="str">
        <f aca="false">IF(AND($B166&lt;&gt;"",$N166="Ha",$H166&lt;&gt;"",$H166&lt;=Boshqaruv!$C$12,OR($AE166="",$AE166&gt;Boshqaruv!$C$12)),MAX($AH$4:$AH165)+1,"")</f>
        <v/>
      </c>
    </row>
    <row r="167" customFormat="false" ht="15" hidden="false" customHeight="false" outlineLevel="0" collapsed="false">
      <c r="A167" s="20" t="n">
        <v>163</v>
      </c>
      <c r="B167" s="12"/>
      <c r="C167" s="13"/>
      <c r="D167" s="24"/>
      <c r="E167" s="12"/>
      <c r="F167" s="25"/>
      <c r="G167" s="27" t="str">
        <f aca="false">IF(OR($B167="",$C167=""),"",$B167&amp;" ("&amp;DAY($C167)&amp;"."&amp;MONTH($C167)&amp;"."&amp;YEAR($C167)&amp;")")</f>
        <v/>
      </c>
      <c r="H167" s="13"/>
      <c r="I167" s="13"/>
      <c r="J167" s="15" t="str">
        <f aca="false">IF($I167="","",$I167+280)</f>
        <v/>
      </c>
      <c r="K167" s="14" t="str">
        <f aca="false">IF(OR($I167="",$AE167&lt;&gt;""),"",INT((Boshqaruv!$C$12-$I167)/7))</f>
        <v/>
      </c>
      <c r="L167" s="14" t="str">
        <f aca="false">IF(OR($C167="",$H167=""),"",INT(($H167-$C167)/365.25))</f>
        <v/>
      </c>
      <c r="M167" s="14" t="str">
        <f aca="false">IF($L167="","",IF($L167&lt;18,"Ha","Yo'q"))</f>
        <v/>
      </c>
      <c r="N167" s="25"/>
      <c r="O167" s="25"/>
      <c r="P167" s="25"/>
      <c r="Q167" s="12"/>
      <c r="R167" s="25"/>
      <c r="S167" s="12"/>
      <c r="T167" s="13"/>
      <c r="U167" s="12"/>
      <c r="V167" s="25"/>
      <c r="W167" s="25"/>
      <c r="X167" s="14" t="str">
        <f aca="false">IF(OR($V167="",$W167=""),"",IF(AND($V167&gt;=Spravochnik!$H$5,$W167&gt;=Spravochnik!$H$6),"Ha","Yo'q"))</f>
        <v/>
      </c>
      <c r="Y167" s="13"/>
      <c r="Z167" s="13"/>
      <c r="AA167" s="13"/>
      <c r="AB167" s="13"/>
      <c r="AC167" s="14" t="str">
        <f aca="false">IF(AND($B167&lt;&gt;"",$AE167="",$AB167&lt;&gt;"",$AB167&lt;Boshqaruv!$C$12),"Ha","")</f>
        <v/>
      </c>
      <c r="AD167" s="25"/>
      <c r="AE167" s="13"/>
      <c r="AF167" s="12"/>
      <c r="AG167" s="14" t="str">
        <f aca="false">IF(OR($B167="",$C167="",$H167=""),"",IF(COUNTIFS($B$5:$B$804,$B167,$C$5:$C$804,$C167,$H$5:$H$804,$H167)&gt;1,"Takror",""))</f>
        <v/>
      </c>
      <c r="AH167" s="28" t="str">
        <f aca="false">IF(AND($B167&lt;&gt;"",$N167="Ha",$H167&lt;&gt;"",$H167&lt;=Boshqaruv!$C$12,OR($AE167="",$AE167&gt;Boshqaruv!$C$12)),MAX($AH$4:$AH166)+1,"")</f>
        <v/>
      </c>
    </row>
    <row r="168" customFormat="false" ht="15" hidden="false" customHeight="false" outlineLevel="0" collapsed="false">
      <c r="A168" s="20" t="n">
        <v>164</v>
      </c>
      <c r="B168" s="12"/>
      <c r="C168" s="13"/>
      <c r="D168" s="24"/>
      <c r="E168" s="12"/>
      <c r="F168" s="25"/>
      <c r="G168" s="27" t="str">
        <f aca="false">IF(OR($B168="",$C168=""),"",$B168&amp;" ("&amp;DAY($C168)&amp;"."&amp;MONTH($C168)&amp;"."&amp;YEAR($C168)&amp;")")</f>
        <v/>
      </c>
      <c r="H168" s="13"/>
      <c r="I168" s="13"/>
      <c r="J168" s="15" t="str">
        <f aca="false">IF($I168="","",$I168+280)</f>
        <v/>
      </c>
      <c r="K168" s="14" t="str">
        <f aca="false">IF(OR($I168="",$AE168&lt;&gt;""),"",INT((Boshqaruv!$C$12-$I168)/7))</f>
        <v/>
      </c>
      <c r="L168" s="14" t="str">
        <f aca="false">IF(OR($C168="",$H168=""),"",INT(($H168-$C168)/365.25))</f>
        <v/>
      </c>
      <c r="M168" s="14" t="str">
        <f aca="false">IF($L168="","",IF($L168&lt;18,"Ha","Yo'q"))</f>
        <v/>
      </c>
      <c r="N168" s="25"/>
      <c r="O168" s="25"/>
      <c r="P168" s="25"/>
      <c r="Q168" s="12"/>
      <c r="R168" s="25"/>
      <c r="S168" s="12"/>
      <c r="T168" s="13"/>
      <c r="U168" s="12"/>
      <c r="V168" s="25"/>
      <c r="W168" s="25"/>
      <c r="X168" s="14" t="str">
        <f aca="false">IF(OR($V168="",$W168=""),"",IF(AND($V168&gt;=Spravochnik!$H$5,$W168&gt;=Spravochnik!$H$6),"Ha","Yo'q"))</f>
        <v/>
      </c>
      <c r="Y168" s="13"/>
      <c r="Z168" s="13"/>
      <c r="AA168" s="13"/>
      <c r="AB168" s="13"/>
      <c r="AC168" s="14" t="str">
        <f aca="false">IF(AND($B168&lt;&gt;"",$AE168="",$AB168&lt;&gt;"",$AB168&lt;Boshqaruv!$C$12),"Ha","")</f>
        <v/>
      </c>
      <c r="AD168" s="25"/>
      <c r="AE168" s="13"/>
      <c r="AF168" s="12"/>
      <c r="AG168" s="14" t="str">
        <f aca="false">IF(OR($B168="",$C168="",$H168=""),"",IF(COUNTIFS($B$5:$B$804,$B168,$C$5:$C$804,$C168,$H$5:$H$804,$H168)&gt;1,"Takror",""))</f>
        <v/>
      </c>
      <c r="AH168" s="28" t="str">
        <f aca="false">IF(AND($B168&lt;&gt;"",$N168="Ha",$H168&lt;&gt;"",$H168&lt;=Boshqaruv!$C$12,OR($AE168="",$AE168&gt;Boshqaruv!$C$12)),MAX($AH$4:$AH167)+1,"")</f>
        <v/>
      </c>
    </row>
    <row r="169" customFormat="false" ht="15" hidden="false" customHeight="false" outlineLevel="0" collapsed="false">
      <c r="A169" s="20" t="n">
        <v>165</v>
      </c>
      <c r="B169" s="12"/>
      <c r="C169" s="13"/>
      <c r="D169" s="24"/>
      <c r="E169" s="12"/>
      <c r="F169" s="25"/>
      <c r="G169" s="27" t="str">
        <f aca="false">IF(OR($B169="",$C169=""),"",$B169&amp;" ("&amp;DAY($C169)&amp;"."&amp;MONTH($C169)&amp;"."&amp;YEAR($C169)&amp;")")</f>
        <v/>
      </c>
      <c r="H169" s="13"/>
      <c r="I169" s="13"/>
      <c r="J169" s="15" t="str">
        <f aca="false">IF($I169="","",$I169+280)</f>
        <v/>
      </c>
      <c r="K169" s="14" t="str">
        <f aca="false">IF(OR($I169="",$AE169&lt;&gt;""),"",INT((Boshqaruv!$C$12-$I169)/7))</f>
        <v/>
      </c>
      <c r="L169" s="14" t="str">
        <f aca="false">IF(OR($C169="",$H169=""),"",INT(($H169-$C169)/365.25))</f>
        <v/>
      </c>
      <c r="M169" s="14" t="str">
        <f aca="false">IF($L169="","",IF($L169&lt;18,"Ha","Yo'q"))</f>
        <v/>
      </c>
      <c r="N169" s="25"/>
      <c r="O169" s="25"/>
      <c r="P169" s="25"/>
      <c r="Q169" s="12"/>
      <c r="R169" s="25"/>
      <c r="S169" s="12"/>
      <c r="T169" s="13"/>
      <c r="U169" s="12"/>
      <c r="V169" s="25"/>
      <c r="W169" s="25"/>
      <c r="X169" s="14" t="str">
        <f aca="false">IF(OR($V169="",$W169=""),"",IF(AND($V169&gt;=Spravochnik!$H$5,$W169&gt;=Spravochnik!$H$6),"Ha","Yo'q"))</f>
        <v/>
      </c>
      <c r="Y169" s="13"/>
      <c r="Z169" s="13"/>
      <c r="AA169" s="13"/>
      <c r="AB169" s="13"/>
      <c r="AC169" s="14" t="str">
        <f aca="false">IF(AND($B169&lt;&gt;"",$AE169="",$AB169&lt;&gt;"",$AB169&lt;Boshqaruv!$C$12),"Ha","")</f>
        <v/>
      </c>
      <c r="AD169" s="25"/>
      <c r="AE169" s="13"/>
      <c r="AF169" s="12"/>
      <c r="AG169" s="14" t="str">
        <f aca="false">IF(OR($B169="",$C169="",$H169=""),"",IF(COUNTIFS($B$5:$B$804,$B169,$C$5:$C$804,$C169,$H$5:$H$804,$H169)&gt;1,"Takror",""))</f>
        <v/>
      </c>
      <c r="AH169" s="28" t="str">
        <f aca="false">IF(AND($B169&lt;&gt;"",$N169="Ha",$H169&lt;&gt;"",$H169&lt;=Boshqaruv!$C$12,OR($AE169="",$AE169&gt;Boshqaruv!$C$12)),MAX($AH$4:$AH168)+1,"")</f>
        <v/>
      </c>
    </row>
    <row r="170" customFormat="false" ht="15" hidden="false" customHeight="false" outlineLevel="0" collapsed="false">
      <c r="A170" s="20" t="n">
        <v>166</v>
      </c>
      <c r="B170" s="12"/>
      <c r="C170" s="13"/>
      <c r="D170" s="24"/>
      <c r="E170" s="12"/>
      <c r="F170" s="25"/>
      <c r="G170" s="27" t="str">
        <f aca="false">IF(OR($B170="",$C170=""),"",$B170&amp;" ("&amp;DAY($C170)&amp;"."&amp;MONTH($C170)&amp;"."&amp;YEAR($C170)&amp;")")</f>
        <v/>
      </c>
      <c r="H170" s="13"/>
      <c r="I170" s="13"/>
      <c r="J170" s="15" t="str">
        <f aca="false">IF($I170="","",$I170+280)</f>
        <v/>
      </c>
      <c r="K170" s="14" t="str">
        <f aca="false">IF(OR($I170="",$AE170&lt;&gt;""),"",INT((Boshqaruv!$C$12-$I170)/7))</f>
        <v/>
      </c>
      <c r="L170" s="14" t="str">
        <f aca="false">IF(OR($C170="",$H170=""),"",INT(($H170-$C170)/365.25))</f>
        <v/>
      </c>
      <c r="M170" s="14" t="str">
        <f aca="false">IF($L170="","",IF($L170&lt;18,"Ha","Yo'q"))</f>
        <v/>
      </c>
      <c r="N170" s="25"/>
      <c r="O170" s="25"/>
      <c r="P170" s="25"/>
      <c r="Q170" s="12"/>
      <c r="R170" s="25"/>
      <c r="S170" s="12"/>
      <c r="T170" s="13"/>
      <c r="U170" s="12"/>
      <c r="V170" s="25"/>
      <c r="W170" s="25"/>
      <c r="X170" s="14" t="str">
        <f aca="false">IF(OR($V170="",$W170=""),"",IF(AND($V170&gt;=Spravochnik!$H$5,$W170&gt;=Spravochnik!$H$6),"Ha","Yo'q"))</f>
        <v/>
      </c>
      <c r="Y170" s="13"/>
      <c r="Z170" s="13"/>
      <c r="AA170" s="13"/>
      <c r="AB170" s="13"/>
      <c r="AC170" s="14" t="str">
        <f aca="false">IF(AND($B170&lt;&gt;"",$AE170="",$AB170&lt;&gt;"",$AB170&lt;Boshqaruv!$C$12),"Ha","")</f>
        <v/>
      </c>
      <c r="AD170" s="25"/>
      <c r="AE170" s="13"/>
      <c r="AF170" s="12"/>
      <c r="AG170" s="14" t="str">
        <f aca="false">IF(OR($B170="",$C170="",$H170=""),"",IF(COUNTIFS($B$5:$B$804,$B170,$C$5:$C$804,$C170,$H$5:$H$804,$H170)&gt;1,"Takror",""))</f>
        <v/>
      </c>
      <c r="AH170" s="28" t="str">
        <f aca="false">IF(AND($B170&lt;&gt;"",$N170="Ha",$H170&lt;&gt;"",$H170&lt;=Boshqaruv!$C$12,OR($AE170="",$AE170&gt;Boshqaruv!$C$12)),MAX($AH$4:$AH169)+1,"")</f>
        <v/>
      </c>
    </row>
    <row r="171" customFormat="false" ht="15" hidden="false" customHeight="false" outlineLevel="0" collapsed="false">
      <c r="A171" s="20" t="n">
        <v>167</v>
      </c>
      <c r="B171" s="12"/>
      <c r="C171" s="13"/>
      <c r="D171" s="24"/>
      <c r="E171" s="12"/>
      <c r="F171" s="25"/>
      <c r="G171" s="27" t="str">
        <f aca="false">IF(OR($B171="",$C171=""),"",$B171&amp;" ("&amp;DAY($C171)&amp;"."&amp;MONTH($C171)&amp;"."&amp;YEAR($C171)&amp;")")</f>
        <v/>
      </c>
      <c r="H171" s="13"/>
      <c r="I171" s="13"/>
      <c r="J171" s="15" t="str">
        <f aca="false">IF($I171="","",$I171+280)</f>
        <v/>
      </c>
      <c r="K171" s="14" t="str">
        <f aca="false">IF(OR($I171="",$AE171&lt;&gt;""),"",INT((Boshqaruv!$C$12-$I171)/7))</f>
        <v/>
      </c>
      <c r="L171" s="14" t="str">
        <f aca="false">IF(OR($C171="",$H171=""),"",INT(($H171-$C171)/365.25))</f>
        <v/>
      </c>
      <c r="M171" s="14" t="str">
        <f aca="false">IF($L171="","",IF($L171&lt;18,"Ha","Yo'q"))</f>
        <v/>
      </c>
      <c r="N171" s="25"/>
      <c r="O171" s="25"/>
      <c r="P171" s="25"/>
      <c r="Q171" s="12"/>
      <c r="R171" s="25"/>
      <c r="S171" s="12"/>
      <c r="T171" s="13"/>
      <c r="U171" s="12"/>
      <c r="V171" s="25"/>
      <c r="W171" s="25"/>
      <c r="X171" s="14" t="str">
        <f aca="false">IF(OR($V171="",$W171=""),"",IF(AND($V171&gt;=Spravochnik!$H$5,$W171&gt;=Spravochnik!$H$6),"Ha","Yo'q"))</f>
        <v/>
      </c>
      <c r="Y171" s="13"/>
      <c r="Z171" s="13"/>
      <c r="AA171" s="13"/>
      <c r="AB171" s="13"/>
      <c r="AC171" s="14" t="str">
        <f aca="false">IF(AND($B171&lt;&gt;"",$AE171="",$AB171&lt;&gt;"",$AB171&lt;Boshqaruv!$C$12),"Ha","")</f>
        <v/>
      </c>
      <c r="AD171" s="25"/>
      <c r="AE171" s="13"/>
      <c r="AF171" s="12"/>
      <c r="AG171" s="14" t="str">
        <f aca="false">IF(OR($B171="",$C171="",$H171=""),"",IF(COUNTIFS($B$5:$B$804,$B171,$C$5:$C$804,$C171,$H$5:$H$804,$H171)&gt;1,"Takror",""))</f>
        <v/>
      </c>
      <c r="AH171" s="28" t="str">
        <f aca="false">IF(AND($B171&lt;&gt;"",$N171="Ha",$H171&lt;&gt;"",$H171&lt;=Boshqaruv!$C$12,OR($AE171="",$AE171&gt;Boshqaruv!$C$12)),MAX($AH$4:$AH170)+1,"")</f>
        <v/>
      </c>
    </row>
    <row r="172" customFormat="false" ht="15" hidden="false" customHeight="false" outlineLevel="0" collapsed="false">
      <c r="A172" s="20" t="n">
        <v>168</v>
      </c>
      <c r="B172" s="12"/>
      <c r="C172" s="13"/>
      <c r="D172" s="24"/>
      <c r="E172" s="12"/>
      <c r="F172" s="25"/>
      <c r="G172" s="27" t="str">
        <f aca="false">IF(OR($B172="",$C172=""),"",$B172&amp;" ("&amp;DAY($C172)&amp;"."&amp;MONTH($C172)&amp;"."&amp;YEAR($C172)&amp;")")</f>
        <v/>
      </c>
      <c r="H172" s="13"/>
      <c r="I172" s="13"/>
      <c r="J172" s="15" t="str">
        <f aca="false">IF($I172="","",$I172+280)</f>
        <v/>
      </c>
      <c r="K172" s="14" t="str">
        <f aca="false">IF(OR($I172="",$AE172&lt;&gt;""),"",INT((Boshqaruv!$C$12-$I172)/7))</f>
        <v/>
      </c>
      <c r="L172" s="14" t="str">
        <f aca="false">IF(OR($C172="",$H172=""),"",INT(($H172-$C172)/365.25))</f>
        <v/>
      </c>
      <c r="M172" s="14" t="str">
        <f aca="false">IF($L172="","",IF($L172&lt;18,"Ha","Yo'q"))</f>
        <v/>
      </c>
      <c r="N172" s="25"/>
      <c r="O172" s="25"/>
      <c r="P172" s="25"/>
      <c r="Q172" s="12"/>
      <c r="R172" s="25"/>
      <c r="S172" s="12"/>
      <c r="T172" s="13"/>
      <c r="U172" s="12"/>
      <c r="V172" s="25"/>
      <c r="W172" s="25"/>
      <c r="X172" s="14" t="str">
        <f aca="false">IF(OR($V172="",$W172=""),"",IF(AND($V172&gt;=Spravochnik!$H$5,$W172&gt;=Spravochnik!$H$6),"Ha","Yo'q"))</f>
        <v/>
      </c>
      <c r="Y172" s="13"/>
      <c r="Z172" s="13"/>
      <c r="AA172" s="13"/>
      <c r="AB172" s="13"/>
      <c r="AC172" s="14" t="str">
        <f aca="false">IF(AND($B172&lt;&gt;"",$AE172="",$AB172&lt;&gt;"",$AB172&lt;Boshqaruv!$C$12),"Ha","")</f>
        <v/>
      </c>
      <c r="AD172" s="25"/>
      <c r="AE172" s="13"/>
      <c r="AF172" s="12"/>
      <c r="AG172" s="14" t="str">
        <f aca="false">IF(OR($B172="",$C172="",$H172=""),"",IF(COUNTIFS($B$5:$B$804,$B172,$C$5:$C$804,$C172,$H$5:$H$804,$H172)&gt;1,"Takror",""))</f>
        <v/>
      </c>
      <c r="AH172" s="28" t="str">
        <f aca="false">IF(AND($B172&lt;&gt;"",$N172="Ha",$H172&lt;&gt;"",$H172&lt;=Boshqaruv!$C$12,OR($AE172="",$AE172&gt;Boshqaruv!$C$12)),MAX($AH$4:$AH171)+1,"")</f>
        <v/>
      </c>
    </row>
    <row r="173" customFormat="false" ht="15" hidden="false" customHeight="false" outlineLevel="0" collapsed="false">
      <c r="A173" s="20" t="n">
        <v>169</v>
      </c>
      <c r="B173" s="12"/>
      <c r="C173" s="13"/>
      <c r="D173" s="24"/>
      <c r="E173" s="12"/>
      <c r="F173" s="25"/>
      <c r="G173" s="27" t="str">
        <f aca="false">IF(OR($B173="",$C173=""),"",$B173&amp;" ("&amp;DAY($C173)&amp;"."&amp;MONTH($C173)&amp;"."&amp;YEAR($C173)&amp;")")</f>
        <v/>
      </c>
      <c r="H173" s="13"/>
      <c r="I173" s="13"/>
      <c r="J173" s="15" t="str">
        <f aca="false">IF($I173="","",$I173+280)</f>
        <v/>
      </c>
      <c r="K173" s="14" t="str">
        <f aca="false">IF(OR($I173="",$AE173&lt;&gt;""),"",INT((Boshqaruv!$C$12-$I173)/7))</f>
        <v/>
      </c>
      <c r="L173" s="14" t="str">
        <f aca="false">IF(OR($C173="",$H173=""),"",INT(($H173-$C173)/365.25))</f>
        <v/>
      </c>
      <c r="M173" s="14" t="str">
        <f aca="false">IF($L173="","",IF($L173&lt;18,"Ha","Yo'q"))</f>
        <v/>
      </c>
      <c r="N173" s="25"/>
      <c r="O173" s="25"/>
      <c r="P173" s="25"/>
      <c r="Q173" s="12"/>
      <c r="R173" s="25"/>
      <c r="S173" s="12"/>
      <c r="T173" s="13"/>
      <c r="U173" s="12"/>
      <c r="V173" s="25"/>
      <c r="W173" s="25"/>
      <c r="X173" s="14" t="str">
        <f aca="false">IF(OR($V173="",$W173=""),"",IF(AND($V173&gt;=Spravochnik!$H$5,$W173&gt;=Spravochnik!$H$6),"Ha","Yo'q"))</f>
        <v/>
      </c>
      <c r="Y173" s="13"/>
      <c r="Z173" s="13"/>
      <c r="AA173" s="13"/>
      <c r="AB173" s="13"/>
      <c r="AC173" s="14" t="str">
        <f aca="false">IF(AND($B173&lt;&gt;"",$AE173="",$AB173&lt;&gt;"",$AB173&lt;Boshqaruv!$C$12),"Ha","")</f>
        <v/>
      </c>
      <c r="AD173" s="25"/>
      <c r="AE173" s="13"/>
      <c r="AF173" s="12"/>
      <c r="AG173" s="14" t="str">
        <f aca="false">IF(OR($B173="",$C173="",$H173=""),"",IF(COUNTIFS($B$5:$B$804,$B173,$C$5:$C$804,$C173,$H$5:$H$804,$H173)&gt;1,"Takror",""))</f>
        <v/>
      </c>
      <c r="AH173" s="28" t="str">
        <f aca="false">IF(AND($B173&lt;&gt;"",$N173="Ha",$H173&lt;&gt;"",$H173&lt;=Boshqaruv!$C$12,OR($AE173="",$AE173&gt;Boshqaruv!$C$12)),MAX($AH$4:$AH172)+1,"")</f>
        <v/>
      </c>
    </row>
    <row r="174" customFormat="false" ht="15" hidden="false" customHeight="false" outlineLevel="0" collapsed="false">
      <c r="A174" s="20" t="n">
        <v>170</v>
      </c>
      <c r="B174" s="12"/>
      <c r="C174" s="13"/>
      <c r="D174" s="24"/>
      <c r="E174" s="12"/>
      <c r="F174" s="25"/>
      <c r="G174" s="27" t="str">
        <f aca="false">IF(OR($B174="",$C174=""),"",$B174&amp;" ("&amp;DAY($C174)&amp;"."&amp;MONTH($C174)&amp;"."&amp;YEAR($C174)&amp;")")</f>
        <v/>
      </c>
      <c r="H174" s="13"/>
      <c r="I174" s="13"/>
      <c r="J174" s="15" t="str">
        <f aca="false">IF($I174="","",$I174+280)</f>
        <v/>
      </c>
      <c r="K174" s="14" t="str">
        <f aca="false">IF(OR($I174="",$AE174&lt;&gt;""),"",INT((Boshqaruv!$C$12-$I174)/7))</f>
        <v/>
      </c>
      <c r="L174" s="14" t="str">
        <f aca="false">IF(OR($C174="",$H174=""),"",INT(($H174-$C174)/365.25))</f>
        <v/>
      </c>
      <c r="M174" s="14" t="str">
        <f aca="false">IF($L174="","",IF($L174&lt;18,"Ha","Yo'q"))</f>
        <v/>
      </c>
      <c r="N174" s="25"/>
      <c r="O174" s="25"/>
      <c r="P174" s="25"/>
      <c r="Q174" s="12"/>
      <c r="R174" s="25"/>
      <c r="S174" s="12"/>
      <c r="T174" s="13"/>
      <c r="U174" s="12"/>
      <c r="V174" s="25"/>
      <c r="W174" s="25"/>
      <c r="X174" s="14" t="str">
        <f aca="false">IF(OR($V174="",$W174=""),"",IF(AND($V174&gt;=Spravochnik!$H$5,$W174&gt;=Spravochnik!$H$6),"Ha","Yo'q"))</f>
        <v/>
      </c>
      <c r="Y174" s="13"/>
      <c r="Z174" s="13"/>
      <c r="AA174" s="13"/>
      <c r="AB174" s="13"/>
      <c r="AC174" s="14" t="str">
        <f aca="false">IF(AND($B174&lt;&gt;"",$AE174="",$AB174&lt;&gt;"",$AB174&lt;Boshqaruv!$C$12),"Ha","")</f>
        <v/>
      </c>
      <c r="AD174" s="25"/>
      <c r="AE174" s="13"/>
      <c r="AF174" s="12"/>
      <c r="AG174" s="14" t="str">
        <f aca="false">IF(OR($B174="",$C174="",$H174=""),"",IF(COUNTIFS($B$5:$B$804,$B174,$C$5:$C$804,$C174,$H$5:$H$804,$H174)&gt;1,"Takror",""))</f>
        <v/>
      </c>
      <c r="AH174" s="28" t="str">
        <f aca="false">IF(AND($B174&lt;&gt;"",$N174="Ha",$H174&lt;&gt;"",$H174&lt;=Boshqaruv!$C$12,OR($AE174="",$AE174&gt;Boshqaruv!$C$12)),MAX($AH$4:$AH173)+1,"")</f>
        <v/>
      </c>
    </row>
    <row r="175" customFormat="false" ht="15" hidden="false" customHeight="false" outlineLevel="0" collapsed="false">
      <c r="A175" s="20" t="n">
        <v>171</v>
      </c>
      <c r="B175" s="12"/>
      <c r="C175" s="13"/>
      <c r="D175" s="24"/>
      <c r="E175" s="12"/>
      <c r="F175" s="25"/>
      <c r="G175" s="27" t="str">
        <f aca="false">IF(OR($B175="",$C175=""),"",$B175&amp;" ("&amp;DAY($C175)&amp;"."&amp;MONTH($C175)&amp;"."&amp;YEAR($C175)&amp;")")</f>
        <v/>
      </c>
      <c r="H175" s="13"/>
      <c r="I175" s="13"/>
      <c r="J175" s="15" t="str">
        <f aca="false">IF($I175="","",$I175+280)</f>
        <v/>
      </c>
      <c r="K175" s="14" t="str">
        <f aca="false">IF(OR($I175="",$AE175&lt;&gt;""),"",INT((Boshqaruv!$C$12-$I175)/7))</f>
        <v/>
      </c>
      <c r="L175" s="14" t="str">
        <f aca="false">IF(OR($C175="",$H175=""),"",INT(($H175-$C175)/365.25))</f>
        <v/>
      </c>
      <c r="M175" s="14" t="str">
        <f aca="false">IF($L175="","",IF($L175&lt;18,"Ha","Yo'q"))</f>
        <v/>
      </c>
      <c r="N175" s="25"/>
      <c r="O175" s="25"/>
      <c r="P175" s="25"/>
      <c r="Q175" s="12"/>
      <c r="R175" s="25"/>
      <c r="S175" s="12"/>
      <c r="T175" s="13"/>
      <c r="U175" s="12"/>
      <c r="V175" s="25"/>
      <c r="W175" s="25"/>
      <c r="X175" s="14" t="str">
        <f aca="false">IF(OR($V175="",$W175=""),"",IF(AND($V175&gt;=Spravochnik!$H$5,$W175&gt;=Spravochnik!$H$6),"Ha","Yo'q"))</f>
        <v/>
      </c>
      <c r="Y175" s="13"/>
      <c r="Z175" s="13"/>
      <c r="AA175" s="13"/>
      <c r="AB175" s="13"/>
      <c r="AC175" s="14" t="str">
        <f aca="false">IF(AND($B175&lt;&gt;"",$AE175="",$AB175&lt;&gt;"",$AB175&lt;Boshqaruv!$C$12),"Ha","")</f>
        <v/>
      </c>
      <c r="AD175" s="25"/>
      <c r="AE175" s="13"/>
      <c r="AF175" s="12"/>
      <c r="AG175" s="14" t="str">
        <f aca="false">IF(OR($B175="",$C175="",$H175=""),"",IF(COUNTIFS($B$5:$B$804,$B175,$C$5:$C$804,$C175,$H$5:$H$804,$H175)&gt;1,"Takror",""))</f>
        <v/>
      </c>
      <c r="AH175" s="28" t="str">
        <f aca="false">IF(AND($B175&lt;&gt;"",$N175="Ha",$H175&lt;&gt;"",$H175&lt;=Boshqaruv!$C$12,OR($AE175="",$AE175&gt;Boshqaruv!$C$12)),MAX($AH$4:$AH174)+1,"")</f>
        <v/>
      </c>
    </row>
    <row r="176" customFormat="false" ht="15" hidden="false" customHeight="false" outlineLevel="0" collapsed="false">
      <c r="A176" s="20" t="n">
        <v>172</v>
      </c>
      <c r="B176" s="12"/>
      <c r="C176" s="13"/>
      <c r="D176" s="24"/>
      <c r="E176" s="12"/>
      <c r="F176" s="25"/>
      <c r="G176" s="27" t="str">
        <f aca="false">IF(OR($B176="",$C176=""),"",$B176&amp;" ("&amp;DAY($C176)&amp;"."&amp;MONTH($C176)&amp;"."&amp;YEAR($C176)&amp;")")</f>
        <v/>
      </c>
      <c r="H176" s="13"/>
      <c r="I176" s="13"/>
      <c r="J176" s="15" t="str">
        <f aca="false">IF($I176="","",$I176+280)</f>
        <v/>
      </c>
      <c r="K176" s="14" t="str">
        <f aca="false">IF(OR($I176="",$AE176&lt;&gt;""),"",INT((Boshqaruv!$C$12-$I176)/7))</f>
        <v/>
      </c>
      <c r="L176" s="14" t="str">
        <f aca="false">IF(OR($C176="",$H176=""),"",INT(($H176-$C176)/365.25))</f>
        <v/>
      </c>
      <c r="M176" s="14" t="str">
        <f aca="false">IF($L176="","",IF($L176&lt;18,"Ha","Yo'q"))</f>
        <v/>
      </c>
      <c r="N176" s="25"/>
      <c r="O176" s="25"/>
      <c r="P176" s="25"/>
      <c r="Q176" s="12"/>
      <c r="R176" s="25"/>
      <c r="S176" s="12"/>
      <c r="T176" s="13"/>
      <c r="U176" s="12"/>
      <c r="V176" s="25"/>
      <c r="W176" s="25"/>
      <c r="X176" s="14" t="str">
        <f aca="false">IF(OR($V176="",$W176=""),"",IF(AND($V176&gt;=Spravochnik!$H$5,$W176&gt;=Spravochnik!$H$6),"Ha","Yo'q"))</f>
        <v/>
      </c>
      <c r="Y176" s="13"/>
      <c r="Z176" s="13"/>
      <c r="AA176" s="13"/>
      <c r="AB176" s="13"/>
      <c r="AC176" s="14" t="str">
        <f aca="false">IF(AND($B176&lt;&gt;"",$AE176="",$AB176&lt;&gt;"",$AB176&lt;Boshqaruv!$C$12),"Ha","")</f>
        <v/>
      </c>
      <c r="AD176" s="25"/>
      <c r="AE176" s="13"/>
      <c r="AF176" s="12"/>
      <c r="AG176" s="14" t="str">
        <f aca="false">IF(OR($B176="",$C176="",$H176=""),"",IF(COUNTIFS($B$5:$B$804,$B176,$C$5:$C$804,$C176,$H$5:$H$804,$H176)&gt;1,"Takror",""))</f>
        <v/>
      </c>
      <c r="AH176" s="28" t="str">
        <f aca="false">IF(AND($B176&lt;&gt;"",$N176="Ha",$H176&lt;&gt;"",$H176&lt;=Boshqaruv!$C$12,OR($AE176="",$AE176&gt;Boshqaruv!$C$12)),MAX($AH$4:$AH175)+1,"")</f>
        <v/>
      </c>
    </row>
    <row r="177" customFormat="false" ht="15" hidden="false" customHeight="false" outlineLevel="0" collapsed="false">
      <c r="A177" s="20" t="n">
        <v>173</v>
      </c>
      <c r="B177" s="12"/>
      <c r="C177" s="13"/>
      <c r="D177" s="24"/>
      <c r="E177" s="12"/>
      <c r="F177" s="25"/>
      <c r="G177" s="27" t="str">
        <f aca="false">IF(OR($B177="",$C177=""),"",$B177&amp;" ("&amp;DAY($C177)&amp;"."&amp;MONTH($C177)&amp;"."&amp;YEAR($C177)&amp;")")</f>
        <v/>
      </c>
      <c r="H177" s="13"/>
      <c r="I177" s="13"/>
      <c r="J177" s="15" t="str">
        <f aca="false">IF($I177="","",$I177+280)</f>
        <v/>
      </c>
      <c r="K177" s="14" t="str">
        <f aca="false">IF(OR($I177="",$AE177&lt;&gt;""),"",INT((Boshqaruv!$C$12-$I177)/7))</f>
        <v/>
      </c>
      <c r="L177" s="14" t="str">
        <f aca="false">IF(OR($C177="",$H177=""),"",INT(($H177-$C177)/365.25))</f>
        <v/>
      </c>
      <c r="M177" s="14" t="str">
        <f aca="false">IF($L177="","",IF($L177&lt;18,"Ha","Yo'q"))</f>
        <v/>
      </c>
      <c r="N177" s="25"/>
      <c r="O177" s="25"/>
      <c r="P177" s="25"/>
      <c r="Q177" s="12"/>
      <c r="R177" s="25"/>
      <c r="S177" s="12"/>
      <c r="T177" s="13"/>
      <c r="U177" s="12"/>
      <c r="V177" s="25"/>
      <c r="W177" s="25"/>
      <c r="X177" s="14" t="str">
        <f aca="false">IF(OR($V177="",$W177=""),"",IF(AND($V177&gt;=Spravochnik!$H$5,$W177&gt;=Spravochnik!$H$6),"Ha","Yo'q"))</f>
        <v/>
      </c>
      <c r="Y177" s="13"/>
      <c r="Z177" s="13"/>
      <c r="AA177" s="13"/>
      <c r="AB177" s="13"/>
      <c r="AC177" s="14" t="str">
        <f aca="false">IF(AND($B177&lt;&gt;"",$AE177="",$AB177&lt;&gt;"",$AB177&lt;Boshqaruv!$C$12),"Ha","")</f>
        <v/>
      </c>
      <c r="AD177" s="25"/>
      <c r="AE177" s="13"/>
      <c r="AF177" s="12"/>
      <c r="AG177" s="14" t="str">
        <f aca="false">IF(OR($B177="",$C177="",$H177=""),"",IF(COUNTIFS($B$5:$B$804,$B177,$C$5:$C$804,$C177,$H$5:$H$804,$H177)&gt;1,"Takror",""))</f>
        <v/>
      </c>
      <c r="AH177" s="28" t="str">
        <f aca="false">IF(AND($B177&lt;&gt;"",$N177="Ha",$H177&lt;&gt;"",$H177&lt;=Boshqaruv!$C$12,OR($AE177="",$AE177&gt;Boshqaruv!$C$12)),MAX($AH$4:$AH176)+1,"")</f>
        <v/>
      </c>
    </row>
    <row r="178" customFormat="false" ht="15" hidden="false" customHeight="false" outlineLevel="0" collapsed="false">
      <c r="A178" s="20" t="n">
        <v>174</v>
      </c>
      <c r="B178" s="12"/>
      <c r="C178" s="13"/>
      <c r="D178" s="24"/>
      <c r="E178" s="12"/>
      <c r="F178" s="25"/>
      <c r="G178" s="27" t="str">
        <f aca="false">IF(OR($B178="",$C178=""),"",$B178&amp;" ("&amp;DAY($C178)&amp;"."&amp;MONTH($C178)&amp;"."&amp;YEAR($C178)&amp;")")</f>
        <v/>
      </c>
      <c r="H178" s="13"/>
      <c r="I178" s="13"/>
      <c r="J178" s="15" t="str">
        <f aca="false">IF($I178="","",$I178+280)</f>
        <v/>
      </c>
      <c r="K178" s="14" t="str">
        <f aca="false">IF(OR($I178="",$AE178&lt;&gt;""),"",INT((Boshqaruv!$C$12-$I178)/7))</f>
        <v/>
      </c>
      <c r="L178" s="14" t="str">
        <f aca="false">IF(OR($C178="",$H178=""),"",INT(($H178-$C178)/365.25))</f>
        <v/>
      </c>
      <c r="M178" s="14" t="str">
        <f aca="false">IF($L178="","",IF($L178&lt;18,"Ha","Yo'q"))</f>
        <v/>
      </c>
      <c r="N178" s="25"/>
      <c r="O178" s="25"/>
      <c r="P178" s="25"/>
      <c r="Q178" s="12"/>
      <c r="R178" s="25"/>
      <c r="S178" s="12"/>
      <c r="T178" s="13"/>
      <c r="U178" s="12"/>
      <c r="V178" s="25"/>
      <c r="W178" s="25"/>
      <c r="X178" s="14" t="str">
        <f aca="false">IF(OR($V178="",$W178=""),"",IF(AND($V178&gt;=Spravochnik!$H$5,$W178&gt;=Spravochnik!$H$6),"Ha","Yo'q"))</f>
        <v/>
      </c>
      <c r="Y178" s="13"/>
      <c r="Z178" s="13"/>
      <c r="AA178" s="13"/>
      <c r="AB178" s="13"/>
      <c r="AC178" s="14" t="str">
        <f aca="false">IF(AND($B178&lt;&gt;"",$AE178="",$AB178&lt;&gt;"",$AB178&lt;Boshqaruv!$C$12),"Ha","")</f>
        <v/>
      </c>
      <c r="AD178" s="25"/>
      <c r="AE178" s="13"/>
      <c r="AF178" s="12"/>
      <c r="AG178" s="14" t="str">
        <f aca="false">IF(OR($B178="",$C178="",$H178=""),"",IF(COUNTIFS($B$5:$B$804,$B178,$C$5:$C$804,$C178,$H$5:$H$804,$H178)&gt;1,"Takror",""))</f>
        <v/>
      </c>
      <c r="AH178" s="28" t="str">
        <f aca="false">IF(AND($B178&lt;&gt;"",$N178="Ha",$H178&lt;&gt;"",$H178&lt;=Boshqaruv!$C$12,OR($AE178="",$AE178&gt;Boshqaruv!$C$12)),MAX($AH$4:$AH177)+1,"")</f>
        <v/>
      </c>
    </row>
    <row r="179" customFormat="false" ht="15" hidden="false" customHeight="false" outlineLevel="0" collapsed="false">
      <c r="A179" s="20" t="n">
        <v>175</v>
      </c>
      <c r="B179" s="12"/>
      <c r="C179" s="13"/>
      <c r="D179" s="24"/>
      <c r="E179" s="12"/>
      <c r="F179" s="25"/>
      <c r="G179" s="27" t="str">
        <f aca="false">IF(OR($B179="",$C179=""),"",$B179&amp;" ("&amp;DAY($C179)&amp;"."&amp;MONTH($C179)&amp;"."&amp;YEAR($C179)&amp;")")</f>
        <v/>
      </c>
      <c r="H179" s="13"/>
      <c r="I179" s="13"/>
      <c r="J179" s="15" t="str">
        <f aca="false">IF($I179="","",$I179+280)</f>
        <v/>
      </c>
      <c r="K179" s="14" t="str">
        <f aca="false">IF(OR($I179="",$AE179&lt;&gt;""),"",INT((Boshqaruv!$C$12-$I179)/7))</f>
        <v/>
      </c>
      <c r="L179" s="14" t="str">
        <f aca="false">IF(OR($C179="",$H179=""),"",INT(($H179-$C179)/365.25))</f>
        <v/>
      </c>
      <c r="M179" s="14" t="str">
        <f aca="false">IF($L179="","",IF($L179&lt;18,"Ha","Yo'q"))</f>
        <v/>
      </c>
      <c r="N179" s="25"/>
      <c r="O179" s="25"/>
      <c r="P179" s="25"/>
      <c r="Q179" s="12"/>
      <c r="R179" s="25"/>
      <c r="S179" s="12"/>
      <c r="T179" s="13"/>
      <c r="U179" s="12"/>
      <c r="V179" s="25"/>
      <c r="W179" s="25"/>
      <c r="X179" s="14" t="str">
        <f aca="false">IF(OR($V179="",$W179=""),"",IF(AND($V179&gt;=Spravochnik!$H$5,$W179&gt;=Spravochnik!$H$6),"Ha","Yo'q"))</f>
        <v/>
      </c>
      <c r="Y179" s="13"/>
      <c r="Z179" s="13"/>
      <c r="AA179" s="13"/>
      <c r="AB179" s="13"/>
      <c r="AC179" s="14" t="str">
        <f aca="false">IF(AND($B179&lt;&gt;"",$AE179="",$AB179&lt;&gt;"",$AB179&lt;Boshqaruv!$C$12),"Ha","")</f>
        <v/>
      </c>
      <c r="AD179" s="25"/>
      <c r="AE179" s="13"/>
      <c r="AF179" s="12"/>
      <c r="AG179" s="14" t="str">
        <f aca="false">IF(OR($B179="",$C179="",$H179=""),"",IF(COUNTIFS($B$5:$B$804,$B179,$C$5:$C$804,$C179,$H$5:$H$804,$H179)&gt;1,"Takror",""))</f>
        <v/>
      </c>
      <c r="AH179" s="28" t="str">
        <f aca="false">IF(AND($B179&lt;&gt;"",$N179="Ha",$H179&lt;&gt;"",$H179&lt;=Boshqaruv!$C$12,OR($AE179="",$AE179&gt;Boshqaruv!$C$12)),MAX($AH$4:$AH178)+1,"")</f>
        <v/>
      </c>
    </row>
    <row r="180" customFormat="false" ht="15" hidden="false" customHeight="false" outlineLevel="0" collapsed="false">
      <c r="A180" s="20" t="n">
        <v>176</v>
      </c>
      <c r="B180" s="12"/>
      <c r="C180" s="13"/>
      <c r="D180" s="24"/>
      <c r="E180" s="12"/>
      <c r="F180" s="25"/>
      <c r="G180" s="27" t="str">
        <f aca="false">IF(OR($B180="",$C180=""),"",$B180&amp;" ("&amp;DAY($C180)&amp;"."&amp;MONTH($C180)&amp;"."&amp;YEAR($C180)&amp;")")</f>
        <v/>
      </c>
      <c r="H180" s="13"/>
      <c r="I180" s="13"/>
      <c r="J180" s="15" t="str">
        <f aca="false">IF($I180="","",$I180+280)</f>
        <v/>
      </c>
      <c r="K180" s="14" t="str">
        <f aca="false">IF(OR($I180="",$AE180&lt;&gt;""),"",INT((Boshqaruv!$C$12-$I180)/7))</f>
        <v/>
      </c>
      <c r="L180" s="14" t="str">
        <f aca="false">IF(OR($C180="",$H180=""),"",INT(($H180-$C180)/365.25))</f>
        <v/>
      </c>
      <c r="M180" s="14" t="str">
        <f aca="false">IF($L180="","",IF($L180&lt;18,"Ha","Yo'q"))</f>
        <v/>
      </c>
      <c r="N180" s="25"/>
      <c r="O180" s="25"/>
      <c r="P180" s="25"/>
      <c r="Q180" s="12"/>
      <c r="R180" s="25"/>
      <c r="S180" s="12"/>
      <c r="T180" s="13"/>
      <c r="U180" s="12"/>
      <c r="V180" s="25"/>
      <c r="W180" s="25"/>
      <c r="X180" s="14" t="str">
        <f aca="false">IF(OR($V180="",$W180=""),"",IF(AND($V180&gt;=Spravochnik!$H$5,$W180&gt;=Spravochnik!$H$6),"Ha","Yo'q"))</f>
        <v/>
      </c>
      <c r="Y180" s="13"/>
      <c r="Z180" s="13"/>
      <c r="AA180" s="13"/>
      <c r="AB180" s="13"/>
      <c r="AC180" s="14" t="str">
        <f aca="false">IF(AND($B180&lt;&gt;"",$AE180="",$AB180&lt;&gt;"",$AB180&lt;Boshqaruv!$C$12),"Ha","")</f>
        <v/>
      </c>
      <c r="AD180" s="25"/>
      <c r="AE180" s="13"/>
      <c r="AF180" s="12"/>
      <c r="AG180" s="14" t="str">
        <f aca="false">IF(OR($B180="",$C180="",$H180=""),"",IF(COUNTIFS($B$5:$B$804,$B180,$C$5:$C$804,$C180,$H$5:$H$804,$H180)&gt;1,"Takror",""))</f>
        <v/>
      </c>
      <c r="AH180" s="28" t="str">
        <f aca="false">IF(AND($B180&lt;&gt;"",$N180="Ha",$H180&lt;&gt;"",$H180&lt;=Boshqaruv!$C$12,OR($AE180="",$AE180&gt;Boshqaruv!$C$12)),MAX($AH$4:$AH179)+1,"")</f>
        <v/>
      </c>
    </row>
    <row r="181" customFormat="false" ht="15" hidden="false" customHeight="false" outlineLevel="0" collapsed="false">
      <c r="A181" s="20" t="n">
        <v>177</v>
      </c>
      <c r="B181" s="12"/>
      <c r="C181" s="13"/>
      <c r="D181" s="24"/>
      <c r="E181" s="12"/>
      <c r="F181" s="25"/>
      <c r="G181" s="27" t="str">
        <f aca="false">IF(OR($B181="",$C181=""),"",$B181&amp;" ("&amp;DAY($C181)&amp;"."&amp;MONTH($C181)&amp;"."&amp;YEAR($C181)&amp;")")</f>
        <v/>
      </c>
      <c r="H181" s="13"/>
      <c r="I181" s="13"/>
      <c r="J181" s="15" t="str">
        <f aca="false">IF($I181="","",$I181+280)</f>
        <v/>
      </c>
      <c r="K181" s="14" t="str">
        <f aca="false">IF(OR($I181="",$AE181&lt;&gt;""),"",INT((Boshqaruv!$C$12-$I181)/7))</f>
        <v/>
      </c>
      <c r="L181" s="14" t="str">
        <f aca="false">IF(OR($C181="",$H181=""),"",INT(($H181-$C181)/365.25))</f>
        <v/>
      </c>
      <c r="M181" s="14" t="str">
        <f aca="false">IF($L181="","",IF($L181&lt;18,"Ha","Yo'q"))</f>
        <v/>
      </c>
      <c r="N181" s="25"/>
      <c r="O181" s="25"/>
      <c r="P181" s="25"/>
      <c r="Q181" s="12"/>
      <c r="R181" s="25"/>
      <c r="S181" s="12"/>
      <c r="T181" s="13"/>
      <c r="U181" s="12"/>
      <c r="V181" s="25"/>
      <c r="W181" s="25"/>
      <c r="X181" s="14" t="str">
        <f aca="false">IF(OR($V181="",$W181=""),"",IF(AND($V181&gt;=Spravochnik!$H$5,$W181&gt;=Spravochnik!$H$6),"Ha","Yo'q"))</f>
        <v/>
      </c>
      <c r="Y181" s="13"/>
      <c r="Z181" s="13"/>
      <c r="AA181" s="13"/>
      <c r="AB181" s="13"/>
      <c r="AC181" s="14" t="str">
        <f aca="false">IF(AND($B181&lt;&gt;"",$AE181="",$AB181&lt;&gt;"",$AB181&lt;Boshqaruv!$C$12),"Ha","")</f>
        <v/>
      </c>
      <c r="AD181" s="25"/>
      <c r="AE181" s="13"/>
      <c r="AF181" s="12"/>
      <c r="AG181" s="14" t="str">
        <f aca="false">IF(OR($B181="",$C181="",$H181=""),"",IF(COUNTIFS($B$5:$B$804,$B181,$C$5:$C$804,$C181,$H$5:$H$804,$H181)&gt;1,"Takror",""))</f>
        <v/>
      </c>
      <c r="AH181" s="28" t="str">
        <f aca="false">IF(AND($B181&lt;&gt;"",$N181="Ha",$H181&lt;&gt;"",$H181&lt;=Boshqaruv!$C$12,OR($AE181="",$AE181&gt;Boshqaruv!$C$12)),MAX($AH$4:$AH180)+1,"")</f>
        <v/>
      </c>
    </row>
    <row r="182" customFormat="false" ht="15" hidden="false" customHeight="false" outlineLevel="0" collapsed="false">
      <c r="A182" s="20" t="n">
        <v>178</v>
      </c>
      <c r="B182" s="12"/>
      <c r="C182" s="13"/>
      <c r="D182" s="24"/>
      <c r="E182" s="12"/>
      <c r="F182" s="25"/>
      <c r="G182" s="27" t="str">
        <f aca="false">IF(OR($B182="",$C182=""),"",$B182&amp;" ("&amp;DAY($C182)&amp;"."&amp;MONTH($C182)&amp;"."&amp;YEAR($C182)&amp;")")</f>
        <v/>
      </c>
      <c r="H182" s="13"/>
      <c r="I182" s="13"/>
      <c r="J182" s="15" t="str">
        <f aca="false">IF($I182="","",$I182+280)</f>
        <v/>
      </c>
      <c r="K182" s="14" t="str">
        <f aca="false">IF(OR($I182="",$AE182&lt;&gt;""),"",INT((Boshqaruv!$C$12-$I182)/7))</f>
        <v/>
      </c>
      <c r="L182" s="14" t="str">
        <f aca="false">IF(OR($C182="",$H182=""),"",INT(($H182-$C182)/365.25))</f>
        <v/>
      </c>
      <c r="M182" s="14" t="str">
        <f aca="false">IF($L182="","",IF($L182&lt;18,"Ha","Yo'q"))</f>
        <v/>
      </c>
      <c r="N182" s="25"/>
      <c r="O182" s="25"/>
      <c r="P182" s="25"/>
      <c r="Q182" s="12"/>
      <c r="R182" s="25"/>
      <c r="S182" s="12"/>
      <c r="T182" s="13"/>
      <c r="U182" s="12"/>
      <c r="V182" s="25"/>
      <c r="W182" s="25"/>
      <c r="X182" s="14" t="str">
        <f aca="false">IF(OR($V182="",$W182=""),"",IF(AND($V182&gt;=Spravochnik!$H$5,$W182&gt;=Spravochnik!$H$6),"Ha","Yo'q"))</f>
        <v/>
      </c>
      <c r="Y182" s="13"/>
      <c r="Z182" s="13"/>
      <c r="AA182" s="13"/>
      <c r="AB182" s="13"/>
      <c r="AC182" s="14" t="str">
        <f aca="false">IF(AND($B182&lt;&gt;"",$AE182="",$AB182&lt;&gt;"",$AB182&lt;Boshqaruv!$C$12),"Ha","")</f>
        <v/>
      </c>
      <c r="AD182" s="25"/>
      <c r="AE182" s="13"/>
      <c r="AF182" s="12"/>
      <c r="AG182" s="14" t="str">
        <f aca="false">IF(OR($B182="",$C182="",$H182=""),"",IF(COUNTIFS($B$5:$B$804,$B182,$C$5:$C$804,$C182,$H$5:$H$804,$H182)&gt;1,"Takror",""))</f>
        <v/>
      </c>
      <c r="AH182" s="28" t="str">
        <f aca="false">IF(AND($B182&lt;&gt;"",$N182="Ha",$H182&lt;&gt;"",$H182&lt;=Boshqaruv!$C$12,OR($AE182="",$AE182&gt;Boshqaruv!$C$12)),MAX($AH$4:$AH181)+1,"")</f>
        <v/>
      </c>
    </row>
    <row r="183" customFormat="false" ht="15" hidden="false" customHeight="false" outlineLevel="0" collapsed="false">
      <c r="A183" s="20" t="n">
        <v>179</v>
      </c>
      <c r="B183" s="12"/>
      <c r="C183" s="13"/>
      <c r="D183" s="24"/>
      <c r="E183" s="12"/>
      <c r="F183" s="25"/>
      <c r="G183" s="27" t="str">
        <f aca="false">IF(OR($B183="",$C183=""),"",$B183&amp;" ("&amp;DAY($C183)&amp;"."&amp;MONTH($C183)&amp;"."&amp;YEAR($C183)&amp;")")</f>
        <v/>
      </c>
      <c r="H183" s="13"/>
      <c r="I183" s="13"/>
      <c r="J183" s="15" t="str">
        <f aca="false">IF($I183="","",$I183+280)</f>
        <v/>
      </c>
      <c r="K183" s="14" t="str">
        <f aca="false">IF(OR($I183="",$AE183&lt;&gt;""),"",INT((Boshqaruv!$C$12-$I183)/7))</f>
        <v/>
      </c>
      <c r="L183" s="14" t="str">
        <f aca="false">IF(OR($C183="",$H183=""),"",INT(($H183-$C183)/365.25))</f>
        <v/>
      </c>
      <c r="M183" s="14" t="str">
        <f aca="false">IF($L183="","",IF($L183&lt;18,"Ha","Yo'q"))</f>
        <v/>
      </c>
      <c r="N183" s="25"/>
      <c r="O183" s="25"/>
      <c r="P183" s="25"/>
      <c r="Q183" s="12"/>
      <c r="R183" s="25"/>
      <c r="S183" s="12"/>
      <c r="T183" s="13"/>
      <c r="U183" s="12"/>
      <c r="V183" s="25"/>
      <c r="W183" s="25"/>
      <c r="X183" s="14" t="str">
        <f aca="false">IF(OR($V183="",$W183=""),"",IF(AND($V183&gt;=Spravochnik!$H$5,$W183&gt;=Spravochnik!$H$6),"Ha","Yo'q"))</f>
        <v/>
      </c>
      <c r="Y183" s="13"/>
      <c r="Z183" s="13"/>
      <c r="AA183" s="13"/>
      <c r="AB183" s="13"/>
      <c r="AC183" s="14" t="str">
        <f aca="false">IF(AND($B183&lt;&gt;"",$AE183="",$AB183&lt;&gt;"",$AB183&lt;Boshqaruv!$C$12),"Ha","")</f>
        <v/>
      </c>
      <c r="AD183" s="25"/>
      <c r="AE183" s="13"/>
      <c r="AF183" s="12"/>
      <c r="AG183" s="14" t="str">
        <f aca="false">IF(OR($B183="",$C183="",$H183=""),"",IF(COUNTIFS($B$5:$B$804,$B183,$C$5:$C$804,$C183,$H$5:$H$804,$H183)&gt;1,"Takror",""))</f>
        <v/>
      </c>
      <c r="AH183" s="28" t="str">
        <f aca="false">IF(AND($B183&lt;&gt;"",$N183="Ha",$H183&lt;&gt;"",$H183&lt;=Boshqaruv!$C$12,OR($AE183="",$AE183&gt;Boshqaruv!$C$12)),MAX($AH$4:$AH182)+1,"")</f>
        <v/>
      </c>
    </row>
    <row r="184" customFormat="false" ht="15" hidden="false" customHeight="false" outlineLevel="0" collapsed="false">
      <c r="A184" s="20" t="n">
        <v>180</v>
      </c>
      <c r="B184" s="12"/>
      <c r="C184" s="13"/>
      <c r="D184" s="24"/>
      <c r="E184" s="12"/>
      <c r="F184" s="25"/>
      <c r="G184" s="27" t="str">
        <f aca="false">IF(OR($B184="",$C184=""),"",$B184&amp;" ("&amp;DAY($C184)&amp;"."&amp;MONTH($C184)&amp;"."&amp;YEAR($C184)&amp;")")</f>
        <v/>
      </c>
      <c r="H184" s="13"/>
      <c r="I184" s="13"/>
      <c r="J184" s="15" t="str">
        <f aca="false">IF($I184="","",$I184+280)</f>
        <v/>
      </c>
      <c r="K184" s="14" t="str">
        <f aca="false">IF(OR($I184="",$AE184&lt;&gt;""),"",INT((Boshqaruv!$C$12-$I184)/7))</f>
        <v/>
      </c>
      <c r="L184" s="14" t="str">
        <f aca="false">IF(OR($C184="",$H184=""),"",INT(($H184-$C184)/365.25))</f>
        <v/>
      </c>
      <c r="M184" s="14" t="str">
        <f aca="false">IF($L184="","",IF($L184&lt;18,"Ha","Yo'q"))</f>
        <v/>
      </c>
      <c r="N184" s="25"/>
      <c r="O184" s="25"/>
      <c r="P184" s="25"/>
      <c r="Q184" s="12"/>
      <c r="R184" s="25"/>
      <c r="S184" s="12"/>
      <c r="T184" s="13"/>
      <c r="U184" s="12"/>
      <c r="V184" s="25"/>
      <c r="W184" s="25"/>
      <c r="X184" s="14" t="str">
        <f aca="false">IF(OR($V184="",$W184=""),"",IF(AND($V184&gt;=Spravochnik!$H$5,$W184&gt;=Spravochnik!$H$6),"Ha","Yo'q"))</f>
        <v/>
      </c>
      <c r="Y184" s="13"/>
      <c r="Z184" s="13"/>
      <c r="AA184" s="13"/>
      <c r="AB184" s="13"/>
      <c r="AC184" s="14" t="str">
        <f aca="false">IF(AND($B184&lt;&gt;"",$AE184="",$AB184&lt;&gt;"",$AB184&lt;Boshqaruv!$C$12),"Ha","")</f>
        <v/>
      </c>
      <c r="AD184" s="25"/>
      <c r="AE184" s="13"/>
      <c r="AF184" s="12"/>
      <c r="AG184" s="14" t="str">
        <f aca="false">IF(OR($B184="",$C184="",$H184=""),"",IF(COUNTIFS($B$5:$B$804,$B184,$C$5:$C$804,$C184,$H$5:$H$804,$H184)&gt;1,"Takror",""))</f>
        <v/>
      </c>
      <c r="AH184" s="28" t="str">
        <f aca="false">IF(AND($B184&lt;&gt;"",$N184="Ha",$H184&lt;&gt;"",$H184&lt;=Boshqaruv!$C$12,OR($AE184="",$AE184&gt;Boshqaruv!$C$12)),MAX($AH$4:$AH183)+1,"")</f>
        <v/>
      </c>
    </row>
    <row r="185" customFormat="false" ht="15" hidden="false" customHeight="false" outlineLevel="0" collapsed="false">
      <c r="A185" s="20" t="n">
        <v>181</v>
      </c>
      <c r="B185" s="12"/>
      <c r="C185" s="13"/>
      <c r="D185" s="24"/>
      <c r="E185" s="12"/>
      <c r="F185" s="25"/>
      <c r="G185" s="27" t="str">
        <f aca="false">IF(OR($B185="",$C185=""),"",$B185&amp;" ("&amp;DAY($C185)&amp;"."&amp;MONTH($C185)&amp;"."&amp;YEAR($C185)&amp;")")</f>
        <v/>
      </c>
      <c r="H185" s="13"/>
      <c r="I185" s="13"/>
      <c r="J185" s="15" t="str">
        <f aca="false">IF($I185="","",$I185+280)</f>
        <v/>
      </c>
      <c r="K185" s="14" t="str">
        <f aca="false">IF(OR($I185="",$AE185&lt;&gt;""),"",INT((Boshqaruv!$C$12-$I185)/7))</f>
        <v/>
      </c>
      <c r="L185" s="14" t="str">
        <f aca="false">IF(OR($C185="",$H185=""),"",INT(($H185-$C185)/365.25))</f>
        <v/>
      </c>
      <c r="M185" s="14" t="str">
        <f aca="false">IF($L185="","",IF($L185&lt;18,"Ha","Yo'q"))</f>
        <v/>
      </c>
      <c r="N185" s="25"/>
      <c r="O185" s="25"/>
      <c r="P185" s="25"/>
      <c r="Q185" s="12"/>
      <c r="R185" s="25"/>
      <c r="S185" s="12"/>
      <c r="T185" s="13"/>
      <c r="U185" s="12"/>
      <c r="V185" s="25"/>
      <c r="W185" s="25"/>
      <c r="X185" s="14" t="str">
        <f aca="false">IF(OR($V185="",$W185=""),"",IF(AND($V185&gt;=Spravochnik!$H$5,$W185&gt;=Spravochnik!$H$6),"Ha","Yo'q"))</f>
        <v/>
      </c>
      <c r="Y185" s="13"/>
      <c r="Z185" s="13"/>
      <c r="AA185" s="13"/>
      <c r="AB185" s="13"/>
      <c r="AC185" s="14" t="str">
        <f aca="false">IF(AND($B185&lt;&gt;"",$AE185="",$AB185&lt;&gt;"",$AB185&lt;Boshqaruv!$C$12),"Ha","")</f>
        <v/>
      </c>
      <c r="AD185" s="25"/>
      <c r="AE185" s="13"/>
      <c r="AF185" s="12"/>
      <c r="AG185" s="14" t="str">
        <f aca="false">IF(OR($B185="",$C185="",$H185=""),"",IF(COUNTIFS($B$5:$B$804,$B185,$C$5:$C$804,$C185,$H$5:$H$804,$H185)&gt;1,"Takror",""))</f>
        <v/>
      </c>
      <c r="AH185" s="28" t="str">
        <f aca="false">IF(AND($B185&lt;&gt;"",$N185="Ha",$H185&lt;&gt;"",$H185&lt;=Boshqaruv!$C$12,OR($AE185="",$AE185&gt;Boshqaruv!$C$12)),MAX($AH$4:$AH184)+1,"")</f>
        <v/>
      </c>
    </row>
    <row r="186" customFormat="false" ht="15" hidden="false" customHeight="false" outlineLevel="0" collapsed="false">
      <c r="A186" s="20" t="n">
        <v>182</v>
      </c>
      <c r="B186" s="12"/>
      <c r="C186" s="13"/>
      <c r="D186" s="24"/>
      <c r="E186" s="12"/>
      <c r="F186" s="25"/>
      <c r="G186" s="27" t="str">
        <f aca="false">IF(OR($B186="",$C186=""),"",$B186&amp;" ("&amp;DAY($C186)&amp;"."&amp;MONTH($C186)&amp;"."&amp;YEAR($C186)&amp;")")</f>
        <v/>
      </c>
      <c r="H186" s="13"/>
      <c r="I186" s="13"/>
      <c r="J186" s="15" t="str">
        <f aca="false">IF($I186="","",$I186+280)</f>
        <v/>
      </c>
      <c r="K186" s="14" t="str">
        <f aca="false">IF(OR($I186="",$AE186&lt;&gt;""),"",INT((Boshqaruv!$C$12-$I186)/7))</f>
        <v/>
      </c>
      <c r="L186" s="14" t="str">
        <f aca="false">IF(OR($C186="",$H186=""),"",INT(($H186-$C186)/365.25))</f>
        <v/>
      </c>
      <c r="M186" s="14" t="str">
        <f aca="false">IF($L186="","",IF($L186&lt;18,"Ha","Yo'q"))</f>
        <v/>
      </c>
      <c r="N186" s="25"/>
      <c r="O186" s="25"/>
      <c r="P186" s="25"/>
      <c r="Q186" s="12"/>
      <c r="R186" s="25"/>
      <c r="S186" s="12"/>
      <c r="T186" s="13"/>
      <c r="U186" s="12"/>
      <c r="V186" s="25"/>
      <c r="W186" s="25"/>
      <c r="X186" s="14" t="str">
        <f aca="false">IF(OR($V186="",$W186=""),"",IF(AND($V186&gt;=Spravochnik!$H$5,$W186&gt;=Spravochnik!$H$6),"Ha","Yo'q"))</f>
        <v/>
      </c>
      <c r="Y186" s="13"/>
      <c r="Z186" s="13"/>
      <c r="AA186" s="13"/>
      <c r="AB186" s="13"/>
      <c r="AC186" s="14" t="str">
        <f aca="false">IF(AND($B186&lt;&gt;"",$AE186="",$AB186&lt;&gt;"",$AB186&lt;Boshqaruv!$C$12),"Ha","")</f>
        <v/>
      </c>
      <c r="AD186" s="25"/>
      <c r="AE186" s="13"/>
      <c r="AF186" s="12"/>
      <c r="AG186" s="14" t="str">
        <f aca="false">IF(OR($B186="",$C186="",$H186=""),"",IF(COUNTIFS($B$5:$B$804,$B186,$C$5:$C$804,$C186,$H$5:$H$804,$H186)&gt;1,"Takror",""))</f>
        <v/>
      </c>
      <c r="AH186" s="28" t="str">
        <f aca="false">IF(AND($B186&lt;&gt;"",$N186="Ha",$H186&lt;&gt;"",$H186&lt;=Boshqaruv!$C$12,OR($AE186="",$AE186&gt;Boshqaruv!$C$12)),MAX($AH$4:$AH185)+1,"")</f>
        <v/>
      </c>
    </row>
    <row r="187" customFormat="false" ht="15" hidden="false" customHeight="false" outlineLevel="0" collapsed="false">
      <c r="A187" s="20" t="n">
        <v>183</v>
      </c>
      <c r="B187" s="12"/>
      <c r="C187" s="13"/>
      <c r="D187" s="24"/>
      <c r="E187" s="12"/>
      <c r="F187" s="25"/>
      <c r="G187" s="27" t="str">
        <f aca="false">IF(OR($B187="",$C187=""),"",$B187&amp;" ("&amp;DAY($C187)&amp;"."&amp;MONTH($C187)&amp;"."&amp;YEAR($C187)&amp;")")</f>
        <v/>
      </c>
      <c r="H187" s="13"/>
      <c r="I187" s="13"/>
      <c r="J187" s="15" t="str">
        <f aca="false">IF($I187="","",$I187+280)</f>
        <v/>
      </c>
      <c r="K187" s="14" t="str">
        <f aca="false">IF(OR($I187="",$AE187&lt;&gt;""),"",INT((Boshqaruv!$C$12-$I187)/7))</f>
        <v/>
      </c>
      <c r="L187" s="14" t="str">
        <f aca="false">IF(OR($C187="",$H187=""),"",INT(($H187-$C187)/365.25))</f>
        <v/>
      </c>
      <c r="M187" s="14" t="str">
        <f aca="false">IF($L187="","",IF($L187&lt;18,"Ha","Yo'q"))</f>
        <v/>
      </c>
      <c r="N187" s="25"/>
      <c r="O187" s="25"/>
      <c r="P187" s="25"/>
      <c r="Q187" s="12"/>
      <c r="R187" s="25"/>
      <c r="S187" s="12"/>
      <c r="T187" s="13"/>
      <c r="U187" s="12"/>
      <c r="V187" s="25"/>
      <c r="W187" s="25"/>
      <c r="X187" s="14" t="str">
        <f aca="false">IF(OR($V187="",$W187=""),"",IF(AND($V187&gt;=Spravochnik!$H$5,$W187&gt;=Spravochnik!$H$6),"Ha","Yo'q"))</f>
        <v/>
      </c>
      <c r="Y187" s="13"/>
      <c r="Z187" s="13"/>
      <c r="AA187" s="13"/>
      <c r="AB187" s="13"/>
      <c r="AC187" s="14" t="str">
        <f aca="false">IF(AND($B187&lt;&gt;"",$AE187="",$AB187&lt;&gt;"",$AB187&lt;Boshqaruv!$C$12),"Ha","")</f>
        <v/>
      </c>
      <c r="AD187" s="25"/>
      <c r="AE187" s="13"/>
      <c r="AF187" s="12"/>
      <c r="AG187" s="14" t="str">
        <f aca="false">IF(OR($B187="",$C187="",$H187=""),"",IF(COUNTIFS($B$5:$B$804,$B187,$C$5:$C$804,$C187,$H$5:$H$804,$H187)&gt;1,"Takror",""))</f>
        <v/>
      </c>
      <c r="AH187" s="28" t="str">
        <f aca="false">IF(AND($B187&lt;&gt;"",$N187="Ha",$H187&lt;&gt;"",$H187&lt;=Boshqaruv!$C$12,OR($AE187="",$AE187&gt;Boshqaruv!$C$12)),MAX($AH$4:$AH186)+1,"")</f>
        <v/>
      </c>
    </row>
    <row r="188" customFormat="false" ht="15" hidden="false" customHeight="false" outlineLevel="0" collapsed="false">
      <c r="A188" s="20" t="n">
        <v>184</v>
      </c>
      <c r="B188" s="12"/>
      <c r="C188" s="13"/>
      <c r="D188" s="24"/>
      <c r="E188" s="12"/>
      <c r="F188" s="25"/>
      <c r="G188" s="27" t="str">
        <f aca="false">IF(OR($B188="",$C188=""),"",$B188&amp;" ("&amp;DAY($C188)&amp;"."&amp;MONTH($C188)&amp;"."&amp;YEAR($C188)&amp;")")</f>
        <v/>
      </c>
      <c r="H188" s="13"/>
      <c r="I188" s="13"/>
      <c r="J188" s="15" t="str">
        <f aca="false">IF($I188="","",$I188+280)</f>
        <v/>
      </c>
      <c r="K188" s="14" t="str">
        <f aca="false">IF(OR($I188="",$AE188&lt;&gt;""),"",INT((Boshqaruv!$C$12-$I188)/7))</f>
        <v/>
      </c>
      <c r="L188" s="14" t="str">
        <f aca="false">IF(OR($C188="",$H188=""),"",INT(($H188-$C188)/365.25))</f>
        <v/>
      </c>
      <c r="M188" s="14" t="str">
        <f aca="false">IF($L188="","",IF($L188&lt;18,"Ha","Yo'q"))</f>
        <v/>
      </c>
      <c r="N188" s="25"/>
      <c r="O188" s="25"/>
      <c r="P188" s="25"/>
      <c r="Q188" s="12"/>
      <c r="R188" s="25"/>
      <c r="S188" s="12"/>
      <c r="T188" s="13"/>
      <c r="U188" s="12"/>
      <c r="V188" s="25"/>
      <c r="W188" s="25"/>
      <c r="X188" s="14" t="str">
        <f aca="false">IF(OR($V188="",$W188=""),"",IF(AND($V188&gt;=Spravochnik!$H$5,$W188&gt;=Spravochnik!$H$6),"Ha","Yo'q"))</f>
        <v/>
      </c>
      <c r="Y188" s="13"/>
      <c r="Z188" s="13"/>
      <c r="AA188" s="13"/>
      <c r="AB188" s="13"/>
      <c r="AC188" s="14" t="str">
        <f aca="false">IF(AND($B188&lt;&gt;"",$AE188="",$AB188&lt;&gt;"",$AB188&lt;Boshqaruv!$C$12),"Ha","")</f>
        <v/>
      </c>
      <c r="AD188" s="25"/>
      <c r="AE188" s="13"/>
      <c r="AF188" s="12"/>
      <c r="AG188" s="14" t="str">
        <f aca="false">IF(OR($B188="",$C188="",$H188=""),"",IF(COUNTIFS($B$5:$B$804,$B188,$C$5:$C$804,$C188,$H$5:$H$804,$H188)&gt;1,"Takror",""))</f>
        <v/>
      </c>
      <c r="AH188" s="28" t="str">
        <f aca="false">IF(AND($B188&lt;&gt;"",$N188="Ha",$H188&lt;&gt;"",$H188&lt;=Boshqaruv!$C$12,OR($AE188="",$AE188&gt;Boshqaruv!$C$12)),MAX($AH$4:$AH187)+1,"")</f>
        <v/>
      </c>
    </row>
    <row r="189" customFormat="false" ht="15" hidden="false" customHeight="false" outlineLevel="0" collapsed="false">
      <c r="A189" s="20" t="n">
        <v>185</v>
      </c>
      <c r="B189" s="12"/>
      <c r="C189" s="13"/>
      <c r="D189" s="24"/>
      <c r="E189" s="12"/>
      <c r="F189" s="25"/>
      <c r="G189" s="27" t="str">
        <f aca="false">IF(OR($B189="",$C189=""),"",$B189&amp;" ("&amp;DAY($C189)&amp;"."&amp;MONTH($C189)&amp;"."&amp;YEAR($C189)&amp;")")</f>
        <v/>
      </c>
      <c r="H189" s="13"/>
      <c r="I189" s="13"/>
      <c r="J189" s="15" t="str">
        <f aca="false">IF($I189="","",$I189+280)</f>
        <v/>
      </c>
      <c r="K189" s="14" t="str">
        <f aca="false">IF(OR($I189="",$AE189&lt;&gt;""),"",INT((Boshqaruv!$C$12-$I189)/7))</f>
        <v/>
      </c>
      <c r="L189" s="14" t="str">
        <f aca="false">IF(OR($C189="",$H189=""),"",INT(($H189-$C189)/365.25))</f>
        <v/>
      </c>
      <c r="M189" s="14" t="str">
        <f aca="false">IF($L189="","",IF($L189&lt;18,"Ha","Yo'q"))</f>
        <v/>
      </c>
      <c r="N189" s="25"/>
      <c r="O189" s="25"/>
      <c r="P189" s="25"/>
      <c r="Q189" s="12"/>
      <c r="R189" s="25"/>
      <c r="S189" s="12"/>
      <c r="T189" s="13"/>
      <c r="U189" s="12"/>
      <c r="V189" s="25"/>
      <c r="W189" s="25"/>
      <c r="X189" s="14" t="str">
        <f aca="false">IF(OR($V189="",$W189=""),"",IF(AND($V189&gt;=Spravochnik!$H$5,$W189&gt;=Spravochnik!$H$6),"Ha","Yo'q"))</f>
        <v/>
      </c>
      <c r="Y189" s="13"/>
      <c r="Z189" s="13"/>
      <c r="AA189" s="13"/>
      <c r="AB189" s="13"/>
      <c r="AC189" s="14" t="str">
        <f aca="false">IF(AND($B189&lt;&gt;"",$AE189="",$AB189&lt;&gt;"",$AB189&lt;Boshqaruv!$C$12),"Ha","")</f>
        <v/>
      </c>
      <c r="AD189" s="25"/>
      <c r="AE189" s="13"/>
      <c r="AF189" s="12"/>
      <c r="AG189" s="14" t="str">
        <f aca="false">IF(OR($B189="",$C189="",$H189=""),"",IF(COUNTIFS($B$5:$B$804,$B189,$C$5:$C$804,$C189,$H$5:$H$804,$H189)&gt;1,"Takror",""))</f>
        <v/>
      </c>
      <c r="AH189" s="28" t="str">
        <f aca="false">IF(AND($B189&lt;&gt;"",$N189="Ha",$H189&lt;&gt;"",$H189&lt;=Boshqaruv!$C$12,OR($AE189="",$AE189&gt;Boshqaruv!$C$12)),MAX($AH$4:$AH188)+1,"")</f>
        <v/>
      </c>
    </row>
    <row r="190" customFormat="false" ht="15" hidden="false" customHeight="false" outlineLevel="0" collapsed="false">
      <c r="A190" s="20" t="n">
        <v>186</v>
      </c>
      <c r="B190" s="12"/>
      <c r="C190" s="13"/>
      <c r="D190" s="24"/>
      <c r="E190" s="12"/>
      <c r="F190" s="25"/>
      <c r="G190" s="27" t="str">
        <f aca="false">IF(OR($B190="",$C190=""),"",$B190&amp;" ("&amp;DAY($C190)&amp;"."&amp;MONTH($C190)&amp;"."&amp;YEAR($C190)&amp;")")</f>
        <v/>
      </c>
      <c r="H190" s="13"/>
      <c r="I190" s="13"/>
      <c r="J190" s="15" t="str">
        <f aca="false">IF($I190="","",$I190+280)</f>
        <v/>
      </c>
      <c r="K190" s="14" t="str">
        <f aca="false">IF(OR($I190="",$AE190&lt;&gt;""),"",INT((Boshqaruv!$C$12-$I190)/7))</f>
        <v/>
      </c>
      <c r="L190" s="14" t="str">
        <f aca="false">IF(OR($C190="",$H190=""),"",INT(($H190-$C190)/365.25))</f>
        <v/>
      </c>
      <c r="M190" s="14" t="str">
        <f aca="false">IF($L190="","",IF($L190&lt;18,"Ha","Yo'q"))</f>
        <v/>
      </c>
      <c r="N190" s="25"/>
      <c r="O190" s="25"/>
      <c r="P190" s="25"/>
      <c r="Q190" s="12"/>
      <c r="R190" s="25"/>
      <c r="S190" s="12"/>
      <c r="T190" s="13"/>
      <c r="U190" s="12"/>
      <c r="V190" s="25"/>
      <c r="W190" s="25"/>
      <c r="X190" s="14" t="str">
        <f aca="false">IF(OR($V190="",$W190=""),"",IF(AND($V190&gt;=Spravochnik!$H$5,$W190&gt;=Spravochnik!$H$6),"Ha","Yo'q"))</f>
        <v/>
      </c>
      <c r="Y190" s="13"/>
      <c r="Z190" s="13"/>
      <c r="AA190" s="13"/>
      <c r="AB190" s="13"/>
      <c r="AC190" s="14" t="str">
        <f aca="false">IF(AND($B190&lt;&gt;"",$AE190="",$AB190&lt;&gt;"",$AB190&lt;Boshqaruv!$C$12),"Ha","")</f>
        <v/>
      </c>
      <c r="AD190" s="25"/>
      <c r="AE190" s="13"/>
      <c r="AF190" s="12"/>
      <c r="AG190" s="14" t="str">
        <f aca="false">IF(OR($B190="",$C190="",$H190=""),"",IF(COUNTIFS($B$5:$B$804,$B190,$C$5:$C$804,$C190,$H$5:$H$804,$H190)&gt;1,"Takror",""))</f>
        <v/>
      </c>
      <c r="AH190" s="28" t="str">
        <f aca="false">IF(AND($B190&lt;&gt;"",$N190="Ha",$H190&lt;&gt;"",$H190&lt;=Boshqaruv!$C$12,OR($AE190="",$AE190&gt;Boshqaruv!$C$12)),MAX($AH$4:$AH189)+1,"")</f>
        <v/>
      </c>
    </row>
    <row r="191" customFormat="false" ht="15" hidden="false" customHeight="false" outlineLevel="0" collapsed="false">
      <c r="A191" s="20" t="n">
        <v>187</v>
      </c>
      <c r="B191" s="12"/>
      <c r="C191" s="13"/>
      <c r="D191" s="24"/>
      <c r="E191" s="12"/>
      <c r="F191" s="25"/>
      <c r="G191" s="27" t="str">
        <f aca="false">IF(OR($B191="",$C191=""),"",$B191&amp;" ("&amp;DAY($C191)&amp;"."&amp;MONTH($C191)&amp;"."&amp;YEAR($C191)&amp;")")</f>
        <v/>
      </c>
      <c r="H191" s="13"/>
      <c r="I191" s="13"/>
      <c r="J191" s="15" t="str">
        <f aca="false">IF($I191="","",$I191+280)</f>
        <v/>
      </c>
      <c r="K191" s="14" t="str">
        <f aca="false">IF(OR($I191="",$AE191&lt;&gt;""),"",INT((Boshqaruv!$C$12-$I191)/7))</f>
        <v/>
      </c>
      <c r="L191" s="14" t="str">
        <f aca="false">IF(OR($C191="",$H191=""),"",INT(($H191-$C191)/365.25))</f>
        <v/>
      </c>
      <c r="M191" s="14" t="str">
        <f aca="false">IF($L191="","",IF($L191&lt;18,"Ha","Yo'q"))</f>
        <v/>
      </c>
      <c r="N191" s="25"/>
      <c r="O191" s="25"/>
      <c r="P191" s="25"/>
      <c r="Q191" s="12"/>
      <c r="R191" s="25"/>
      <c r="S191" s="12"/>
      <c r="T191" s="13"/>
      <c r="U191" s="12"/>
      <c r="V191" s="25"/>
      <c r="W191" s="25"/>
      <c r="X191" s="14" t="str">
        <f aca="false">IF(OR($V191="",$W191=""),"",IF(AND($V191&gt;=Spravochnik!$H$5,$W191&gt;=Spravochnik!$H$6),"Ha","Yo'q"))</f>
        <v/>
      </c>
      <c r="Y191" s="13"/>
      <c r="Z191" s="13"/>
      <c r="AA191" s="13"/>
      <c r="AB191" s="13"/>
      <c r="AC191" s="14" t="str">
        <f aca="false">IF(AND($B191&lt;&gt;"",$AE191="",$AB191&lt;&gt;"",$AB191&lt;Boshqaruv!$C$12),"Ha","")</f>
        <v/>
      </c>
      <c r="AD191" s="25"/>
      <c r="AE191" s="13"/>
      <c r="AF191" s="12"/>
      <c r="AG191" s="14" t="str">
        <f aca="false">IF(OR($B191="",$C191="",$H191=""),"",IF(COUNTIFS($B$5:$B$804,$B191,$C$5:$C$804,$C191,$H$5:$H$804,$H191)&gt;1,"Takror",""))</f>
        <v/>
      </c>
      <c r="AH191" s="28" t="str">
        <f aca="false">IF(AND($B191&lt;&gt;"",$N191="Ha",$H191&lt;&gt;"",$H191&lt;=Boshqaruv!$C$12,OR($AE191="",$AE191&gt;Boshqaruv!$C$12)),MAX($AH$4:$AH190)+1,"")</f>
        <v/>
      </c>
    </row>
    <row r="192" customFormat="false" ht="15" hidden="false" customHeight="false" outlineLevel="0" collapsed="false">
      <c r="A192" s="20" t="n">
        <v>188</v>
      </c>
      <c r="B192" s="12"/>
      <c r="C192" s="13"/>
      <c r="D192" s="24"/>
      <c r="E192" s="12"/>
      <c r="F192" s="25"/>
      <c r="G192" s="27" t="str">
        <f aca="false">IF(OR($B192="",$C192=""),"",$B192&amp;" ("&amp;DAY($C192)&amp;"."&amp;MONTH($C192)&amp;"."&amp;YEAR($C192)&amp;")")</f>
        <v/>
      </c>
      <c r="H192" s="13"/>
      <c r="I192" s="13"/>
      <c r="J192" s="15" t="str">
        <f aca="false">IF($I192="","",$I192+280)</f>
        <v/>
      </c>
      <c r="K192" s="14" t="str">
        <f aca="false">IF(OR($I192="",$AE192&lt;&gt;""),"",INT((Boshqaruv!$C$12-$I192)/7))</f>
        <v/>
      </c>
      <c r="L192" s="14" t="str">
        <f aca="false">IF(OR($C192="",$H192=""),"",INT(($H192-$C192)/365.25))</f>
        <v/>
      </c>
      <c r="M192" s="14" t="str">
        <f aca="false">IF($L192="","",IF($L192&lt;18,"Ha","Yo'q"))</f>
        <v/>
      </c>
      <c r="N192" s="25"/>
      <c r="O192" s="25"/>
      <c r="P192" s="25"/>
      <c r="Q192" s="12"/>
      <c r="R192" s="25"/>
      <c r="S192" s="12"/>
      <c r="T192" s="13"/>
      <c r="U192" s="12"/>
      <c r="V192" s="25"/>
      <c r="W192" s="25"/>
      <c r="X192" s="14" t="str">
        <f aca="false">IF(OR($V192="",$W192=""),"",IF(AND($V192&gt;=Spravochnik!$H$5,$W192&gt;=Spravochnik!$H$6),"Ha","Yo'q"))</f>
        <v/>
      </c>
      <c r="Y192" s="13"/>
      <c r="Z192" s="13"/>
      <c r="AA192" s="13"/>
      <c r="AB192" s="13"/>
      <c r="AC192" s="14" t="str">
        <f aca="false">IF(AND($B192&lt;&gt;"",$AE192="",$AB192&lt;&gt;"",$AB192&lt;Boshqaruv!$C$12),"Ha","")</f>
        <v/>
      </c>
      <c r="AD192" s="25"/>
      <c r="AE192" s="13"/>
      <c r="AF192" s="12"/>
      <c r="AG192" s="14" t="str">
        <f aca="false">IF(OR($B192="",$C192="",$H192=""),"",IF(COUNTIFS($B$5:$B$804,$B192,$C$5:$C$804,$C192,$H$5:$H$804,$H192)&gt;1,"Takror",""))</f>
        <v/>
      </c>
      <c r="AH192" s="28" t="str">
        <f aca="false">IF(AND($B192&lt;&gt;"",$N192="Ha",$H192&lt;&gt;"",$H192&lt;=Boshqaruv!$C$12,OR($AE192="",$AE192&gt;Boshqaruv!$C$12)),MAX($AH$4:$AH191)+1,"")</f>
        <v/>
      </c>
    </row>
    <row r="193" customFormat="false" ht="15" hidden="false" customHeight="false" outlineLevel="0" collapsed="false">
      <c r="A193" s="20" t="n">
        <v>189</v>
      </c>
      <c r="B193" s="12"/>
      <c r="C193" s="13"/>
      <c r="D193" s="24"/>
      <c r="E193" s="12"/>
      <c r="F193" s="25"/>
      <c r="G193" s="27" t="str">
        <f aca="false">IF(OR($B193="",$C193=""),"",$B193&amp;" ("&amp;DAY($C193)&amp;"."&amp;MONTH($C193)&amp;"."&amp;YEAR($C193)&amp;")")</f>
        <v/>
      </c>
      <c r="H193" s="13"/>
      <c r="I193" s="13"/>
      <c r="J193" s="15" t="str">
        <f aca="false">IF($I193="","",$I193+280)</f>
        <v/>
      </c>
      <c r="K193" s="14" t="str">
        <f aca="false">IF(OR($I193="",$AE193&lt;&gt;""),"",INT((Boshqaruv!$C$12-$I193)/7))</f>
        <v/>
      </c>
      <c r="L193" s="14" t="str">
        <f aca="false">IF(OR($C193="",$H193=""),"",INT(($H193-$C193)/365.25))</f>
        <v/>
      </c>
      <c r="M193" s="14" t="str">
        <f aca="false">IF($L193="","",IF($L193&lt;18,"Ha","Yo'q"))</f>
        <v/>
      </c>
      <c r="N193" s="25"/>
      <c r="O193" s="25"/>
      <c r="P193" s="25"/>
      <c r="Q193" s="12"/>
      <c r="R193" s="25"/>
      <c r="S193" s="12"/>
      <c r="T193" s="13"/>
      <c r="U193" s="12"/>
      <c r="V193" s="25"/>
      <c r="W193" s="25"/>
      <c r="X193" s="14" t="str">
        <f aca="false">IF(OR($V193="",$W193=""),"",IF(AND($V193&gt;=Spravochnik!$H$5,$W193&gt;=Spravochnik!$H$6),"Ha","Yo'q"))</f>
        <v/>
      </c>
      <c r="Y193" s="13"/>
      <c r="Z193" s="13"/>
      <c r="AA193" s="13"/>
      <c r="AB193" s="13"/>
      <c r="AC193" s="14" t="str">
        <f aca="false">IF(AND($B193&lt;&gt;"",$AE193="",$AB193&lt;&gt;"",$AB193&lt;Boshqaruv!$C$12),"Ha","")</f>
        <v/>
      </c>
      <c r="AD193" s="25"/>
      <c r="AE193" s="13"/>
      <c r="AF193" s="12"/>
      <c r="AG193" s="14" t="str">
        <f aca="false">IF(OR($B193="",$C193="",$H193=""),"",IF(COUNTIFS($B$5:$B$804,$B193,$C$5:$C$804,$C193,$H$5:$H$804,$H193)&gt;1,"Takror",""))</f>
        <v/>
      </c>
      <c r="AH193" s="28" t="str">
        <f aca="false">IF(AND($B193&lt;&gt;"",$N193="Ha",$H193&lt;&gt;"",$H193&lt;=Boshqaruv!$C$12,OR($AE193="",$AE193&gt;Boshqaruv!$C$12)),MAX($AH$4:$AH192)+1,"")</f>
        <v/>
      </c>
    </row>
    <row r="194" customFormat="false" ht="15" hidden="false" customHeight="false" outlineLevel="0" collapsed="false">
      <c r="A194" s="20" t="n">
        <v>190</v>
      </c>
      <c r="B194" s="12"/>
      <c r="C194" s="13"/>
      <c r="D194" s="24"/>
      <c r="E194" s="12"/>
      <c r="F194" s="25"/>
      <c r="G194" s="27" t="str">
        <f aca="false">IF(OR($B194="",$C194=""),"",$B194&amp;" ("&amp;DAY($C194)&amp;"."&amp;MONTH($C194)&amp;"."&amp;YEAR($C194)&amp;")")</f>
        <v/>
      </c>
      <c r="H194" s="13"/>
      <c r="I194" s="13"/>
      <c r="J194" s="15" t="str">
        <f aca="false">IF($I194="","",$I194+280)</f>
        <v/>
      </c>
      <c r="K194" s="14" t="str">
        <f aca="false">IF(OR($I194="",$AE194&lt;&gt;""),"",INT((Boshqaruv!$C$12-$I194)/7))</f>
        <v/>
      </c>
      <c r="L194" s="14" t="str">
        <f aca="false">IF(OR($C194="",$H194=""),"",INT(($H194-$C194)/365.25))</f>
        <v/>
      </c>
      <c r="M194" s="14" t="str">
        <f aca="false">IF($L194="","",IF($L194&lt;18,"Ha","Yo'q"))</f>
        <v/>
      </c>
      <c r="N194" s="25"/>
      <c r="O194" s="25"/>
      <c r="P194" s="25"/>
      <c r="Q194" s="12"/>
      <c r="R194" s="25"/>
      <c r="S194" s="12"/>
      <c r="T194" s="13"/>
      <c r="U194" s="12"/>
      <c r="V194" s="25"/>
      <c r="W194" s="25"/>
      <c r="X194" s="14" t="str">
        <f aca="false">IF(OR($V194="",$W194=""),"",IF(AND($V194&gt;=Spravochnik!$H$5,$W194&gt;=Spravochnik!$H$6),"Ha","Yo'q"))</f>
        <v/>
      </c>
      <c r="Y194" s="13"/>
      <c r="Z194" s="13"/>
      <c r="AA194" s="13"/>
      <c r="AB194" s="13"/>
      <c r="AC194" s="14" t="str">
        <f aca="false">IF(AND($B194&lt;&gt;"",$AE194="",$AB194&lt;&gt;"",$AB194&lt;Boshqaruv!$C$12),"Ha","")</f>
        <v/>
      </c>
      <c r="AD194" s="25"/>
      <c r="AE194" s="13"/>
      <c r="AF194" s="12"/>
      <c r="AG194" s="14" t="str">
        <f aca="false">IF(OR($B194="",$C194="",$H194=""),"",IF(COUNTIFS($B$5:$B$804,$B194,$C$5:$C$804,$C194,$H$5:$H$804,$H194)&gt;1,"Takror",""))</f>
        <v/>
      </c>
      <c r="AH194" s="28" t="str">
        <f aca="false">IF(AND($B194&lt;&gt;"",$N194="Ha",$H194&lt;&gt;"",$H194&lt;=Boshqaruv!$C$12,OR($AE194="",$AE194&gt;Boshqaruv!$C$12)),MAX($AH$4:$AH193)+1,"")</f>
        <v/>
      </c>
    </row>
    <row r="195" customFormat="false" ht="15" hidden="false" customHeight="false" outlineLevel="0" collapsed="false">
      <c r="A195" s="20" t="n">
        <v>191</v>
      </c>
      <c r="B195" s="12"/>
      <c r="C195" s="13"/>
      <c r="D195" s="24"/>
      <c r="E195" s="12"/>
      <c r="F195" s="25"/>
      <c r="G195" s="27" t="str">
        <f aca="false">IF(OR($B195="",$C195=""),"",$B195&amp;" ("&amp;DAY($C195)&amp;"."&amp;MONTH($C195)&amp;"."&amp;YEAR($C195)&amp;")")</f>
        <v/>
      </c>
      <c r="H195" s="13"/>
      <c r="I195" s="13"/>
      <c r="J195" s="15" t="str">
        <f aca="false">IF($I195="","",$I195+280)</f>
        <v/>
      </c>
      <c r="K195" s="14" t="str">
        <f aca="false">IF(OR($I195="",$AE195&lt;&gt;""),"",INT((Boshqaruv!$C$12-$I195)/7))</f>
        <v/>
      </c>
      <c r="L195" s="14" t="str">
        <f aca="false">IF(OR($C195="",$H195=""),"",INT(($H195-$C195)/365.25))</f>
        <v/>
      </c>
      <c r="M195" s="14" t="str">
        <f aca="false">IF($L195="","",IF($L195&lt;18,"Ha","Yo'q"))</f>
        <v/>
      </c>
      <c r="N195" s="25"/>
      <c r="O195" s="25"/>
      <c r="P195" s="25"/>
      <c r="Q195" s="12"/>
      <c r="R195" s="25"/>
      <c r="S195" s="12"/>
      <c r="T195" s="13"/>
      <c r="U195" s="12"/>
      <c r="V195" s="25"/>
      <c r="W195" s="25"/>
      <c r="X195" s="14" t="str">
        <f aca="false">IF(OR($V195="",$W195=""),"",IF(AND($V195&gt;=Spravochnik!$H$5,$W195&gt;=Spravochnik!$H$6),"Ha","Yo'q"))</f>
        <v/>
      </c>
      <c r="Y195" s="13"/>
      <c r="Z195" s="13"/>
      <c r="AA195" s="13"/>
      <c r="AB195" s="13"/>
      <c r="AC195" s="14" t="str">
        <f aca="false">IF(AND($B195&lt;&gt;"",$AE195="",$AB195&lt;&gt;"",$AB195&lt;Boshqaruv!$C$12),"Ha","")</f>
        <v/>
      </c>
      <c r="AD195" s="25"/>
      <c r="AE195" s="13"/>
      <c r="AF195" s="12"/>
      <c r="AG195" s="14" t="str">
        <f aca="false">IF(OR($B195="",$C195="",$H195=""),"",IF(COUNTIFS($B$5:$B$804,$B195,$C$5:$C$804,$C195,$H$5:$H$804,$H195)&gt;1,"Takror",""))</f>
        <v/>
      </c>
      <c r="AH195" s="28" t="str">
        <f aca="false">IF(AND($B195&lt;&gt;"",$N195="Ha",$H195&lt;&gt;"",$H195&lt;=Boshqaruv!$C$12,OR($AE195="",$AE195&gt;Boshqaruv!$C$12)),MAX($AH$4:$AH194)+1,"")</f>
        <v/>
      </c>
    </row>
    <row r="196" customFormat="false" ht="15" hidden="false" customHeight="false" outlineLevel="0" collapsed="false">
      <c r="A196" s="20" t="n">
        <v>192</v>
      </c>
      <c r="B196" s="12"/>
      <c r="C196" s="13"/>
      <c r="D196" s="24"/>
      <c r="E196" s="12"/>
      <c r="F196" s="25"/>
      <c r="G196" s="27" t="str">
        <f aca="false">IF(OR($B196="",$C196=""),"",$B196&amp;" ("&amp;DAY($C196)&amp;"."&amp;MONTH($C196)&amp;"."&amp;YEAR($C196)&amp;")")</f>
        <v/>
      </c>
      <c r="H196" s="13"/>
      <c r="I196" s="13"/>
      <c r="J196" s="15" t="str">
        <f aca="false">IF($I196="","",$I196+280)</f>
        <v/>
      </c>
      <c r="K196" s="14" t="str">
        <f aca="false">IF(OR($I196="",$AE196&lt;&gt;""),"",INT((Boshqaruv!$C$12-$I196)/7))</f>
        <v/>
      </c>
      <c r="L196" s="14" t="str">
        <f aca="false">IF(OR($C196="",$H196=""),"",INT(($H196-$C196)/365.25))</f>
        <v/>
      </c>
      <c r="M196" s="14" t="str">
        <f aca="false">IF($L196="","",IF($L196&lt;18,"Ha","Yo'q"))</f>
        <v/>
      </c>
      <c r="N196" s="25"/>
      <c r="O196" s="25"/>
      <c r="P196" s="25"/>
      <c r="Q196" s="12"/>
      <c r="R196" s="25"/>
      <c r="S196" s="12"/>
      <c r="T196" s="13"/>
      <c r="U196" s="12"/>
      <c r="V196" s="25"/>
      <c r="W196" s="25"/>
      <c r="X196" s="14" t="str">
        <f aca="false">IF(OR($V196="",$W196=""),"",IF(AND($V196&gt;=Spravochnik!$H$5,$W196&gt;=Spravochnik!$H$6),"Ha","Yo'q"))</f>
        <v/>
      </c>
      <c r="Y196" s="13"/>
      <c r="Z196" s="13"/>
      <c r="AA196" s="13"/>
      <c r="AB196" s="13"/>
      <c r="AC196" s="14" t="str">
        <f aca="false">IF(AND($B196&lt;&gt;"",$AE196="",$AB196&lt;&gt;"",$AB196&lt;Boshqaruv!$C$12),"Ha","")</f>
        <v/>
      </c>
      <c r="AD196" s="25"/>
      <c r="AE196" s="13"/>
      <c r="AF196" s="12"/>
      <c r="AG196" s="14" t="str">
        <f aca="false">IF(OR($B196="",$C196="",$H196=""),"",IF(COUNTIFS($B$5:$B$804,$B196,$C$5:$C$804,$C196,$H$5:$H$804,$H196)&gt;1,"Takror",""))</f>
        <v/>
      </c>
      <c r="AH196" s="28" t="str">
        <f aca="false">IF(AND($B196&lt;&gt;"",$N196="Ha",$H196&lt;&gt;"",$H196&lt;=Boshqaruv!$C$12,OR($AE196="",$AE196&gt;Boshqaruv!$C$12)),MAX($AH$4:$AH195)+1,"")</f>
        <v/>
      </c>
    </row>
    <row r="197" customFormat="false" ht="15" hidden="false" customHeight="false" outlineLevel="0" collapsed="false">
      <c r="A197" s="20" t="n">
        <v>193</v>
      </c>
      <c r="B197" s="12"/>
      <c r="C197" s="13"/>
      <c r="D197" s="24"/>
      <c r="E197" s="12"/>
      <c r="F197" s="25"/>
      <c r="G197" s="27" t="str">
        <f aca="false">IF(OR($B197="",$C197=""),"",$B197&amp;" ("&amp;DAY($C197)&amp;"."&amp;MONTH($C197)&amp;"."&amp;YEAR($C197)&amp;")")</f>
        <v/>
      </c>
      <c r="H197" s="13"/>
      <c r="I197" s="13"/>
      <c r="J197" s="15" t="str">
        <f aca="false">IF($I197="","",$I197+280)</f>
        <v/>
      </c>
      <c r="K197" s="14" t="str">
        <f aca="false">IF(OR($I197="",$AE197&lt;&gt;""),"",INT((Boshqaruv!$C$12-$I197)/7))</f>
        <v/>
      </c>
      <c r="L197" s="14" t="str">
        <f aca="false">IF(OR($C197="",$H197=""),"",INT(($H197-$C197)/365.25))</f>
        <v/>
      </c>
      <c r="M197" s="14" t="str">
        <f aca="false">IF($L197="","",IF($L197&lt;18,"Ha","Yo'q"))</f>
        <v/>
      </c>
      <c r="N197" s="25"/>
      <c r="O197" s="25"/>
      <c r="P197" s="25"/>
      <c r="Q197" s="12"/>
      <c r="R197" s="25"/>
      <c r="S197" s="12"/>
      <c r="T197" s="13"/>
      <c r="U197" s="12"/>
      <c r="V197" s="25"/>
      <c r="W197" s="25"/>
      <c r="X197" s="14" t="str">
        <f aca="false">IF(OR($V197="",$W197=""),"",IF(AND($V197&gt;=Spravochnik!$H$5,$W197&gt;=Spravochnik!$H$6),"Ha","Yo'q"))</f>
        <v/>
      </c>
      <c r="Y197" s="13"/>
      <c r="Z197" s="13"/>
      <c r="AA197" s="13"/>
      <c r="AB197" s="13"/>
      <c r="AC197" s="14" t="str">
        <f aca="false">IF(AND($B197&lt;&gt;"",$AE197="",$AB197&lt;&gt;"",$AB197&lt;Boshqaruv!$C$12),"Ha","")</f>
        <v/>
      </c>
      <c r="AD197" s="25"/>
      <c r="AE197" s="13"/>
      <c r="AF197" s="12"/>
      <c r="AG197" s="14" t="str">
        <f aca="false">IF(OR($B197="",$C197="",$H197=""),"",IF(COUNTIFS($B$5:$B$804,$B197,$C$5:$C$804,$C197,$H$5:$H$804,$H197)&gt;1,"Takror",""))</f>
        <v/>
      </c>
      <c r="AH197" s="28" t="str">
        <f aca="false">IF(AND($B197&lt;&gt;"",$N197="Ha",$H197&lt;&gt;"",$H197&lt;=Boshqaruv!$C$12,OR($AE197="",$AE197&gt;Boshqaruv!$C$12)),MAX($AH$4:$AH196)+1,"")</f>
        <v/>
      </c>
    </row>
    <row r="198" customFormat="false" ht="15" hidden="false" customHeight="false" outlineLevel="0" collapsed="false">
      <c r="A198" s="20" t="n">
        <v>194</v>
      </c>
      <c r="B198" s="12"/>
      <c r="C198" s="13"/>
      <c r="D198" s="24"/>
      <c r="E198" s="12"/>
      <c r="F198" s="25"/>
      <c r="G198" s="27" t="str">
        <f aca="false">IF(OR($B198="",$C198=""),"",$B198&amp;" ("&amp;DAY($C198)&amp;"."&amp;MONTH($C198)&amp;"."&amp;YEAR($C198)&amp;")")</f>
        <v/>
      </c>
      <c r="H198" s="13"/>
      <c r="I198" s="13"/>
      <c r="J198" s="15" t="str">
        <f aca="false">IF($I198="","",$I198+280)</f>
        <v/>
      </c>
      <c r="K198" s="14" t="str">
        <f aca="false">IF(OR($I198="",$AE198&lt;&gt;""),"",INT((Boshqaruv!$C$12-$I198)/7))</f>
        <v/>
      </c>
      <c r="L198" s="14" t="str">
        <f aca="false">IF(OR($C198="",$H198=""),"",INT(($H198-$C198)/365.25))</f>
        <v/>
      </c>
      <c r="M198" s="14" t="str">
        <f aca="false">IF($L198="","",IF($L198&lt;18,"Ha","Yo'q"))</f>
        <v/>
      </c>
      <c r="N198" s="25"/>
      <c r="O198" s="25"/>
      <c r="P198" s="25"/>
      <c r="Q198" s="12"/>
      <c r="R198" s="25"/>
      <c r="S198" s="12"/>
      <c r="T198" s="13"/>
      <c r="U198" s="12"/>
      <c r="V198" s="25"/>
      <c r="W198" s="25"/>
      <c r="X198" s="14" t="str">
        <f aca="false">IF(OR($V198="",$W198=""),"",IF(AND($V198&gt;=Spravochnik!$H$5,$W198&gt;=Spravochnik!$H$6),"Ha","Yo'q"))</f>
        <v/>
      </c>
      <c r="Y198" s="13"/>
      <c r="Z198" s="13"/>
      <c r="AA198" s="13"/>
      <c r="AB198" s="13"/>
      <c r="AC198" s="14" t="str">
        <f aca="false">IF(AND($B198&lt;&gt;"",$AE198="",$AB198&lt;&gt;"",$AB198&lt;Boshqaruv!$C$12),"Ha","")</f>
        <v/>
      </c>
      <c r="AD198" s="25"/>
      <c r="AE198" s="13"/>
      <c r="AF198" s="12"/>
      <c r="AG198" s="14" t="str">
        <f aca="false">IF(OR($B198="",$C198="",$H198=""),"",IF(COUNTIFS($B$5:$B$804,$B198,$C$5:$C$804,$C198,$H$5:$H$804,$H198)&gt;1,"Takror",""))</f>
        <v/>
      </c>
      <c r="AH198" s="28" t="str">
        <f aca="false">IF(AND($B198&lt;&gt;"",$N198="Ha",$H198&lt;&gt;"",$H198&lt;=Boshqaruv!$C$12,OR($AE198="",$AE198&gt;Boshqaruv!$C$12)),MAX($AH$4:$AH197)+1,"")</f>
        <v/>
      </c>
    </row>
    <row r="199" customFormat="false" ht="15" hidden="false" customHeight="false" outlineLevel="0" collapsed="false">
      <c r="A199" s="20" t="n">
        <v>195</v>
      </c>
      <c r="B199" s="12"/>
      <c r="C199" s="13"/>
      <c r="D199" s="24"/>
      <c r="E199" s="12"/>
      <c r="F199" s="25"/>
      <c r="G199" s="27" t="str">
        <f aca="false">IF(OR($B199="",$C199=""),"",$B199&amp;" ("&amp;DAY($C199)&amp;"."&amp;MONTH($C199)&amp;"."&amp;YEAR($C199)&amp;")")</f>
        <v/>
      </c>
      <c r="H199" s="13"/>
      <c r="I199" s="13"/>
      <c r="J199" s="15" t="str">
        <f aca="false">IF($I199="","",$I199+280)</f>
        <v/>
      </c>
      <c r="K199" s="14" t="str">
        <f aca="false">IF(OR($I199="",$AE199&lt;&gt;""),"",INT((Boshqaruv!$C$12-$I199)/7))</f>
        <v/>
      </c>
      <c r="L199" s="14" t="str">
        <f aca="false">IF(OR($C199="",$H199=""),"",INT(($H199-$C199)/365.25))</f>
        <v/>
      </c>
      <c r="M199" s="14" t="str">
        <f aca="false">IF($L199="","",IF($L199&lt;18,"Ha","Yo'q"))</f>
        <v/>
      </c>
      <c r="N199" s="25"/>
      <c r="O199" s="25"/>
      <c r="P199" s="25"/>
      <c r="Q199" s="12"/>
      <c r="R199" s="25"/>
      <c r="S199" s="12"/>
      <c r="T199" s="13"/>
      <c r="U199" s="12"/>
      <c r="V199" s="25"/>
      <c r="W199" s="25"/>
      <c r="X199" s="14" t="str">
        <f aca="false">IF(OR($V199="",$W199=""),"",IF(AND($V199&gt;=Spravochnik!$H$5,$W199&gt;=Spravochnik!$H$6),"Ha","Yo'q"))</f>
        <v/>
      </c>
      <c r="Y199" s="13"/>
      <c r="Z199" s="13"/>
      <c r="AA199" s="13"/>
      <c r="AB199" s="13"/>
      <c r="AC199" s="14" t="str">
        <f aca="false">IF(AND($B199&lt;&gt;"",$AE199="",$AB199&lt;&gt;"",$AB199&lt;Boshqaruv!$C$12),"Ha","")</f>
        <v/>
      </c>
      <c r="AD199" s="25"/>
      <c r="AE199" s="13"/>
      <c r="AF199" s="12"/>
      <c r="AG199" s="14" t="str">
        <f aca="false">IF(OR($B199="",$C199="",$H199=""),"",IF(COUNTIFS($B$5:$B$804,$B199,$C$5:$C$804,$C199,$H$5:$H$804,$H199)&gt;1,"Takror",""))</f>
        <v/>
      </c>
      <c r="AH199" s="28" t="str">
        <f aca="false">IF(AND($B199&lt;&gt;"",$N199="Ha",$H199&lt;&gt;"",$H199&lt;=Boshqaruv!$C$12,OR($AE199="",$AE199&gt;Boshqaruv!$C$12)),MAX($AH$4:$AH198)+1,"")</f>
        <v/>
      </c>
    </row>
    <row r="200" customFormat="false" ht="15" hidden="false" customHeight="false" outlineLevel="0" collapsed="false">
      <c r="A200" s="20" t="n">
        <v>196</v>
      </c>
      <c r="B200" s="12"/>
      <c r="C200" s="13"/>
      <c r="D200" s="24"/>
      <c r="E200" s="12"/>
      <c r="F200" s="25"/>
      <c r="G200" s="27" t="str">
        <f aca="false">IF(OR($B200="",$C200=""),"",$B200&amp;" ("&amp;DAY($C200)&amp;"."&amp;MONTH($C200)&amp;"."&amp;YEAR($C200)&amp;")")</f>
        <v/>
      </c>
      <c r="H200" s="13"/>
      <c r="I200" s="13"/>
      <c r="J200" s="15" t="str">
        <f aca="false">IF($I200="","",$I200+280)</f>
        <v/>
      </c>
      <c r="K200" s="14" t="str">
        <f aca="false">IF(OR($I200="",$AE200&lt;&gt;""),"",INT((Boshqaruv!$C$12-$I200)/7))</f>
        <v/>
      </c>
      <c r="L200" s="14" t="str">
        <f aca="false">IF(OR($C200="",$H200=""),"",INT(($H200-$C200)/365.25))</f>
        <v/>
      </c>
      <c r="M200" s="14" t="str">
        <f aca="false">IF($L200="","",IF($L200&lt;18,"Ha","Yo'q"))</f>
        <v/>
      </c>
      <c r="N200" s="25"/>
      <c r="O200" s="25"/>
      <c r="P200" s="25"/>
      <c r="Q200" s="12"/>
      <c r="R200" s="25"/>
      <c r="S200" s="12"/>
      <c r="T200" s="13"/>
      <c r="U200" s="12"/>
      <c r="V200" s="25"/>
      <c r="W200" s="25"/>
      <c r="X200" s="14" t="str">
        <f aca="false">IF(OR($V200="",$W200=""),"",IF(AND($V200&gt;=Spravochnik!$H$5,$W200&gt;=Spravochnik!$H$6),"Ha","Yo'q"))</f>
        <v/>
      </c>
      <c r="Y200" s="13"/>
      <c r="Z200" s="13"/>
      <c r="AA200" s="13"/>
      <c r="AB200" s="13"/>
      <c r="AC200" s="14" t="str">
        <f aca="false">IF(AND($B200&lt;&gt;"",$AE200="",$AB200&lt;&gt;"",$AB200&lt;Boshqaruv!$C$12),"Ha","")</f>
        <v/>
      </c>
      <c r="AD200" s="25"/>
      <c r="AE200" s="13"/>
      <c r="AF200" s="12"/>
      <c r="AG200" s="14" t="str">
        <f aca="false">IF(OR($B200="",$C200="",$H200=""),"",IF(COUNTIFS($B$5:$B$804,$B200,$C$5:$C$804,$C200,$H$5:$H$804,$H200)&gt;1,"Takror",""))</f>
        <v/>
      </c>
      <c r="AH200" s="28" t="str">
        <f aca="false">IF(AND($B200&lt;&gt;"",$N200="Ha",$H200&lt;&gt;"",$H200&lt;=Boshqaruv!$C$12,OR($AE200="",$AE200&gt;Boshqaruv!$C$12)),MAX($AH$4:$AH199)+1,"")</f>
        <v/>
      </c>
    </row>
    <row r="201" customFormat="false" ht="15" hidden="false" customHeight="false" outlineLevel="0" collapsed="false">
      <c r="A201" s="20" t="n">
        <v>197</v>
      </c>
      <c r="B201" s="12"/>
      <c r="C201" s="13"/>
      <c r="D201" s="24"/>
      <c r="E201" s="12"/>
      <c r="F201" s="25"/>
      <c r="G201" s="27" t="str">
        <f aca="false">IF(OR($B201="",$C201=""),"",$B201&amp;" ("&amp;DAY($C201)&amp;"."&amp;MONTH($C201)&amp;"."&amp;YEAR($C201)&amp;")")</f>
        <v/>
      </c>
      <c r="H201" s="13"/>
      <c r="I201" s="13"/>
      <c r="J201" s="15" t="str">
        <f aca="false">IF($I201="","",$I201+280)</f>
        <v/>
      </c>
      <c r="K201" s="14" t="str">
        <f aca="false">IF(OR($I201="",$AE201&lt;&gt;""),"",INT((Boshqaruv!$C$12-$I201)/7))</f>
        <v/>
      </c>
      <c r="L201" s="14" t="str">
        <f aca="false">IF(OR($C201="",$H201=""),"",INT(($H201-$C201)/365.25))</f>
        <v/>
      </c>
      <c r="M201" s="14" t="str">
        <f aca="false">IF($L201="","",IF($L201&lt;18,"Ha","Yo'q"))</f>
        <v/>
      </c>
      <c r="N201" s="25"/>
      <c r="O201" s="25"/>
      <c r="P201" s="25"/>
      <c r="Q201" s="12"/>
      <c r="R201" s="25"/>
      <c r="S201" s="12"/>
      <c r="T201" s="13"/>
      <c r="U201" s="12"/>
      <c r="V201" s="25"/>
      <c r="W201" s="25"/>
      <c r="X201" s="14" t="str">
        <f aca="false">IF(OR($V201="",$W201=""),"",IF(AND($V201&gt;=Spravochnik!$H$5,$W201&gt;=Spravochnik!$H$6),"Ha","Yo'q"))</f>
        <v/>
      </c>
      <c r="Y201" s="13"/>
      <c r="Z201" s="13"/>
      <c r="AA201" s="13"/>
      <c r="AB201" s="13"/>
      <c r="AC201" s="14" t="str">
        <f aca="false">IF(AND($B201&lt;&gt;"",$AE201="",$AB201&lt;&gt;"",$AB201&lt;Boshqaruv!$C$12),"Ha","")</f>
        <v/>
      </c>
      <c r="AD201" s="25"/>
      <c r="AE201" s="13"/>
      <c r="AF201" s="12"/>
      <c r="AG201" s="14" t="str">
        <f aca="false">IF(OR($B201="",$C201="",$H201=""),"",IF(COUNTIFS($B$5:$B$804,$B201,$C$5:$C$804,$C201,$H$5:$H$804,$H201)&gt;1,"Takror",""))</f>
        <v/>
      </c>
      <c r="AH201" s="28" t="str">
        <f aca="false">IF(AND($B201&lt;&gt;"",$N201="Ha",$H201&lt;&gt;"",$H201&lt;=Boshqaruv!$C$12,OR($AE201="",$AE201&gt;Boshqaruv!$C$12)),MAX($AH$4:$AH200)+1,"")</f>
        <v/>
      </c>
    </row>
    <row r="202" customFormat="false" ht="15" hidden="false" customHeight="false" outlineLevel="0" collapsed="false">
      <c r="A202" s="20" t="n">
        <v>198</v>
      </c>
      <c r="B202" s="12"/>
      <c r="C202" s="13"/>
      <c r="D202" s="24"/>
      <c r="E202" s="12"/>
      <c r="F202" s="25"/>
      <c r="G202" s="27" t="str">
        <f aca="false">IF(OR($B202="",$C202=""),"",$B202&amp;" ("&amp;DAY($C202)&amp;"."&amp;MONTH($C202)&amp;"."&amp;YEAR($C202)&amp;")")</f>
        <v/>
      </c>
      <c r="H202" s="13"/>
      <c r="I202" s="13"/>
      <c r="J202" s="15" t="str">
        <f aca="false">IF($I202="","",$I202+280)</f>
        <v/>
      </c>
      <c r="K202" s="14" t="str">
        <f aca="false">IF(OR($I202="",$AE202&lt;&gt;""),"",INT((Boshqaruv!$C$12-$I202)/7))</f>
        <v/>
      </c>
      <c r="L202" s="14" t="str">
        <f aca="false">IF(OR($C202="",$H202=""),"",INT(($H202-$C202)/365.25))</f>
        <v/>
      </c>
      <c r="M202" s="14" t="str">
        <f aca="false">IF($L202="","",IF($L202&lt;18,"Ha","Yo'q"))</f>
        <v/>
      </c>
      <c r="N202" s="25"/>
      <c r="O202" s="25"/>
      <c r="P202" s="25"/>
      <c r="Q202" s="12"/>
      <c r="R202" s="25"/>
      <c r="S202" s="12"/>
      <c r="T202" s="13"/>
      <c r="U202" s="12"/>
      <c r="V202" s="25"/>
      <c r="W202" s="25"/>
      <c r="X202" s="14" t="str">
        <f aca="false">IF(OR($V202="",$W202=""),"",IF(AND($V202&gt;=Spravochnik!$H$5,$W202&gt;=Spravochnik!$H$6),"Ha","Yo'q"))</f>
        <v/>
      </c>
      <c r="Y202" s="13"/>
      <c r="Z202" s="13"/>
      <c r="AA202" s="13"/>
      <c r="AB202" s="13"/>
      <c r="AC202" s="14" t="str">
        <f aca="false">IF(AND($B202&lt;&gt;"",$AE202="",$AB202&lt;&gt;"",$AB202&lt;Boshqaruv!$C$12),"Ha","")</f>
        <v/>
      </c>
      <c r="AD202" s="25"/>
      <c r="AE202" s="13"/>
      <c r="AF202" s="12"/>
      <c r="AG202" s="14" t="str">
        <f aca="false">IF(OR($B202="",$C202="",$H202=""),"",IF(COUNTIFS($B$5:$B$804,$B202,$C$5:$C$804,$C202,$H$5:$H$804,$H202)&gt;1,"Takror",""))</f>
        <v/>
      </c>
      <c r="AH202" s="28" t="str">
        <f aca="false">IF(AND($B202&lt;&gt;"",$N202="Ha",$H202&lt;&gt;"",$H202&lt;=Boshqaruv!$C$12,OR($AE202="",$AE202&gt;Boshqaruv!$C$12)),MAX($AH$4:$AH201)+1,"")</f>
        <v/>
      </c>
    </row>
    <row r="203" customFormat="false" ht="15" hidden="false" customHeight="false" outlineLevel="0" collapsed="false">
      <c r="A203" s="20" t="n">
        <v>199</v>
      </c>
      <c r="B203" s="12"/>
      <c r="C203" s="13"/>
      <c r="D203" s="24"/>
      <c r="E203" s="12"/>
      <c r="F203" s="25"/>
      <c r="G203" s="27" t="str">
        <f aca="false">IF(OR($B203="",$C203=""),"",$B203&amp;" ("&amp;DAY($C203)&amp;"."&amp;MONTH($C203)&amp;"."&amp;YEAR($C203)&amp;")")</f>
        <v/>
      </c>
      <c r="H203" s="13"/>
      <c r="I203" s="13"/>
      <c r="J203" s="15" t="str">
        <f aca="false">IF($I203="","",$I203+280)</f>
        <v/>
      </c>
      <c r="K203" s="14" t="str">
        <f aca="false">IF(OR($I203="",$AE203&lt;&gt;""),"",INT((Boshqaruv!$C$12-$I203)/7))</f>
        <v/>
      </c>
      <c r="L203" s="14" t="str">
        <f aca="false">IF(OR($C203="",$H203=""),"",INT(($H203-$C203)/365.25))</f>
        <v/>
      </c>
      <c r="M203" s="14" t="str">
        <f aca="false">IF($L203="","",IF($L203&lt;18,"Ha","Yo'q"))</f>
        <v/>
      </c>
      <c r="N203" s="25"/>
      <c r="O203" s="25"/>
      <c r="P203" s="25"/>
      <c r="Q203" s="12"/>
      <c r="R203" s="25"/>
      <c r="S203" s="12"/>
      <c r="T203" s="13"/>
      <c r="U203" s="12"/>
      <c r="V203" s="25"/>
      <c r="W203" s="25"/>
      <c r="X203" s="14" t="str">
        <f aca="false">IF(OR($V203="",$W203=""),"",IF(AND($V203&gt;=Spravochnik!$H$5,$W203&gt;=Spravochnik!$H$6),"Ha","Yo'q"))</f>
        <v/>
      </c>
      <c r="Y203" s="13"/>
      <c r="Z203" s="13"/>
      <c r="AA203" s="13"/>
      <c r="AB203" s="13"/>
      <c r="AC203" s="14" t="str">
        <f aca="false">IF(AND($B203&lt;&gt;"",$AE203="",$AB203&lt;&gt;"",$AB203&lt;Boshqaruv!$C$12),"Ha","")</f>
        <v/>
      </c>
      <c r="AD203" s="25"/>
      <c r="AE203" s="13"/>
      <c r="AF203" s="12"/>
      <c r="AG203" s="14" t="str">
        <f aca="false">IF(OR($B203="",$C203="",$H203=""),"",IF(COUNTIFS($B$5:$B$804,$B203,$C$5:$C$804,$C203,$H$5:$H$804,$H203)&gt;1,"Takror",""))</f>
        <v/>
      </c>
      <c r="AH203" s="28" t="str">
        <f aca="false">IF(AND($B203&lt;&gt;"",$N203="Ha",$H203&lt;&gt;"",$H203&lt;=Boshqaruv!$C$12,OR($AE203="",$AE203&gt;Boshqaruv!$C$12)),MAX($AH$4:$AH202)+1,"")</f>
        <v/>
      </c>
    </row>
    <row r="204" customFormat="false" ht="15" hidden="false" customHeight="false" outlineLevel="0" collapsed="false">
      <c r="A204" s="20" t="n">
        <v>200</v>
      </c>
      <c r="B204" s="12"/>
      <c r="C204" s="13"/>
      <c r="D204" s="24"/>
      <c r="E204" s="12"/>
      <c r="F204" s="25"/>
      <c r="G204" s="27" t="str">
        <f aca="false">IF(OR($B204="",$C204=""),"",$B204&amp;" ("&amp;DAY($C204)&amp;"."&amp;MONTH($C204)&amp;"."&amp;YEAR($C204)&amp;")")</f>
        <v/>
      </c>
      <c r="H204" s="13"/>
      <c r="I204" s="13"/>
      <c r="J204" s="15" t="str">
        <f aca="false">IF($I204="","",$I204+280)</f>
        <v/>
      </c>
      <c r="K204" s="14" t="str">
        <f aca="false">IF(OR($I204="",$AE204&lt;&gt;""),"",INT((Boshqaruv!$C$12-$I204)/7))</f>
        <v/>
      </c>
      <c r="L204" s="14" t="str">
        <f aca="false">IF(OR($C204="",$H204=""),"",INT(($H204-$C204)/365.25))</f>
        <v/>
      </c>
      <c r="M204" s="14" t="str">
        <f aca="false">IF($L204="","",IF($L204&lt;18,"Ha","Yo'q"))</f>
        <v/>
      </c>
      <c r="N204" s="25"/>
      <c r="O204" s="25"/>
      <c r="P204" s="25"/>
      <c r="Q204" s="12"/>
      <c r="R204" s="25"/>
      <c r="S204" s="12"/>
      <c r="T204" s="13"/>
      <c r="U204" s="12"/>
      <c r="V204" s="25"/>
      <c r="W204" s="25"/>
      <c r="X204" s="14" t="str">
        <f aca="false">IF(OR($V204="",$W204=""),"",IF(AND($V204&gt;=Spravochnik!$H$5,$W204&gt;=Spravochnik!$H$6),"Ha","Yo'q"))</f>
        <v/>
      </c>
      <c r="Y204" s="13"/>
      <c r="Z204" s="13"/>
      <c r="AA204" s="13"/>
      <c r="AB204" s="13"/>
      <c r="AC204" s="14" t="str">
        <f aca="false">IF(AND($B204&lt;&gt;"",$AE204="",$AB204&lt;&gt;"",$AB204&lt;Boshqaruv!$C$12),"Ha","")</f>
        <v/>
      </c>
      <c r="AD204" s="25"/>
      <c r="AE204" s="13"/>
      <c r="AF204" s="12"/>
      <c r="AG204" s="14" t="str">
        <f aca="false">IF(OR($B204="",$C204="",$H204=""),"",IF(COUNTIFS($B$5:$B$804,$B204,$C$5:$C$804,$C204,$H$5:$H$804,$H204)&gt;1,"Takror",""))</f>
        <v/>
      </c>
      <c r="AH204" s="28" t="str">
        <f aca="false">IF(AND($B204&lt;&gt;"",$N204="Ha",$H204&lt;&gt;"",$H204&lt;=Boshqaruv!$C$12,OR($AE204="",$AE204&gt;Boshqaruv!$C$12)),MAX($AH$4:$AH203)+1,"")</f>
        <v/>
      </c>
    </row>
    <row r="205" customFormat="false" ht="15" hidden="false" customHeight="false" outlineLevel="0" collapsed="false">
      <c r="A205" s="20" t="n">
        <v>201</v>
      </c>
      <c r="B205" s="12"/>
      <c r="C205" s="13"/>
      <c r="D205" s="24"/>
      <c r="E205" s="12"/>
      <c r="F205" s="25"/>
      <c r="G205" s="27" t="str">
        <f aca="false">IF(OR($B205="",$C205=""),"",$B205&amp;" ("&amp;DAY($C205)&amp;"."&amp;MONTH($C205)&amp;"."&amp;YEAR($C205)&amp;")")</f>
        <v/>
      </c>
      <c r="H205" s="13"/>
      <c r="I205" s="13"/>
      <c r="J205" s="15" t="str">
        <f aca="false">IF($I205="","",$I205+280)</f>
        <v/>
      </c>
      <c r="K205" s="14" t="str">
        <f aca="false">IF(OR($I205="",$AE205&lt;&gt;""),"",INT((Boshqaruv!$C$12-$I205)/7))</f>
        <v/>
      </c>
      <c r="L205" s="14" t="str">
        <f aca="false">IF(OR($C205="",$H205=""),"",INT(($H205-$C205)/365.25))</f>
        <v/>
      </c>
      <c r="M205" s="14" t="str">
        <f aca="false">IF($L205="","",IF($L205&lt;18,"Ha","Yo'q"))</f>
        <v/>
      </c>
      <c r="N205" s="25"/>
      <c r="O205" s="25"/>
      <c r="P205" s="25"/>
      <c r="Q205" s="12"/>
      <c r="R205" s="25"/>
      <c r="S205" s="12"/>
      <c r="T205" s="13"/>
      <c r="U205" s="12"/>
      <c r="V205" s="25"/>
      <c r="W205" s="25"/>
      <c r="X205" s="14" t="str">
        <f aca="false">IF(OR($V205="",$W205=""),"",IF(AND($V205&gt;=Spravochnik!$H$5,$W205&gt;=Spravochnik!$H$6),"Ha","Yo'q"))</f>
        <v/>
      </c>
      <c r="Y205" s="13"/>
      <c r="Z205" s="13"/>
      <c r="AA205" s="13"/>
      <c r="AB205" s="13"/>
      <c r="AC205" s="14" t="str">
        <f aca="false">IF(AND($B205&lt;&gt;"",$AE205="",$AB205&lt;&gt;"",$AB205&lt;Boshqaruv!$C$12),"Ha","")</f>
        <v/>
      </c>
      <c r="AD205" s="25"/>
      <c r="AE205" s="13"/>
      <c r="AF205" s="12"/>
      <c r="AG205" s="14" t="str">
        <f aca="false">IF(OR($B205="",$C205="",$H205=""),"",IF(COUNTIFS($B$5:$B$804,$B205,$C$5:$C$804,$C205,$H$5:$H$804,$H205)&gt;1,"Takror",""))</f>
        <v/>
      </c>
      <c r="AH205" s="28" t="str">
        <f aca="false">IF(AND($B205&lt;&gt;"",$N205="Ha",$H205&lt;&gt;"",$H205&lt;=Boshqaruv!$C$12,OR($AE205="",$AE205&gt;Boshqaruv!$C$12)),MAX($AH$4:$AH204)+1,"")</f>
        <v/>
      </c>
    </row>
    <row r="206" customFormat="false" ht="15" hidden="false" customHeight="false" outlineLevel="0" collapsed="false">
      <c r="A206" s="20" t="n">
        <v>202</v>
      </c>
      <c r="B206" s="12"/>
      <c r="C206" s="13"/>
      <c r="D206" s="24"/>
      <c r="E206" s="12"/>
      <c r="F206" s="25"/>
      <c r="G206" s="27" t="str">
        <f aca="false">IF(OR($B206="",$C206=""),"",$B206&amp;" ("&amp;DAY($C206)&amp;"."&amp;MONTH($C206)&amp;"."&amp;YEAR($C206)&amp;")")</f>
        <v/>
      </c>
      <c r="H206" s="13"/>
      <c r="I206" s="13"/>
      <c r="J206" s="15" t="str">
        <f aca="false">IF($I206="","",$I206+280)</f>
        <v/>
      </c>
      <c r="K206" s="14" t="str">
        <f aca="false">IF(OR($I206="",$AE206&lt;&gt;""),"",INT((Boshqaruv!$C$12-$I206)/7))</f>
        <v/>
      </c>
      <c r="L206" s="14" t="str">
        <f aca="false">IF(OR($C206="",$H206=""),"",INT(($H206-$C206)/365.25))</f>
        <v/>
      </c>
      <c r="M206" s="14" t="str">
        <f aca="false">IF($L206="","",IF($L206&lt;18,"Ha","Yo'q"))</f>
        <v/>
      </c>
      <c r="N206" s="25"/>
      <c r="O206" s="25"/>
      <c r="P206" s="25"/>
      <c r="Q206" s="12"/>
      <c r="R206" s="25"/>
      <c r="S206" s="12"/>
      <c r="T206" s="13"/>
      <c r="U206" s="12"/>
      <c r="V206" s="25"/>
      <c r="W206" s="25"/>
      <c r="X206" s="14" t="str">
        <f aca="false">IF(OR($V206="",$W206=""),"",IF(AND($V206&gt;=Spravochnik!$H$5,$W206&gt;=Spravochnik!$H$6),"Ha","Yo'q"))</f>
        <v/>
      </c>
      <c r="Y206" s="13"/>
      <c r="Z206" s="13"/>
      <c r="AA206" s="13"/>
      <c r="AB206" s="13"/>
      <c r="AC206" s="14" t="str">
        <f aca="false">IF(AND($B206&lt;&gt;"",$AE206="",$AB206&lt;&gt;"",$AB206&lt;Boshqaruv!$C$12),"Ha","")</f>
        <v/>
      </c>
      <c r="AD206" s="25"/>
      <c r="AE206" s="13"/>
      <c r="AF206" s="12"/>
      <c r="AG206" s="14" t="str">
        <f aca="false">IF(OR($B206="",$C206="",$H206=""),"",IF(COUNTIFS($B$5:$B$804,$B206,$C$5:$C$804,$C206,$H$5:$H$804,$H206)&gt;1,"Takror",""))</f>
        <v/>
      </c>
      <c r="AH206" s="28" t="str">
        <f aca="false">IF(AND($B206&lt;&gt;"",$N206="Ha",$H206&lt;&gt;"",$H206&lt;=Boshqaruv!$C$12,OR($AE206="",$AE206&gt;Boshqaruv!$C$12)),MAX($AH$4:$AH205)+1,"")</f>
        <v/>
      </c>
    </row>
    <row r="207" customFormat="false" ht="15" hidden="false" customHeight="false" outlineLevel="0" collapsed="false">
      <c r="A207" s="20" t="n">
        <v>203</v>
      </c>
      <c r="B207" s="12"/>
      <c r="C207" s="13"/>
      <c r="D207" s="24"/>
      <c r="E207" s="12"/>
      <c r="F207" s="25"/>
      <c r="G207" s="27" t="str">
        <f aca="false">IF(OR($B207="",$C207=""),"",$B207&amp;" ("&amp;DAY($C207)&amp;"."&amp;MONTH($C207)&amp;"."&amp;YEAR($C207)&amp;")")</f>
        <v/>
      </c>
      <c r="H207" s="13"/>
      <c r="I207" s="13"/>
      <c r="J207" s="15" t="str">
        <f aca="false">IF($I207="","",$I207+280)</f>
        <v/>
      </c>
      <c r="K207" s="14" t="str">
        <f aca="false">IF(OR($I207="",$AE207&lt;&gt;""),"",INT((Boshqaruv!$C$12-$I207)/7))</f>
        <v/>
      </c>
      <c r="L207" s="14" t="str">
        <f aca="false">IF(OR($C207="",$H207=""),"",INT(($H207-$C207)/365.25))</f>
        <v/>
      </c>
      <c r="M207" s="14" t="str">
        <f aca="false">IF($L207="","",IF($L207&lt;18,"Ha","Yo'q"))</f>
        <v/>
      </c>
      <c r="N207" s="25"/>
      <c r="O207" s="25"/>
      <c r="P207" s="25"/>
      <c r="Q207" s="12"/>
      <c r="R207" s="25"/>
      <c r="S207" s="12"/>
      <c r="T207" s="13"/>
      <c r="U207" s="12"/>
      <c r="V207" s="25"/>
      <c r="W207" s="25"/>
      <c r="X207" s="14" t="str">
        <f aca="false">IF(OR($V207="",$W207=""),"",IF(AND($V207&gt;=Spravochnik!$H$5,$W207&gt;=Spravochnik!$H$6),"Ha","Yo'q"))</f>
        <v/>
      </c>
      <c r="Y207" s="13"/>
      <c r="Z207" s="13"/>
      <c r="AA207" s="13"/>
      <c r="AB207" s="13"/>
      <c r="AC207" s="14" t="str">
        <f aca="false">IF(AND($B207&lt;&gt;"",$AE207="",$AB207&lt;&gt;"",$AB207&lt;Boshqaruv!$C$12),"Ha","")</f>
        <v/>
      </c>
      <c r="AD207" s="25"/>
      <c r="AE207" s="13"/>
      <c r="AF207" s="12"/>
      <c r="AG207" s="14" t="str">
        <f aca="false">IF(OR($B207="",$C207="",$H207=""),"",IF(COUNTIFS($B$5:$B$804,$B207,$C$5:$C$804,$C207,$H$5:$H$804,$H207)&gt;1,"Takror",""))</f>
        <v/>
      </c>
      <c r="AH207" s="28" t="str">
        <f aca="false">IF(AND($B207&lt;&gt;"",$N207="Ha",$H207&lt;&gt;"",$H207&lt;=Boshqaruv!$C$12,OR($AE207="",$AE207&gt;Boshqaruv!$C$12)),MAX($AH$4:$AH206)+1,"")</f>
        <v/>
      </c>
    </row>
    <row r="208" customFormat="false" ht="15" hidden="false" customHeight="false" outlineLevel="0" collapsed="false">
      <c r="A208" s="20" t="n">
        <v>204</v>
      </c>
      <c r="B208" s="12"/>
      <c r="C208" s="13"/>
      <c r="D208" s="24"/>
      <c r="E208" s="12"/>
      <c r="F208" s="25"/>
      <c r="G208" s="27" t="str">
        <f aca="false">IF(OR($B208="",$C208=""),"",$B208&amp;" ("&amp;DAY($C208)&amp;"."&amp;MONTH($C208)&amp;"."&amp;YEAR($C208)&amp;")")</f>
        <v/>
      </c>
      <c r="H208" s="13"/>
      <c r="I208" s="13"/>
      <c r="J208" s="15" t="str">
        <f aca="false">IF($I208="","",$I208+280)</f>
        <v/>
      </c>
      <c r="K208" s="14" t="str">
        <f aca="false">IF(OR($I208="",$AE208&lt;&gt;""),"",INT((Boshqaruv!$C$12-$I208)/7))</f>
        <v/>
      </c>
      <c r="L208" s="14" t="str">
        <f aca="false">IF(OR($C208="",$H208=""),"",INT(($H208-$C208)/365.25))</f>
        <v/>
      </c>
      <c r="M208" s="14" t="str">
        <f aca="false">IF($L208="","",IF($L208&lt;18,"Ha","Yo'q"))</f>
        <v/>
      </c>
      <c r="N208" s="25"/>
      <c r="O208" s="25"/>
      <c r="P208" s="25"/>
      <c r="Q208" s="12"/>
      <c r="R208" s="25"/>
      <c r="S208" s="12"/>
      <c r="T208" s="13"/>
      <c r="U208" s="12"/>
      <c r="V208" s="25"/>
      <c r="W208" s="25"/>
      <c r="X208" s="14" t="str">
        <f aca="false">IF(OR($V208="",$W208=""),"",IF(AND($V208&gt;=Spravochnik!$H$5,$W208&gt;=Spravochnik!$H$6),"Ha","Yo'q"))</f>
        <v/>
      </c>
      <c r="Y208" s="13"/>
      <c r="Z208" s="13"/>
      <c r="AA208" s="13"/>
      <c r="AB208" s="13"/>
      <c r="AC208" s="14" t="str">
        <f aca="false">IF(AND($B208&lt;&gt;"",$AE208="",$AB208&lt;&gt;"",$AB208&lt;Boshqaruv!$C$12),"Ha","")</f>
        <v/>
      </c>
      <c r="AD208" s="25"/>
      <c r="AE208" s="13"/>
      <c r="AF208" s="12"/>
      <c r="AG208" s="14" t="str">
        <f aca="false">IF(OR($B208="",$C208="",$H208=""),"",IF(COUNTIFS($B$5:$B$804,$B208,$C$5:$C$804,$C208,$H$5:$H$804,$H208)&gt;1,"Takror",""))</f>
        <v/>
      </c>
      <c r="AH208" s="28" t="str">
        <f aca="false">IF(AND($B208&lt;&gt;"",$N208="Ha",$H208&lt;&gt;"",$H208&lt;=Boshqaruv!$C$12,OR($AE208="",$AE208&gt;Boshqaruv!$C$12)),MAX($AH$4:$AH207)+1,"")</f>
        <v/>
      </c>
    </row>
    <row r="209" customFormat="false" ht="15" hidden="false" customHeight="false" outlineLevel="0" collapsed="false">
      <c r="A209" s="20" t="n">
        <v>205</v>
      </c>
      <c r="B209" s="12"/>
      <c r="C209" s="13"/>
      <c r="D209" s="24"/>
      <c r="E209" s="12"/>
      <c r="F209" s="25"/>
      <c r="G209" s="27" t="str">
        <f aca="false">IF(OR($B209="",$C209=""),"",$B209&amp;" ("&amp;DAY($C209)&amp;"."&amp;MONTH($C209)&amp;"."&amp;YEAR($C209)&amp;")")</f>
        <v/>
      </c>
      <c r="H209" s="13"/>
      <c r="I209" s="13"/>
      <c r="J209" s="15" t="str">
        <f aca="false">IF($I209="","",$I209+280)</f>
        <v/>
      </c>
      <c r="K209" s="14" t="str">
        <f aca="false">IF(OR($I209="",$AE209&lt;&gt;""),"",INT((Boshqaruv!$C$12-$I209)/7))</f>
        <v/>
      </c>
      <c r="L209" s="14" t="str">
        <f aca="false">IF(OR($C209="",$H209=""),"",INT(($H209-$C209)/365.25))</f>
        <v/>
      </c>
      <c r="M209" s="14" t="str">
        <f aca="false">IF($L209="","",IF($L209&lt;18,"Ha","Yo'q"))</f>
        <v/>
      </c>
      <c r="N209" s="25"/>
      <c r="O209" s="25"/>
      <c r="P209" s="25"/>
      <c r="Q209" s="12"/>
      <c r="R209" s="25"/>
      <c r="S209" s="12"/>
      <c r="T209" s="13"/>
      <c r="U209" s="12"/>
      <c r="V209" s="25"/>
      <c r="W209" s="25"/>
      <c r="X209" s="14" t="str">
        <f aca="false">IF(OR($V209="",$W209=""),"",IF(AND($V209&gt;=Spravochnik!$H$5,$W209&gt;=Spravochnik!$H$6),"Ha","Yo'q"))</f>
        <v/>
      </c>
      <c r="Y209" s="13"/>
      <c r="Z209" s="13"/>
      <c r="AA209" s="13"/>
      <c r="AB209" s="13"/>
      <c r="AC209" s="14" t="str">
        <f aca="false">IF(AND($B209&lt;&gt;"",$AE209="",$AB209&lt;&gt;"",$AB209&lt;Boshqaruv!$C$12),"Ha","")</f>
        <v/>
      </c>
      <c r="AD209" s="25"/>
      <c r="AE209" s="13"/>
      <c r="AF209" s="12"/>
      <c r="AG209" s="14" t="str">
        <f aca="false">IF(OR($B209="",$C209="",$H209=""),"",IF(COUNTIFS($B$5:$B$804,$B209,$C$5:$C$804,$C209,$H$5:$H$804,$H209)&gt;1,"Takror",""))</f>
        <v/>
      </c>
      <c r="AH209" s="28" t="str">
        <f aca="false">IF(AND($B209&lt;&gt;"",$N209="Ha",$H209&lt;&gt;"",$H209&lt;=Boshqaruv!$C$12,OR($AE209="",$AE209&gt;Boshqaruv!$C$12)),MAX($AH$4:$AH208)+1,"")</f>
        <v/>
      </c>
    </row>
    <row r="210" customFormat="false" ht="15" hidden="false" customHeight="false" outlineLevel="0" collapsed="false">
      <c r="A210" s="20" t="n">
        <v>206</v>
      </c>
      <c r="B210" s="12"/>
      <c r="C210" s="13"/>
      <c r="D210" s="24"/>
      <c r="E210" s="12"/>
      <c r="F210" s="25"/>
      <c r="G210" s="27" t="str">
        <f aca="false">IF(OR($B210="",$C210=""),"",$B210&amp;" ("&amp;DAY($C210)&amp;"."&amp;MONTH($C210)&amp;"."&amp;YEAR($C210)&amp;")")</f>
        <v/>
      </c>
      <c r="H210" s="13"/>
      <c r="I210" s="13"/>
      <c r="J210" s="15" t="str">
        <f aca="false">IF($I210="","",$I210+280)</f>
        <v/>
      </c>
      <c r="K210" s="14" t="str">
        <f aca="false">IF(OR($I210="",$AE210&lt;&gt;""),"",INT((Boshqaruv!$C$12-$I210)/7))</f>
        <v/>
      </c>
      <c r="L210" s="14" t="str">
        <f aca="false">IF(OR($C210="",$H210=""),"",INT(($H210-$C210)/365.25))</f>
        <v/>
      </c>
      <c r="M210" s="14" t="str">
        <f aca="false">IF($L210="","",IF($L210&lt;18,"Ha","Yo'q"))</f>
        <v/>
      </c>
      <c r="N210" s="25"/>
      <c r="O210" s="25"/>
      <c r="P210" s="25"/>
      <c r="Q210" s="12"/>
      <c r="R210" s="25"/>
      <c r="S210" s="12"/>
      <c r="T210" s="13"/>
      <c r="U210" s="12"/>
      <c r="V210" s="25"/>
      <c r="W210" s="25"/>
      <c r="X210" s="14" t="str">
        <f aca="false">IF(OR($V210="",$W210=""),"",IF(AND($V210&gt;=Spravochnik!$H$5,$W210&gt;=Spravochnik!$H$6),"Ha","Yo'q"))</f>
        <v/>
      </c>
      <c r="Y210" s="13"/>
      <c r="Z210" s="13"/>
      <c r="AA210" s="13"/>
      <c r="AB210" s="13"/>
      <c r="AC210" s="14" t="str">
        <f aca="false">IF(AND($B210&lt;&gt;"",$AE210="",$AB210&lt;&gt;"",$AB210&lt;Boshqaruv!$C$12),"Ha","")</f>
        <v/>
      </c>
      <c r="AD210" s="25"/>
      <c r="AE210" s="13"/>
      <c r="AF210" s="12"/>
      <c r="AG210" s="14" t="str">
        <f aca="false">IF(OR($B210="",$C210="",$H210=""),"",IF(COUNTIFS($B$5:$B$804,$B210,$C$5:$C$804,$C210,$H$5:$H$804,$H210)&gt;1,"Takror",""))</f>
        <v/>
      </c>
      <c r="AH210" s="28" t="str">
        <f aca="false">IF(AND($B210&lt;&gt;"",$N210="Ha",$H210&lt;&gt;"",$H210&lt;=Boshqaruv!$C$12,OR($AE210="",$AE210&gt;Boshqaruv!$C$12)),MAX($AH$4:$AH209)+1,"")</f>
        <v/>
      </c>
    </row>
    <row r="211" customFormat="false" ht="15" hidden="false" customHeight="false" outlineLevel="0" collapsed="false">
      <c r="A211" s="20" t="n">
        <v>207</v>
      </c>
      <c r="B211" s="12"/>
      <c r="C211" s="13"/>
      <c r="D211" s="24"/>
      <c r="E211" s="12"/>
      <c r="F211" s="25"/>
      <c r="G211" s="27" t="str">
        <f aca="false">IF(OR($B211="",$C211=""),"",$B211&amp;" ("&amp;DAY($C211)&amp;"."&amp;MONTH($C211)&amp;"."&amp;YEAR($C211)&amp;")")</f>
        <v/>
      </c>
      <c r="H211" s="13"/>
      <c r="I211" s="13"/>
      <c r="J211" s="15" t="str">
        <f aca="false">IF($I211="","",$I211+280)</f>
        <v/>
      </c>
      <c r="K211" s="14" t="str">
        <f aca="false">IF(OR($I211="",$AE211&lt;&gt;""),"",INT((Boshqaruv!$C$12-$I211)/7))</f>
        <v/>
      </c>
      <c r="L211" s="14" t="str">
        <f aca="false">IF(OR($C211="",$H211=""),"",INT(($H211-$C211)/365.25))</f>
        <v/>
      </c>
      <c r="M211" s="14" t="str">
        <f aca="false">IF($L211="","",IF($L211&lt;18,"Ha","Yo'q"))</f>
        <v/>
      </c>
      <c r="N211" s="25"/>
      <c r="O211" s="25"/>
      <c r="P211" s="25"/>
      <c r="Q211" s="12"/>
      <c r="R211" s="25"/>
      <c r="S211" s="12"/>
      <c r="T211" s="13"/>
      <c r="U211" s="12"/>
      <c r="V211" s="25"/>
      <c r="W211" s="25"/>
      <c r="X211" s="14" t="str">
        <f aca="false">IF(OR($V211="",$W211=""),"",IF(AND($V211&gt;=Spravochnik!$H$5,$W211&gt;=Spravochnik!$H$6),"Ha","Yo'q"))</f>
        <v/>
      </c>
      <c r="Y211" s="13"/>
      <c r="Z211" s="13"/>
      <c r="AA211" s="13"/>
      <c r="AB211" s="13"/>
      <c r="AC211" s="14" t="str">
        <f aca="false">IF(AND($B211&lt;&gt;"",$AE211="",$AB211&lt;&gt;"",$AB211&lt;Boshqaruv!$C$12),"Ha","")</f>
        <v/>
      </c>
      <c r="AD211" s="25"/>
      <c r="AE211" s="13"/>
      <c r="AF211" s="12"/>
      <c r="AG211" s="14" t="str">
        <f aca="false">IF(OR($B211="",$C211="",$H211=""),"",IF(COUNTIFS($B$5:$B$804,$B211,$C$5:$C$804,$C211,$H$5:$H$804,$H211)&gt;1,"Takror",""))</f>
        <v/>
      </c>
      <c r="AH211" s="28" t="str">
        <f aca="false">IF(AND($B211&lt;&gt;"",$N211="Ha",$H211&lt;&gt;"",$H211&lt;=Boshqaruv!$C$12,OR($AE211="",$AE211&gt;Boshqaruv!$C$12)),MAX($AH$4:$AH210)+1,"")</f>
        <v/>
      </c>
    </row>
    <row r="212" customFormat="false" ht="15" hidden="false" customHeight="false" outlineLevel="0" collapsed="false">
      <c r="A212" s="20" t="n">
        <v>208</v>
      </c>
      <c r="B212" s="12"/>
      <c r="C212" s="13"/>
      <c r="D212" s="24"/>
      <c r="E212" s="12"/>
      <c r="F212" s="25"/>
      <c r="G212" s="27" t="str">
        <f aca="false">IF(OR($B212="",$C212=""),"",$B212&amp;" ("&amp;DAY($C212)&amp;"."&amp;MONTH($C212)&amp;"."&amp;YEAR($C212)&amp;")")</f>
        <v/>
      </c>
      <c r="H212" s="13"/>
      <c r="I212" s="13"/>
      <c r="J212" s="15" t="str">
        <f aca="false">IF($I212="","",$I212+280)</f>
        <v/>
      </c>
      <c r="K212" s="14" t="str">
        <f aca="false">IF(OR($I212="",$AE212&lt;&gt;""),"",INT((Boshqaruv!$C$12-$I212)/7))</f>
        <v/>
      </c>
      <c r="L212" s="14" t="str">
        <f aca="false">IF(OR($C212="",$H212=""),"",INT(($H212-$C212)/365.25))</f>
        <v/>
      </c>
      <c r="M212" s="14" t="str">
        <f aca="false">IF($L212="","",IF($L212&lt;18,"Ha","Yo'q"))</f>
        <v/>
      </c>
      <c r="N212" s="25"/>
      <c r="O212" s="25"/>
      <c r="P212" s="25"/>
      <c r="Q212" s="12"/>
      <c r="R212" s="25"/>
      <c r="S212" s="12"/>
      <c r="T212" s="13"/>
      <c r="U212" s="12"/>
      <c r="V212" s="25"/>
      <c r="W212" s="25"/>
      <c r="X212" s="14" t="str">
        <f aca="false">IF(OR($V212="",$W212=""),"",IF(AND($V212&gt;=Spravochnik!$H$5,$W212&gt;=Spravochnik!$H$6),"Ha","Yo'q"))</f>
        <v/>
      </c>
      <c r="Y212" s="13"/>
      <c r="Z212" s="13"/>
      <c r="AA212" s="13"/>
      <c r="AB212" s="13"/>
      <c r="AC212" s="14" t="str">
        <f aca="false">IF(AND($B212&lt;&gt;"",$AE212="",$AB212&lt;&gt;"",$AB212&lt;Boshqaruv!$C$12),"Ha","")</f>
        <v/>
      </c>
      <c r="AD212" s="25"/>
      <c r="AE212" s="13"/>
      <c r="AF212" s="12"/>
      <c r="AG212" s="14" t="str">
        <f aca="false">IF(OR($B212="",$C212="",$H212=""),"",IF(COUNTIFS($B$5:$B$804,$B212,$C$5:$C$804,$C212,$H$5:$H$804,$H212)&gt;1,"Takror",""))</f>
        <v/>
      </c>
      <c r="AH212" s="28" t="str">
        <f aca="false">IF(AND($B212&lt;&gt;"",$N212="Ha",$H212&lt;&gt;"",$H212&lt;=Boshqaruv!$C$12,OR($AE212="",$AE212&gt;Boshqaruv!$C$12)),MAX($AH$4:$AH211)+1,"")</f>
        <v/>
      </c>
    </row>
    <row r="213" customFormat="false" ht="15" hidden="false" customHeight="false" outlineLevel="0" collapsed="false">
      <c r="A213" s="20" t="n">
        <v>209</v>
      </c>
      <c r="B213" s="12"/>
      <c r="C213" s="13"/>
      <c r="D213" s="24"/>
      <c r="E213" s="12"/>
      <c r="F213" s="25"/>
      <c r="G213" s="27" t="str">
        <f aca="false">IF(OR($B213="",$C213=""),"",$B213&amp;" ("&amp;DAY($C213)&amp;"."&amp;MONTH($C213)&amp;"."&amp;YEAR($C213)&amp;")")</f>
        <v/>
      </c>
      <c r="H213" s="13"/>
      <c r="I213" s="13"/>
      <c r="J213" s="15" t="str">
        <f aca="false">IF($I213="","",$I213+280)</f>
        <v/>
      </c>
      <c r="K213" s="14" t="str">
        <f aca="false">IF(OR($I213="",$AE213&lt;&gt;""),"",INT((Boshqaruv!$C$12-$I213)/7))</f>
        <v/>
      </c>
      <c r="L213" s="14" t="str">
        <f aca="false">IF(OR($C213="",$H213=""),"",INT(($H213-$C213)/365.25))</f>
        <v/>
      </c>
      <c r="M213" s="14" t="str">
        <f aca="false">IF($L213="","",IF($L213&lt;18,"Ha","Yo'q"))</f>
        <v/>
      </c>
      <c r="N213" s="25"/>
      <c r="O213" s="25"/>
      <c r="P213" s="25"/>
      <c r="Q213" s="12"/>
      <c r="R213" s="25"/>
      <c r="S213" s="12"/>
      <c r="T213" s="13"/>
      <c r="U213" s="12"/>
      <c r="V213" s="25"/>
      <c r="W213" s="25"/>
      <c r="X213" s="14" t="str">
        <f aca="false">IF(OR($V213="",$W213=""),"",IF(AND($V213&gt;=Spravochnik!$H$5,$W213&gt;=Spravochnik!$H$6),"Ha","Yo'q"))</f>
        <v/>
      </c>
      <c r="Y213" s="13"/>
      <c r="Z213" s="13"/>
      <c r="AA213" s="13"/>
      <c r="AB213" s="13"/>
      <c r="AC213" s="14" t="str">
        <f aca="false">IF(AND($B213&lt;&gt;"",$AE213="",$AB213&lt;&gt;"",$AB213&lt;Boshqaruv!$C$12),"Ha","")</f>
        <v/>
      </c>
      <c r="AD213" s="25"/>
      <c r="AE213" s="13"/>
      <c r="AF213" s="12"/>
      <c r="AG213" s="14" t="str">
        <f aca="false">IF(OR($B213="",$C213="",$H213=""),"",IF(COUNTIFS($B$5:$B$804,$B213,$C$5:$C$804,$C213,$H$5:$H$804,$H213)&gt;1,"Takror",""))</f>
        <v/>
      </c>
      <c r="AH213" s="28" t="str">
        <f aca="false">IF(AND($B213&lt;&gt;"",$N213="Ha",$H213&lt;&gt;"",$H213&lt;=Boshqaruv!$C$12,OR($AE213="",$AE213&gt;Boshqaruv!$C$12)),MAX($AH$4:$AH212)+1,"")</f>
        <v/>
      </c>
    </row>
    <row r="214" customFormat="false" ht="15" hidden="false" customHeight="false" outlineLevel="0" collapsed="false">
      <c r="A214" s="20" t="n">
        <v>210</v>
      </c>
      <c r="B214" s="12"/>
      <c r="C214" s="13"/>
      <c r="D214" s="24"/>
      <c r="E214" s="12"/>
      <c r="F214" s="25"/>
      <c r="G214" s="27" t="str">
        <f aca="false">IF(OR($B214="",$C214=""),"",$B214&amp;" ("&amp;DAY($C214)&amp;"."&amp;MONTH($C214)&amp;"."&amp;YEAR($C214)&amp;")")</f>
        <v/>
      </c>
      <c r="H214" s="13"/>
      <c r="I214" s="13"/>
      <c r="J214" s="15" t="str">
        <f aca="false">IF($I214="","",$I214+280)</f>
        <v/>
      </c>
      <c r="K214" s="14" t="str">
        <f aca="false">IF(OR($I214="",$AE214&lt;&gt;""),"",INT((Boshqaruv!$C$12-$I214)/7))</f>
        <v/>
      </c>
      <c r="L214" s="14" t="str">
        <f aca="false">IF(OR($C214="",$H214=""),"",INT(($H214-$C214)/365.25))</f>
        <v/>
      </c>
      <c r="M214" s="14" t="str">
        <f aca="false">IF($L214="","",IF($L214&lt;18,"Ha","Yo'q"))</f>
        <v/>
      </c>
      <c r="N214" s="25"/>
      <c r="O214" s="25"/>
      <c r="P214" s="25"/>
      <c r="Q214" s="12"/>
      <c r="R214" s="25"/>
      <c r="S214" s="12"/>
      <c r="T214" s="13"/>
      <c r="U214" s="12"/>
      <c r="V214" s="25"/>
      <c r="W214" s="25"/>
      <c r="X214" s="14" t="str">
        <f aca="false">IF(OR($V214="",$W214=""),"",IF(AND($V214&gt;=Spravochnik!$H$5,$W214&gt;=Spravochnik!$H$6),"Ha","Yo'q"))</f>
        <v/>
      </c>
      <c r="Y214" s="13"/>
      <c r="Z214" s="13"/>
      <c r="AA214" s="13"/>
      <c r="AB214" s="13"/>
      <c r="AC214" s="14" t="str">
        <f aca="false">IF(AND($B214&lt;&gt;"",$AE214="",$AB214&lt;&gt;"",$AB214&lt;Boshqaruv!$C$12),"Ha","")</f>
        <v/>
      </c>
      <c r="AD214" s="25"/>
      <c r="AE214" s="13"/>
      <c r="AF214" s="12"/>
      <c r="AG214" s="14" t="str">
        <f aca="false">IF(OR($B214="",$C214="",$H214=""),"",IF(COUNTIFS($B$5:$B$804,$B214,$C$5:$C$804,$C214,$H$5:$H$804,$H214)&gt;1,"Takror",""))</f>
        <v/>
      </c>
      <c r="AH214" s="28" t="str">
        <f aca="false">IF(AND($B214&lt;&gt;"",$N214="Ha",$H214&lt;&gt;"",$H214&lt;=Boshqaruv!$C$12,OR($AE214="",$AE214&gt;Boshqaruv!$C$12)),MAX($AH$4:$AH213)+1,"")</f>
        <v/>
      </c>
    </row>
    <row r="215" customFormat="false" ht="15" hidden="false" customHeight="false" outlineLevel="0" collapsed="false">
      <c r="A215" s="20" t="n">
        <v>211</v>
      </c>
      <c r="B215" s="12"/>
      <c r="C215" s="13"/>
      <c r="D215" s="24"/>
      <c r="E215" s="12"/>
      <c r="F215" s="25"/>
      <c r="G215" s="27" t="str">
        <f aca="false">IF(OR($B215="",$C215=""),"",$B215&amp;" ("&amp;DAY($C215)&amp;"."&amp;MONTH($C215)&amp;"."&amp;YEAR($C215)&amp;")")</f>
        <v/>
      </c>
      <c r="H215" s="13"/>
      <c r="I215" s="13"/>
      <c r="J215" s="15" t="str">
        <f aca="false">IF($I215="","",$I215+280)</f>
        <v/>
      </c>
      <c r="K215" s="14" t="str">
        <f aca="false">IF(OR($I215="",$AE215&lt;&gt;""),"",INT((Boshqaruv!$C$12-$I215)/7))</f>
        <v/>
      </c>
      <c r="L215" s="14" t="str">
        <f aca="false">IF(OR($C215="",$H215=""),"",INT(($H215-$C215)/365.25))</f>
        <v/>
      </c>
      <c r="M215" s="14" t="str">
        <f aca="false">IF($L215="","",IF($L215&lt;18,"Ha","Yo'q"))</f>
        <v/>
      </c>
      <c r="N215" s="25"/>
      <c r="O215" s="25"/>
      <c r="P215" s="25"/>
      <c r="Q215" s="12"/>
      <c r="R215" s="25"/>
      <c r="S215" s="12"/>
      <c r="T215" s="13"/>
      <c r="U215" s="12"/>
      <c r="V215" s="25"/>
      <c r="W215" s="25"/>
      <c r="X215" s="14" t="str">
        <f aca="false">IF(OR($V215="",$W215=""),"",IF(AND($V215&gt;=Spravochnik!$H$5,$W215&gt;=Spravochnik!$H$6),"Ha","Yo'q"))</f>
        <v/>
      </c>
      <c r="Y215" s="13"/>
      <c r="Z215" s="13"/>
      <c r="AA215" s="13"/>
      <c r="AB215" s="13"/>
      <c r="AC215" s="14" t="str">
        <f aca="false">IF(AND($B215&lt;&gt;"",$AE215="",$AB215&lt;&gt;"",$AB215&lt;Boshqaruv!$C$12),"Ha","")</f>
        <v/>
      </c>
      <c r="AD215" s="25"/>
      <c r="AE215" s="13"/>
      <c r="AF215" s="12"/>
      <c r="AG215" s="14" t="str">
        <f aca="false">IF(OR($B215="",$C215="",$H215=""),"",IF(COUNTIFS($B$5:$B$804,$B215,$C$5:$C$804,$C215,$H$5:$H$804,$H215)&gt;1,"Takror",""))</f>
        <v/>
      </c>
      <c r="AH215" s="28" t="str">
        <f aca="false">IF(AND($B215&lt;&gt;"",$N215="Ha",$H215&lt;&gt;"",$H215&lt;=Boshqaruv!$C$12,OR($AE215="",$AE215&gt;Boshqaruv!$C$12)),MAX($AH$4:$AH214)+1,"")</f>
        <v/>
      </c>
    </row>
    <row r="216" customFormat="false" ht="15" hidden="false" customHeight="false" outlineLevel="0" collapsed="false">
      <c r="A216" s="20" t="n">
        <v>212</v>
      </c>
      <c r="B216" s="12"/>
      <c r="C216" s="13"/>
      <c r="D216" s="24"/>
      <c r="E216" s="12"/>
      <c r="F216" s="25"/>
      <c r="G216" s="27" t="str">
        <f aca="false">IF(OR($B216="",$C216=""),"",$B216&amp;" ("&amp;DAY($C216)&amp;"."&amp;MONTH($C216)&amp;"."&amp;YEAR($C216)&amp;")")</f>
        <v/>
      </c>
      <c r="H216" s="13"/>
      <c r="I216" s="13"/>
      <c r="J216" s="15" t="str">
        <f aca="false">IF($I216="","",$I216+280)</f>
        <v/>
      </c>
      <c r="K216" s="14" t="str">
        <f aca="false">IF(OR($I216="",$AE216&lt;&gt;""),"",INT((Boshqaruv!$C$12-$I216)/7))</f>
        <v/>
      </c>
      <c r="L216" s="14" t="str">
        <f aca="false">IF(OR($C216="",$H216=""),"",INT(($H216-$C216)/365.25))</f>
        <v/>
      </c>
      <c r="M216" s="14" t="str">
        <f aca="false">IF($L216="","",IF($L216&lt;18,"Ha","Yo'q"))</f>
        <v/>
      </c>
      <c r="N216" s="25"/>
      <c r="O216" s="25"/>
      <c r="P216" s="25"/>
      <c r="Q216" s="12"/>
      <c r="R216" s="25"/>
      <c r="S216" s="12"/>
      <c r="T216" s="13"/>
      <c r="U216" s="12"/>
      <c r="V216" s="25"/>
      <c r="W216" s="25"/>
      <c r="X216" s="14" t="str">
        <f aca="false">IF(OR($V216="",$W216=""),"",IF(AND($V216&gt;=Spravochnik!$H$5,$W216&gt;=Spravochnik!$H$6),"Ha","Yo'q"))</f>
        <v/>
      </c>
      <c r="Y216" s="13"/>
      <c r="Z216" s="13"/>
      <c r="AA216" s="13"/>
      <c r="AB216" s="13"/>
      <c r="AC216" s="14" t="str">
        <f aca="false">IF(AND($B216&lt;&gt;"",$AE216="",$AB216&lt;&gt;"",$AB216&lt;Boshqaruv!$C$12),"Ha","")</f>
        <v/>
      </c>
      <c r="AD216" s="25"/>
      <c r="AE216" s="13"/>
      <c r="AF216" s="12"/>
      <c r="AG216" s="14" t="str">
        <f aca="false">IF(OR($B216="",$C216="",$H216=""),"",IF(COUNTIFS($B$5:$B$804,$B216,$C$5:$C$804,$C216,$H$5:$H$804,$H216)&gt;1,"Takror",""))</f>
        <v/>
      </c>
      <c r="AH216" s="28" t="str">
        <f aca="false">IF(AND($B216&lt;&gt;"",$N216="Ha",$H216&lt;&gt;"",$H216&lt;=Boshqaruv!$C$12,OR($AE216="",$AE216&gt;Boshqaruv!$C$12)),MAX($AH$4:$AH215)+1,"")</f>
        <v/>
      </c>
    </row>
    <row r="217" customFormat="false" ht="15" hidden="false" customHeight="false" outlineLevel="0" collapsed="false">
      <c r="A217" s="20" t="n">
        <v>213</v>
      </c>
      <c r="B217" s="12"/>
      <c r="C217" s="13"/>
      <c r="D217" s="24"/>
      <c r="E217" s="12"/>
      <c r="F217" s="25"/>
      <c r="G217" s="27" t="str">
        <f aca="false">IF(OR($B217="",$C217=""),"",$B217&amp;" ("&amp;DAY($C217)&amp;"."&amp;MONTH($C217)&amp;"."&amp;YEAR($C217)&amp;")")</f>
        <v/>
      </c>
      <c r="H217" s="13"/>
      <c r="I217" s="13"/>
      <c r="J217" s="15" t="str">
        <f aca="false">IF($I217="","",$I217+280)</f>
        <v/>
      </c>
      <c r="K217" s="14" t="str">
        <f aca="false">IF(OR($I217="",$AE217&lt;&gt;""),"",INT((Boshqaruv!$C$12-$I217)/7))</f>
        <v/>
      </c>
      <c r="L217" s="14" t="str">
        <f aca="false">IF(OR($C217="",$H217=""),"",INT(($H217-$C217)/365.25))</f>
        <v/>
      </c>
      <c r="M217" s="14" t="str">
        <f aca="false">IF($L217="","",IF($L217&lt;18,"Ha","Yo'q"))</f>
        <v/>
      </c>
      <c r="N217" s="25"/>
      <c r="O217" s="25"/>
      <c r="P217" s="25"/>
      <c r="Q217" s="12"/>
      <c r="R217" s="25"/>
      <c r="S217" s="12"/>
      <c r="T217" s="13"/>
      <c r="U217" s="12"/>
      <c r="V217" s="25"/>
      <c r="W217" s="25"/>
      <c r="X217" s="14" t="str">
        <f aca="false">IF(OR($V217="",$W217=""),"",IF(AND($V217&gt;=Spravochnik!$H$5,$W217&gt;=Spravochnik!$H$6),"Ha","Yo'q"))</f>
        <v/>
      </c>
      <c r="Y217" s="13"/>
      <c r="Z217" s="13"/>
      <c r="AA217" s="13"/>
      <c r="AB217" s="13"/>
      <c r="AC217" s="14" t="str">
        <f aca="false">IF(AND($B217&lt;&gt;"",$AE217="",$AB217&lt;&gt;"",$AB217&lt;Boshqaruv!$C$12),"Ha","")</f>
        <v/>
      </c>
      <c r="AD217" s="25"/>
      <c r="AE217" s="13"/>
      <c r="AF217" s="12"/>
      <c r="AG217" s="14" t="str">
        <f aca="false">IF(OR($B217="",$C217="",$H217=""),"",IF(COUNTIFS($B$5:$B$804,$B217,$C$5:$C$804,$C217,$H$5:$H$804,$H217)&gt;1,"Takror",""))</f>
        <v/>
      </c>
      <c r="AH217" s="28" t="str">
        <f aca="false">IF(AND($B217&lt;&gt;"",$N217="Ha",$H217&lt;&gt;"",$H217&lt;=Boshqaruv!$C$12,OR($AE217="",$AE217&gt;Boshqaruv!$C$12)),MAX($AH$4:$AH216)+1,"")</f>
        <v/>
      </c>
    </row>
    <row r="218" customFormat="false" ht="15" hidden="false" customHeight="false" outlineLevel="0" collapsed="false">
      <c r="A218" s="20" t="n">
        <v>214</v>
      </c>
      <c r="B218" s="12"/>
      <c r="C218" s="13"/>
      <c r="D218" s="24"/>
      <c r="E218" s="12"/>
      <c r="F218" s="25"/>
      <c r="G218" s="27" t="str">
        <f aca="false">IF(OR($B218="",$C218=""),"",$B218&amp;" ("&amp;DAY($C218)&amp;"."&amp;MONTH($C218)&amp;"."&amp;YEAR($C218)&amp;")")</f>
        <v/>
      </c>
      <c r="H218" s="13"/>
      <c r="I218" s="13"/>
      <c r="J218" s="15" t="str">
        <f aca="false">IF($I218="","",$I218+280)</f>
        <v/>
      </c>
      <c r="K218" s="14" t="str">
        <f aca="false">IF(OR($I218="",$AE218&lt;&gt;""),"",INT((Boshqaruv!$C$12-$I218)/7))</f>
        <v/>
      </c>
      <c r="L218" s="14" t="str">
        <f aca="false">IF(OR($C218="",$H218=""),"",INT(($H218-$C218)/365.25))</f>
        <v/>
      </c>
      <c r="M218" s="14" t="str">
        <f aca="false">IF($L218="","",IF($L218&lt;18,"Ha","Yo'q"))</f>
        <v/>
      </c>
      <c r="N218" s="25"/>
      <c r="O218" s="25"/>
      <c r="P218" s="25"/>
      <c r="Q218" s="12"/>
      <c r="R218" s="25"/>
      <c r="S218" s="12"/>
      <c r="T218" s="13"/>
      <c r="U218" s="12"/>
      <c r="V218" s="25"/>
      <c r="W218" s="25"/>
      <c r="X218" s="14" t="str">
        <f aca="false">IF(OR($V218="",$W218=""),"",IF(AND($V218&gt;=Spravochnik!$H$5,$W218&gt;=Spravochnik!$H$6),"Ha","Yo'q"))</f>
        <v/>
      </c>
      <c r="Y218" s="13"/>
      <c r="Z218" s="13"/>
      <c r="AA218" s="13"/>
      <c r="AB218" s="13"/>
      <c r="AC218" s="14" t="str">
        <f aca="false">IF(AND($B218&lt;&gt;"",$AE218="",$AB218&lt;&gt;"",$AB218&lt;Boshqaruv!$C$12),"Ha","")</f>
        <v/>
      </c>
      <c r="AD218" s="25"/>
      <c r="AE218" s="13"/>
      <c r="AF218" s="12"/>
      <c r="AG218" s="14" t="str">
        <f aca="false">IF(OR($B218="",$C218="",$H218=""),"",IF(COUNTIFS($B$5:$B$804,$B218,$C$5:$C$804,$C218,$H$5:$H$804,$H218)&gt;1,"Takror",""))</f>
        <v/>
      </c>
      <c r="AH218" s="28" t="str">
        <f aca="false">IF(AND($B218&lt;&gt;"",$N218="Ha",$H218&lt;&gt;"",$H218&lt;=Boshqaruv!$C$12,OR($AE218="",$AE218&gt;Boshqaruv!$C$12)),MAX($AH$4:$AH217)+1,"")</f>
        <v/>
      </c>
    </row>
    <row r="219" customFormat="false" ht="15" hidden="false" customHeight="false" outlineLevel="0" collapsed="false">
      <c r="A219" s="20" t="n">
        <v>215</v>
      </c>
      <c r="B219" s="12"/>
      <c r="C219" s="13"/>
      <c r="D219" s="24"/>
      <c r="E219" s="12"/>
      <c r="F219" s="25"/>
      <c r="G219" s="27" t="str">
        <f aca="false">IF(OR($B219="",$C219=""),"",$B219&amp;" ("&amp;DAY($C219)&amp;"."&amp;MONTH($C219)&amp;"."&amp;YEAR($C219)&amp;")")</f>
        <v/>
      </c>
      <c r="H219" s="13"/>
      <c r="I219" s="13"/>
      <c r="J219" s="15" t="str">
        <f aca="false">IF($I219="","",$I219+280)</f>
        <v/>
      </c>
      <c r="K219" s="14" t="str">
        <f aca="false">IF(OR($I219="",$AE219&lt;&gt;""),"",INT((Boshqaruv!$C$12-$I219)/7))</f>
        <v/>
      </c>
      <c r="L219" s="14" t="str">
        <f aca="false">IF(OR($C219="",$H219=""),"",INT(($H219-$C219)/365.25))</f>
        <v/>
      </c>
      <c r="M219" s="14" t="str">
        <f aca="false">IF($L219="","",IF($L219&lt;18,"Ha","Yo'q"))</f>
        <v/>
      </c>
      <c r="N219" s="25"/>
      <c r="O219" s="25"/>
      <c r="P219" s="25"/>
      <c r="Q219" s="12"/>
      <c r="R219" s="25"/>
      <c r="S219" s="12"/>
      <c r="T219" s="13"/>
      <c r="U219" s="12"/>
      <c r="V219" s="25"/>
      <c r="W219" s="25"/>
      <c r="X219" s="14" t="str">
        <f aca="false">IF(OR($V219="",$W219=""),"",IF(AND($V219&gt;=Spravochnik!$H$5,$W219&gt;=Spravochnik!$H$6),"Ha","Yo'q"))</f>
        <v/>
      </c>
      <c r="Y219" s="13"/>
      <c r="Z219" s="13"/>
      <c r="AA219" s="13"/>
      <c r="AB219" s="13"/>
      <c r="AC219" s="14" t="str">
        <f aca="false">IF(AND($B219&lt;&gt;"",$AE219="",$AB219&lt;&gt;"",$AB219&lt;Boshqaruv!$C$12),"Ha","")</f>
        <v/>
      </c>
      <c r="AD219" s="25"/>
      <c r="AE219" s="13"/>
      <c r="AF219" s="12"/>
      <c r="AG219" s="14" t="str">
        <f aca="false">IF(OR($B219="",$C219="",$H219=""),"",IF(COUNTIFS($B$5:$B$804,$B219,$C$5:$C$804,$C219,$H$5:$H$804,$H219)&gt;1,"Takror",""))</f>
        <v/>
      </c>
      <c r="AH219" s="28" t="str">
        <f aca="false">IF(AND($B219&lt;&gt;"",$N219="Ha",$H219&lt;&gt;"",$H219&lt;=Boshqaruv!$C$12,OR($AE219="",$AE219&gt;Boshqaruv!$C$12)),MAX($AH$4:$AH218)+1,"")</f>
        <v/>
      </c>
    </row>
    <row r="220" customFormat="false" ht="15" hidden="false" customHeight="false" outlineLevel="0" collapsed="false">
      <c r="A220" s="20" t="n">
        <v>216</v>
      </c>
      <c r="B220" s="12"/>
      <c r="C220" s="13"/>
      <c r="D220" s="24"/>
      <c r="E220" s="12"/>
      <c r="F220" s="25"/>
      <c r="G220" s="27" t="str">
        <f aca="false">IF(OR($B220="",$C220=""),"",$B220&amp;" ("&amp;DAY($C220)&amp;"."&amp;MONTH($C220)&amp;"."&amp;YEAR($C220)&amp;")")</f>
        <v/>
      </c>
      <c r="H220" s="13"/>
      <c r="I220" s="13"/>
      <c r="J220" s="15" t="str">
        <f aca="false">IF($I220="","",$I220+280)</f>
        <v/>
      </c>
      <c r="K220" s="14" t="str">
        <f aca="false">IF(OR($I220="",$AE220&lt;&gt;""),"",INT((Boshqaruv!$C$12-$I220)/7))</f>
        <v/>
      </c>
      <c r="L220" s="14" t="str">
        <f aca="false">IF(OR($C220="",$H220=""),"",INT(($H220-$C220)/365.25))</f>
        <v/>
      </c>
      <c r="M220" s="14" t="str">
        <f aca="false">IF($L220="","",IF($L220&lt;18,"Ha","Yo'q"))</f>
        <v/>
      </c>
      <c r="N220" s="25"/>
      <c r="O220" s="25"/>
      <c r="P220" s="25"/>
      <c r="Q220" s="12"/>
      <c r="R220" s="25"/>
      <c r="S220" s="12"/>
      <c r="T220" s="13"/>
      <c r="U220" s="12"/>
      <c r="V220" s="25"/>
      <c r="W220" s="25"/>
      <c r="X220" s="14" t="str">
        <f aca="false">IF(OR($V220="",$W220=""),"",IF(AND($V220&gt;=Spravochnik!$H$5,$W220&gt;=Spravochnik!$H$6),"Ha","Yo'q"))</f>
        <v/>
      </c>
      <c r="Y220" s="13"/>
      <c r="Z220" s="13"/>
      <c r="AA220" s="13"/>
      <c r="AB220" s="13"/>
      <c r="AC220" s="14" t="str">
        <f aca="false">IF(AND($B220&lt;&gt;"",$AE220="",$AB220&lt;&gt;"",$AB220&lt;Boshqaruv!$C$12),"Ha","")</f>
        <v/>
      </c>
      <c r="AD220" s="25"/>
      <c r="AE220" s="13"/>
      <c r="AF220" s="12"/>
      <c r="AG220" s="14" t="str">
        <f aca="false">IF(OR($B220="",$C220="",$H220=""),"",IF(COUNTIFS($B$5:$B$804,$B220,$C$5:$C$804,$C220,$H$5:$H$804,$H220)&gt;1,"Takror",""))</f>
        <v/>
      </c>
      <c r="AH220" s="28" t="str">
        <f aca="false">IF(AND($B220&lt;&gt;"",$N220="Ha",$H220&lt;&gt;"",$H220&lt;=Boshqaruv!$C$12,OR($AE220="",$AE220&gt;Boshqaruv!$C$12)),MAX($AH$4:$AH219)+1,"")</f>
        <v/>
      </c>
    </row>
    <row r="221" customFormat="false" ht="15" hidden="false" customHeight="false" outlineLevel="0" collapsed="false">
      <c r="A221" s="20" t="n">
        <v>217</v>
      </c>
      <c r="B221" s="12"/>
      <c r="C221" s="13"/>
      <c r="D221" s="24"/>
      <c r="E221" s="12"/>
      <c r="F221" s="25"/>
      <c r="G221" s="27" t="str">
        <f aca="false">IF(OR($B221="",$C221=""),"",$B221&amp;" ("&amp;DAY($C221)&amp;"."&amp;MONTH($C221)&amp;"."&amp;YEAR($C221)&amp;")")</f>
        <v/>
      </c>
      <c r="H221" s="13"/>
      <c r="I221" s="13"/>
      <c r="J221" s="15" t="str">
        <f aca="false">IF($I221="","",$I221+280)</f>
        <v/>
      </c>
      <c r="K221" s="14" t="str">
        <f aca="false">IF(OR($I221="",$AE221&lt;&gt;""),"",INT((Boshqaruv!$C$12-$I221)/7))</f>
        <v/>
      </c>
      <c r="L221" s="14" t="str">
        <f aca="false">IF(OR($C221="",$H221=""),"",INT(($H221-$C221)/365.25))</f>
        <v/>
      </c>
      <c r="M221" s="14" t="str">
        <f aca="false">IF($L221="","",IF($L221&lt;18,"Ha","Yo'q"))</f>
        <v/>
      </c>
      <c r="N221" s="25"/>
      <c r="O221" s="25"/>
      <c r="P221" s="25"/>
      <c r="Q221" s="12"/>
      <c r="R221" s="25"/>
      <c r="S221" s="12"/>
      <c r="T221" s="13"/>
      <c r="U221" s="12"/>
      <c r="V221" s="25"/>
      <c r="W221" s="25"/>
      <c r="X221" s="14" t="str">
        <f aca="false">IF(OR($V221="",$W221=""),"",IF(AND($V221&gt;=Spravochnik!$H$5,$W221&gt;=Spravochnik!$H$6),"Ha","Yo'q"))</f>
        <v/>
      </c>
      <c r="Y221" s="13"/>
      <c r="Z221" s="13"/>
      <c r="AA221" s="13"/>
      <c r="AB221" s="13"/>
      <c r="AC221" s="14" t="str">
        <f aca="false">IF(AND($B221&lt;&gt;"",$AE221="",$AB221&lt;&gt;"",$AB221&lt;Boshqaruv!$C$12),"Ha","")</f>
        <v/>
      </c>
      <c r="AD221" s="25"/>
      <c r="AE221" s="13"/>
      <c r="AF221" s="12"/>
      <c r="AG221" s="14" t="str">
        <f aca="false">IF(OR($B221="",$C221="",$H221=""),"",IF(COUNTIFS($B$5:$B$804,$B221,$C$5:$C$804,$C221,$H$5:$H$804,$H221)&gt;1,"Takror",""))</f>
        <v/>
      </c>
      <c r="AH221" s="28" t="str">
        <f aca="false">IF(AND($B221&lt;&gt;"",$N221="Ha",$H221&lt;&gt;"",$H221&lt;=Boshqaruv!$C$12,OR($AE221="",$AE221&gt;Boshqaruv!$C$12)),MAX($AH$4:$AH220)+1,"")</f>
        <v/>
      </c>
    </row>
    <row r="222" customFormat="false" ht="15" hidden="false" customHeight="false" outlineLevel="0" collapsed="false">
      <c r="A222" s="20" t="n">
        <v>218</v>
      </c>
      <c r="B222" s="12"/>
      <c r="C222" s="13"/>
      <c r="D222" s="24"/>
      <c r="E222" s="12"/>
      <c r="F222" s="25"/>
      <c r="G222" s="27" t="str">
        <f aca="false">IF(OR($B222="",$C222=""),"",$B222&amp;" ("&amp;DAY($C222)&amp;"."&amp;MONTH($C222)&amp;"."&amp;YEAR($C222)&amp;")")</f>
        <v/>
      </c>
      <c r="H222" s="13"/>
      <c r="I222" s="13"/>
      <c r="J222" s="15" t="str">
        <f aca="false">IF($I222="","",$I222+280)</f>
        <v/>
      </c>
      <c r="K222" s="14" t="str">
        <f aca="false">IF(OR($I222="",$AE222&lt;&gt;""),"",INT((Boshqaruv!$C$12-$I222)/7))</f>
        <v/>
      </c>
      <c r="L222" s="14" t="str">
        <f aca="false">IF(OR($C222="",$H222=""),"",INT(($H222-$C222)/365.25))</f>
        <v/>
      </c>
      <c r="M222" s="14" t="str">
        <f aca="false">IF($L222="","",IF($L222&lt;18,"Ha","Yo'q"))</f>
        <v/>
      </c>
      <c r="N222" s="25"/>
      <c r="O222" s="25"/>
      <c r="P222" s="25"/>
      <c r="Q222" s="12"/>
      <c r="R222" s="25"/>
      <c r="S222" s="12"/>
      <c r="T222" s="13"/>
      <c r="U222" s="12"/>
      <c r="V222" s="25"/>
      <c r="W222" s="25"/>
      <c r="X222" s="14" t="str">
        <f aca="false">IF(OR($V222="",$W222=""),"",IF(AND($V222&gt;=Spravochnik!$H$5,$W222&gt;=Spravochnik!$H$6),"Ha","Yo'q"))</f>
        <v/>
      </c>
      <c r="Y222" s="13"/>
      <c r="Z222" s="13"/>
      <c r="AA222" s="13"/>
      <c r="AB222" s="13"/>
      <c r="AC222" s="14" t="str">
        <f aca="false">IF(AND($B222&lt;&gt;"",$AE222="",$AB222&lt;&gt;"",$AB222&lt;Boshqaruv!$C$12),"Ha","")</f>
        <v/>
      </c>
      <c r="AD222" s="25"/>
      <c r="AE222" s="13"/>
      <c r="AF222" s="12"/>
      <c r="AG222" s="14" t="str">
        <f aca="false">IF(OR($B222="",$C222="",$H222=""),"",IF(COUNTIFS($B$5:$B$804,$B222,$C$5:$C$804,$C222,$H$5:$H$804,$H222)&gt;1,"Takror",""))</f>
        <v/>
      </c>
      <c r="AH222" s="28" t="str">
        <f aca="false">IF(AND($B222&lt;&gt;"",$N222="Ha",$H222&lt;&gt;"",$H222&lt;=Boshqaruv!$C$12,OR($AE222="",$AE222&gt;Boshqaruv!$C$12)),MAX($AH$4:$AH221)+1,"")</f>
        <v/>
      </c>
    </row>
    <row r="223" customFormat="false" ht="15" hidden="false" customHeight="false" outlineLevel="0" collapsed="false">
      <c r="A223" s="20" t="n">
        <v>219</v>
      </c>
      <c r="B223" s="12"/>
      <c r="C223" s="13"/>
      <c r="D223" s="24"/>
      <c r="E223" s="12"/>
      <c r="F223" s="25"/>
      <c r="G223" s="27" t="str">
        <f aca="false">IF(OR($B223="",$C223=""),"",$B223&amp;" ("&amp;DAY($C223)&amp;"."&amp;MONTH($C223)&amp;"."&amp;YEAR($C223)&amp;")")</f>
        <v/>
      </c>
      <c r="H223" s="13"/>
      <c r="I223" s="13"/>
      <c r="J223" s="15" t="str">
        <f aca="false">IF($I223="","",$I223+280)</f>
        <v/>
      </c>
      <c r="K223" s="14" t="str">
        <f aca="false">IF(OR($I223="",$AE223&lt;&gt;""),"",INT((Boshqaruv!$C$12-$I223)/7))</f>
        <v/>
      </c>
      <c r="L223" s="14" t="str">
        <f aca="false">IF(OR($C223="",$H223=""),"",INT(($H223-$C223)/365.25))</f>
        <v/>
      </c>
      <c r="M223" s="14" t="str">
        <f aca="false">IF($L223="","",IF($L223&lt;18,"Ha","Yo'q"))</f>
        <v/>
      </c>
      <c r="N223" s="25"/>
      <c r="O223" s="25"/>
      <c r="P223" s="25"/>
      <c r="Q223" s="12"/>
      <c r="R223" s="25"/>
      <c r="S223" s="12"/>
      <c r="T223" s="13"/>
      <c r="U223" s="12"/>
      <c r="V223" s="25"/>
      <c r="W223" s="25"/>
      <c r="X223" s="14" t="str">
        <f aca="false">IF(OR($V223="",$W223=""),"",IF(AND($V223&gt;=Spravochnik!$H$5,$W223&gt;=Spravochnik!$H$6),"Ha","Yo'q"))</f>
        <v/>
      </c>
      <c r="Y223" s="13"/>
      <c r="Z223" s="13"/>
      <c r="AA223" s="13"/>
      <c r="AB223" s="13"/>
      <c r="AC223" s="14" t="str">
        <f aca="false">IF(AND($B223&lt;&gt;"",$AE223="",$AB223&lt;&gt;"",$AB223&lt;Boshqaruv!$C$12),"Ha","")</f>
        <v/>
      </c>
      <c r="AD223" s="25"/>
      <c r="AE223" s="13"/>
      <c r="AF223" s="12"/>
      <c r="AG223" s="14" t="str">
        <f aca="false">IF(OR($B223="",$C223="",$H223=""),"",IF(COUNTIFS($B$5:$B$804,$B223,$C$5:$C$804,$C223,$H$5:$H$804,$H223)&gt;1,"Takror",""))</f>
        <v/>
      </c>
      <c r="AH223" s="28" t="str">
        <f aca="false">IF(AND($B223&lt;&gt;"",$N223="Ha",$H223&lt;&gt;"",$H223&lt;=Boshqaruv!$C$12,OR($AE223="",$AE223&gt;Boshqaruv!$C$12)),MAX($AH$4:$AH222)+1,"")</f>
        <v/>
      </c>
    </row>
    <row r="224" customFormat="false" ht="15" hidden="false" customHeight="false" outlineLevel="0" collapsed="false">
      <c r="A224" s="20" t="n">
        <v>220</v>
      </c>
      <c r="B224" s="12"/>
      <c r="C224" s="13"/>
      <c r="D224" s="24"/>
      <c r="E224" s="12"/>
      <c r="F224" s="25"/>
      <c r="G224" s="27" t="str">
        <f aca="false">IF(OR($B224="",$C224=""),"",$B224&amp;" ("&amp;DAY($C224)&amp;"."&amp;MONTH($C224)&amp;"."&amp;YEAR($C224)&amp;")")</f>
        <v/>
      </c>
      <c r="H224" s="13"/>
      <c r="I224" s="13"/>
      <c r="J224" s="15" t="str">
        <f aca="false">IF($I224="","",$I224+280)</f>
        <v/>
      </c>
      <c r="K224" s="14" t="str">
        <f aca="false">IF(OR($I224="",$AE224&lt;&gt;""),"",INT((Boshqaruv!$C$12-$I224)/7))</f>
        <v/>
      </c>
      <c r="L224" s="14" t="str">
        <f aca="false">IF(OR($C224="",$H224=""),"",INT(($H224-$C224)/365.25))</f>
        <v/>
      </c>
      <c r="M224" s="14" t="str">
        <f aca="false">IF($L224="","",IF($L224&lt;18,"Ha","Yo'q"))</f>
        <v/>
      </c>
      <c r="N224" s="25"/>
      <c r="O224" s="25"/>
      <c r="P224" s="25"/>
      <c r="Q224" s="12"/>
      <c r="R224" s="25"/>
      <c r="S224" s="12"/>
      <c r="T224" s="13"/>
      <c r="U224" s="12"/>
      <c r="V224" s="25"/>
      <c r="W224" s="25"/>
      <c r="X224" s="14" t="str">
        <f aca="false">IF(OR($V224="",$W224=""),"",IF(AND($V224&gt;=Spravochnik!$H$5,$W224&gt;=Spravochnik!$H$6),"Ha","Yo'q"))</f>
        <v/>
      </c>
      <c r="Y224" s="13"/>
      <c r="Z224" s="13"/>
      <c r="AA224" s="13"/>
      <c r="AB224" s="13"/>
      <c r="AC224" s="14" t="str">
        <f aca="false">IF(AND($B224&lt;&gt;"",$AE224="",$AB224&lt;&gt;"",$AB224&lt;Boshqaruv!$C$12),"Ha","")</f>
        <v/>
      </c>
      <c r="AD224" s="25"/>
      <c r="AE224" s="13"/>
      <c r="AF224" s="12"/>
      <c r="AG224" s="14" t="str">
        <f aca="false">IF(OR($B224="",$C224="",$H224=""),"",IF(COUNTIFS($B$5:$B$804,$B224,$C$5:$C$804,$C224,$H$5:$H$804,$H224)&gt;1,"Takror",""))</f>
        <v/>
      </c>
      <c r="AH224" s="28" t="str">
        <f aca="false">IF(AND($B224&lt;&gt;"",$N224="Ha",$H224&lt;&gt;"",$H224&lt;=Boshqaruv!$C$12,OR($AE224="",$AE224&gt;Boshqaruv!$C$12)),MAX($AH$4:$AH223)+1,"")</f>
        <v/>
      </c>
    </row>
    <row r="225" customFormat="false" ht="15" hidden="false" customHeight="false" outlineLevel="0" collapsed="false">
      <c r="A225" s="20" t="n">
        <v>221</v>
      </c>
      <c r="B225" s="12"/>
      <c r="C225" s="13"/>
      <c r="D225" s="24"/>
      <c r="E225" s="12"/>
      <c r="F225" s="25"/>
      <c r="G225" s="27" t="str">
        <f aca="false">IF(OR($B225="",$C225=""),"",$B225&amp;" ("&amp;DAY($C225)&amp;"."&amp;MONTH($C225)&amp;"."&amp;YEAR($C225)&amp;")")</f>
        <v/>
      </c>
      <c r="H225" s="13"/>
      <c r="I225" s="13"/>
      <c r="J225" s="15" t="str">
        <f aca="false">IF($I225="","",$I225+280)</f>
        <v/>
      </c>
      <c r="K225" s="14" t="str">
        <f aca="false">IF(OR($I225="",$AE225&lt;&gt;""),"",INT((Boshqaruv!$C$12-$I225)/7))</f>
        <v/>
      </c>
      <c r="L225" s="14" t="str">
        <f aca="false">IF(OR($C225="",$H225=""),"",INT(($H225-$C225)/365.25))</f>
        <v/>
      </c>
      <c r="M225" s="14" t="str">
        <f aca="false">IF($L225="","",IF($L225&lt;18,"Ha","Yo'q"))</f>
        <v/>
      </c>
      <c r="N225" s="25"/>
      <c r="O225" s="25"/>
      <c r="P225" s="25"/>
      <c r="Q225" s="12"/>
      <c r="R225" s="25"/>
      <c r="S225" s="12"/>
      <c r="T225" s="13"/>
      <c r="U225" s="12"/>
      <c r="V225" s="25"/>
      <c r="W225" s="25"/>
      <c r="X225" s="14" t="str">
        <f aca="false">IF(OR($V225="",$W225=""),"",IF(AND($V225&gt;=Spravochnik!$H$5,$W225&gt;=Spravochnik!$H$6),"Ha","Yo'q"))</f>
        <v/>
      </c>
      <c r="Y225" s="13"/>
      <c r="Z225" s="13"/>
      <c r="AA225" s="13"/>
      <c r="AB225" s="13"/>
      <c r="AC225" s="14" t="str">
        <f aca="false">IF(AND($B225&lt;&gt;"",$AE225="",$AB225&lt;&gt;"",$AB225&lt;Boshqaruv!$C$12),"Ha","")</f>
        <v/>
      </c>
      <c r="AD225" s="25"/>
      <c r="AE225" s="13"/>
      <c r="AF225" s="12"/>
      <c r="AG225" s="14" t="str">
        <f aca="false">IF(OR($B225="",$C225="",$H225=""),"",IF(COUNTIFS($B$5:$B$804,$B225,$C$5:$C$804,$C225,$H$5:$H$804,$H225)&gt;1,"Takror",""))</f>
        <v/>
      </c>
      <c r="AH225" s="28" t="str">
        <f aca="false">IF(AND($B225&lt;&gt;"",$N225="Ha",$H225&lt;&gt;"",$H225&lt;=Boshqaruv!$C$12,OR($AE225="",$AE225&gt;Boshqaruv!$C$12)),MAX($AH$4:$AH224)+1,"")</f>
        <v/>
      </c>
    </row>
    <row r="226" customFormat="false" ht="15" hidden="false" customHeight="false" outlineLevel="0" collapsed="false">
      <c r="A226" s="20" t="n">
        <v>222</v>
      </c>
      <c r="B226" s="12"/>
      <c r="C226" s="13"/>
      <c r="D226" s="24"/>
      <c r="E226" s="12"/>
      <c r="F226" s="25"/>
      <c r="G226" s="27" t="str">
        <f aca="false">IF(OR($B226="",$C226=""),"",$B226&amp;" ("&amp;DAY($C226)&amp;"."&amp;MONTH($C226)&amp;"."&amp;YEAR($C226)&amp;")")</f>
        <v/>
      </c>
      <c r="H226" s="13"/>
      <c r="I226" s="13"/>
      <c r="J226" s="15" t="str">
        <f aca="false">IF($I226="","",$I226+280)</f>
        <v/>
      </c>
      <c r="K226" s="14" t="str">
        <f aca="false">IF(OR($I226="",$AE226&lt;&gt;""),"",INT((Boshqaruv!$C$12-$I226)/7))</f>
        <v/>
      </c>
      <c r="L226" s="14" t="str">
        <f aca="false">IF(OR($C226="",$H226=""),"",INT(($H226-$C226)/365.25))</f>
        <v/>
      </c>
      <c r="M226" s="14" t="str">
        <f aca="false">IF($L226="","",IF($L226&lt;18,"Ha","Yo'q"))</f>
        <v/>
      </c>
      <c r="N226" s="25"/>
      <c r="O226" s="25"/>
      <c r="P226" s="25"/>
      <c r="Q226" s="12"/>
      <c r="R226" s="25"/>
      <c r="S226" s="12"/>
      <c r="T226" s="13"/>
      <c r="U226" s="12"/>
      <c r="V226" s="25"/>
      <c r="W226" s="25"/>
      <c r="X226" s="14" t="str">
        <f aca="false">IF(OR($V226="",$W226=""),"",IF(AND($V226&gt;=Spravochnik!$H$5,$W226&gt;=Spravochnik!$H$6),"Ha","Yo'q"))</f>
        <v/>
      </c>
      <c r="Y226" s="13"/>
      <c r="Z226" s="13"/>
      <c r="AA226" s="13"/>
      <c r="AB226" s="13"/>
      <c r="AC226" s="14" t="str">
        <f aca="false">IF(AND($B226&lt;&gt;"",$AE226="",$AB226&lt;&gt;"",$AB226&lt;Boshqaruv!$C$12),"Ha","")</f>
        <v/>
      </c>
      <c r="AD226" s="25"/>
      <c r="AE226" s="13"/>
      <c r="AF226" s="12"/>
      <c r="AG226" s="14" t="str">
        <f aca="false">IF(OR($B226="",$C226="",$H226=""),"",IF(COUNTIFS($B$5:$B$804,$B226,$C$5:$C$804,$C226,$H$5:$H$804,$H226)&gt;1,"Takror",""))</f>
        <v/>
      </c>
      <c r="AH226" s="28" t="str">
        <f aca="false">IF(AND($B226&lt;&gt;"",$N226="Ha",$H226&lt;&gt;"",$H226&lt;=Boshqaruv!$C$12,OR($AE226="",$AE226&gt;Boshqaruv!$C$12)),MAX($AH$4:$AH225)+1,"")</f>
        <v/>
      </c>
    </row>
    <row r="227" customFormat="false" ht="15" hidden="false" customHeight="false" outlineLevel="0" collapsed="false">
      <c r="A227" s="20" t="n">
        <v>223</v>
      </c>
      <c r="B227" s="12"/>
      <c r="C227" s="13"/>
      <c r="D227" s="24"/>
      <c r="E227" s="12"/>
      <c r="F227" s="25"/>
      <c r="G227" s="27" t="str">
        <f aca="false">IF(OR($B227="",$C227=""),"",$B227&amp;" ("&amp;DAY($C227)&amp;"."&amp;MONTH($C227)&amp;"."&amp;YEAR($C227)&amp;")")</f>
        <v/>
      </c>
      <c r="H227" s="13"/>
      <c r="I227" s="13"/>
      <c r="J227" s="15" t="str">
        <f aca="false">IF($I227="","",$I227+280)</f>
        <v/>
      </c>
      <c r="K227" s="14" t="str">
        <f aca="false">IF(OR($I227="",$AE227&lt;&gt;""),"",INT((Boshqaruv!$C$12-$I227)/7))</f>
        <v/>
      </c>
      <c r="L227" s="14" t="str">
        <f aca="false">IF(OR($C227="",$H227=""),"",INT(($H227-$C227)/365.25))</f>
        <v/>
      </c>
      <c r="M227" s="14" t="str">
        <f aca="false">IF($L227="","",IF($L227&lt;18,"Ha","Yo'q"))</f>
        <v/>
      </c>
      <c r="N227" s="25"/>
      <c r="O227" s="25"/>
      <c r="P227" s="25"/>
      <c r="Q227" s="12"/>
      <c r="R227" s="25"/>
      <c r="S227" s="12"/>
      <c r="T227" s="13"/>
      <c r="U227" s="12"/>
      <c r="V227" s="25"/>
      <c r="W227" s="25"/>
      <c r="X227" s="14" t="str">
        <f aca="false">IF(OR($V227="",$W227=""),"",IF(AND($V227&gt;=Spravochnik!$H$5,$W227&gt;=Spravochnik!$H$6),"Ha","Yo'q"))</f>
        <v/>
      </c>
      <c r="Y227" s="13"/>
      <c r="Z227" s="13"/>
      <c r="AA227" s="13"/>
      <c r="AB227" s="13"/>
      <c r="AC227" s="14" t="str">
        <f aca="false">IF(AND($B227&lt;&gt;"",$AE227="",$AB227&lt;&gt;"",$AB227&lt;Boshqaruv!$C$12),"Ha","")</f>
        <v/>
      </c>
      <c r="AD227" s="25"/>
      <c r="AE227" s="13"/>
      <c r="AF227" s="12"/>
      <c r="AG227" s="14" t="str">
        <f aca="false">IF(OR($B227="",$C227="",$H227=""),"",IF(COUNTIFS($B$5:$B$804,$B227,$C$5:$C$804,$C227,$H$5:$H$804,$H227)&gt;1,"Takror",""))</f>
        <v/>
      </c>
      <c r="AH227" s="28" t="str">
        <f aca="false">IF(AND($B227&lt;&gt;"",$N227="Ha",$H227&lt;&gt;"",$H227&lt;=Boshqaruv!$C$12,OR($AE227="",$AE227&gt;Boshqaruv!$C$12)),MAX($AH$4:$AH226)+1,"")</f>
        <v/>
      </c>
    </row>
    <row r="228" customFormat="false" ht="15" hidden="false" customHeight="false" outlineLevel="0" collapsed="false">
      <c r="A228" s="20" t="n">
        <v>224</v>
      </c>
      <c r="B228" s="12"/>
      <c r="C228" s="13"/>
      <c r="D228" s="24"/>
      <c r="E228" s="12"/>
      <c r="F228" s="25"/>
      <c r="G228" s="27" t="str">
        <f aca="false">IF(OR($B228="",$C228=""),"",$B228&amp;" ("&amp;DAY($C228)&amp;"."&amp;MONTH($C228)&amp;"."&amp;YEAR($C228)&amp;")")</f>
        <v/>
      </c>
      <c r="H228" s="13"/>
      <c r="I228" s="13"/>
      <c r="J228" s="15" t="str">
        <f aca="false">IF($I228="","",$I228+280)</f>
        <v/>
      </c>
      <c r="K228" s="14" t="str">
        <f aca="false">IF(OR($I228="",$AE228&lt;&gt;""),"",INT((Boshqaruv!$C$12-$I228)/7))</f>
        <v/>
      </c>
      <c r="L228" s="14" t="str">
        <f aca="false">IF(OR($C228="",$H228=""),"",INT(($H228-$C228)/365.25))</f>
        <v/>
      </c>
      <c r="M228" s="14" t="str">
        <f aca="false">IF($L228="","",IF($L228&lt;18,"Ha","Yo'q"))</f>
        <v/>
      </c>
      <c r="N228" s="25"/>
      <c r="O228" s="25"/>
      <c r="P228" s="25"/>
      <c r="Q228" s="12"/>
      <c r="R228" s="25"/>
      <c r="S228" s="12"/>
      <c r="T228" s="13"/>
      <c r="U228" s="12"/>
      <c r="V228" s="25"/>
      <c r="W228" s="25"/>
      <c r="X228" s="14" t="str">
        <f aca="false">IF(OR($V228="",$W228=""),"",IF(AND($V228&gt;=Spravochnik!$H$5,$W228&gt;=Spravochnik!$H$6),"Ha","Yo'q"))</f>
        <v/>
      </c>
      <c r="Y228" s="13"/>
      <c r="Z228" s="13"/>
      <c r="AA228" s="13"/>
      <c r="AB228" s="13"/>
      <c r="AC228" s="14" t="str">
        <f aca="false">IF(AND($B228&lt;&gt;"",$AE228="",$AB228&lt;&gt;"",$AB228&lt;Boshqaruv!$C$12),"Ha","")</f>
        <v/>
      </c>
      <c r="AD228" s="25"/>
      <c r="AE228" s="13"/>
      <c r="AF228" s="12"/>
      <c r="AG228" s="14" t="str">
        <f aca="false">IF(OR($B228="",$C228="",$H228=""),"",IF(COUNTIFS($B$5:$B$804,$B228,$C$5:$C$804,$C228,$H$5:$H$804,$H228)&gt;1,"Takror",""))</f>
        <v/>
      </c>
      <c r="AH228" s="28" t="str">
        <f aca="false">IF(AND($B228&lt;&gt;"",$N228="Ha",$H228&lt;&gt;"",$H228&lt;=Boshqaruv!$C$12,OR($AE228="",$AE228&gt;Boshqaruv!$C$12)),MAX($AH$4:$AH227)+1,"")</f>
        <v/>
      </c>
    </row>
    <row r="229" customFormat="false" ht="15" hidden="false" customHeight="false" outlineLevel="0" collapsed="false">
      <c r="A229" s="20" t="n">
        <v>225</v>
      </c>
      <c r="B229" s="12"/>
      <c r="C229" s="13"/>
      <c r="D229" s="24"/>
      <c r="E229" s="12"/>
      <c r="F229" s="25"/>
      <c r="G229" s="27" t="str">
        <f aca="false">IF(OR($B229="",$C229=""),"",$B229&amp;" ("&amp;DAY($C229)&amp;"."&amp;MONTH($C229)&amp;"."&amp;YEAR($C229)&amp;")")</f>
        <v/>
      </c>
      <c r="H229" s="13"/>
      <c r="I229" s="13"/>
      <c r="J229" s="15" t="str">
        <f aca="false">IF($I229="","",$I229+280)</f>
        <v/>
      </c>
      <c r="K229" s="14" t="str">
        <f aca="false">IF(OR($I229="",$AE229&lt;&gt;""),"",INT((Boshqaruv!$C$12-$I229)/7))</f>
        <v/>
      </c>
      <c r="L229" s="14" t="str">
        <f aca="false">IF(OR($C229="",$H229=""),"",INT(($H229-$C229)/365.25))</f>
        <v/>
      </c>
      <c r="M229" s="14" t="str">
        <f aca="false">IF($L229="","",IF($L229&lt;18,"Ha","Yo'q"))</f>
        <v/>
      </c>
      <c r="N229" s="25"/>
      <c r="O229" s="25"/>
      <c r="P229" s="25"/>
      <c r="Q229" s="12"/>
      <c r="R229" s="25"/>
      <c r="S229" s="12"/>
      <c r="T229" s="13"/>
      <c r="U229" s="12"/>
      <c r="V229" s="25"/>
      <c r="W229" s="25"/>
      <c r="X229" s="14" t="str">
        <f aca="false">IF(OR($V229="",$W229=""),"",IF(AND($V229&gt;=Spravochnik!$H$5,$W229&gt;=Spravochnik!$H$6),"Ha","Yo'q"))</f>
        <v/>
      </c>
      <c r="Y229" s="13"/>
      <c r="Z229" s="13"/>
      <c r="AA229" s="13"/>
      <c r="AB229" s="13"/>
      <c r="AC229" s="14" t="str">
        <f aca="false">IF(AND($B229&lt;&gt;"",$AE229="",$AB229&lt;&gt;"",$AB229&lt;Boshqaruv!$C$12),"Ha","")</f>
        <v/>
      </c>
      <c r="AD229" s="25"/>
      <c r="AE229" s="13"/>
      <c r="AF229" s="12"/>
      <c r="AG229" s="14" t="str">
        <f aca="false">IF(OR($B229="",$C229="",$H229=""),"",IF(COUNTIFS($B$5:$B$804,$B229,$C$5:$C$804,$C229,$H$5:$H$804,$H229)&gt;1,"Takror",""))</f>
        <v/>
      </c>
      <c r="AH229" s="28" t="str">
        <f aca="false">IF(AND($B229&lt;&gt;"",$N229="Ha",$H229&lt;&gt;"",$H229&lt;=Boshqaruv!$C$12,OR($AE229="",$AE229&gt;Boshqaruv!$C$12)),MAX($AH$4:$AH228)+1,"")</f>
        <v/>
      </c>
    </row>
    <row r="230" customFormat="false" ht="15" hidden="false" customHeight="false" outlineLevel="0" collapsed="false">
      <c r="A230" s="20" t="n">
        <v>226</v>
      </c>
      <c r="B230" s="12"/>
      <c r="C230" s="13"/>
      <c r="D230" s="24"/>
      <c r="E230" s="12"/>
      <c r="F230" s="25"/>
      <c r="G230" s="27" t="str">
        <f aca="false">IF(OR($B230="",$C230=""),"",$B230&amp;" ("&amp;DAY($C230)&amp;"."&amp;MONTH($C230)&amp;"."&amp;YEAR($C230)&amp;")")</f>
        <v/>
      </c>
      <c r="H230" s="13"/>
      <c r="I230" s="13"/>
      <c r="J230" s="15" t="str">
        <f aca="false">IF($I230="","",$I230+280)</f>
        <v/>
      </c>
      <c r="K230" s="14" t="str">
        <f aca="false">IF(OR($I230="",$AE230&lt;&gt;""),"",INT((Boshqaruv!$C$12-$I230)/7))</f>
        <v/>
      </c>
      <c r="L230" s="14" t="str">
        <f aca="false">IF(OR($C230="",$H230=""),"",INT(($H230-$C230)/365.25))</f>
        <v/>
      </c>
      <c r="M230" s="14" t="str">
        <f aca="false">IF($L230="","",IF($L230&lt;18,"Ha","Yo'q"))</f>
        <v/>
      </c>
      <c r="N230" s="25"/>
      <c r="O230" s="25"/>
      <c r="P230" s="25"/>
      <c r="Q230" s="12"/>
      <c r="R230" s="25"/>
      <c r="S230" s="12"/>
      <c r="T230" s="13"/>
      <c r="U230" s="12"/>
      <c r="V230" s="25"/>
      <c r="W230" s="25"/>
      <c r="X230" s="14" t="str">
        <f aca="false">IF(OR($V230="",$W230=""),"",IF(AND($V230&gt;=Spravochnik!$H$5,$W230&gt;=Spravochnik!$H$6),"Ha","Yo'q"))</f>
        <v/>
      </c>
      <c r="Y230" s="13"/>
      <c r="Z230" s="13"/>
      <c r="AA230" s="13"/>
      <c r="AB230" s="13"/>
      <c r="AC230" s="14" t="str">
        <f aca="false">IF(AND($B230&lt;&gt;"",$AE230="",$AB230&lt;&gt;"",$AB230&lt;Boshqaruv!$C$12),"Ha","")</f>
        <v/>
      </c>
      <c r="AD230" s="25"/>
      <c r="AE230" s="13"/>
      <c r="AF230" s="12"/>
      <c r="AG230" s="14" t="str">
        <f aca="false">IF(OR($B230="",$C230="",$H230=""),"",IF(COUNTIFS($B$5:$B$804,$B230,$C$5:$C$804,$C230,$H$5:$H$804,$H230)&gt;1,"Takror",""))</f>
        <v/>
      </c>
      <c r="AH230" s="28" t="str">
        <f aca="false">IF(AND($B230&lt;&gt;"",$N230="Ha",$H230&lt;&gt;"",$H230&lt;=Boshqaruv!$C$12,OR($AE230="",$AE230&gt;Boshqaruv!$C$12)),MAX($AH$4:$AH229)+1,"")</f>
        <v/>
      </c>
    </row>
    <row r="231" customFormat="false" ht="15" hidden="false" customHeight="false" outlineLevel="0" collapsed="false">
      <c r="A231" s="20" t="n">
        <v>227</v>
      </c>
      <c r="B231" s="12"/>
      <c r="C231" s="13"/>
      <c r="D231" s="24"/>
      <c r="E231" s="12"/>
      <c r="F231" s="25"/>
      <c r="G231" s="27" t="str">
        <f aca="false">IF(OR($B231="",$C231=""),"",$B231&amp;" ("&amp;DAY($C231)&amp;"."&amp;MONTH($C231)&amp;"."&amp;YEAR($C231)&amp;")")</f>
        <v/>
      </c>
      <c r="H231" s="13"/>
      <c r="I231" s="13"/>
      <c r="J231" s="15" t="str">
        <f aca="false">IF($I231="","",$I231+280)</f>
        <v/>
      </c>
      <c r="K231" s="14" t="str">
        <f aca="false">IF(OR($I231="",$AE231&lt;&gt;""),"",INT((Boshqaruv!$C$12-$I231)/7))</f>
        <v/>
      </c>
      <c r="L231" s="14" t="str">
        <f aca="false">IF(OR($C231="",$H231=""),"",INT(($H231-$C231)/365.25))</f>
        <v/>
      </c>
      <c r="M231" s="14" t="str">
        <f aca="false">IF($L231="","",IF($L231&lt;18,"Ha","Yo'q"))</f>
        <v/>
      </c>
      <c r="N231" s="25"/>
      <c r="O231" s="25"/>
      <c r="P231" s="25"/>
      <c r="Q231" s="12"/>
      <c r="R231" s="25"/>
      <c r="S231" s="12"/>
      <c r="T231" s="13"/>
      <c r="U231" s="12"/>
      <c r="V231" s="25"/>
      <c r="W231" s="25"/>
      <c r="X231" s="14" t="str">
        <f aca="false">IF(OR($V231="",$W231=""),"",IF(AND($V231&gt;=Spravochnik!$H$5,$W231&gt;=Spravochnik!$H$6),"Ha","Yo'q"))</f>
        <v/>
      </c>
      <c r="Y231" s="13"/>
      <c r="Z231" s="13"/>
      <c r="AA231" s="13"/>
      <c r="AB231" s="13"/>
      <c r="AC231" s="14" t="str">
        <f aca="false">IF(AND($B231&lt;&gt;"",$AE231="",$AB231&lt;&gt;"",$AB231&lt;Boshqaruv!$C$12),"Ha","")</f>
        <v/>
      </c>
      <c r="AD231" s="25"/>
      <c r="AE231" s="13"/>
      <c r="AF231" s="12"/>
      <c r="AG231" s="14" t="str">
        <f aca="false">IF(OR($B231="",$C231="",$H231=""),"",IF(COUNTIFS($B$5:$B$804,$B231,$C$5:$C$804,$C231,$H$5:$H$804,$H231)&gt;1,"Takror",""))</f>
        <v/>
      </c>
      <c r="AH231" s="28" t="str">
        <f aca="false">IF(AND($B231&lt;&gt;"",$N231="Ha",$H231&lt;&gt;"",$H231&lt;=Boshqaruv!$C$12,OR($AE231="",$AE231&gt;Boshqaruv!$C$12)),MAX($AH$4:$AH230)+1,"")</f>
        <v/>
      </c>
    </row>
    <row r="232" customFormat="false" ht="15" hidden="false" customHeight="false" outlineLevel="0" collapsed="false">
      <c r="A232" s="20" t="n">
        <v>228</v>
      </c>
      <c r="B232" s="12"/>
      <c r="C232" s="13"/>
      <c r="D232" s="24"/>
      <c r="E232" s="12"/>
      <c r="F232" s="25"/>
      <c r="G232" s="27" t="str">
        <f aca="false">IF(OR($B232="",$C232=""),"",$B232&amp;" ("&amp;DAY($C232)&amp;"."&amp;MONTH($C232)&amp;"."&amp;YEAR($C232)&amp;")")</f>
        <v/>
      </c>
      <c r="H232" s="13"/>
      <c r="I232" s="13"/>
      <c r="J232" s="15" t="str">
        <f aca="false">IF($I232="","",$I232+280)</f>
        <v/>
      </c>
      <c r="K232" s="14" t="str">
        <f aca="false">IF(OR($I232="",$AE232&lt;&gt;""),"",INT((Boshqaruv!$C$12-$I232)/7))</f>
        <v/>
      </c>
      <c r="L232" s="14" t="str">
        <f aca="false">IF(OR($C232="",$H232=""),"",INT(($H232-$C232)/365.25))</f>
        <v/>
      </c>
      <c r="M232" s="14" t="str">
        <f aca="false">IF($L232="","",IF($L232&lt;18,"Ha","Yo'q"))</f>
        <v/>
      </c>
      <c r="N232" s="25"/>
      <c r="O232" s="25"/>
      <c r="P232" s="25"/>
      <c r="Q232" s="12"/>
      <c r="R232" s="25"/>
      <c r="S232" s="12"/>
      <c r="T232" s="13"/>
      <c r="U232" s="12"/>
      <c r="V232" s="25"/>
      <c r="W232" s="25"/>
      <c r="X232" s="14" t="str">
        <f aca="false">IF(OR($V232="",$W232=""),"",IF(AND($V232&gt;=Spravochnik!$H$5,$W232&gt;=Spravochnik!$H$6),"Ha","Yo'q"))</f>
        <v/>
      </c>
      <c r="Y232" s="13"/>
      <c r="Z232" s="13"/>
      <c r="AA232" s="13"/>
      <c r="AB232" s="13"/>
      <c r="AC232" s="14" t="str">
        <f aca="false">IF(AND($B232&lt;&gt;"",$AE232="",$AB232&lt;&gt;"",$AB232&lt;Boshqaruv!$C$12),"Ha","")</f>
        <v/>
      </c>
      <c r="AD232" s="25"/>
      <c r="AE232" s="13"/>
      <c r="AF232" s="12"/>
      <c r="AG232" s="14" t="str">
        <f aca="false">IF(OR($B232="",$C232="",$H232=""),"",IF(COUNTIFS($B$5:$B$804,$B232,$C$5:$C$804,$C232,$H$5:$H$804,$H232)&gt;1,"Takror",""))</f>
        <v/>
      </c>
      <c r="AH232" s="28" t="str">
        <f aca="false">IF(AND($B232&lt;&gt;"",$N232="Ha",$H232&lt;&gt;"",$H232&lt;=Boshqaruv!$C$12,OR($AE232="",$AE232&gt;Boshqaruv!$C$12)),MAX($AH$4:$AH231)+1,"")</f>
        <v/>
      </c>
    </row>
    <row r="233" customFormat="false" ht="15" hidden="false" customHeight="false" outlineLevel="0" collapsed="false">
      <c r="A233" s="20" t="n">
        <v>229</v>
      </c>
      <c r="B233" s="12"/>
      <c r="C233" s="13"/>
      <c r="D233" s="24"/>
      <c r="E233" s="12"/>
      <c r="F233" s="25"/>
      <c r="G233" s="27" t="str">
        <f aca="false">IF(OR($B233="",$C233=""),"",$B233&amp;" ("&amp;DAY($C233)&amp;"."&amp;MONTH($C233)&amp;"."&amp;YEAR($C233)&amp;")")</f>
        <v/>
      </c>
      <c r="H233" s="13"/>
      <c r="I233" s="13"/>
      <c r="J233" s="15" t="str">
        <f aca="false">IF($I233="","",$I233+280)</f>
        <v/>
      </c>
      <c r="K233" s="14" t="str">
        <f aca="false">IF(OR($I233="",$AE233&lt;&gt;""),"",INT((Boshqaruv!$C$12-$I233)/7))</f>
        <v/>
      </c>
      <c r="L233" s="14" t="str">
        <f aca="false">IF(OR($C233="",$H233=""),"",INT(($H233-$C233)/365.25))</f>
        <v/>
      </c>
      <c r="M233" s="14" t="str">
        <f aca="false">IF($L233="","",IF($L233&lt;18,"Ha","Yo'q"))</f>
        <v/>
      </c>
      <c r="N233" s="25"/>
      <c r="O233" s="25"/>
      <c r="P233" s="25"/>
      <c r="Q233" s="12"/>
      <c r="R233" s="25"/>
      <c r="S233" s="12"/>
      <c r="T233" s="13"/>
      <c r="U233" s="12"/>
      <c r="V233" s="25"/>
      <c r="W233" s="25"/>
      <c r="X233" s="14" t="str">
        <f aca="false">IF(OR($V233="",$W233=""),"",IF(AND($V233&gt;=Spravochnik!$H$5,$W233&gt;=Spravochnik!$H$6),"Ha","Yo'q"))</f>
        <v/>
      </c>
      <c r="Y233" s="13"/>
      <c r="Z233" s="13"/>
      <c r="AA233" s="13"/>
      <c r="AB233" s="13"/>
      <c r="AC233" s="14" t="str">
        <f aca="false">IF(AND($B233&lt;&gt;"",$AE233="",$AB233&lt;&gt;"",$AB233&lt;Boshqaruv!$C$12),"Ha","")</f>
        <v/>
      </c>
      <c r="AD233" s="25"/>
      <c r="AE233" s="13"/>
      <c r="AF233" s="12"/>
      <c r="AG233" s="14" t="str">
        <f aca="false">IF(OR($B233="",$C233="",$H233=""),"",IF(COUNTIFS($B$5:$B$804,$B233,$C$5:$C$804,$C233,$H$5:$H$804,$H233)&gt;1,"Takror",""))</f>
        <v/>
      </c>
      <c r="AH233" s="28" t="str">
        <f aca="false">IF(AND($B233&lt;&gt;"",$N233="Ha",$H233&lt;&gt;"",$H233&lt;=Boshqaruv!$C$12,OR($AE233="",$AE233&gt;Boshqaruv!$C$12)),MAX($AH$4:$AH232)+1,"")</f>
        <v/>
      </c>
    </row>
    <row r="234" customFormat="false" ht="15" hidden="false" customHeight="false" outlineLevel="0" collapsed="false">
      <c r="A234" s="20" t="n">
        <v>230</v>
      </c>
      <c r="B234" s="12"/>
      <c r="C234" s="13"/>
      <c r="D234" s="24"/>
      <c r="E234" s="12"/>
      <c r="F234" s="25"/>
      <c r="G234" s="27" t="str">
        <f aca="false">IF(OR($B234="",$C234=""),"",$B234&amp;" ("&amp;DAY($C234)&amp;"."&amp;MONTH($C234)&amp;"."&amp;YEAR($C234)&amp;")")</f>
        <v/>
      </c>
      <c r="H234" s="13"/>
      <c r="I234" s="13"/>
      <c r="J234" s="15" t="str">
        <f aca="false">IF($I234="","",$I234+280)</f>
        <v/>
      </c>
      <c r="K234" s="14" t="str">
        <f aca="false">IF(OR($I234="",$AE234&lt;&gt;""),"",INT((Boshqaruv!$C$12-$I234)/7))</f>
        <v/>
      </c>
      <c r="L234" s="14" t="str">
        <f aca="false">IF(OR($C234="",$H234=""),"",INT(($H234-$C234)/365.25))</f>
        <v/>
      </c>
      <c r="M234" s="14" t="str">
        <f aca="false">IF($L234="","",IF($L234&lt;18,"Ha","Yo'q"))</f>
        <v/>
      </c>
      <c r="N234" s="25"/>
      <c r="O234" s="25"/>
      <c r="P234" s="25"/>
      <c r="Q234" s="12"/>
      <c r="R234" s="25"/>
      <c r="S234" s="12"/>
      <c r="T234" s="13"/>
      <c r="U234" s="12"/>
      <c r="V234" s="25"/>
      <c r="W234" s="25"/>
      <c r="X234" s="14" t="str">
        <f aca="false">IF(OR($V234="",$W234=""),"",IF(AND($V234&gt;=Spravochnik!$H$5,$W234&gt;=Spravochnik!$H$6),"Ha","Yo'q"))</f>
        <v/>
      </c>
      <c r="Y234" s="13"/>
      <c r="Z234" s="13"/>
      <c r="AA234" s="13"/>
      <c r="AB234" s="13"/>
      <c r="AC234" s="14" t="str">
        <f aca="false">IF(AND($B234&lt;&gt;"",$AE234="",$AB234&lt;&gt;"",$AB234&lt;Boshqaruv!$C$12),"Ha","")</f>
        <v/>
      </c>
      <c r="AD234" s="25"/>
      <c r="AE234" s="13"/>
      <c r="AF234" s="12"/>
      <c r="AG234" s="14" t="str">
        <f aca="false">IF(OR($B234="",$C234="",$H234=""),"",IF(COUNTIFS($B$5:$B$804,$B234,$C$5:$C$804,$C234,$H$5:$H$804,$H234)&gt;1,"Takror",""))</f>
        <v/>
      </c>
      <c r="AH234" s="28" t="str">
        <f aca="false">IF(AND($B234&lt;&gt;"",$N234="Ha",$H234&lt;&gt;"",$H234&lt;=Boshqaruv!$C$12,OR($AE234="",$AE234&gt;Boshqaruv!$C$12)),MAX($AH$4:$AH233)+1,"")</f>
        <v/>
      </c>
    </row>
    <row r="235" customFormat="false" ht="15" hidden="false" customHeight="false" outlineLevel="0" collapsed="false">
      <c r="A235" s="20" t="n">
        <v>231</v>
      </c>
      <c r="B235" s="12"/>
      <c r="C235" s="13"/>
      <c r="D235" s="24"/>
      <c r="E235" s="12"/>
      <c r="F235" s="25"/>
      <c r="G235" s="27" t="str">
        <f aca="false">IF(OR($B235="",$C235=""),"",$B235&amp;" ("&amp;DAY($C235)&amp;"."&amp;MONTH($C235)&amp;"."&amp;YEAR($C235)&amp;")")</f>
        <v/>
      </c>
      <c r="H235" s="13"/>
      <c r="I235" s="13"/>
      <c r="J235" s="15" t="str">
        <f aca="false">IF($I235="","",$I235+280)</f>
        <v/>
      </c>
      <c r="K235" s="14" t="str">
        <f aca="false">IF(OR($I235="",$AE235&lt;&gt;""),"",INT((Boshqaruv!$C$12-$I235)/7))</f>
        <v/>
      </c>
      <c r="L235" s="14" t="str">
        <f aca="false">IF(OR($C235="",$H235=""),"",INT(($H235-$C235)/365.25))</f>
        <v/>
      </c>
      <c r="M235" s="14" t="str">
        <f aca="false">IF($L235="","",IF($L235&lt;18,"Ha","Yo'q"))</f>
        <v/>
      </c>
      <c r="N235" s="25"/>
      <c r="O235" s="25"/>
      <c r="P235" s="25"/>
      <c r="Q235" s="12"/>
      <c r="R235" s="25"/>
      <c r="S235" s="12"/>
      <c r="T235" s="13"/>
      <c r="U235" s="12"/>
      <c r="V235" s="25"/>
      <c r="W235" s="25"/>
      <c r="X235" s="14" t="str">
        <f aca="false">IF(OR($V235="",$W235=""),"",IF(AND($V235&gt;=Spravochnik!$H$5,$W235&gt;=Spravochnik!$H$6),"Ha","Yo'q"))</f>
        <v/>
      </c>
      <c r="Y235" s="13"/>
      <c r="Z235" s="13"/>
      <c r="AA235" s="13"/>
      <c r="AB235" s="13"/>
      <c r="AC235" s="14" t="str">
        <f aca="false">IF(AND($B235&lt;&gt;"",$AE235="",$AB235&lt;&gt;"",$AB235&lt;Boshqaruv!$C$12),"Ha","")</f>
        <v/>
      </c>
      <c r="AD235" s="25"/>
      <c r="AE235" s="13"/>
      <c r="AF235" s="12"/>
      <c r="AG235" s="14" t="str">
        <f aca="false">IF(OR($B235="",$C235="",$H235=""),"",IF(COUNTIFS($B$5:$B$804,$B235,$C$5:$C$804,$C235,$H$5:$H$804,$H235)&gt;1,"Takror",""))</f>
        <v/>
      </c>
      <c r="AH235" s="28" t="str">
        <f aca="false">IF(AND($B235&lt;&gt;"",$N235="Ha",$H235&lt;&gt;"",$H235&lt;=Boshqaruv!$C$12,OR($AE235="",$AE235&gt;Boshqaruv!$C$12)),MAX($AH$4:$AH234)+1,"")</f>
        <v/>
      </c>
    </row>
    <row r="236" customFormat="false" ht="15" hidden="false" customHeight="false" outlineLevel="0" collapsed="false">
      <c r="A236" s="20" t="n">
        <v>232</v>
      </c>
      <c r="B236" s="12"/>
      <c r="C236" s="13"/>
      <c r="D236" s="24"/>
      <c r="E236" s="12"/>
      <c r="F236" s="25"/>
      <c r="G236" s="27" t="str">
        <f aca="false">IF(OR($B236="",$C236=""),"",$B236&amp;" ("&amp;DAY($C236)&amp;"."&amp;MONTH($C236)&amp;"."&amp;YEAR($C236)&amp;")")</f>
        <v/>
      </c>
      <c r="H236" s="13"/>
      <c r="I236" s="13"/>
      <c r="J236" s="15" t="str">
        <f aca="false">IF($I236="","",$I236+280)</f>
        <v/>
      </c>
      <c r="K236" s="14" t="str">
        <f aca="false">IF(OR($I236="",$AE236&lt;&gt;""),"",INT((Boshqaruv!$C$12-$I236)/7))</f>
        <v/>
      </c>
      <c r="L236" s="14" t="str">
        <f aca="false">IF(OR($C236="",$H236=""),"",INT(($H236-$C236)/365.25))</f>
        <v/>
      </c>
      <c r="M236" s="14" t="str">
        <f aca="false">IF($L236="","",IF($L236&lt;18,"Ha","Yo'q"))</f>
        <v/>
      </c>
      <c r="N236" s="25"/>
      <c r="O236" s="25"/>
      <c r="P236" s="25"/>
      <c r="Q236" s="12"/>
      <c r="R236" s="25"/>
      <c r="S236" s="12"/>
      <c r="T236" s="13"/>
      <c r="U236" s="12"/>
      <c r="V236" s="25"/>
      <c r="W236" s="25"/>
      <c r="X236" s="14" t="str">
        <f aca="false">IF(OR($V236="",$W236=""),"",IF(AND($V236&gt;=Spravochnik!$H$5,$W236&gt;=Spravochnik!$H$6),"Ha","Yo'q"))</f>
        <v/>
      </c>
      <c r="Y236" s="13"/>
      <c r="Z236" s="13"/>
      <c r="AA236" s="13"/>
      <c r="AB236" s="13"/>
      <c r="AC236" s="14" t="str">
        <f aca="false">IF(AND($B236&lt;&gt;"",$AE236="",$AB236&lt;&gt;"",$AB236&lt;Boshqaruv!$C$12),"Ha","")</f>
        <v/>
      </c>
      <c r="AD236" s="25"/>
      <c r="AE236" s="13"/>
      <c r="AF236" s="12"/>
      <c r="AG236" s="14" t="str">
        <f aca="false">IF(OR($B236="",$C236="",$H236=""),"",IF(COUNTIFS($B$5:$B$804,$B236,$C$5:$C$804,$C236,$H$5:$H$804,$H236)&gt;1,"Takror",""))</f>
        <v/>
      </c>
      <c r="AH236" s="28" t="str">
        <f aca="false">IF(AND($B236&lt;&gt;"",$N236="Ha",$H236&lt;&gt;"",$H236&lt;=Boshqaruv!$C$12,OR($AE236="",$AE236&gt;Boshqaruv!$C$12)),MAX($AH$4:$AH235)+1,"")</f>
        <v/>
      </c>
    </row>
    <row r="237" customFormat="false" ht="15" hidden="false" customHeight="false" outlineLevel="0" collapsed="false">
      <c r="A237" s="20" t="n">
        <v>233</v>
      </c>
      <c r="B237" s="12"/>
      <c r="C237" s="13"/>
      <c r="D237" s="24"/>
      <c r="E237" s="12"/>
      <c r="F237" s="25"/>
      <c r="G237" s="27" t="str">
        <f aca="false">IF(OR($B237="",$C237=""),"",$B237&amp;" ("&amp;DAY($C237)&amp;"."&amp;MONTH($C237)&amp;"."&amp;YEAR($C237)&amp;")")</f>
        <v/>
      </c>
      <c r="H237" s="13"/>
      <c r="I237" s="13"/>
      <c r="J237" s="15" t="str">
        <f aca="false">IF($I237="","",$I237+280)</f>
        <v/>
      </c>
      <c r="K237" s="14" t="str">
        <f aca="false">IF(OR($I237="",$AE237&lt;&gt;""),"",INT((Boshqaruv!$C$12-$I237)/7))</f>
        <v/>
      </c>
      <c r="L237" s="14" t="str">
        <f aca="false">IF(OR($C237="",$H237=""),"",INT(($H237-$C237)/365.25))</f>
        <v/>
      </c>
      <c r="M237" s="14" t="str">
        <f aca="false">IF($L237="","",IF($L237&lt;18,"Ha","Yo'q"))</f>
        <v/>
      </c>
      <c r="N237" s="25"/>
      <c r="O237" s="25"/>
      <c r="P237" s="25"/>
      <c r="Q237" s="12"/>
      <c r="R237" s="25"/>
      <c r="S237" s="12"/>
      <c r="T237" s="13"/>
      <c r="U237" s="12"/>
      <c r="V237" s="25"/>
      <c r="W237" s="25"/>
      <c r="X237" s="14" t="str">
        <f aca="false">IF(OR($V237="",$W237=""),"",IF(AND($V237&gt;=Spravochnik!$H$5,$W237&gt;=Spravochnik!$H$6),"Ha","Yo'q"))</f>
        <v/>
      </c>
      <c r="Y237" s="13"/>
      <c r="Z237" s="13"/>
      <c r="AA237" s="13"/>
      <c r="AB237" s="13"/>
      <c r="AC237" s="14" t="str">
        <f aca="false">IF(AND($B237&lt;&gt;"",$AE237="",$AB237&lt;&gt;"",$AB237&lt;Boshqaruv!$C$12),"Ha","")</f>
        <v/>
      </c>
      <c r="AD237" s="25"/>
      <c r="AE237" s="13"/>
      <c r="AF237" s="12"/>
      <c r="AG237" s="14" t="str">
        <f aca="false">IF(OR($B237="",$C237="",$H237=""),"",IF(COUNTIFS($B$5:$B$804,$B237,$C$5:$C$804,$C237,$H$5:$H$804,$H237)&gt;1,"Takror",""))</f>
        <v/>
      </c>
      <c r="AH237" s="28" t="str">
        <f aca="false">IF(AND($B237&lt;&gt;"",$N237="Ha",$H237&lt;&gt;"",$H237&lt;=Boshqaruv!$C$12,OR($AE237="",$AE237&gt;Boshqaruv!$C$12)),MAX($AH$4:$AH236)+1,"")</f>
        <v/>
      </c>
    </row>
    <row r="238" customFormat="false" ht="15" hidden="false" customHeight="false" outlineLevel="0" collapsed="false">
      <c r="A238" s="20" t="n">
        <v>234</v>
      </c>
      <c r="B238" s="12"/>
      <c r="C238" s="13"/>
      <c r="D238" s="24"/>
      <c r="E238" s="12"/>
      <c r="F238" s="25"/>
      <c r="G238" s="27" t="str">
        <f aca="false">IF(OR($B238="",$C238=""),"",$B238&amp;" ("&amp;DAY($C238)&amp;"."&amp;MONTH($C238)&amp;"."&amp;YEAR($C238)&amp;")")</f>
        <v/>
      </c>
      <c r="H238" s="13"/>
      <c r="I238" s="13"/>
      <c r="J238" s="15" t="str">
        <f aca="false">IF($I238="","",$I238+280)</f>
        <v/>
      </c>
      <c r="K238" s="14" t="str">
        <f aca="false">IF(OR($I238="",$AE238&lt;&gt;""),"",INT((Boshqaruv!$C$12-$I238)/7))</f>
        <v/>
      </c>
      <c r="L238" s="14" t="str">
        <f aca="false">IF(OR($C238="",$H238=""),"",INT(($H238-$C238)/365.25))</f>
        <v/>
      </c>
      <c r="M238" s="14" t="str">
        <f aca="false">IF($L238="","",IF($L238&lt;18,"Ha","Yo'q"))</f>
        <v/>
      </c>
      <c r="N238" s="25"/>
      <c r="O238" s="25"/>
      <c r="P238" s="25"/>
      <c r="Q238" s="12"/>
      <c r="R238" s="25"/>
      <c r="S238" s="12"/>
      <c r="T238" s="13"/>
      <c r="U238" s="12"/>
      <c r="V238" s="25"/>
      <c r="W238" s="25"/>
      <c r="X238" s="14" t="str">
        <f aca="false">IF(OR($V238="",$W238=""),"",IF(AND($V238&gt;=Spravochnik!$H$5,$W238&gt;=Spravochnik!$H$6),"Ha","Yo'q"))</f>
        <v/>
      </c>
      <c r="Y238" s="13"/>
      <c r="Z238" s="13"/>
      <c r="AA238" s="13"/>
      <c r="AB238" s="13"/>
      <c r="AC238" s="14" t="str">
        <f aca="false">IF(AND($B238&lt;&gt;"",$AE238="",$AB238&lt;&gt;"",$AB238&lt;Boshqaruv!$C$12),"Ha","")</f>
        <v/>
      </c>
      <c r="AD238" s="25"/>
      <c r="AE238" s="13"/>
      <c r="AF238" s="12"/>
      <c r="AG238" s="14" t="str">
        <f aca="false">IF(OR($B238="",$C238="",$H238=""),"",IF(COUNTIFS($B$5:$B$804,$B238,$C$5:$C$804,$C238,$H$5:$H$804,$H238)&gt;1,"Takror",""))</f>
        <v/>
      </c>
      <c r="AH238" s="28" t="str">
        <f aca="false">IF(AND($B238&lt;&gt;"",$N238="Ha",$H238&lt;&gt;"",$H238&lt;=Boshqaruv!$C$12,OR($AE238="",$AE238&gt;Boshqaruv!$C$12)),MAX($AH$4:$AH237)+1,"")</f>
        <v/>
      </c>
    </row>
    <row r="239" customFormat="false" ht="15" hidden="false" customHeight="false" outlineLevel="0" collapsed="false">
      <c r="A239" s="20" t="n">
        <v>235</v>
      </c>
      <c r="B239" s="12"/>
      <c r="C239" s="13"/>
      <c r="D239" s="24"/>
      <c r="E239" s="12"/>
      <c r="F239" s="25"/>
      <c r="G239" s="27" t="str">
        <f aca="false">IF(OR($B239="",$C239=""),"",$B239&amp;" ("&amp;DAY($C239)&amp;"."&amp;MONTH($C239)&amp;"."&amp;YEAR($C239)&amp;")")</f>
        <v/>
      </c>
      <c r="H239" s="13"/>
      <c r="I239" s="13"/>
      <c r="J239" s="15" t="str">
        <f aca="false">IF($I239="","",$I239+280)</f>
        <v/>
      </c>
      <c r="K239" s="14" t="str">
        <f aca="false">IF(OR($I239="",$AE239&lt;&gt;""),"",INT((Boshqaruv!$C$12-$I239)/7))</f>
        <v/>
      </c>
      <c r="L239" s="14" t="str">
        <f aca="false">IF(OR($C239="",$H239=""),"",INT(($H239-$C239)/365.25))</f>
        <v/>
      </c>
      <c r="M239" s="14" t="str">
        <f aca="false">IF($L239="","",IF($L239&lt;18,"Ha","Yo'q"))</f>
        <v/>
      </c>
      <c r="N239" s="25"/>
      <c r="O239" s="25"/>
      <c r="P239" s="25"/>
      <c r="Q239" s="12"/>
      <c r="R239" s="25"/>
      <c r="S239" s="12"/>
      <c r="T239" s="13"/>
      <c r="U239" s="12"/>
      <c r="V239" s="25"/>
      <c r="W239" s="25"/>
      <c r="X239" s="14" t="str">
        <f aca="false">IF(OR($V239="",$W239=""),"",IF(AND($V239&gt;=Spravochnik!$H$5,$W239&gt;=Spravochnik!$H$6),"Ha","Yo'q"))</f>
        <v/>
      </c>
      <c r="Y239" s="13"/>
      <c r="Z239" s="13"/>
      <c r="AA239" s="13"/>
      <c r="AB239" s="13"/>
      <c r="AC239" s="14" t="str">
        <f aca="false">IF(AND($B239&lt;&gt;"",$AE239="",$AB239&lt;&gt;"",$AB239&lt;Boshqaruv!$C$12),"Ha","")</f>
        <v/>
      </c>
      <c r="AD239" s="25"/>
      <c r="AE239" s="13"/>
      <c r="AF239" s="12"/>
      <c r="AG239" s="14" t="str">
        <f aca="false">IF(OR($B239="",$C239="",$H239=""),"",IF(COUNTIFS($B$5:$B$804,$B239,$C$5:$C$804,$C239,$H$5:$H$804,$H239)&gt;1,"Takror",""))</f>
        <v/>
      </c>
      <c r="AH239" s="28" t="str">
        <f aca="false">IF(AND($B239&lt;&gt;"",$N239="Ha",$H239&lt;&gt;"",$H239&lt;=Boshqaruv!$C$12,OR($AE239="",$AE239&gt;Boshqaruv!$C$12)),MAX($AH$4:$AH238)+1,"")</f>
        <v/>
      </c>
    </row>
    <row r="240" customFormat="false" ht="15" hidden="false" customHeight="false" outlineLevel="0" collapsed="false">
      <c r="A240" s="20" t="n">
        <v>236</v>
      </c>
      <c r="B240" s="12"/>
      <c r="C240" s="13"/>
      <c r="D240" s="24"/>
      <c r="E240" s="12"/>
      <c r="F240" s="25"/>
      <c r="G240" s="27" t="str">
        <f aca="false">IF(OR($B240="",$C240=""),"",$B240&amp;" ("&amp;DAY($C240)&amp;"."&amp;MONTH($C240)&amp;"."&amp;YEAR($C240)&amp;")")</f>
        <v/>
      </c>
      <c r="H240" s="13"/>
      <c r="I240" s="13"/>
      <c r="J240" s="15" t="str">
        <f aca="false">IF($I240="","",$I240+280)</f>
        <v/>
      </c>
      <c r="K240" s="14" t="str">
        <f aca="false">IF(OR($I240="",$AE240&lt;&gt;""),"",INT((Boshqaruv!$C$12-$I240)/7))</f>
        <v/>
      </c>
      <c r="L240" s="14" t="str">
        <f aca="false">IF(OR($C240="",$H240=""),"",INT(($H240-$C240)/365.25))</f>
        <v/>
      </c>
      <c r="M240" s="14" t="str">
        <f aca="false">IF($L240="","",IF($L240&lt;18,"Ha","Yo'q"))</f>
        <v/>
      </c>
      <c r="N240" s="25"/>
      <c r="O240" s="25"/>
      <c r="P240" s="25"/>
      <c r="Q240" s="12"/>
      <c r="R240" s="25"/>
      <c r="S240" s="12"/>
      <c r="T240" s="13"/>
      <c r="U240" s="12"/>
      <c r="V240" s="25"/>
      <c r="W240" s="25"/>
      <c r="X240" s="14" t="str">
        <f aca="false">IF(OR($V240="",$W240=""),"",IF(AND($V240&gt;=Spravochnik!$H$5,$W240&gt;=Spravochnik!$H$6),"Ha","Yo'q"))</f>
        <v/>
      </c>
      <c r="Y240" s="13"/>
      <c r="Z240" s="13"/>
      <c r="AA240" s="13"/>
      <c r="AB240" s="13"/>
      <c r="AC240" s="14" t="str">
        <f aca="false">IF(AND($B240&lt;&gt;"",$AE240="",$AB240&lt;&gt;"",$AB240&lt;Boshqaruv!$C$12),"Ha","")</f>
        <v/>
      </c>
      <c r="AD240" s="25"/>
      <c r="AE240" s="13"/>
      <c r="AF240" s="12"/>
      <c r="AG240" s="14" t="str">
        <f aca="false">IF(OR($B240="",$C240="",$H240=""),"",IF(COUNTIFS($B$5:$B$804,$B240,$C$5:$C$804,$C240,$H$5:$H$804,$H240)&gt;1,"Takror",""))</f>
        <v/>
      </c>
      <c r="AH240" s="28" t="str">
        <f aca="false">IF(AND($B240&lt;&gt;"",$N240="Ha",$H240&lt;&gt;"",$H240&lt;=Boshqaruv!$C$12,OR($AE240="",$AE240&gt;Boshqaruv!$C$12)),MAX($AH$4:$AH239)+1,"")</f>
        <v/>
      </c>
    </row>
    <row r="241" customFormat="false" ht="15" hidden="false" customHeight="false" outlineLevel="0" collapsed="false">
      <c r="A241" s="20" t="n">
        <v>237</v>
      </c>
      <c r="B241" s="12"/>
      <c r="C241" s="13"/>
      <c r="D241" s="24"/>
      <c r="E241" s="12"/>
      <c r="F241" s="25"/>
      <c r="G241" s="27" t="str">
        <f aca="false">IF(OR($B241="",$C241=""),"",$B241&amp;" ("&amp;DAY($C241)&amp;"."&amp;MONTH($C241)&amp;"."&amp;YEAR($C241)&amp;")")</f>
        <v/>
      </c>
      <c r="H241" s="13"/>
      <c r="I241" s="13"/>
      <c r="J241" s="15" t="str">
        <f aca="false">IF($I241="","",$I241+280)</f>
        <v/>
      </c>
      <c r="K241" s="14" t="str">
        <f aca="false">IF(OR($I241="",$AE241&lt;&gt;""),"",INT((Boshqaruv!$C$12-$I241)/7))</f>
        <v/>
      </c>
      <c r="L241" s="14" t="str">
        <f aca="false">IF(OR($C241="",$H241=""),"",INT(($H241-$C241)/365.25))</f>
        <v/>
      </c>
      <c r="M241" s="14" t="str">
        <f aca="false">IF($L241="","",IF($L241&lt;18,"Ha","Yo'q"))</f>
        <v/>
      </c>
      <c r="N241" s="25"/>
      <c r="O241" s="25"/>
      <c r="P241" s="25"/>
      <c r="Q241" s="12"/>
      <c r="R241" s="25"/>
      <c r="S241" s="12"/>
      <c r="T241" s="13"/>
      <c r="U241" s="12"/>
      <c r="V241" s="25"/>
      <c r="W241" s="25"/>
      <c r="X241" s="14" t="str">
        <f aca="false">IF(OR($V241="",$W241=""),"",IF(AND($V241&gt;=Spravochnik!$H$5,$W241&gt;=Spravochnik!$H$6),"Ha","Yo'q"))</f>
        <v/>
      </c>
      <c r="Y241" s="13"/>
      <c r="Z241" s="13"/>
      <c r="AA241" s="13"/>
      <c r="AB241" s="13"/>
      <c r="AC241" s="14" t="str">
        <f aca="false">IF(AND($B241&lt;&gt;"",$AE241="",$AB241&lt;&gt;"",$AB241&lt;Boshqaruv!$C$12),"Ha","")</f>
        <v/>
      </c>
      <c r="AD241" s="25"/>
      <c r="AE241" s="13"/>
      <c r="AF241" s="12"/>
      <c r="AG241" s="14" t="str">
        <f aca="false">IF(OR($B241="",$C241="",$H241=""),"",IF(COUNTIFS($B$5:$B$804,$B241,$C$5:$C$804,$C241,$H$5:$H$804,$H241)&gt;1,"Takror",""))</f>
        <v/>
      </c>
      <c r="AH241" s="28" t="str">
        <f aca="false">IF(AND($B241&lt;&gt;"",$N241="Ha",$H241&lt;&gt;"",$H241&lt;=Boshqaruv!$C$12,OR($AE241="",$AE241&gt;Boshqaruv!$C$12)),MAX($AH$4:$AH240)+1,"")</f>
        <v/>
      </c>
    </row>
    <row r="242" customFormat="false" ht="15" hidden="false" customHeight="false" outlineLevel="0" collapsed="false">
      <c r="A242" s="20" t="n">
        <v>238</v>
      </c>
      <c r="B242" s="12"/>
      <c r="C242" s="13"/>
      <c r="D242" s="24"/>
      <c r="E242" s="12"/>
      <c r="F242" s="25"/>
      <c r="G242" s="27" t="str">
        <f aca="false">IF(OR($B242="",$C242=""),"",$B242&amp;" ("&amp;DAY($C242)&amp;"."&amp;MONTH($C242)&amp;"."&amp;YEAR($C242)&amp;")")</f>
        <v/>
      </c>
      <c r="H242" s="13"/>
      <c r="I242" s="13"/>
      <c r="J242" s="15" t="str">
        <f aca="false">IF($I242="","",$I242+280)</f>
        <v/>
      </c>
      <c r="K242" s="14" t="str">
        <f aca="false">IF(OR($I242="",$AE242&lt;&gt;""),"",INT((Boshqaruv!$C$12-$I242)/7))</f>
        <v/>
      </c>
      <c r="L242" s="14" t="str">
        <f aca="false">IF(OR($C242="",$H242=""),"",INT(($H242-$C242)/365.25))</f>
        <v/>
      </c>
      <c r="M242" s="14" t="str">
        <f aca="false">IF($L242="","",IF($L242&lt;18,"Ha","Yo'q"))</f>
        <v/>
      </c>
      <c r="N242" s="25"/>
      <c r="O242" s="25"/>
      <c r="P242" s="25"/>
      <c r="Q242" s="12"/>
      <c r="R242" s="25"/>
      <c r="S242" s="12"/>
      <c r="T242" s="13"/>
      <c r="U242" s="12"/>
      <c r="V242" s="25"/>
      <c r="W242" s="25"/>
      <c r="X242" s="14" t="str">
        <f aca="false">IF(OR($V242="",$W242=""),"",IF(AND($V242&gt;=Spravochnik!$H$5,$W242&gt;=Spravochnik!$H$6),"Ha","Yo'q"))</f>
        <v/>
      </c>
      <c r="Y242" s="13"/>
      <c r="Z242" s="13"/>
      <c r="AA242" s="13"/>
      <c r="AB242" s="13"/>
      <c r="AC242" s="14" t="str">
        <f aca="false">IF(AND($B242&lt;&gt;"",$AE242="",$AB242&lt;&gt;"",$AB242&lt;Boshqaruv!$C$12),"Ha","")</f>
        <v/>
      </c>
      <c r="AD242" s="25"/>
      <c r="AE242" s="13"/>
      <c r="AF242" s="12"/>
      <c r="AG242" s="14" t="str">
        <f aca="false">IF(OR($B242="",$C242="",$H242=""),"",IF(COUNTIFS($B$5:$B$804,$B242,$C$5:$C$804,$C242,$H$5:$H$804,$H242)&gt;1,"Takror",""))</f>
        <v/>
      </c>
      <c r="AH242" s="28" t="str">
        <f aca="false">IF(AND($B242&lt;&gt;"",$N242="Ha",$H242&lt;&gt;"",$H242&lt;=Boshqaruv!$C$12,OR($AE242="",$AE242&gt;Boshqaruv!$C$12)),MAX($AH$4:$AH241)+1,"")</f>
        <v/>
      </c>
    </row>
    <row r="243" customFormat="false" ht="15" hidden="false" customHeight="false" outlineLevel="0" collapsed="false">
      <c r="A243" s="20" t="n">
        <v>239</v>
      </c>
      <c r="B243" s="12"/>
      <c r="C243" s="13"/>
      <c r="D243" s="24"/>
      <c r="E243" s="12"/>
      <c r="F243" s="25"/>
      <c r="G243" s="27" t="str">
        <f aca="false">IF(OR($B243="",$C243=""),"",$B243&amp;" ("&amp;DAY($C243)&amp;"."&amp;MONTH($C243)&amp;"."&amp;YEAR($C243)&amp;")")</f>
        <v/>
      </c>
      <c r="H243" s="13"/>
      <c r="I243" s="13"/>
      <c r="J243" s="15" t="str">
        <f aca="false">IF($I243="","",$I243+280)</f>
        <v/>
      </c>
      <c r="K243" s="14" t="str">
        <f aca="false">IF(OR($I243="",$AE243&lt;&gt;""),"",INT((Boshqaruv!$C$12-$I243)/7))</f>
        <v/>
      </c>
      <c r="L243" s="14" t="str">
        <f aca="false">IF(OR($C243="",$H243=""),"",INT(($H243-$C243)/365.25))</f>
        <v/>
      </c>
      <c r="M243" s="14" t="str">
        <f aca="false">IF($L243="","",IF($L243&lt;18,"Ha","Yo'q"))</f>
        <v/>
      </c>
      <c r="N243" s="25"/>
      <c r="O243" s="25"/>
      <c r="P243" s="25"/>
      <c r="Q243" s="12"/>
      <c r="R243" s="25"/>
      <c r="S243" s="12"/>
      <c r="T243" s="13"/>
      <c r="U243" s="12"/>
      <c r="V243" s="25"/>
      <c r="W243" s="25"/>
      <c r="X243" s="14" t="str">
        <f aca="false">IF(OR($V243="",$W243=""),"",IF(AND($V243&gt;=Spravochnik!$H$5,$W243&gt;=Spravochnik!$H$6),"Ha","Yo'q"))</f>
        <v/>
      </c>
      <c r="Y243" s="13"/>
      <c r="Z243" s="13"/>
      <c r="AA243" s="13"/>
      <c r="AB243" s="13"/>
      <c r="AC243" s="14" t="str">
        <f aca="false">IF(AND($B243&lt;&gt;"",$AE243="",$AB243&lt;&gt;"",$AB243&lt;Boshqaruv!$C$12),"Ha","")</f>
        <v/>
      </c>
      <c r="AD243" s="25"/>
      <c r="AE243" s="13"/>
      <c r="AF243" s="12"/>
      <c r="AG243" s="14" t="str">
        <f aca="false">IF(OR($B243="",$C243="",$H243=""),"",IF(COUNTIFS($B$5:$B$804,$B243,$C$5:$C$804,$C243,$H$5:$H$804,$H243)&gt;1,"Takror",""))</f>
        <v/>
      </c>
      <c r="AH243" s="28" t="str">
        <f aca="false">IF(AND($B243&lt;&gt;"",$N243="Ha",$H243&lt;&gt;"",$H243&lt;=Boshqaruv!$C$12,OR($AE243="",$AE243&gt;Boshqaruv!$C$12)),MAX($AH$4:$AH242)+1,"")</f>
        <v/>
      </c>
    </row>
    <row r="244" customFormat="false" ht="15" hidden="false" customHeight="false" outlineLevel="0" collapsed="false">
      <c r="A244" s="20" t="n">
        <v>240</v>
      </c>
      <c r="B244" s="12"/>
      <c r="C244" s="13"/>
      <c r="D244" s="24"/>
      <c r="E244" s="12"/>
      <c r="F244" s="25"/>
      <c r="G244" s="27" t="str">
        <f aca="false">IF(OR($B244="",$C244=""),"",$B244&amp;" ("&amp;DAY($C244)&amp;"."&amp;MONTH($C244)&amp;"."&amp;YEAR($C244)&amp;")")</f>
        <v/>
      </c>
      <c r="H244" s="13"/>
      <c r="I244" s="13"/>
      <c r="J244" s="15" t="str">
        <f aca="false">IF($I244="","",$I244+280)</f>
        <v/>
      </c>
      <c r="K244" s="14" t="str">
        <f aca="false">IF(OR($I244="",$AE244&lt;&gt;""),"",INT((Boshqaruv!$C$12-$I244)/7))</f>
        <v/>
      </c>
      <c r="L244" s="14" t="str">
        <f aca="false">IF(OR($C244="",$H244=""),"",INT(($H244-$C244)/365.25))</f>
        <v/>
      </c>
      <c r="M244" s="14" t="str">
        <f aca="false">IF($L244="","",IF($L244&lt;18,"Ha","Yo'q"))</f>
        <v/>
      </c>
      <c r="N244" s="25"/>
      <c r="O244" s="25"/>
      <c r="P244" s="25"/>
      <c r="Q244" s="12"/>
      <c r="R244" s="25"/>
      <c r="S244" s="12"/>
      <c r="T244" s="13"/>
      <c r="U244" s="12"/>
      <c r="V244" s="25"/>
      <c r="W244" s="25"/>
      <c r="X244" s="14" t="str">
        <f aca="false">IF(OR($V244="",$W244=""),"",IF(AND($V244&gt;=Spravochnik!$H$5,$W244&gt;=Spravochnik!$H$6),"Ha","Yo'q"))</f>
        <v/>
      </c>
      <c r="Y244" s="13"/>
      <c r="Z244" s="13"/>
      <c r="AA244" s="13"/>
      <c r="AB244" s="13"/>
      <c r="AC244" s="14" t="str">
        <f aca="false">IF(AND($B244&lt;&gt;"",$AE244="",$AB244&lt;&gt;"",$AB244&lt;Boshqaruv!$C$12),"Ha","")</f>
        <v/>
      </c>
      <c r="AD244" s="25"/>
      <c r="AE244" s="13"/>
      <c r="AF244" s="12"/>
      <c r="AG244" s="14" t="str">
        <f aca="false">IF(OR($B244="",$C244="",$H244=""),"",IF(COUNTIFS($B$5:$B$804,$B244,$C$5:$C$804,$C244,$H$5:$H$804,$H244)&gt;1,"Takror",""))</f>
        <v/>
      </c>
      <c r="AH244" s="28" t="str">
        <f aca="false">IF(AND($B244&lt;&gt;"",$N244="Ha",$H244&lt;&gt;"",$H244&lt;=Boshqaruv!$C$12,OR($AE244="",$AE244&gt;Boshqaruv!$C$12)),MAX($AH$4:$AH243)+1,"")</f>
        <v/>
      </c>
    </row>
    <row r="245" customFormat="false" ht="15" hidden="false" customHeight="false" outlineLevel="0" collapsed="false">
      <c r="A245" s="20" t="n">
        <v>241</v>
      </c>
      <c r="B245" s="12"/>
      <c r="C245" s="13"/>
      <c r="D245" s="24"/>
      <c r="E245" s="12"/>
      <c r="F245" s="25"/>
      <c r="G245" s="27" t="str">
        <f aca="false">IF(OR($B245="",$C245=""),"",$B245&amp;" ("&amp;DAY($C245)&amp;"."&amp;MONTH($C245)&amp;"."&amp;YEAR($C245)&amp;")")</f>
        <v/>
      </c>
      <c r="H245" s="13"/>
      <c r="I245" s="13"/>
      <c r="J245" s="15" t="str">
        <f aca="false">IF($I245="","",$I245+280)</f>
        <v/>
      </c>
      <c r="K245" s="14" t="str">
        <f aca="false">IF(OR($I245="",$AE245&lt;&gt;""),"",INT((Boshqaruv!$C$12-$I245)/7))</f>
        <v/>
      </c>
      <c r="L245" s="14" t="str">
        <f aca="false">IF(OR($C245="",$H245=""),"",INT(($H245-$C245)/365.25))</f>
        <v/>
      </c>
      <c r="M245" s="14" t="str">
        <f aca="false">IF($L245="","",IF($L245&lt;18,"Ha","Yo'q"))</f>
        <v/>
      </c>
      <c r="N245" s="25"/>
      <c r="O245" s="25"/>
      <c r="P245" s="25"/>
      <c r="Q245" s="12"/>
      <c r="R245" s="25"/>
      <c r="S245" s="12"/>
      <c r="T245" s="13"/>
      <c r="U245" s="12"/>
      <c r="V245" s="25"/>
      <c r="W245" s="25"/>
      <c r="X245" s="14" t="str">
        <f aca="false">IF(OR($V245="",$W245=""),"",IF(AND($V245&gt;=Spravochnik!$H$5,$W245&gt;=Spravochnik!$H$6),"Ha","Yo'q"))</f>
        <v/>
      </c>
      <c r="Y245" s="13"/>
      <c r="Z245" s="13"/>
      <c r="AA245" s="13"/>
      <c r="AB245" s="13"/>
      <c r="AC245" s="14" t="str">
        <f aca="false">IF(AND($B245&lt;&gt;"",$AE245="",$AB245&lt;&gt;"",$AB245&lt;Boshqaruv!$C$12),"Ha","")</f>
        <v/>
      </c>
      <c r="AD245" s="25"/>
      <c r="AE245" s="13"/>
      <c r="AF245" s="12"/>
      <c r="AG245" s="14" t="str">
        <f aca="false">IF(OR($B245="",$C245="",$H245=""),"",IF(COUNTIFS($B$5:$B$804,$B245,$C$5:$C$804,$C245,$H$5:$H$804,$H245)&gt;1,"Takror",""))</f>
        <v/>
      </c>
      <c r="AH245" s="28" t="str">
        <f aca="false">IF(AND($B245&lt;&gt;"",$N245="Ha",$H245&lt;&gt;"",$H245&lt;=Boshqaruv!$C$12,OR($AE245="",$AE245&gt;Boshqaruv!$C$12)),MAX($AH$4:$AH244)+1,"")</f>
        <v/>
      </c>
    </row>
    <row r="246" customFormat="false" ht="15" hidden="false" customHeight="false" outlineLevel="0" collapsed="false">
      <c r="A246" s="20" t="n">
        <v>242</v>
      </c>
      <c r="B246" s="12"/>
      <c r="C246" s="13"/>
      <c r="D246" s="24"/>
      <c r="E246" s="12"/>
      <c r="F246" s="25"/>
      <c r="G246" s="27" t="str">
        <f aca="false">IF(OR($B246="",$C246=""),"",$B246&amp;" ("&amp;DAY($C246)&amp;"."&amp;MONTH($C246)&amp;"."&amp;YEAR($C246)&amp;")")</f>
        <v/>
      </c>
      <c r="H246" s="13"/>
      <c r="I246" s="13"/>
      <c r="J246" s="15" t="str">
        <f aca="false">IF($I246="","",$I246+280)</f>
        <v/>
      </c>
      <c r="K246" s="14" t="str">
        <f aca="false">IF(OR($I246="",$AE246&lt;&gt;""),"",INT((Boshqaruv!$C$12-$I246)/7))</f>
        <v/>
      </c>
      <c r="L246" s="14" t="str">
        <f aca="false">IF(OR($C246="",$H246=""),"",INT(($H246-$C246)/365.25))</f>
        <v/>
      </c>
      <c r="M246" s="14" t="str">
        <f aca="false">IF($L246="","",IF($L246&lt;18,"Ha","Yo'q"))</f>
        <v/>
      </c>
      <c r="N246" s="25"/>
      <c r="O246" s="25"/>
      <c r="P246" s="25"/>
      <c r="Q246" s="12"/>
      <c r="R246" s="25"/>
      <c r="S246" s="12"/>
      <c r="T246" s="13"/>
      <c r="U246" s="12"/>
      <c r="V246" s="25"/>
      <c r="W246" s="25"/>
      <c r="X246" s="14" t="str">
        <f aca="false">IF(OR($V246="",$W246=""),"",IF(AND($V246&gt;=Spravochnik!$H$5,$W246&gt;=Spravochnik!$H$6),"Ha","Yo'q"))</f>
        <v/>
      </c>
      <c r="Y246" s="13"/>
      <c r="Z246" s="13"/>
      <c r="AA246" s="13"/>
      <c r="AB246" s="13"/>
      <c r="AC246" s="14" t="str">
        <f aca="false">IF(AND($B246&lt;&gt;"",$AE246="",$AB246&lt;&gt;"",$AB246&lt;Boshqaruv!$C$12),"Ha","")</f>
        <v/>
      </c>
      <c r="AD246" s="25"/>
      <c r="AE246" s="13"/>
      <c r="AF246" s="12"/>
      <c r="AG246" s="14" t="str">
        <f aca="false">IF(OR($B246="",$C246="",$H246=""),"",IF(COUNTIFS($B$5:$B$804,$B246,$C$5:$C$804,$C246,$H$5:$H$804,$H246)&gt;1,"Takror",""))</f>
        <v/>
      </c>
      <c r="AH246" s="28" t="str">
        <f aca="false">IF(AND($B246&lt;&gt;"",$N246="Ha",$H246&lt;&gt;"",$H246&lt;=Boshqaruv!$C$12,OR($AE246="",$AE246&gt;Boshqaruv!$C$12)),MAX($AH$4:$AH245)+1,"")</f>
        <v/>
      </c>
    </row>
    <row r="247" customFormat="false" ht="15" hidden="false" customHeight="false" outlineLevel="0" collapsed="false">
      <c r="A247" s="20" t="n">
        <v>243</v>
      </c>
      <c r="B247" s="12"/>
      <c r="C247" s="13"/>
      <c r="D247" s="24"/>
      <c r="E247" s="12"/>
      <c r="F247" s="25"/>
      <c r="G247" s="27" t="str">
        <f aca="false">IF(OR($B247="",$C247=""),"",$B247&amp;" ("&amp;DAY($C247)&amp;"."&amp;MONTH($C247)&amp;"."&amp;YEAR($C247)&amp;")")</f>
        <v/>
      </c>
      <c r="H247" s="13"/>
      <c r="I247" s="13"/>
      <c r="J247" s="15" t="str">
        <f aca="false">IF($I247="","",$I247+280)</f>
        <v/>
      </c>
      <c r="K247" s="14" t="str">
        <f aca="false">IF(OR($I247="",$AE247&lt;&gt;""),"",INT((Boshqaruv!$C$12-$I247)/7))</f>
        <v/>
      </c>
      <c r="L247" s="14" t="str">
        <f aca="false">IF(OR($C247="",$H247=""),"",INT(($H247-$C247)/365.25))</f>
        <v/>
      </c>
      <c r="M247" s="14" t="str">
        <f aca="false">IF($L247="","",IF($L247&lt;18,"Ha","Yo'q"))</f>
        <v/>
      </c>
      <c r="N247" s="25"/>
      <c r="O247" s="25"/>
      <c r="P247" s="25"/>
      <c r="Q247" s="12"/>
      <c r="R247" s="25"/>
      <c r="S247" s="12"/>
      <c r="T247" s="13"/>
      <c r="U247" s="12"/>
      <c r="V247" s="25"/>
      <c r="W247" s="25"/>
      <c r="X247" s="14" t="str">
        <f aca="false">IF(OR($V247="",$W247=""),"",IF(AND($V247&gt;=Spravochnik!$H$5,$W247&gt;=Spravochnik!$H$6),"Ha","Yo'q"))</f>
        <v/>
      </c>
      <c r="Y247" s="13"/>
      <c r="Z247" s="13"/>
      <c r="AA247" s="13"/>
      <c r="AB247" s="13"/>
      <c r="AC247" s="14" t="str">
        <f aca="false">IF(AND($B247&lt;&gt;"",$AE247="",$AB247&lt;&gt;"",$AB247&lt;Boshqaruv!$C$12),"Ha","")</f>
        <v/>
      </c>
      <c r="AD247" s="25"/>
      <c r="AE247" s="13"/>
      <c r="AF247" s="12"/>
      <c r="AG247" s="14" t="str">
        <f aca="false">IF(OR($B247="",$C247="",$H247=""),"",IF(COUNTIFS($B$5:$B$804,$B247,$C$5:$C$804,$C247,$H$5:$H$804,$H247)&gt;1,"Takror",""))</f>
        <v/>
      </c>
      <c r="AH247" s="28" t="str">
        <f aca="false">IF(AND($B247&lt;&gt;"",$N247="Ha",$H247&lt;&gt;"",$H247&lt;=Boshqaruv!$C$12,OR($AE247="",$AE247&gt;Boshqaruv!$C$12)),MAX($AH$4:$AH246)+1,"")</f>
        <v/>
      </c>
    </row>
    <row r="248" customFormat="false" ht="15" hidden="false" customHeight="false" outlineLevel="0" collapsed="false">
      <c r="A248" s="20" t="n">
        <v>244</v>
      </c>
      <c r="B248" s="12"/>
      <c r="C248" s="13"/>
      <c r="D248" s="24"/>
      <c r="E248" s="12"/>
      <c r="F248" s="25"/>
      <c r="G248" s="27" t="str">
        <f aca="false">IF(OR($B248="",$C248=""),"",$B248&amp;" ("&amp;DAY($C248)&amp;"."&amp;MONTH($C248)&amp;"."&amp;YEAR($C248)&amp;")")</f>
        <v/>
      </c>
      <c r="H248" s="13"/>
      <c r="I248" s="13"/>
      <c r="J248" s="15" t="str">
        <f aca="false">IF($I248="","",$I248+280)</f>
        <v/>
      </c>
      <c r="K248" s="14" t="str">
        <f aca="false">IF(OR($I248="",$AE248&lt;&gt;""),"",INT((Boshqaruv!$C$12-$I248)/7))</f>
        <v/>
      </c>
      <c r="L248" s="14" t="str">
        <f aca="false">IF(OR($C248="",$H248=""),"",INT(($H248-$C248)/365.25))</f>
        <v/>
      </c>
      <c r="M248" s="14" t="str">
        <f aca="false">IF($L248="","",IF($L248&lt;18,"Ha","Yo'q"))</f>
        <v/>
      </c>
      <c r="N248" s="25"/>
      <c r="O248" s="25"/>
      <c r="P248" s="25"/>
      <c r="Q248" s="12"/>
      <c r="R248" s="25"/>
      <c r="S248" s="12"/>
      <c r="T248" s="13"/>
      <c r="U248" s="12"/>
      <c r="V248" s="25"/>
      <c r="W248" s="25"/>
      <c r="X248" s="14" t="str">
        <f aca="false">IF(OR($V248="",$W248=""),"",IF(AND($V248&gt;=Spravochnik!$H$5,$W248&gt;=Spravochnik!$H$6),"Ha","Yo'q"))</f>
        <v/>
      </c>
      <c r="Y248" s="13"/>
      <c r="Z248" s="13"/>
      <c r="AA248" s="13"/>
      <c r="AB248" s="13"/>
      <c r="AC248" s="14" t="str">
        <f aca="false">IF(AND($B248&lt;&gt;"",$AE248="",$AB248&lt;&gt;"",$AB248&lt;Boshqaruv!$C$12),"Ha","")</f>
        <v/>
      </c>
      <c r="AD248" s="25"/>
      <c r="AE248" s="13"/>
      <c r="AF248" s="12"/>
      <c r="AG248" s="14" t="str">
        <f aca="false">IF(OR($B248="",$C248="",$H248=""),"",IF(COUNTIFS($B$5:$B$804,$B248,$C$5:$C$804,$C248,$H$5:$H$804,$H248)&gt;1,"Takror",""))</f>
        <v/>
      </c>
      <c r="AH248" s="28" t="str">
        <f aca="false">IF(AND($B248&lt;&gt;"",$N248="Ha",$H248&lt;&gt;"",$H248&lt;=Boshqaruv!$C$12,OR($AE248="",$AE248&gt;Boshqaruv!$C$12)),MAX($AH$4:$AH247)+1,"")</f>
        <v/>
      </c>
    </row>
    <row r="249" customFormat="false" ht="15" hidden="false" customHeight="false" outlineLevel="0" collapsed="false">
      <c r="A249" s="20" t="n">
        <v>245</v>
      </c>
      <c r="B249" s="12"/>
      <c r="C249" s="13"/>
      <c r="D249" s="24"/>
      <c r="E249" s="12"/>
      <c r="F249" s="25"/>
      <c r="G249" s="27" t="str">
        <f aca="false">IF(OR($B249="",$C249=""),"",$B249&amp;" ("&amp;DAY($C249)&amp;"."&amp;MONTH($C249)&amp;"."&amp;YEAR($C249)&amp;")")</f>
        <v/>
      </c>
      <c r="H249" s="13"/>
      <c r="I249" s="13"/>
      <c r="J249" s="15" t="str">
        <f aca="false">IF($I249="","",$I249+280)</f>
        <v/>
      </c>
      <c r="K249" s="14" t="str">
        <f aca="false">IF(OR($I249="",$AE249&lt;&gt;""),"",INT((Boshqaruv!$C$12-$I249)/7))</f>
        <v/>
      </c>
      <c r="L249" s="14" t="str">
        <f aca="false">IF(OR($C249="",$H249=""),"",INT(($H249-$C249)/365.25))</f>
        <v/>
      </c>
      <c r="M249" s="14" t="str">
        <f aca="false">IF($L249="","",IF($L249&lt;18,"Ha","Yo'q"))</f>
        <v/>
      </c>
      <c r="N249" s="25"/>
      <c r="O249" s="25"/>
      <c r="P249" s="25"/>
      <c r="Q249" s="12"/>
      <c r="R249" s="25"/>
      <c r="S249" s="12"/>
      <c r="T249" s="13"/>
      <c r="U249" s="12"/>
      <c r="V249" s="25"/>
      <c r="W249" s="25"/>
      <c r="X249" s="14" t="str">
        <f aca="false">IF(OR($V249="",$W249=""),"",IF(AND($V249&gt;=Spravochnik!$H$5,$W249&gt;=Spravochnik!$H$6),"Ha","Yo'q"))</f>
        <v/>
      </c>
      <c r="Y249" s="13"/>
      <c r="Z249" s="13"/>
      <c r="AA249" s="13"/>
      <c r="AB249" s="13"/>
      <c r="AC249" s="14" t="str">
        <f aca="false">IF(AND($B249&lt;&gt;"",$AE249="",$AB249&lt;&gt;"",$AB249&lt;Boshqaruv!$C$12),"Ha","")</f>
        <v/>
      </c>
      <c r="AD249" s="25"/>
      <c r="AE249" s="13"/>
      <c r="AF249" s="12"/>
      <c r="AG249" s="14" t="str">
        <f aca="false">IF(OR($B249="",$C249="",$H249=""),"",IF(COUNTIFS($B$5:$B$804,$B249,$C$5:$C$804,$C249,$H$5:$H$804,$H249)&gt;1,"Takror",""))</f>
        <v/>
      </c>
      <c r="AH249" s="28" t="str">
        <f aca="false">IF(AND($B249&lt;&gt;"",$N249="Ha",$H249&lt;&gt;"",$H249&lt;=Boshqaruv!$C$12,OR($AE249="",$AE249&gt;Boshqaruv!$C$12)),MAX($AH$4:$AH248)+1,"")</f>
        <v/>
      </c>
    </row>
    <row r="250" customFormat="false" ht="15" hidden="false" customHeight="false" outlineLevel="0" collapsed="false">
      <c r="A250" s="20" t="n">
        <v>246</v>
      </c>
      <c r="B250" s="12"/>
      <c r="C250" s="13"/>
      <c r="D250" s="24"/>
      <c r="E250" s="12"/>
      <c r="F250" s="25"/>
      <c r="G250" s="27" t="str">
        <f aca="false">IF(OR($B250="",$C250=""),"",$B250&amp;" ("&amp;DAY($C250)&amp;"."&amp;MONTH($C250)&amp;"."&amp;YEAR($C250)&amp;")")</f>
        <v/>
      </c>
      <c r="H250" s="13"/>
      <c r="I250" s="13"/>
      <c r="J250" s="15" t="str">
        <f aca="false">IF($I250="","",$I250+280)</f>
        <v/>
      </c>
      <c r="K250" s="14" t="str">
        <f aca="false">IF(OR($I250="",$AE250&lt;&gt;""),"",INT((Boshqaruv!$C$12-$I250)/7))</f>
        <v/>
      </c>
      <c r="L250" s="14" t="str">
        <f aca="false">IF(OR($C250="",$H250=""),"",INT(($H250-$C250)/365.25))</f>
        <v/>
      </c>
      <c r="M250" s="14" t="str">
        <f aca="false">IF($L250="","",IF($L250&lt;18,"Ha","Yo'q"))</f>
        <v/>
      </c>
      <c r="N250" s="25"/>
      <c r="O250" s="25"/>
      <c r="P250" s="25"/>
      <c r="Q250" s="12"/>
      <c r="R250" s="25"/>
      <c r="S250" s="12"/>
      <c r="T250" s="13"/>
      <c r="U250" s="12"/>
      <c r="V250" s="25"/>
      <c r="W250" s="25"/>
      <c r="X250" s="14" t="str">
        <f aca="false">IF(OR($V250="",$W250=""),"",IF(AND($V250&gt;=Spravochnik!$H$5,$W250&gt;=Spravochnik!$H$6),"Ha","Yo'q"))</f>
        <v/>
      </c>
      <c r="Y250" s="13"/>
      <c r="Z250" s="13"/>
      <c r="AA250" s="13"/>
      <c r="AB250" s="13"/>
      <c r="AC250" s="14" t="str">
        <f aca="false">IF(AND($B250&lt;&gt;"",$AE250="",$AB250&lt;&gt;"",$AB250&lt;Boshqaruv!$C$12),"Ha","")</f>
        <v/>
      </c>
      <c r="AD250" s="25"/>
      <c r="AE250" s="13"/>
      <c r="AF250" s="12"/>
      <c r="AG250" s="14" t="str">
        <f aca="false">IF(OR($B250="",$C250="",$H250=""),"",IF(COUNTIFS($B$5:$B$804,$B250,$C$5:$C$804,$C250,$H$5:$H$804,$H250)&gt;1,"Takror",""))</f>
        <v/>
      </c>
      <c r="AH250" s="28" t="str">
        <f aca="false">IF(AND($B250&lt;&gt;"",$N250="Ha",$H250&lt;&gt;"",$H250&lt;=Boshqaruv!$C$12,OR($AE250="",$AE250&gt;Boshqaruv!$C$12)),MAX($AH$4:$AH249)+1,"")</f>
        <v/>
      </c>
    </row>
    <row r="251" customFormat="false" ht="15" hidden="false" customHeight="false" outlineLevel="0" collapsed="false">
      <c r="A251" s="20" t="n">
        <v>247</v>
      </c>
      <c r="B251" s="12"/>
      <c r="C251" s="13"/>
      <c r="D251" s="24"/>
      <c r="E251" s="12"/>
      <c r="F251" s="25"/>
      <c r="G251" s="27" t="str">
        <f aca="false">IF(OR($B251="",$C251=""),"",$B251&amp;" ("&amp;DAY($C251)&amp;"."&amp;MONTH($C251)&amp;"."&amp;YEAR($C251)&amp;")")</f>
        <v/>
      </c>
      <c r="H251" s="13"/>
      <c r="I251" s="13"/>
      <c r="J251" s="15" t="str">
        <f aca="false">IF($I251="","",$I251+280)</f>
        <v/>
      </c>
      <c r="K251" s="14" t="str">
        <f aca="false">IF(OR($I251="",$AE251&lt;&gt;""),"",INT((Boshqaruv!$C$12-$I251)/7))</f>
        <v/>
      </c>
      <c r="L251" s="14" t="str">
        <f aca="false">IF(OR($C251="",$H251=""),"",INT(($H251-$C251)/365.25))</f>
        <v/>
      </c>
      <c r="M251" s="14" t="str">
        <f aca="false">IF($L251="","",IF($L251&lt;18,"Ha","Yo'q"))</f>
        <v/>
      </c>
      <c r="N251" s="25"/>
      <c r="O251" s="25"/>
      <c r="P251" s="25"/>
      <c r="Q251" s="12"/>
      <c r="R251" s="25"/>
      <c r="S251" s="12"/>
      <c r="T251" s="13"/>
      <c r="U251" s="12"/>
      <c r="V251" s="25"/>
      <c r="W251" s="25"/>
      <c r="X251" s="14" t="str">
        <f aca="false">IF(OR($V251="",$W251=""),"",IF(AND($V251&gt;=Spravochnik!$H$5,$W251&gt;=Spravochnik!$H$6),"Ha","Yo'q"))</f>
        <v/>
      </c>
      <c r="Y251" s="13"/>
      <c r="Z251" s="13"/>
      <c r="AA251" s="13"/>
      <c r="AB251" s="13"/>
      <c r="AC251" s="14" t="str">
        <f aca="false">IF(AND($B251&lt;&gt;"",$AE251="",$AB251&lt;&gt;"",$AB251&lt;Boshqaruv!$C$12),"Ha","")</f>
        <v/>
      </c>
      <c r="AD251" s="25"/>
      <c r="AE251" s="13"/>
      <c r="AF251" s="12"/>
      <c r="AG251" s="14" t="str">
        <f aca="false">IF(OR($B251="",$C251="",$H251=""),"",IF(COUNTIFS($B$5:$B$804,$B251,$C$5:$C$804,$C251,$H$5:$H$804,$H251)&gt;1,"Takror",""))</f>
        <v/>
      </c>
      <c r="AH251" s="28" t="str">
        <f aca="false">IF(AND($B251&lt;&gt;"",$N251="Ha",$H251&lt;&gt;"",$H251&lt;=Boshqaruv!$C$12,OR($AE251="",$AE251&gt;Boshqaruv!$C$12)),MAX($AH$4:$AH250)+1,"")</f>
        <v/>
      </c>
    </row>
    <row r="252" customFormat="false" ht="15" hidden="false" customHeight="false" outlineLevel="0" collapsed="false">
      <c r="A252" s="20" t="n">
        <v>248</v>
      </c>
      <c r="B252" s="12"/>
      <c r="C252" s="13"/>
      <c r="D252" s="24"/>
      <c r="E252" s="12"/>
      <c r="F252" s="25"/>
      <c r="G252" s="27" t="str">
        <f aca="false">IF(OR($B252="",$C252=""),"",$B252&amp;" ("&amp;DAY($C252)&amp;"."&amp;MONTH($C252)&amp;"."&amp;YEAR($C252)&amp;")")</f>
        <v/>
      </c>
      <c r="H252" s="13"/>
      <c r="I252" s="13"/>
      <c r="J252" s="15" t="str">
        <f aca="false">IF($I252="","",$I252+280)</f>
        <v/>
      </c>
      <c r="K252" s="14" t="str">
        <f aca="false">IF(OR($I252="",$AE252&lt;&gt;""),"",INT((Boshqaruv!$C$12-$I252)/7))</f>
        <v/>
      </c>
      <c r="L252" s="14" t="str">
        <f aca="false">IF(OR($C252="",$H252=""),"",INT(($H252-$C252)/365.25))</f>
        <v/>
      </c>
      <c r="M252" s="14" t="str">
        <f aca="false">IF($L252="","",IF($L252&lt;18,"Ha","Yo'q"))</f>
        <v/>
      </c>
      <c r="N252" s="25"/>
      <c r="O252" s="25"/>
      <c r="P252" s="25"/>
      <c r="Q252" s="12"/>
      <c r="R252" s="25"/>
      <c r="S252" s="12"/>
      <c r="T252" s="13"/>
      <c r="U252" s="12"/>
      <c r="V252" s="25"/>
      <c r="W252" s="25"/>
      <c r="X252" s="14" t="str">
        <f aca="false">IF(OR($V252="",$W252=""),"",IF(AND($V252&gt;=Spravochnik!$H$5,$W252&gt;=Spravochnik!$H$6),"Ha","Yo'q"))</f>
        <v/>
      </c>
      <c r="Y252" s="13"/>
      <c r="Z252" s="13"/>
      <c r="AA252" s="13"/>
      <c r="AB252" s="13"/>
      <c r="AC252" s="14" t="str">
        <f aca="false">IF(AND($B252&lt;&gt;"",$AE252="",$AB252&lt;&gt;"",$AB252&lt;Boshqaruv!$C$12),"Ha","")</f>
        <v/>
      </c>
      <c r="AD252" s="25"/>
      <c r="AE252" s="13"/>
      <c r="AF252" s="12"/>
      <c r="AG252" s="14" t="str">
        <f aca="false">IF(OR($B252="",$C252="",$H252=""),"",IF(COUNTIFS($B$5:$B$804,$B252,$C$5:$C$804,$C252,$H$5:$H$804,$H252)&gt;1,"Takror",""))</f>
        <v/>
      </c>
      <c r="AH252" s="28" t="str">
        <f aca="false">IF(AND($B252&lt;&gt;"",$N252="Ha",$H252&lt;&gt;"",$H252&lt;=Boshqaruv!$C$12,OR($AE252="",$AE252&gt;Boshqaruv!$C$12)),MAX($AH$4:$AH251)+1,"")</f>
        <v/>
      </c>
    </row>
    <row r="253" customFormat="false" ht="15" hidden="false" customHeight="false" outlineLevel="0" collapsed="false">
      <c r="A253" s="20" t="n">
        <v>249</v>
      </c>
      <c r="B253" s="12"/>
      <c r="C253" s="13"/>
      <c r="D253" s="24"/>
      <c r="E253" s="12"/>
      <c r="F253" s="25"/>
      <c r="G253" s="27" t="str">
        <f aca="false">IF(OR($B253="",$C253=""),"",$B253&amp;" ("&amp;DAY($C253)&amp;"."&amp;MONTH($C253)&amp;"."&amp;YEAR($C253)&amp;")")</f>
        <v/>
      </c>
      <c r="H253" s="13"/>
      <c r="I253" s="13"/>
      <c r="J253" s="15" t="str">
        <f aca="false">IF($I253="","",$I253+280)</f>
        <v/>
      </c>
      <c r="K253" s="14" t="str">
        <f aca="false">IF(OR($I253="",$AE253&lt;&gt;""),"",INT((Boshqaruv!$C$12-$I253)/7))</f>
        <v/>
      </c>
      <c r="L253" s="14" t="str">
        <f aca="false">IF(OR($C253="",$H253=""),"",INT(($H253-$C253)/365.25))</f>
        <v/>
      </c>
      <c r="M253" s="14" t="str">
        <f aca="false">IF($L253="","",IF($L253&lt;18,"Ha","Yo'q"))</f>
        <v/>
      </c>
      <c r="N253" s="25"/>
      <c r="O253" s="25"/>
      <c r="P253" s="25"/>
      <c r="Q253" s="12"/>
      <c r="R253" s="25"/>
      <c r="S253" s="12"/>
      <c r="T253" s="13"/>
      <c r="U253" s="12"/>
      <c r="V253" s="25"/>
      <c r="W253" s="25"/>
      <c r="X253" s="14" t="str">
        <f aca="false">IF(OR($V253="",$W253=""),"",IF(AND($V253&gt;=Spravochnik!$H$5,$W253&gt;=Spravochnik!$H$6),"Ha","Yo'q"))</f>
        <v/>
      </c>
      <c r="Y253" s="13"/>
      <c r="Z253" s="13"/>
      <c r="AA253" s="13"/>
      <c r="AB253" s="13"/>
      <c r="AC253" s="14" t="str">
        <f aca="false">IF(AND($B253&lt;&gt;"",$AE253="",$AB253&lt;&gt;"",$AB253&lt;Boshqaruv!$C$12),"Ha","")</f>
        <v/>
      </c>
      <c r="AD253" s="25"/>
      <c r="AE253" s="13"/>
      <c r="AF253" s="12"/>
      <c r="AG253" s="14" t="str">
        <f aca="false">IF(OR($B253="",$C253="",$H253=""),"",IF(COUNTIFS($B$5:$B$804,$B253,$C$5:$C$804,$C253,$H$5:$H$804,$H253)&gt;1,"Takror",""))</f>
        <v/>
      </c>
      <c r="AH253" s="28" t="str">
        <f aca="false">IF(AND($B253&lt;&gt;"",$N253="Ha",$H253&lt;&gt;"",$H253&lt;=Boshqaruv!$C$12,OR($AE253="",$AE253&gt;Boshqaruv!$C$12)),MAX($AH$4:$AH252)+1,"")</f>
        <v/>
      </c>
    </row>
    <row r="254" customFormat="false" ht="15" hidden="false" customHeight="false" outlineLevel="0" collapsed="false">
      <c r="A254" s="20" t="n">
        <v>250</v>
      </c>
      <c r="B254" s="12"/>
      <c r="C254" s="13"/>
      <c r="D254" s="24"/>
      <c r="E254" s="12"/>
      <c r="F254" s="25"/>
      <c r="G254" s="27" t="str">
        <f aca="false">IF(OR($B254="",$C254=""),"",$B254&amp;" ("&amp;DAY($C254)&amp;"."&amp;MONTH($C254)&amp;"."&amp;YEAR($C254)&amp;")")</f>
        <v/>
      </c>
      <c r="H254" s="13"/>
      <c r="I254" s="13"/>
      <c r="J254" s="15" t="str">
        <f aca="false">IF($I254="","",$I254+280)</f>
        <v/>
      </c>
      <c r="K254" s="14" t="str">
        <f aca="false">IF(OR($I254="",$AE254&lt;&gt;""),"",INT((Boshqaruv!$C$12-$I254)/7))</f>
        <v/>
      </c>
      <c r="L254" s="14" t="str">
        <f aca="false">IF(OR($C254="",$H254=""),"",INT(($H254-$C254)/365.25))</f>
        <v/>
      </c>
      <c r="M254" s="14" t="str">
        <f aca="false">IF($L254="","",IF($L254&lt;18,"Ha","Yo'q"))</f>
        <v/>
      </c>
      <c r="N254" s="25"/>
      <c r="O254" s="25"/>
      <c r="P254" s="25"/>
      <c r="Q254" s="12"/>
      <c r="R254" s="25"/>
      <c r="S254" s="12"/>
      <c r="T254" s="13"/>
      <c r="U254" s="12"/>
      <c r="V254" s="25"/>
      <c r="W254" s="25"/>
      <c r="X254" s="14" t="str">
        <f aca="false">IF(OR($V254="",$W254=""),"",IF(AND($V254&gt;=Spravochnik!$H$5,$W254&gt;=Spravochnik!$H$6),"Ha","Yo'q"))</f>
        <v/>
      </c>
      <c r="Y254" s="13"/>
      <c r="Z254" s="13"/>
      <c r="AA254" s="13"/>
      <c r="AB254" s="13"/>
      <c r="AC254" s="14" t="str">
        <f aca="false">IF(AND($B254&lt;&gt;"",$AE254="",$AB254&lt;&gt;"",$AB254&lt;Boshqaruv!$C$12),"Ha","")</f>
        <v/>
      </c>
      <c r="AD254" s="25"/>
      <c r="AE254" s="13"/>
      <c r="AF254" s="12"/>
      <c r="AG254" s="14" t="str">
        <f aca="false">IF(OR($B254="",$C254="",$H254=""),"",IF(COUNTIFS($B$5:$B$804,$B254,$C$5:$C$804,$C254,$H$5:$H$804,$H254)&gt;1,"Takror",""))</f>
        <v/>
      </c>
      <c r="AH254" s="28" t="str">
        <f aca="false">IF(AND($B254&lt;&gt;"",$N254="Ha",$H254&lt;&gt;"",$H254&lt;=Boshqaruv!$C$12,OR($AE254="",$AE254&gt;Boshqaruv!$C$12)),MAX($AH$4:$AH253)+1,"")</f>
        <v/>
      </c>
    </row>
    <row r="255" customFormat="false" ht="15" hidden="false" customHeight="false" outlineLevel="0" collapsed="false">
      <c r="A255" s="20" t="n">
        <v>251</v>
      </c>
      <c r="B255" s="12"/>
      <c r="C255" s="13"/>
      <c r="D255" s="24"/>
      <c r="E255" s="12"/>
      <c r="F255" s="25"/>
      <c r="G255" s="27" t="str">
        <f aca="false">IF(OR($B255="",$C255=""),"",$B255&amp;" ("&amp;DAY($C255)&amp;"."&amp;MONTH($C255)&amp;"."&amp;YEAR($C255)&amp;")")</f>
        <v/>
      </c>
      <c r="H255" s="13"/>
      <c r="I255" s="13"/>
      <c r="J255" s="15" t="str">
        <f aca="false">IF($I255="","",$I255+280)</f>
        <v/>
      </c>
      <c r="K255" s="14" t="str">
        <f aca="false">IF(OR($I255="",$AE255&lt;&gt;""),"",INT((Boshqaruv!$C$12-$I255)/7))</f>
        <v/>
      </c>
      <c r="L255" s="14" t="str">
        <f aca="false">IF(OR($C255="",$H255=""),"",INT(($H255-$C255)/365.25))</f>
        <v/>
      </c>
      <c r="M255" s="14" t="str">
        <f aca="false">IF($L255="","",IF($L255&lt;18,"Ha","Yo'q"))</f>
        <v/>
      </c>
      <c r="N255" s="25"/>
      <c r="O255" s="25"/>
      <c r="P255" s="25"/>
      <c r="Q255" s="12"/>
      <c r="R255" s="25"/>
      <c r="S255" s="12"/>
      <c r="T255" s="13"/>
      <c r="U255" s="12"/>
      <c r="V255" s="25"/>
      <c r="W255" s="25"/>
      <c r="X255" s="14" t="str">
        <f aca="false">IF(OR($V255="",$W255=""),"",IF(AND($V255&gt;=Spravochnik!$H$5,$W255&gt;=Spravochnik!$H$6),"Ha","Yo'q"))</f>
        <v/>
      </c>
      <c r="Y255" s="13"/>
      <c r="Z255" s="13"/>
      <c r="AA255" s="13"/>
      <c r="AB255" s="13"/>
      <c r="AC255" s="14" t="str">
        <f aca="false">IF(AND($B255&lt;&gt;"",$AE255="",$AB255&lt;&gt;"",$AB255&lt;Boshqaruv!$C$12),"Ha","")</f>
        <v/>
      </c>
      <c r="AD255" s="25"/>
      <c r="AE255" s="13"/>
      <c r="AF255" s="12"/>
      <c r="AG255" s="14" t="str">
        <f aca="false">IF(OR($B255="",$C255="",$H255=""),"",IF(COUNTIFS($B$5:$B$804,$B255,$C$5:$C$804,$C255,$H$5:$H$804,$H255)&gt;1,"Takror",""))</f>
        <v/>
      </c>
      <c r="AH255" s="28" t="str">
        <f aca="false">IF(AND($B255&lt;&gt;"",$N255="Ha",$H255&lt;&gt;"",$H255&lt;=Boshqaruv!$C$12,OR($AE255="",$AE255&gt;Boshqaruv!$C$12)),MAX($AH$4:$AH254)+1,"")</f>
        <v/>
      </c>
    </row>
    <row r="256" customFormat="false" ht="15" hidden="false" customHeight="false" outlineLevel="0" collapsed="false">
      <c r="A256" s="20" t="n">
        <v>252</v>
      </c>
      <c r="B256" s="12"/>
      <c r="C256" s="13"/>
      <c r="D256" s="24"/>
      <c r="E256" s="12"/>
      <c r="F256" s="25"/>
      <c r="G256" s="27" t="str">
        <f aca="false">IF(OR($B256="",$C256=""),"",$B256&amp;" ("&amp;DAY($C256)&amp;"."&amp;MONTH($C256)&amp;"."&amp;YEAR($C256)&amp;")")</f>
        <v/>
      </c>
      <c r="H256" s="13"/>
      <c r="I256" s="13"/>
      <c r="J256" s="15" t="str">
        <f aca="false">IF($I256="","",$I256+280)</f>
        <v/>
      </c>
      <c r="K256" s="14" t="str">
        <f aca="false">IF(OR($I256="",$AE256&lt;&gt;""),"",INT((Boshqaruv!$C$12-$I256)/7))</f>
        <v/>
      </c>
      <c r="L256" s="14" t="str">
        <f aca="false">IF(OR($C256="",$H256=""),"",INT(($H256-$C256)/365.25))</f>
        <v/>
      </c>
      <c r="M256" s="14" t="str">
        <f aca="false">IF($L256="","",IF($L256&lt;18,"Ha","Yo'q"))</f>
        <v/>
      </c>
      <c r="N256" s="25"/>
      <c r="O256" s="25"/>
      <c r="P256" s="25"/>
      <c r="Q256" s="12"/>
      <c r="R256" s="25"/>
      <c r="S256" s="12"/>
      <c r="T256" s="13"/>
      <c r="U256" s="12"/>
      <c r="V256" s="25"/>
      <c r="W256" s="25"/>
      <c r="X256" s="14" t="str">
        <f aca="false">IF(OR($V256="",$W256=""),"",IF(AND($V256&gt;=Spravochnik!$H$5,$W256&gt;=Spravochnik!$H$6),"Ha","Yo'q"))</f>
        <v/>
      </c>
      <c r="Y256" s="13"/>
      <c r="Z256" s="13"/>
      <c r="AA256" s="13"/>
      <c r="AB256" s="13"/>
      <c r="AC256" s="14" t="str">
        <f aca="false">IF(AND($B256&lt;&gt;"",$AE256="",$AB256&lt;&gt;"",$AB256&lt;Boshqaruv!$C$12),"Ha","")</f>
        <v/>
      </c>
      <c r="AD256" s="25"/>
      <c r="AE256" s="13"/>
      <c r="AF256" s="12"/>
      <c r="AG256" s="14" t="str">
        <f aca="false">IF(OR($B256="",$C256="",$H256=""),"",IF(COUNTIFS($B$5:$B$804,$B256,$C$5:$C$804,$C256,$H$5:$H$804,$H256)&gt;1,"Takror",""))</f>
        <v/>
      </c>
      <c r="AH256" s="28" t="str">
        <f aca="false">IF(AND($B256&lt;&gt;"",$N256="Ha",$H256&lt;&gt;"",$H256&lt;=Boshqaruv!$C$12,OR($AE256="",$AE256&gt;Boshqaruv!$C$12)),MAX($AH$4:$AH255)+1,"")</f>
        <v/>
      </c>
    </row>
    <row r="257" customFormat="false" ht="15" hidden="false" customHeight="false" outlineLevel="0" collapsed="false">
      <c r="A257" s="20" t="n">
        <v>253</v>
      </c>
      <c r="B257" s="12"/>
      <c r="C257" s="13"/>
      <c r="D257" s="24"/>
      <c r="E257" s="12"/>
      <c r="F257" s="25"/>
      <c r="G257" s="27" t="str">
        <f aca="false">IF(OR($B257="",$C257=""),"",$B257&amp;" ("&amp;DAY($C257)&amp;"."&amp;MONTH($C257)&amp;"."&amp;YEAR($C257)&amp;")")</f>
        <v/>
      </c>
      <c r="H257" s="13"/>
      <c r="I257" s="13"/>
      <c r="J257" s="15" t="str">
        <f aca="false">IF($I257="","",$I257+280)</f>
        <v/>
      </c>
      <c r="K257" s="14" t="str">
        <f aca="false">IF(OR($I257="",$AE257&lt;&gt;""),"",INT((Boshqaruv!$C$12-$I257)/7))</f>
        <v/>
      </c>
      <c r="L257" s="14" t="str">
        <f aca="false">IF(OR($C257="",$H257=""),"",INT(($H257-$C257)/365.25))</f>
        <v/>
      </c>
      <c r="M257" s="14" t="str">
        <f aca="false">IF($L257="","",IF($L257&lt;18,"Ha","Yo'q"))</f>
        <v/>
      </c>
      <c r="N257" s="25"/>
      <c r="O257" s="25"/>
      <c r="P257" s="25"/>
      <c r="Q257" s="12"/>
      <c r="R257" s="25"/>
      <c r="S257" s="12"/>
      <c r="T257" s="13"/>
      <c r="U257" s="12"/>
      <c r="V257" s="25"/>
      <c r="W257" s="25"/>
      <c r="X257" s="14" t="str">
        <f aca="false">IF(OR($V257="",$W257=""),"",IF(AND($V257&gt;=Spravochnik!$H$5,$W257&gt;=Spravochnik!$H$6),"Ha","Yo'q"))</f>
        <v/>
      </c>
      <c r="Y257" s="13"/>
      <c r="Z257" s="13"/>
      <c r="AA257" s="13"/>
      <c r="AB257" s="13"/>
      <c r="AC257" s="14" t="str">
        <f aca="false">IF(AND($B257&lt;&gt;"",$AE257="",$AB257&lt;&gt;"",$AB257&lt;Boshqaruv!$C$12),"Ha","")</f>
        <v/>
      </c>
      <c r="AD257" s="25"/>
      <c r="AE257" s="13"/>
      <c r="AF257" s="12"/>
      <c r="AG257" s="14" t="str">
        <f aca="false">IF(OR($B257="",$C257="",$H257=""),"",IF(COUNTIFS($B$5:$B$804,$B257,$C$5:$C$804,$C257,$H$5:$H$804,$H257)&gt;1,"Takror",""))</f>
        <v/>
      </c>
      <c r="AH257" s="28" t="str">
        <f aca="false">IF(AND($B257&lt;&gt;"",$N257="Ha",$H257&lt;&gt;"",$H257&lt;=Boshqaruv!$C$12,OR($AE257="",$AE257&gt;Boshqaruv!$C$12)),MAX($AH$4:$AH256)+1,"")</f>
        <v/>
      </c>
    </row>
    <row r="258" customFormat="false" ht="15" hidden="false" customHeight="false" outlineLevel="0" collapsed="false">
      <c r="A258" s="20" t="n">
        <v>254</v>
      </c>
      <c r="B258" s="12"/>
      <c r="C258" s="13"/>
      <c r="D258" s="24"/>
      <c r="E258" s="12"/>
      <c r="F258" s="25"/>
      <c r="G258" s="27" t="str">
        <f aca="false">IF(OR($B258="",$C258=""),"",$B258&amp;" ("&amp;DAY($C258)&amp;"."&amp;MONTH($C258)&amp;"."&amp;YEAR($C258)&amp;")")</f>
        <v/>
      </c>
      <c r="H258" s="13"/>
      <c r="I258" s="13"/>
      <c r="J258" s="15" t="str">
        <f aca="false">IF($I258="","",$I258+280)</f>
        <v/>
      </c>
      <c r="K258" s="14" t="str">
        <f aca="false">IF(OR($I258="",$AE258&lt;&gt;""),"",INT((Boshqaruv!$C$12-$I258)/7))</f>
        <v/>
      </c>
      <c r="L258" s="14" t="str">
        <f aca="false">IF(OR($C258="",$H258=""),"",INT(($H258-$C258)/365.25))</f>
        <v/>
      </c>
      <c r="M258" s="14" t="str">
        <f aca="false">IF($L258="","",IF($L258&lt;18,"Ha","Yo'q"))</f>
        <v/>
      </c>
      <c r="N258" s="25"/>
      <c r="O258" s="25"/>
      <c r="P258" s="25"/>
      <c r="Q258" s="12"/>
      <c r="R258" s="25"/>
      <c r="S258" s="12"/>
      <c r="T258" s="13"/>
      <c r="U258" s="12"/>
      <c r="V258" s="25"/>
      <c r="W258" s="25"/>
      <c r="X258" s="14" t="str">
        <f aca="false">IF(OR($V258="",$W258=""),"",IF(AND($V258&gt;=Spravochnik!$H$5,$W258&gt;=Spravochnik!$H$6),"Ha","Yo'q"))</f>
        <v/>
      </c>
      <c r="Y258" s="13"/>
      <c r="Z258" s="13"/>
      <c r="AA258" s="13"/>
      <c r="AB258" s="13"/>
      <c r="AC258" s="14" t="str">
        <f aca="false">IF(AND($B258&lt;&gt;"",$AE258="",$AB258&lt;&gt;"",$AB258&lt;Boshqaruv!$C$12),"Ha","")</f>
        <v/>
      </c>
      <c r="AD258" s="25"/>
      <c r="AE258" s="13"/>
      <c r="AF258" s="12"/>
      <c r="AG258" s="14" t="str">
        <f aca="false">IF(OR($B258="",$C258="",$H258=""),"",IF(COUNTIFS($B$5:$B$804,$B258,$C$5:$C$804,$C258,$H$5:$H$804,$H258)&gt;1,"Takror",""))</f>
        <v/>
      </c>
      <c r="AH258" s="28" t="str">
        <f aca="false">IF(AND($B258&lt;&gt;"",$N258="Ha",$H258&lt;&gt;"",$H258&lt;=Boshqaruv!$C$12,OR($AE258="",$AE258&gt;Boshqaruv!$C$12)),MAX($AH$4:$AH257)+1,"")</f>
        <v/>
      </c>
    </row>
    <row r="259" customFormat="false" ht="15" hidden="false" customHeight="false" outlineLevel="0" collapsed="false">
      <c r="A259" s="20" t="n">
        <v>255</v>
      </c>
      <c r="B259" s="12"/>
      <c r="C259" s="13"/>
      <c r="D259" s="24"/>
      <c r="E259" s="12"/>
      <c r="F259" s="25"/>
      <c r="G259" s="27" t="str">
        <f aca="false">IF(OR($B259="",$C259=""),"",$B259&amp;" ("&amp;DAY($C259)&amp;"."&amp;MONTH($C259)&amp;"."&amp;YEAR($C259)&amp;")")</f>
        <v/>
      </c>
      <c r="H259" s="13"/>
      <c r="I259" s="13"/>
      <c r="J259" s="15" t="str">
        <f aca="false">IF($I259="","",$I259+280)</f>
        <v/>
      </c>
      <c r="K259" s="14" t="str">
        <f aca="false">IF(OR($I259="",$AE259&lt;&gt;""),"",INT((Boshqaruv!$C$12-$I259)/7))</f>
        <v/>
      </c>
      <c r="L259" s="14" t="str">
        <f aca="false">IF(OR($C259="",$H259=""),"",INT(($H259-$C259)/365.25))</f>
        <v/>
      </c>
      <c r="M259" s="14" t="str">
        <f aca="false">IF($L259="","",IF($L259&lt;18,"Ha","Yo'q"))</f>
        <v/>
      </c>
      <c r="N259" s="25"/>
      <c r="O259" s="25"/>
      <c r="P259" s="25"/>
      <c r="Q259" s="12"/>
      <c r="R259" s="25"/>
      <c r="S259" s="12"/>
      <c r="T259" s="13"/>
      <c r="U259" s="12"/>
      <c r="V259" s="25"/>
      <c r="W259" s="25"/>
      <c r="X259" s="14" t="str">
        <f aca="false">IF(OR($V259="",$W259=""),"",IF(AND($V259&gt;=Spravochnik!$H$5,$W259&gt;=Spravochnik!$H$6),"Ha","Yo'q"))</f>
        <v/>
      </c>
      <c r="Y259" s="13"/>
      <c r="Z259" s="13"/>
      <c r="AA259" s="13"/>
      <c r="AB259" s="13"/>
      <c r="AC259" s="14" t="str">
        <f aca="false">IF(AND($B259&lt;&gt;"",$AE259="",$AB259&lt;&gt;"",$AB259&lt;Boshqaruv!$C$12),"Ha","")</f>
        <v/>
      </c>
      <c r="AD259" s="25"/>
      <c r="AE259" s="13"/>
      <c r="AF259" s="12"/>
      <c r="AG259" s="14" t="str">
        <f aca="false">IF(OR($B259="",$C259="",$H259=""),"",IF(COUNTIFS($B$5:$B$804,$B259,$C$5:$C$804,$C259,$H$5:$H$804,$H259)&gt;1,"Takror",""))</f>
        <v/>
      </c>
      <c r="AH259" s="28" t="str">
        <f aca="false">IF(AND($B259&lt;&gt;"",$N259="Ha",$H259&lt;&gt;"",$H259&lt;=Boshqaruv!$C$12,OR($AE259="",$AE259&gt;Boshqaruv!$C$12)),MAX($AH$4:$AH258)+1,"")</f>
        <v/>
      </c>
    </row>
    <row r="260" customFormat="false" ht="15" hidden="false" customHeight="false" outlineLevel="0" collapsed="false">
      <c r="A260" s="20" t="n">
        <v>256</v>
      </c>
      <c r="B260" s="12"/>
      <c r="C260" s="13"/>
      <c r="D260" s="24"/>
      <c r="E260" s="12"/>
      <c r="F260" s="25"/>
      <c r="G260" s="27" t="str">
        <f aca="false">IF(OR($B260="",$C260=""),"",$B260&amp;" ("&amp;DAY($C260)&amp;"."&amp;MONTH($C260)&amp;"."&amp;YEAR($C260)&amp;")")</f>
        <v/>
      </c>
      <c r="H260" s="13"/>
      <c r="I260" s="13"/>
      <c r="J260" s="15" t="str">
        <f aca="false">IF($I260="","",$I260+280)</f>
        <v/>
      </c>
      <c r="K260" s="14" t="str">
        <f aca="false">IF(OR($I260="",$AE260&lt;&gt;""),"",INT((Boshqaruv!$C$12-$I260)/7))</f>
        <v/>
      </c>
      <c r="L260" s="14" t="str">
        <f aca="false">IF(OR($C260="",$H260=""),"",INT(($H260-$C260)/365.25))</f>
        <v/>
      </c>
      <c r="M260" s="14" t="str">
        <f aca="false">IF($L260="","",IF($L260&lt;18,"Ha","Yo'q"))</f>
        <v/>
      </c>
      <c r="N260" s="25"/>
      <c r="O260" s="25"/>
      <c r="P260" s="25"/>
      <c r="Q260" s="12"/>
      <c r="R260" s="25"/>
      <c r="S260" s="12"/>
      <c r="T260" s="13"/>
      <c r="U260" s="12"/>
      <c r="V260" s="25"/>
      <c r="W260" s="25"/>
      <c r="X260" s="14" t="str">
        <f aca="false">IF(OR($V260="",$W260=""),"",IF(AND($V260&gt;=Spravochnik!$H$5,$W260&gt;=Spravochnik!$H$6),"Ha","Yo'q"))</f>
        <v/>
      </c>
      <c r="Y260" s="13"/>
      <c r="Z260" s="13"/>
      <c r="AA260" s="13"/>
      <c r="AB260" s="13"/>
      <c r="AC260" s="14" t="str">
        <f aca="false">IF(AND($B260&lt;&gt;"",$AE260="",$AB260&lt;&gt;"",$AB260&lt;Boshqaruv!$C$12),"Ha","")</f>
        <v/>
      </c>
      <c r="AD260" s="25"/>
      <c r="AE260" s="13"/>
      <c r="AF260" s="12"/>
      <c r="AG260" s="14" t="str">
        <f aca="false">IF(OR($B260="",$C260="",$H260=""),"",IF(COUNTIFS($B$5:$B$804,$B260,$C$5:$C$804,$C260,$H$5:$H$804,$H260)&gt;1,"Takror",""))</f>
        <v/>
      </c>
      <c r="AH260" s="28" t="str">
        <f aca="false">IF(AND($B260&lt;&gt;"",$N260="Ha",$H260&lt;&gt;"",$H260&lt;=Boshqaruv!$C$12,OR($AE260="",$AE260&gt;Boshqaruv!$C$12)),MAX($AH$4:$AH259)+1,"")</f>
        <v/>
      </c>
    </row>
    <row r="261" customFormat="false" ht="15" hidden="false" customHeight="false" outlineLevel="0" collapsed="false">
      <c r="A261" s="20" t="n">
        <v>257</v>
      </c>
      <c r="B261" s="12"/>
      <c r="C261" s="13"/>
      <c r="D261" s="24"/>
      <c r="E261" s="12"/>
      <c r="F261" s="25"/>
      <c r="G261" s="27" t="str">
        <f aca="false">IF(OR($B261="",$C261=""),"",$B261&amp;" ("&amp;DAY($C261)&amp;"."&amp;MONTH($C261)&amp;"."&amp;YEAR($C261)&amp;")")</f>
        <v/>
      </c>
      <c r="H261" s="13"/>
      <c r="I261" s="13"/>
      <c r="J261" s="15" t="str">
        <f aca="false">IF($I261="","",$I261+280)</f>
        <v/>
      </c>
      <c r="K261" s="14" t="str">
        <f aca="false">IF(OR($I261="",$AE261&lt;&gt;""),"",INT((Boshqaruv!$C$12-$I261)/7))</f>
        <v/>
      </c>
      <c r="L261" s="14" t="str">
        <f aca="false">IF(OR($C261="",$H261=""),"",INT(($H261-$C261)/365.25))</f>
        <v/>
      </c>
      <c r="M261" s="14" t="str">
        <f aca="false">IF($L261="","",IF($L261&lt;18,"Ha","Yo'q"))</f>
        <v/>
      </c>
      <c r="N261" s="25"/>
      <c r="O261" s="25"/>
      <c r="P261" s="25"/>
      <c r="Q261" s="12"/>
      <c r="R261" s="25"/>
      <c r="S261" s="12"/>
      <c r="T261" s="13"/>
      <c r="U261" s="12"/>
      <c r="V261" s="25"/>
      <c r="W261" s="25"/>
      <c r="X261" s="14" t="str">
        <f aca="false">IF(OR($V261="",$W261=""),"",IF(AND($V261&gt;=Spravochnik!$H$5,$W261&gt;=Spravochnik!$H$6),"Ha","Yo'q"))</f>
        <v/>
      </c>
      <c r="Y261" s="13"/>
      <c r="Z261" s="13"/>
      <c r="AA261" s="13"/>
      <c r="AB261" s="13"/>
      <c r="AC261" s="14" t="str">
        <f aca="false">IF(AND($B261&lt;&gt;"",$AE261="",$AB261&lt;&gt;"",$AB261&lt;Boshqaruv!$C$12),"Ha","")</f>
        <v/>
      </c>
      <c r="AD261" s="25"/>
      <c r="AE261" s="13"/>
      <c r="AF261" s="12"/>
      <c r="AG261" s="14" t="str">
        <f aca="false">IF(OR($B261="",$C261="",$H261=""),"",IF(COUNTIFS($B$5:$B$804,$B261,$C$5:$C$804,$C261,$H$5:$H$804,$H261)&gt;1,"Takror",""))</f>
        <v/>
      </c>
      <c r="AH261" s="28" t="str">
        <f aca="false">IF(AND($B261&lt;&gt;"",$N261="Ha",$H261&lt;&gt;"",$H261&lt;=Boshqaruv!$C$12,OR($AE261="",$AE261&gt;Boshqaruv!$C$12)),MAX($AH$4:$AH260)+1,"")</f>
        <v/>
      </c>
    </row>
    <row r="262" customFormat="false" ht="15" hidden="false" customHeight="false" outlineLevel="0" collapsed="false">
      <c r="A262" s="20" t="n">
        <v>258</v>
      </c>
      <c r="B262" s="12"/>
      <c r="C262" s="13"/>
      <c r="D262" s="24"/>
      <c r="E262" s="12"/>
      <c r="F262" s="25"/>
      <c r="G262" s="27" t="str">
        <f aca="false">IF(OR($B262="",$C262=""),"",$B262&amp;" ("&amp;DAY($C262)&amp;"."&amp;MONTH($C262)&amp;"."&amp;YEAR($C262)&amp;")")</f>
        <v/>
      </c>
      <c r="H262" s="13"/>
      <c r="I262" s="13"/>
      <c r="J262" s="15" t="str">
        <f aca="false">IF($I262="","",$I262+280)</f>
        <v/>
      </c>
      <c r="K262" s="14" t="str">
        <f aca="false">IF(OR($I262="",$AE262&lt;&gt;""),"",INT((Boshqaruv!$C$12-$I262)/7))</f>
        <v/>
      </c>
      <c r="L262" s="14" t="str">
        <f aca="false">IF(OR($C262="",$H262=""),"",INT(($H262-$C262)/365.25))</f>
        <v/>
      </c>
      <c r="M262" s="14" t="str">
        <f aca="false">IF($L262="","",IF($L262&lt;18,"Ha","Yo'q"))</f>
        <v/>
      </c>
      <c r="N262" s="25"/>
      <c r="O262" s="25"/>
      <c r="P262" s="25"/>
      <c r="Q262" s="12"/>
      <c r="R262" s="25"/>
      <c r="S262" s="12"/>
      <c r="T262" s="13"/>
      <c r="U262" s="12"/>
      <c r="V262" s="25"/>
      <c r="W262" s="25"/>
      <c r="X262" s="14" t="str">
        <f aca="false">IF(OR($V262="",$W262=""),"",IF(AND($V262&gt;=Spravochnik!$H$5,$W262&gt;=Spravochnik!$H$6),"Ha","Yo'q"))</f>
        <v/>
      </c>
      <c r="Y262" s="13"/>
      <c r="Z262" s="13"/>
      <c r="AA262" s="13"/>
      <c r="AB262" s="13"/>
      <c r="AC262" s="14" t="str">
        <f aca="false">IF(AND($B262&lt;&gt;"",$AE262="",$AB262&lt;&gt;"",$AB262&lt;Boshqaruv!$C$12),"Ha","")</f>
        <v/>
      </c>
      <c r="AD262" s="25"/>
      <c r="AE262" s="13"/>
      <c r="AF262" s="12"/>
      <c r="AG262" s="14" t="str">
        <f aca="false">IF(OR($B262="",$C262="",$H262=""),"",IF(COUNTIFS($B$5:$B$804,$B262,$C$5:$C$804,$C262,$H$5:$H$804,$H262)&gt;1,"Takror",""))</f>
        <v/>
      </c>
      <c r="AH262" s="28" t="str">
        <f aca="false">IF(AND($B262&lt;&gt;"",$N262="Ha",$H262&lt;&gt;"",$H262&lt;=Boshqaruv!$C$12,OR($AE262="",$AE262&gt;Boshqaruv!$C$12)),MAX($AH$4:$AH261)+1,"")</f>
        <v/>
      </c>
    </row>
    <row r="263" customFormat="false" ht="15" hidden="false" customHeight="false" outlineLevel="0" collapsed="false">
      <c r="A263" s="20" t="n">
        <v>259</v>
      </c>
      <c r="B263" s="12"/>
      <c r="C263" s="13"/>
      <c r="D263" s="24"/>
      <c r="E263" s="12"/>
      <c r="F263" s="25"/>
      <c r="G263" s="27" t="str">
        <f aca="false">IF(OR($B263="",$C263=""),"",$B263&amp;" ("&amp;DAY($C263)&amp;"."&amp;MONTH($C263)&amp;"."&amp;YEAR($C263)&amp;")")</f>
        <v/>
      </c>
      <c r="H263" s="13"/>
      <c r="I263" s="13"/>
      <c r="J263" s="15" t="str">
        <f aca="false">IF($I263="","",$I263+280)</f>
        <v/>
      </c>
      <c r="K263" s="14" t="str">
        <f aca="false">IF(OR($I263="",$AE263&lt;&gt;""),"",INT((Boshqaruv!$C$12-$I263)/7))</f>
        <v/>
      </c>
      <c r="L263" s="14" t="str">
        <f aca="false">IF(OR($C263="",$H263=""),"",INT(($H263-$C263)/365.25))</f>
        <v/>
      </c>
      <c r="M263" s="14" t="str">
        <f aca="false">IF($L263="","",IF($L263&lt;18,"Ha","Yo'q"))</f>
        <v/>
      </c>
      <c r="N263" s="25"/>
      <c r="O263" s="25"/>
      <c r="P263" s="25"/>
      <c r="Q263" s="12"/>
      <c r="R263" s="25"/>
      <c r="S263" s="12"/>
      <c r="T263" s="13"/>
      <c r="U263" s="12"/>
      <c r="V263" s="25"/>
      <c r="W263" s="25"/>
      <c r="X263" s="14" t="str">
        <f aca="false">IF(OR($V263="",$W263=""),"",IF(AND($V263&gt;=Spravochnik!$H$5,$W263&gt;=Spravochnik!$H$6),"Ha","Yo'q"))</f>
        <v/>
      </c>
      <c r="Y263" s="13"/>
      <c r="Z263" s="13"/>
      <c r="AA263" s="13"/>
      <c r="AB263" s="13"/>
      <c r="AC263" s="14" t="str">
        <f aca="false">IF(AND($B263&lt;&gt;"",$AE263="",$AB263&lt;&gt;"",$AB263&lt;Boshqaruv!$C$12),"Ha","")</f>
        <v/>
      </c>
      <c r="AD263" s="25"/>
      <c r="AE263" s="13"/>
      <c r="AF263" s="12"/>
      <c r="AG263" s="14" t="str">
        <f aca="false">IF(OR($B263="",$C263="",$H263=""),"",IF(COUNTIFS($B$5:$B$804,$B263,$C$5:$C$804,$C263,$H$5:$H$804,$H263)&gt;1,"Takror",""))</f>
        <v/>
      </c>
      <c r="AH263" s="28" t="str">
        <f aca="false">IF(AND($B263&lt;&gt;"",$N263="Ha",$H263&lt;&gt;"",$H263&lt;=Boshqaruv!$C$12,OR($AE263="",$AE263&gt;Boshqaruv!$C$12)),MAX($AH$4:$AH262)+1,"")</f>
        <v/>
      </c>
    </row>
    <row r="264" customFormat="false" ht="15" hidden="false" customHeight="false" outlineLevel="0" collapsed="false">
      <c r="A264" s="20" t="n">
        <v>260</v>
      </c>
      <c r="B264" s="12"/>
      <c r="C264" s="13"/>
      <c r="D264" s="24"/>
      <c r="E264" s="12"/>
      <c r="F264" s="25"/>
      <c r="G264" s="27" t="str">
        <f aca="false">IF(OR($B264="",$C264=""),"",$B264&amp;" ("&amp;DAY($C264)&amp;"."&amp;MONTH($C264)&amp;"."&amp;YEAR($C264)&amp;")")</f>
        <v/>
      </c>
      <c r="H264" s="13"/>
      <c r="I264" s="13"/>
      <c r="J264" s="15" t="str">
        <f aca="false">IF($I264="","",$I264+280)</f>
        <v/>
      </c>
      <c r="K264" s="14" t="str">
        <f aca="false">IF(OR($I264="",$AE264&lt;&gt;""),"",INT((Boshqaruv!$C$12-$I264)/7))</f>
        <v/>
      </c>
      <c r="L264" s="14" t="str">
        <f aca="false">IF(OR($C264="",$H264=""),"",INT(($H264-$C264)/365.25))</f>
        <v/>
      </c>
      <c r="M264" s="14" t="str">
        <f aca="false">IF($L264="","",IF($L264&lt;18,"Ha","Yo'q"))</f>
        <v/>
      </c>
      <c r="N264" s="25"/>
      <c r="O264" s="25"/>
      <c r="P264" s="25"/>
      <c r="Q264" s="12"/>
      <c r="R264" s="25"/>
      <c r="S264" s="12"/>
      <c r="T264" s="13"/>
      <c r="U264" s="12"/>
      <c r="V264" s="25"/>
      <c r="W264" s="25"/>
      <c r="X264" s="14" t="str">
        <f aca="false">IF(OR($V264="",$W264=""),"",IF(AND($V264&gt;=Spravochnik!$H$5,$W264&gt;=Spravochnik!$H$6),"Ha","Yo'q"))</f>
        <v/>
      </c>
      <c r="Y264" s="13"/>
      <c r="Z264" s="13"/>
      <c r="AA264" s="13"/>
      <c r="AB264" s="13"/>
      <c r="AC264" s="14" t="str">
        <f aca="false">IF(AND($B264&lt;&gt;"",$AE264="",$AB264&lt;&gt;"",$AB264&lt;Boshqaruv!$C$12),"Ha","")</f>
        <v/>
      </c>
      <c r="AD264" s="25"/>
      <c r="AE264" s="13"/>
      <c r="AF264" s="12"/>
      <c r="AG264" s="14" t="str">
        <f aca="false">IF(OR($B264="",$C264="",$H264=""),"",IF(COUNTIFS($B$5:$B$804,$B264,$C$5:$C$804,$C264,$H$5:$H$804,$H264)&gt;1,"Takror",""))</f>
        <v/>
      </c>
      <c r="AH264" s="28" t="str">
        <f aca="false">IF(AND($B264&lt;&gt;"",$N264="Ha",$H264&lt;&gt;"",$H264&lt;=Boshqaruv!$C$12,OR($AE264="",$AE264&gt;Boshqaruv!$C$12)),MAX($AH$4:$AH263)+1,"")</f>
        <v/>
      </c>
    </row>
    <row r="265" customFormat="false" ht="15" hidden="false" customHeight="false" outlineLevel="0" collapsed="false">
      <c r="A265" s="20" t="n">
        <v>261</v>
      </c>
      <c r="B265" s="12"/>
      <c r="C265" s="13"/>
      <c r="D265" s="24"/>
      <c r="E265" s="12"/>
      <c r="F265" s="25"/>
      <c r="G265" s="27" t="str">
        <f aca="false">IF(OR($B265="",$C265=""),"",$B265&amp;" ("&amp;DAY($C265)&amp;"."&amp;MONTH($C265)&amp;"."&amp;YEAR($C265)&amp;")")</f>
        <v/>
      </c>
      <c r="H265" s="13"/>
      <c r="I265" s="13"/>
      <c r="J265" s="15" t="str">
        <f aca="false">IF($I265="","",$I265+280)</f>
        <v/>
      </c>
      <c r="K265" s="14" t="str">
        <f aca="false">IF(OR($I265="",$AE265&lt;&gt;""),"",INT((Boshqaruv!$C$12-$I265)/7))</f>
        <v/>
      </c>
      <c r="L265" s="14" t="str">
        <f aca="false">IF(OR($C265="",$H265=""),"",INT(($H265-$C265)/365.25))</f>
        <v/>
      </c>
      <c r="M265" s="14" t="str">
        <f aca="false">IF($L265="","",IF($L265&lt;18,"Ha","Yo'q"))</f>
        <v/>
      </c>
      <c r="N265" s="25"/>
      <c r="O265" s="25"/>
      <c r="P265" s="25"/>
      <c r="Q265" s="12"/>
      <c r="R265" s="25"/>
      <c r="S265" s="12"/>
      <c r="T265" s="13"/>
      <c r="U265" s="12"/>
      <c r="V265" s="25"/>
      <c r="W265" s="25"/>
      <c r="X265" s="14" t="str">
        <f aca="false">IF(OR($V265="",$W265=""),"",IF(AND($V265&gt;=Spravochnik!$H$5,$W265&gt;=Spravochnik!$H$6),"Ha","Yo'q"))</f>
        <v/>
      </c>
      <c r="Y265" s="13"/>
      <c r="Z265" s="13"/>
      <c r="AA265" s="13"/>
      <c r="AB265" s="13"/>
      <c r="AC265" s="14" t="str">
        <f aca="false">IF(AND($B265&lt;&gt;"",$AE265="",$AB265&lt;&gt;"",$AB265&lt;Boshqaruv!$C$12),"Ha","")</f>
        <v/>
      </c>
      <c r="AD265" s="25"/>
      <c r="AE265" s="13"/>
      <c r="AF265" s="12"/>
      <c r="AG265" s="14" t="str">
        <f aca="false">IF(OR($B265="",$C265="",$H265=""),"",IF(COUNTIFS($B$5:$B$804,$B265,$C$5:$C$804,$C265,$H$5:$H$804,$H265)&gt;1,"Takror",""))</f>
        <v/>
      </c>
      <c r="AH265" s="28" t="str">
        <f aca="false">IF(AND($B265&lt;&gt;"",$N265="Ha",$H265&lt;&gt;"",$H265&lt;=Boshqaruv!$C$12,OR($AE265="",$AE265&gt;Boshqaruv!$C$12)),MAX($AH$4:$AH264)+1,"")</f>
        <v/>
      </c>
    </row>
    <row r="266" customFormat="false" ht="15" hidden="false" customHeight="false" outlineLevel="0" collapsed="false">
      <c r="A266" s="20" t="n">
        <v>262</v>
      </c>
      <c r="B266" s="12"/>
      <c r="C266" s="13"/>
      <c r="D266" s="24"/>
      <c r="E266" s="12"/>
      <c r="F266" s="25"/>
      <c r="G266" s="27" t="str">
        <f aca="false">IF(OR($B266="",$C266=""),"",$B266&amp;" ("&amp;DAY($C266)&amp;"."&amp;MONTH($C266)&amp;"."&amp;YEAR($C266)&amp;")")</f>
        <v/>
      </c>
      <c r="H266" s="13"/>
      <c r="I266" s="13"/>
      <c r="J266" s="15" t="str">
        <f aca="false">IF($I266="","",$I266+280)</f>
        <v/>
      </c>
      <c r="K266" s="14" t="str">
        <f aca="false">IF(OR($I266="",$AE266&lt;&gt;""),"",INT((Boshqaruv!$C$12-$I266)/7))</f>
        <v/>
      </c>
      <c r="L266" s="14" t="str">
        <f aca="false">IF(OR($C266="",$H266=""),"",INT(($H266-$C266)/365.25))</f>
        <v/>
      </c>
      <c r="M266" s="14" t="str">
        <f aca="false">IF($L266="","",IF($L266&lt;18,"Ha","Yo'q"))</f>
        <v/>
      </c>
      <c r="N266" s="25"/>
      <c r="O266" s="25"/>
      <c r="P266" s="25"/>
      <c r="Q266" s="12"/>
      <c r="R266" s="25"/>
      <c r="S266" s="12"/>
      <c r="T266" s="13"/>
      <c r="U266" s="12"/>
      <c r="V266" s="25"/>
      <c r="W266" s="25"/>
      <c r="X266" s="14" t="str">
        <f aca="false">IF(OR($V266="",$W266=""),"",IF(AND($V266&gt;=Spravochnik!$H$5,$W266&gt;=Spravochnik!$H$6),"Ha","Yo'q"))</f>
        <v/>
      </c>
      <c r="Y266" s="13"/>
      <c r="Z266" s="13"/>
      <c r="AA266" s="13"/>
      <c r="AB266" s="13"/>
      <c r="AC266" s="14" t="str">
        <f aca="false">IF(AND($B266&lt;&gt;"",$AE266="",$AB266&lt;&gt;"",$AB266&lt;Boshqaruv!$C$12),"Ha","")</f>
        <v/>
      </c>
      <c r="AD266" s="25"/>
      <c r="AE266" s="13"/>
      <c r="AF266" s="12"/>
      <c r="AG266" s="14" t="str">
        <f aca="false">IF(OR($B266="",$C266="",$H266=""),"",IF(COUNTIFS($B$5:$B$804,$B266,$C$5:$C$804,$C266,$H$5:$H$804,$H266)&gt;1,"Takror",""))</f>
        <v/>
      </c>
      <c r="AH266" s="28" t="str">
        <f aca="false">IF(AND($B266&lt;&gt;"",$N266="Ha",$H266&lt;&gt;"",$H266&lt;=Boshqaruv!$C$12,OR($AE266="",$AE266&gt;Boshqaruv!$C$12)),MAX($AH$4:$AH265)+1,"")</f>
        <v/>
      </c>
    </row>
    <row r="267" customFormat="false" ht="15" hidden="false" customHeight="false" outlineLevel="0" collapsed="false">
      <c r="A267" s="20" t="n">
        <v>263</v>
      </c>
      <c r="B267" s="12"/>
      <c r="C267" s="13"/>
      <c r="D267" s="24"/>
      <c r="E267" s="12"/>
      <c r="F267" s="25"/>
      <c r="G267" s="27" t="str">
        <f aca="false">IF(OR($B267="",$C267=""),"",$B267&amp;" ("&amp;DAY($C267)&amp;"."&amp;MONTH($C267)&amp;"."&amp;YEAR($C267)&amp;")")</f>
        <v/>
      </c>
      <c r="H267" s="13"/>
      <c r="I267" s="13"/>
      <c r="J267" s="15" t="str">
        <f aca="false">IF($I267="","",$I267+280)</f>
        <v/>
      </c>
      <c r="K267" s="14" t="str">
        <f aca="false">IF(OR($I267="",$AE267&lt;&gt;""),"",INT((Boshqaruv!$C$12-$I267)/7))</f>
        <v/>
      </c>
      <c r="L267" s="14" t="str">
        <f aca="false">IF(OR($C267="",$H267=""),"",INT(($H267-$C267)/365.25))</f>
        <v/>
      </c>
      <c r="M267" s="14" t="str">
        <f aca="false">IF($L267="","",IF($L267&lt;18,"Ha","Yo'q"))</f>
        <v/>
      </c>
      <c r="N267" s="25"/>
      <c r="O267" s="25"/>
      <c r="P267" s="25"/>
      <c r="Q267" s="12"/>
      <c r="R267" s="25"/>
      <c r="S267" s="12"/>
      <c r="T267" s="13"/>
      <c r="U267" s="12"/>
      <c r="V267" s="25"/>
      <c r="W267" s="25"/>
      <c r="X267" s="14" t="str">
        <f aca="false">IF(OR($V267="",$W267=""),"",IF(AND($V267&gt;=Spravochnik!$H$5,$W267&gt;=Spravochnik!$H$6),"Ha","Yo'q"))</f>
        <v/>
      </c>
      <c r="Y267" s="13"/>
      <c r="Z267" s="13"/>
      <c r="AA267" s="13"/>
      <c r="AB267" s="13"/>
      <c r="AC267" s="14" t="str">
        <f aca="false">IF(AND($B267&lt;&gt;"",$AE267="",$AB267&lt;&gt;"",$AB267&lt;Boshqaruv!$C$12),"Ha","")</f>
        <v/>
      </c>
      <c r="AD267" s="25"/>
      <c r="AE267" s="13"/>
      <c r="AF267" s="12"/>
      <c r="AG267" s="14" t="str">
        <f aca="false">IF(OR($B267="",$C267="",$H267=""),"",IF(COUNTIFS($B$5:$B$804,$B267,$C$5:$C$804,$C267,$H$5:$H$804,$H267)&gt;1,"Takror",""))</f>
        <v/>
      </c>
      <c r="AH267" s="28" t="str">
        <f aca="false">IF(AND($B267&lt;&gt;"",$N267="Ha",$H267&lt;&gt;"",$H267&lt;=Boshqaruv!$C$12,OR($AE267="",$AE267&gt;Boshqaruv!$C$12)),MAX($AH$4:$AH266)+1,"")</f>
        <v/>
      </c>
    </row>
    <row r="268" customFormat="false" ht="15" hidden="false" customHeight="false" outlineLevel="0" collapsed="false">
      <c r="A268" s="20" t="n">
        <v>264</v>
      </c>
      <c r="B268" s="12"/>
      <c r="C268" s="13"/>
      <c r="D268" s="24"/>
      <c r="E268" s="12"/>
      <c r="F268" s="25"/>
      <c r="G268" s="27" t="str">
        <f aca="false">IF(OR($B268="",$C268=""),"",$B268&amp;" ("&amp;DAY($C268)&amp;"."&amp;MONTH($C268)&amp;"."&amp;YEAR($C268)&amp;")")</f>
        <v/>
      </c>
      <c r="H268" s="13"/>
      <c r="I268" s="13"/>
      <c r="J268" s="15" t="str">
        <f aca="false">IF($I268="","",$I268+280)</f>
        <v/>
      </c>
      <c r="K268" s="14" t="str">
        <f aca="false">IF(OR($I268="",$AE268&lt;&gt;""),"",INT((Boshqaruv!$C$12-$I268)/7))</f>
        <v/>
      </c>
      <c r="L268" s="14" t="str">
        <f aca="false">IF(OR($C268="",$H268=""),"",INT(($H268-$C268)/365.25))</f>
        <v/>
      </c>
      <c r="M268" s="14" t="str">
        <f aca="false">IF($L268="","",IF($L268&lt;18,"Ha","Yo'q"))</f>
        <v/>
      </c>
      <c r="N268" s="25"/>
      <c r="O268" s="25"/>
      <c r="P268" s="25"/>
      <c r="Q268" s="12"/>
      <c r="R268" s="25"/>
      <c r="S268" s="12"/>
      <c r="T268" s="13"/>
      <c r="U268" s="12"/>
      <c r="V268" s="25"/>
      <c r="W268" s="25"/>
      <c r="X268" s="14" t="str">
        <f aca="false">IF(OR($V268="",$W268=""),"",IF(AND($V268&gt;=Spravochnik!$H$5,$W268&gt;=Spravochnik!$H$6),"Ha","Yo'q"))</f>
        <v/>
      </c>
      <c r="Y268" s="13"/>
      <c r="Z268" s="13"/>
      <c r="AA268" s="13"/>
      <c r="AB268" s="13"/>
      <c r="AC268" s="14" t="str">
        <f aca="false">IF(AND($B268&lt;&gt;"",$AE268="",$AB268&lt;&gt;"",$AB268&lt;Boshqaruv!$C$12),"Ha","")</f>
        <v/>
      </c>
      <c r="AD268" s="25"/>
      <c r="AE268" s="13"/>
      <c r="AF268" s="12"/>
      <c r="AG268" s="14" t="str">
        <f aca="false">IF(OR($B268="",$C268="",$H268=""),"",IF(COUNTIFS($B$5:$B$804,$B268,$C$5:$C$804,$C268,$H$5:$H$804,$H268)&gt;1,"Takror",""))</f>
        <v/>
      </c>
      <c r="AH268" s="28" t="str">
        <f aca="false">IF(AND($B268&lt;&gt;"",$N268="Ha",$H268&lt;&gt;"",$H268&lt;=Boshqaruv!$C$12,OR($AE268="",$AE268&gt;Boshqaruv!$C$12)),MAX($AH$4:$AH267)+1,"")</f>
        <v/>
      </c>
    </row>
    <row r="269" customFormat="false" ht="15" hidden="false" customHeight="false" outlineLevel="0" collapsed="false">
      <c r="A269" s="20" t="n">
        <v>265</v>
      </c>
      <c r="B269" s="12"/>
      <c r="C269" s="13"/>
      <c r="D269" s="24"/>
      <c r="E269" s="12"/>
      <c r="F269" s="25"/>
      <c r="G269" s="27" t="str">
        <f aca="false">IF(OR($B269="",$C269=""),"",$B269&amp;" ("&amp;DAY($C269)&amp;"."&amp;MONTH($C269)&amp;"."&amp;YEAR($C269)&amp;")")</f>
        <v/>
      </c>
      <c r="H269" s="13"/>
      <c r="I269" s="13"/>
      <c r="J269" s="15" t="str">
        <f aca="false">IF($I269="","",$I269+280)</f>
        <v/>
      </c>
      <c r="K269" s="14" t="str">
        <f aca="false">IF(OR($I269="",$AE269&lt;&gt;""),"",INT((Boshqaruv!$C$12-$I269)/7))</f>
        <v/>
      </c>
      <c r="L269" s="14" t="str">
        <f aca="false">IF(OR($C269="",$H269=""),"",INT(($H269-$C269)/365.25))</f>
        <v/>
      </c>
      <c r="M269" s="14" t="str">
        <f aca="false">IF($L269="","",IF($L269&lt;18,"Ha","Yo'q"))</f>
        <v/>
      </c>
      <c r="N269" s="25"/>
      <c r="O269" s="25"/>
      <c r="P269" s="25"/>
      <c r="Q269" s="12"/>
      <c r="R269" s="25"/>
      <c r="S269" s="12"/>
      <c r="T269" s="13"/>
      <c r="U269" s="12"/>
      <c r="V269" s="25"/>
      <c r="W269" s="25"/>
      <c r="X269" s="14" t="str">
        <f aca="false">IF(OR($V269="",$W269=""),"",IF(AND($V269&gt;=Spravochnik!$H$5,$W269&gt;=Spravochnik!$H$6),"Ha","Yo'q"))</f>
        <v/>
      </c>
      <c r="Y269" s="13"/>
      <c r="Z269" s="13"/>
      <c r="AA269" s="13"/>
      <c r="AB269" s="13"/>
      <c r="AC269" s="14" t="str">
        <f aca="false">IF(AND($B269&lt;&gt;"",$AE269="",$AB269&lt;&gt;"",$AB269&lt;Boshqaruv!$C$12),"Ha","")</f>
        <v/>
      </c>
      <c r="AD269" s="25"/>
      <c r="AE269" s="13"/>
      <c r="AF269" s="12"/>
      <c r="AG269" s="14" t="str">
        <f aca="false">IF(OR($B269="",$C269="",$H269=""),"",IF(COUNTIFS($B$5:$B$804,$B269,$C$5:$C$804,$C269,$H$5:$H$804,$H269)&gt;1,"Takror",""))</f>
        <v/>
      </c>
      <c r="AH269" s="28" t="str">
        <f aca="false">IF(AND($B269&lt;&gt;"",$N269="Ha",$H269&lt;&gt;"",$H269&lt;=Boshqaruv!$C$12,OR($AE269="",$AE269&gt;Boshqaruv!$C$12)),MAX($AH$4:$AH268)+1,"")</f>
        <v/>
      </c>
    </row>
    <row r="270" customFormat="false" ht="15" hidden="false" customHeight="false" outlineLevel="0" collapsed="false">
      <c r="A270" s="20" t="n">
        <v>266</v>
      </c>
      <c r="B270" s="12"/>
      <c r="C270" s="13"/>
      <c r="D270" s="24"/>
      <c r="E270" s="12"/>
      <c r="F270" s="25"/>
      <c r="G270" s="27" t="str">
        <f aca="false">IF(OR($B270="",$C270=""),"",$B270&amp;" ("&amp;DAY($C270)&amp;"."&amp;MONTH($C270)&amp;"."&amp;YEAR($C270)&amp;")")</f>
        <v/>
      </c>
      <c r="H270" s="13"/>
      <c r="I270" s="13"/>
      <c r="J270" s="15" t="str">
        <f aca="false">IF($I270="","",$I270+280)</f>
        <v/>
      </c>
      <c r="K270" s="14" t="str">
        <f aca="false">IF(OR($I270="",$AE270&lt;&gt;""),"",INT((Boshqaruv!$C$12-$I270)/7))</f>
        <v/>
      </c>
      <c r="L270" s="14" t="str">
        <f aca="false">IF(OR($C270="",$H270=""),"",INT(($H270-$C270)/365.25))</f>
        <v/>
      </c>
      <c r="M270" s="14" t="str">
        <f aca="false">IF($L270="","",IF($L270&lt;18,"Ha","Yo'q"))</f>
        <v/>
      </c>
      <c r="N270" s="25"/>
      <c r="O270" s="25"/>
      <c r="P270" s="25"/>
      <c r="Q270" s="12"/>
      <c r="R270" s="25"/>
      <c r="S270" s="12"/>
      <c r="T270" s="13"/>
      <c r="U270" s="12"/>
      <c r="V270" s="25"/>
      <c r="W270" s="25"/>
      <c r="X270" s="14" t="str">
        <f aca="false">IF(OR($V270="",$W270=""),"",IF(AND($V270&gt;=Spravochnik!$H$5,$W270&gt;=Spravochnik!$H$6),"Ha","Yo'q"))</f>
        <v/>
      </c>
      <c r="Y270" s="13"/>
      <c r="Z270" s="13"/>
      <c r="AA270" s="13"/>
      <c r="AB270" s="13"/>
      <c r="AC270" s="14" t="str">
        <f aca="false">IF(AND($B270&lt;&gt;"",$AE270="",$AB270&lt;&gt;"",$AB270&lt;Boshqaruv!$C$12),"Ha","")</f>
        <v/>
      </c>
      <c r="AD270" s="25"/>
      <c r="AE270" s="13"/>
      <c r="AF270" s="12"/>
      <c r="AG270" s="14" t="str">
        <f aca="false">IF(OR($B270="",$C270="",$H270=""),"",IF(COUNTIFS($B$5:$B$804,$B270,$C$5:$C$804,$C270,$H$5:$H$804,$H270)&gt;1,"Takror",""))</f>
        <v/>
      </c>
      <c r="AH270" s="28" t="str">
        <f aca="false">IF(AND($B270&lt;&gt;"",$N270="Ha",$H270&lt;&gt;"",$H270&lt;=Boshqaruv!$C$12,OR($AE270="",$AE270&gt;Boshqaruv!$C$12)),MAX($AH$4:$AH269)+1,"")</f>
        <v/>
      </c>
    </row>
    <row r="271" customFormat="false" ht="15" hidden="false" customHeight="false" outlineLevel="0" collapsed="false">
      <c r="A271" s="20" t="n">
        <v>267</v>
      </c>
      <c r="B271" s="12"/>
      <c r="C271" s="13"/>
      <c r="D271" s="24"/>
      <c r="E271" s="12"/>
      <c r="F271" s="25"/>
      <c r="G271" s="27" t="str">
        <f aca="false">IF(OR($B271="",$C271=""),"",$B271&amp;" ("&amp;DAY($C271)&amp;"."&amp;MONTH($C271)&amp;"."&amp;YEAR($C271)&amp;")")</f>
        <v/>
      </c>
      <c r="H271" s="13"/>
      <c r="I271" s="13"/>
      <c r="J271" s="15" t="str">
        <f aca="false">IF($I271="","",$I271+280)</f>
        <v/>
      </c>
      <c r="K271" s="14" t="str">
        <f aca="false">IF(OR($I271="",$AE271&lt;&gt;""),"",INT((Boshqaruv!$C$12-$I271)/7))</f>
        <v/>
      </c>
      <c r="L271" s="14" t="str">
        <f aca="false">IF(OR($C271="",$H271=""),"",INT(($H271-$C271)/365.25))</f>
        <v/>
      </c>
      <c r="M271" s="14" t="str">
        <f aca="false">IF($L271="","",IF($L271&lt;18,"Ha","Yo'q"))</f>
        <v/>
      </c>
      <c r="N271" s="25"/>
      <c r="O271" s="25"/>
      <c r="P271" s="25"/>
      <c r="Q271" s="12"/>
      <c r="R271" s="25"/>
      <c r="S271" s="12"/>
      <c r="T271" s="13"/>
      <c r="U271" s="12"/>
      <c r="V271" s="25"/>
      <c r="W271" s="25"/>
      <c r="X271" s="14" t="str">
        <f aca="false">IF(OR($V271="",$W271=""),"",IF(AND($V271&gt;=Spravochnik!$H$5,$W271&gt;=Spravochnik!$H$6),"Ha","Yo'q"))</f>
        <v/>
      </c>
      <c r="Y271" s="13"/>
      <c r="Z271" s="13"/>
      <c r="AA271" s="13"/>
      <c r="AB271" s="13"/>
      <c r="AC271" s="14" t="str">
        <f aca="false">IF(AND($B271&lt;&gt;"",$AE271="",$AB271&lt;&gt;"",$AB271&lt;Boshqaruv!$C$12),"Ha","")</f>
        <v/>
      </c>
      <c r="AD271" s="25"/>
      <c r="AE271" s="13"/>
      <c r="AF271" s="12"/>
      <c r="AG271" s="14" t="str">
        <f aca="false">IF(OR($B271="",$C271="",$H271=""),"",IF(COUNTIFS($B$5:$B$804,$B271,$C$5:$C$804,$C271,$H$5:$H$804,$H271)&gt;1,"Takror",""))</f>
        <v/>
      </c>
      <c r="AH271" s="28" t="str">
        <f aca="false">IF(AND($B271&lt;&gt;"",$N271="Ha",$H271&lt;&gt;"",$H271&lt;=Boshqaruv!$C$12,OR($AE271="",$AE271&gt;Boshqaruv!$C$12)),MAX($AH$4:$AH270)+1,"")</f>
        <v/>
      </c>
    </row>
    <row r="272" customFormat="false" ht="15" hidden="false" customHeight="false" outlineLevel="0" collapsed="false">
      <c r="A272" s="20" t="n">
        <v>268</v>
      </c>
      <c r="B272" s="12"/>
      <c r="C272" s="13"/>
      <c r="D272" s="24"/>
      <c r="E272" s="12"/>
      <c r="F272" s="25"/>
      <c r="G272" s="27" t="str">
        <f aca="false">IF(OR($B272="",$C272=""),"",$B272&amp;" ("&amp;DAY($C272)&amp;"."&amp;MONTH($C272)&amp;"."&amp;YEAR($C272)&amp;")")</f>
        <v/>
      </c>
      <c r="H272" s="13"/>
      <c r="I272" s="13"/>
      <c r="J272" s="15" t="str">
        <f aca="false">IF($I272="","",$I272+280)</f>
        <v/>
      </c>
      <c r="K272" s="14" t="str">
        <f aca="false">IF(OR($I272="",$AE272&lt;&gt;""),"",INT((Boshqaruv!$C$12-$I272)/7))</f>
        <v/>
      </c>
      <c r="L272" s="14" t="str">
        <f aca="false">IF(OR($C272="",$H272=""),"",INT(($H272-$C272)/365.25))</f>
        <v/>
      </c>
      <c r="M272" s="14" t="str">
        <f aca="false">IF($L272="","",IF($L272&lt;18,"Ha","Yo'q"))</f>
        <v/>
      </c>
      <c r="N272" s="25"/>
      <c r="O272" s="25"/>
      <c r="P272" s="25"/>
      <c r="Q272" s="12"/>
      <c r="R272" s="25"/>
      <c r="S272" s="12"/>
      <c r="T272" s="13"/>
      <c r="U272" s="12"/>
      <c r="V272" s="25"/>
      <c r="W272" s="25"/>
      <c r="X272" s="14" t="str">
        <f aca="false">IF(OR($V272="",$W272=""),"",IF(AND($V272&gt;=Spravochnik!$H$5,$W272&gt;=Spravochnik!$H$6),"Ha","Yo'q"))</f>
        <v/>
      </c>
      <c r="Y272" s="13"/>
      <c r="Z272" s="13"/>
      <c r="AA272" s="13"/>
      <c r="AB272" s="13"/>
      <c r="AC272" s="14" t="str">
        <f aca="false">IF(AND($B272&lt;&gt;"",$AE272="",$AB272&lt;&gt;"",$AB272&lt;Boshqaruv!$C$12),"Ha","")</f>
        <v/>
      </c>
      <c r="AD272" s="25"/>
      <c r="AE272" s="13"/>
      <c r="AF272" s="12"/>
      <c r="AG272" s="14" t="str">
        <f aca="false">IF(OR($B272="",$C272="",$H272=""),"",IF(COUNTIFS($B$5:$B$804,$B272,$C$5:$C$804,$C272,$H$5:$H$804,$H272)&gt;1,"Takror",""))</f>
        <v/>
      </c>
      <c r="AH272" s="28" t="str">
        <f aca="false">IF(AND($B272&lt;&gt;"",$N272="Ha",$H272&lt;&gt;"",$H272&lt;=Boshqaruv!$C$12,OR($AE272="",$AE272&gt;Boshqaruv!$C$12)),MAX($AH$4:$AH271)+1,"")</f>
        <v/>
      </c>
    </row>
    <row r="273" customFormat="false" ht="15" hidden="false" customHeight="false" outlineLevel="0" collapsed="false">
      <c r="A273" s="20" t="n">
        <v>269</v>
      </c>
      <c r="B273" s="12"/>
      <c r="C273" s="13"/>
      <c r="D273" s="24"/>
      <c r="E273" s="12"/>
      <c r="F273" s="25"/>
      <c r="G273" s="27" t="str">
        <f aca="false">IF(OR($B273="",$C273=""),"",$B273&amp;" ("&amp;DAY($C273)&amp;"."&amp;MONTH($C273)&amp;"."&amp;YEAR($C273)&amp;")")</f>
        <v/>
      </c>
      <c r="H273" s="13"/>
      <c r="I273" s="13"/>
      <c r="J273" s="15" t="str">
        <f aca="false">IF($I273="","",$I273+280)</f>
        <v/>
      </c>
      <c r="K273" s="14" t="str">
        <f aca="false">IF(OR($I273="",$AE273&lt;&gt;""),"",INT((Boshqaruv!$C$12-$I273)/7))</f>
        <v/>
      </c>
      <c r="L273" s="14" t="str">
        <f aca="false">IF(OR($C273="",$H273=""),"",INT(($H273-$C273)/365.25))</f>
        <v/>
      </c>
      <c r="M273" s="14" t="str">
        <f aca="false">IF($L273="","",IF($L273&lt;18,"Ha","Yo'q"))</f>
        <v/>
      </c>
      <c r="N273" s="25"/>
      <c r="O273" s="25"/>
      <c r="P273" s="25"/>
      <c r="Q273" s="12"/>
      <c r="R273" s="25"/>
      <c r="S273" s="12"/>
      <c r="T273" s="13"/>
      <c r="U273" s="12"/>
      <c r="V273" s="25"/>
      <c r="W273" s="25"/>
      <c r="X273" s="14" t="str">
        <f aca="false">IF(OR($V273="",$W273=""),"",IF(AND($V273&gt;=Spravochnik!$H$5,$W273&gt;=Spravochnik!$H$6),"Ha","Yo'q"))</f>
        <v/>
      </c>
      <c r="Y273" s="13"/>
      <c r="Z273" s="13"/>
      <c r="AA273" s="13"/>
      <c r="AB273" s="13"/>
      <c r="AC273" s="14" t="str">
        <f aca="false">IF(AND($B273&lt;&gt;"",$AE273="",$AB273&lt;&gt;"",$AB273&lt;Boshqaruv!$C$12),"Ha","")</f>
        <v/>
      </c>
      <c r="AD273" s="25"/>
      <c r="AE273" s="13"/>
      <c r="AF273" s="12"/>
      <c r="AG273" s="14" t="str">
        <f aca="false">IF(OR($B273="",$C273="",$H273=""),"",IF(COUNTIFS($B$5:$B$804,$B273,$C$5:$C$804,$C273,$H$5:$H$804,$H273)&gt;1,"Takror",""))</f>
        <v/>
      </c>
      <c r="AH273" s="28" t="str">
        <f aca="false">IF(AND($B273&lt;&gt;"",$N273="Ha",$H273&lt;&gt;"",$H273&lt;=Boshqaruv!$C$12,OR($AE273="",$AE273&gt;Boshqaruv!$C$12)),MAX($AH$4:$AH272)+1,"")</f>
        <v/>
      </c>
    </row>
    <row r="274" customFormat="false" ht="15" hidden="false" customHeight="false" outlineLevel="0" collapsed="false">
      <c r="A274" s="20" t="n">
        <v>270</v>
      </c>
      <c r="B274" s="12"/>
      <c r="C274" s="13"/>
      <c r="D274" s="24"/>
      <c r="E274" s="12"/>
      <c r="F274" s="25"/>
      <c r="G274" s="27" t="str">
        <f aca="false">IF(OR($B274="",$C274=""),"",$B274&amp;" ("&amp;DAY($C274)&amp;"."&amp;MONTH($C274)&amp;"."&amp;YEAR($C274)&amp;")")</f>
        <v/>
      </c>
      <c r="H274" s="13"/>
      <c r="I274" s="13"/>
      <c r="J274" s="15" t="str">
        <f aca="false">IF($I274="","",$I274+280)</f>
        <v/>
      </c>
      <c r="K274" s="14" t="str">
        <f aca="false">IF(OR($I274="",$AE274&lt;&gt;""),"",INT((Boshqaruv!$C$12-$I274)/7))</f>
        <v/>
      </c>
      <c r="L274" s="14" t="str">
        <f aca="false">IF(OR($C274="",$H274=""),"",INT(($H274-$C274)/365.25))</f>
        <v/>
      </c>
      <c r="M274" s="14" t="str">
        <f aca="false">IF($L274="","",IF($L274&lt;18,"Ha","Yo'q"))</f>
        <v/>
      </c>
      <c r="N274" s="25"/>
      <c r="O274" s="25"/>
      <c r="P274" s="25"/>
      <c r="Q274" s="12"/>
      <c r="R274" s="25"/>
      <c r="S274" s="12"/>
      <c r="T274" s="13"/>
      <c r="U274" s="12"/>
      <c r="V274" s="25"/>
      <c r="W274" s="25"/>
      <c r="X274" s="14" t="str">
        <f aca="false">IF(OR($V274="",$W274=""),"",IF(AND($V274&gt;=Spravochnik!$H$5,$W274&gt;=Spravochnik!$H$6),"Ha","Yo'q"))</f>
        <v/>
      </c>
      <c r="Y274" s="13"/>
      <c r="Z274" s="13"/>
      <c r="AA274" s="13"/>
      <c r="AB274" s="13"/>
      <c r="AC274" s="14" t="str">
        <f aca="false">IF(AND($B274&lt;&gt;"",$AE274="",$AB274&lt;&gt;"",$AB274&lt;Boshqaruv!$C$12),"Ha","")</f>
        <v/>
      </c>
      <c r="AD274" s="25"/>
      <c r="AE274" s="13"/>
      <c r="AF274" s="12"/>
      <c r="AG274" s="14" t="str">
        <f aca="false">IF(OR($B274="",$C274="",$H274=""),"",IF(COUNTIFS($B$5:$B$804,$B274,$C$5:$C$804,$C274,$H$5:$H$804,$H274)&gt;1,"Takror",""))</f>
        <v/>
      </c>
      <c r="AH274" s="28" t="str">
        <f aca="false">IF(AND($B274&lt;&gt;"",$N274="Ha",$H274&lt;&gt;"",$H274&lt;=Boshqaruv!$C$12,OR($AE274="",$AE274&gt;Boshqaruv!$C$12)),MAX($AH$4:$AH273)+1,"")</f>
        <v/>
      </c>
    </row>
    <row r="275" customFormat="false" ht="15" hidden="false" customHeight="false" outlineLevel="0" collapsed="false">
      <c r="A275" s="20" t="n">
        <v>271</v>
      </c>
      <c r="B275" s="12"/>
      <c r="C275" s="13"/>
      <c r="D275" s="24"/>
      <c r="E275" s="12"/>
      <c r="F275" s="25"/>
      <c r="G275" s="27" t="str">
        <f aca="false">IF(OR($B275="",$C275=""),"",$B275&amp;" ("&amp;DAY($C275)&amp;"."&amp;MONTH($C275)&amp;"."&amp;YEAR($C275)&amp;")")</f>
        <v/>
      </c>
      <c r="H275" s="13"/>
      <c r="I275" s="13"/>
      <c r="J275" s="15" t="str">
        <f aca="false">IF($I275="","",$I275+280)</f>
        <v/>
      </c>
      <c r="K275" s="14" t="str">
        <f aca="false">IF(OR($I275="",$AE275&lt;&gt;""),"",INT((Boshqaruv!$C$12-$I275)/7))</f>
        <v/>
      </c>
      <c r="L275" s="14" t="str">
        <f aca="false">IF(OR($C275="",$H275=""),"",INT(($H275-$C275)/365.25))</f>
        <v/>
      </c>
      <c r="M275" s="14" t="str">
        <f aca="false">IF($L275="","",IF($L275&lt;18,"Ha","Yo'q"))</f>
        <v/>
      </c>
      <c r="N275" s="25"/>
      <c r="O275" s="25"/>
      <c r="P275" s="25"/>
      <c r="Q275" s="12"/>
      <c r="R275" s="25"/>
      <c r="S275" s="12"/>
      <c r="T275" s="13"/>
      <c r="U275" s="12"/>
      <c r="V275" s="25"/>
      <c r="W275" s="25"/>
      <c r="X275" s="14" t="str">
        <f aca="false">IF(OR($V275="",$W275=""),"",IF(AND($V275&gt;=Spravochnik!$H$5,$W275&gt;=Spravochnik!$H$6),"Ha","Yo'q"))</f>
        <v/>
      </c>
      <c r="Y275" s="13"/>
      <c r="Z275" s="13"/>
      <c r="AA275" s="13"/>
      <c r="AB275" s="13"/>
      <c r="AC275" s="14" t="str">
        <f aca="false">IF(AND($B275&lt;&gt;"",$AE275="",$AB275&lt;&gt;"",$AB275&lt;Boshqaruv!$C$12),"Ha","")</f>
        <v/>
      </c>
      <c r="AD275" s="25"/>
      <c r="AE275" s="13"/>
      <c r="AF275" s="12"/>
      <c r="AG275" s="14" t="str">
        <f aca="false">IF(OR($B275="",$C275="",$H275=""),"",IF(COUNTIFS($B$5:$B$804,$B275,$C$5:$C$804,$C275,$H$5:$H$804,$H275)&gt;1,"Takror",""))</f>
        <v/>
      </c>
      <c r="AH275" s="28" t="str">
        <f aca="false">IF(AND($B275&lt;&gt;"",$N275="Ha",$H275&lt;&gt;"",$H275&lt;=Boshqaruv!$C$12,OR($AE275="",$AE275&gt;Boshqaruv!$C$12)),MAX($AH$4:$AH274)+1,"")</f>
        <v/>
      </c>
    </row>
    <row r="276" customFormat="false" ht="15" hidden="false" customHeight="false" outlineLevel="0" collapsed="false">
      <c r="A276" s="20" t="n">
        <v>272</v>
      </c>
      <c r="B276" s="12"/>
      <c r="C276" s="13"/>
      <c r="D276" s="24"/>
      <c r="E276" s="12"/>
      <c r="F276" s="25"/>
      <c r="G276" s="27" t="str">
        <f aca="false">IF(OR($B276="",$C276=""),"",$B276&amp;" ("&amp;DAY($C276)&amp;"."&amp;MONTH($C276)&amp;"."&amp;YEAR($C276)&amp;")")</f>
        <v/>
      </c>
      <c r="H276" s="13"/>
      <c r="I276" s="13"/>
      <c r="J276" s="15" t="str">
        <f aca="false">IF($I276="","",$I276+280)</f>
        <v/>
      </c>
      <c r="K276" s="14" t="str">
        <f aca="false">IF(OR($I276="",$AE276&lt;&gt;""),"",INT((Boshqaruv!$C$12-$I276)/7))</f>
        <v/>
      </c>
      <c r="L276" s="14" t="str">
        <f aca="false">IF(OR($C276="",$H276=""),"",INT(($H276-$C276)/365.25))</f>
        <v/>
      </c>
      <c r="M276" s="14" t="str">
        <f aca="false">IF($L276="","",IF($L276&lt;18,"Ha","Yo'q"))</f>
        <v/>
      </c>
      <c r="N276" s="25"/>
      <c r="O276" s="25"/>
      <c r="P276" s="25"/>
      <c r="Q276" s="12"/>
      <c r="R276" s="25"/>
      <c r="S276" s="12"/>
      <c r="T276" s="13"/>
      <c r="U276" s="12"/>
      <c r="V276" s="25"/>
      <c r="W276" s="25"/>
      <c r="X276" s="14" t="str">
        <f aca="false">IF(OR($V276="",$W276=""),"",IF(AND($V276&gt;=Spravochnik!$H$5,$W276&gt;=Spravochnik!$H$6),"Ha","Yo'q"))</f>
        <v/>
      </c>
      <c r="Y276" s="13"/>
      <c r="Z276" s="13"/>
      <c r="AA276" s="13"/>
      <c r="AB276" s="13"/>
      <c r="AC276" s="14" t="str">
        <f aca="false">IF(AND($B276&lt;&gt;"",$AE276="",$AB276&lt;&gt;"",$AB276&lt;Boshqaruv!$C$12),"Ha","")</f>
        <v/>
      </c>
      <c r="AD276" s="25"/>
      <c r="AE276" s="13"/>
      <c r="AF276" s="12"/>
      <c r="AG276" s="14" t="str">
        <f aca="false">IF(OR($B276="",$C276="",$H276=""),"",IF(COUNTIFS($B$5:$B$804,$B276,$C$5:$C$804,$C276,$H$5:$H$804,$H276)&gt;1,"Takror",""))</f>
        <v/>
      </c>
      <c r="AH276" s="28" t="str">
        <f aca="false">IF(AND($B276&lt;&gt;"",$N276="Ha",$H276&lt;&gt;"",$H276&lt;=Boshqaruv!$C$12,OR($AE276="",$AE276&gt;Boshqaruv!$C$12)),MAX($AH$4:$AH275)+1,"")</f>
        <v/>
      </c>
    </row>
    <row r="277" customFormat="false" ht="15" hidden="false" customHeight="false" outlineLevel="0" collapsed="false">
      <c r="A277" s="20" t="n">
        <v>273</v>
      </c>
      <c r="B277" s="12"/>
      <c r="C277" s="13"/>
      <c r="D277" s="24"/>
      <c r="E277" s="12"/>
      <c r="F277" s="25"/>
      <c r="G277" s="27" t="str">
        <f aca="false">IF(OR($B277="",$C277=""),"",$B277&amp;" ("&amp;DAY($C277)&amp;"."&amp;MONTH($C277)&amp;"."&amp;YEAR($C277)&amp;")")</f>
        <v/>
      </c>
      <c r="H277" s="13"/>
      <c r="I277" s="13"/>
      <c r="J277" s="15" t="str">
        <f aca="false">IF($I277="","",$I277+280)</f>
        <v/>
      </c>
      <c r="K277" s="14" t="str">
        <f aca="false">IF(OR($I277="",$AE277&lt;&gt;""),"",INT((Boshqaruv!$C$12-$I277)/7))</f>
        <v/>
      </c>
      <c r="L277" s="14" t="str">
        <f aca="false">IF(OR($C277="",$H277=""),"",INT(($H277-$C277)/365.25))</f>
        <v/>
      </c>
      <c r="M277" s="14" t="str">
        <f aca="false">IF($L277="","",IF($L277&lt;18,"Ha","Yo'q"))</f>
        <v/>
      </c>
      <c r="N277" s="25"/>
      <c r="O277" s="25"/>
      <c r="P277" s="25"/>
      <c r="Q277" s="12"/>
      <c r="R277" s="25"/>
      <c r="S277" s="12"/>
      <c r="T277" s="13"/>
      <c r="U277" s="12"/>
      <c r="V277" s="25"/>
      <c r="W277" s="25"/>
      <c r="X277" s="14" t="str">
        <f aca="false">IF(OR($V277="",$W277=""),"",IF(AND($V277&gt;=Spravochnik!$H$5,$W277&gt;=Spravochnik!$H$6),"Ha","Yo'q"))</f>
        <v/>
      </c>
      <c r="Y277" s="13"/>
      <c r="Z277" s="13"/>
      <c r="AA277" s="13"/>
      <c r="AB277" s="13"/>
      <c r="AC277" s="14" t="str">
        <f aca="false">IF(AND($B277&lt;&gt;"",$AE277="",$AB277&lt;&gt;"",$AB277&lt;Boshqaruv!$C$12),"Ha","")</f>
        <v/>
      </c>
      <c r="AD277" s="25"/>
      <c r="AE277" s="13"/>
      <c r="AF277" s="12"/>
      <c r="AG277" s="14" t="str">
        <f aca="false">IF(OR($B277="",$C277="",$H277=""),"",IF(COUNTIFS($B$5:$B$804,$B277,$C$5:$C$804,$C277,$H$5:$H$804,$H277)&gt;1,"Takror",""))</f>
        <v/>
      </c>
      <c r="AH277" s="28" t="str">
        <f aca="false">IF(AND($B277&lt;&gt;"",$N277="Ha",$H277&lt;&gt;"",$H277&lt;=Boshqaruv!$C$12,OR($AE277="",$AE277&gt;Boshqaruv!$C$12)),MAX($AH$4:$AH276)+1,"")</f>
        <v/>
      </c>
    </row>
    <row r="278" customFormat="false" ht="15" hidden="false" customHeight="false" outlineLevel="0" collapsed="false">
      <c r="A278" s="20" t="n">
        <v>274</v>
      </c>
      <c r="B278" s="12"/>
      <c r="C278" s="13"/>
      <c r="D278" s="24"/>
      <c r="E278" s="12"/>
      <c r="F278" s="25"/>
      <c r="G278" s="27" t="str">
        <f aca="false">IF(OR($B278="",$C278=""),"",$B278&amp;" ("&amp;DAY($C278)&amp;"."&amp;MONTH($C278)&amp;"."&amp;YEAR($C278)&amp;")")</f>
        <v/>
      </c>
      <c r="H278" s="13"/>
      <c r="I278" s="13"/>
      <c r="J278" s="15" t="str">
        <f aca="false">IF($I278="","",$I278+280)</f>
        <v/>
      </c>
      <c r="K278" s="14" t="str">
        <f aca="false">IF(OR($I278="",$AE278&lt;&gt;""),"",INT((Boshqaruv!$C$12-$I278)/7))</f>
        <v/>
      </c>
      <c r="L278" s="14" t="str">
        <f aca="false">IF(OR($C278="",$H278=""),"",INT(($H278-$C278)/365.25))</f>
        <v/>
      </c>
      <c r="M278" s="14" t="str">
        <f aca="false">IF($L278="","",IF($L278&lt;18,"Ha","Yo'q"))</f>
        <v/>
      </c>
      <c r="N278" s="25"/>
      <c r="O278" s="25"/>
      <c r="P278" s="25"/>
      <c r="Q278" s="12"/>
      <c r="R278" s="25"/>
      <c r="S278" s="12"/>
      <c r="T278" s="13"/>
      <c r="U278" s="12"/>
      <c r="V278" s="25"/>
      <c r="W278" s="25"/>
      <c r="X278" s="14" t="str">
        <f aca="false">IF(OR($V278="",$W278=""),"",IF(AND($V278&gt;=Spravochnik!$H$5,$W278&gt;=Spravochnik!$H$6),"Ha","Yo'q"))</f>
        <v/>
      </c>
      <c r="Y278" s="13"/>
      <c r="Z278" s="13"/>
      <c r="AA278" s="13"/>
      <c r="AB278" s="13"/>
      <c r="AC278" s="14" t="str">
        <f aca="false">IF(AND($B278&lt;&gt;"",$AE278="",$AB278&lt;&gt;"",$AB278&lt;Boshqaruv!$C$12),"Ha","")</f>
        <v/>
      </c>
      <c r="AD278" s="25"/>
      <c r="AE278" s="13"/>
      <c r="AF278" s="12"/>
      <c r="AG278" s="14" t="str">
        <f aca="false">IF(OR($B278="",$C278="",$H278=""),"",IF(COUNTIFS($B$5:$B$804,$B278,$C$5:$C$804,$C278,$H$5:$H$804,$H278)&gt;1,"Takror",""))</f>
        <v/>
      </c>
      <c r="AH278" s="28" t="str">
        <f aca="false">IF(AND($B278&lt;&gt;"",$N278="Ha",$H278&lt;&gt;"",$H278&lt;=Boshqaruv!$C$12,OR($AE278="",$AE278&gt;Boshqaruv!$C$12)),MAX($AH$4:$AH277)+1,"")</f>
        <v/>
      </c>
    </row>
    <row r="279" customFormat="false" ht="15" hidden="false" customHeight="false" outlineLevel="0" collapsed="false">
      <c r="A279" s="20" t="n">
        <v>275</v>
      </c>
      <c r="B279" s="12"/>
      <c r="C279" s="13"/>
      <c r="D279" s="24"/>
      <c r="E279" s="12"/>
      <c r="F279" s="25"/>
      <c r="G279" s="27" t="str">
        <f aca="false">IF(OR($B279="",$C279=""),"",$B279&amp;" ("&amp;DAY($C279)&amp;"."&amp;MONTH($C279)&amp;"."&amp;YEAR($C279)&amp;")")</f>
        <v/>
      </c>
      <c r="H279" s="13"/>
      <c r="I279" s="13"/>
      <c r="J279" s="15" t="str">
        <f aca="false">IF($I279="","",$I279+280)</f>
        <v/>
      </c>
      <c r="K279" s="14" t="str">
        <f aca="false">IF(OR($I279="",$AE279&lt;&gt;""),"",INT((Boshqaruv!$C$12-$I279)/7))</f>
        <v/>
      </c>
      <c r="L279" s="14" t="str">
        <f aca="false">IF(OR($C279="",$H279=""),"",INT(($H279-$C279)/365.25))</f>
        <v/>
      </c>
      <c r="M279" s="14" t="str">
        <f aca="false">IF($L279="","",IF($L279&lt;18,"Ha","Yo'q"))</f>
        <v/>
      </c>
      <c r="N279" s="25"/>
      <c r="O279" s="25"/>
      <c r="P279" s="25"/>
      <c r="Q279" s="12"/>
      <c r="R279" s="25"/>
      <c r="S279" s="12"/>
      <c r="T279" s="13"/>
      <c r="U279" s="12"/>
      <c r="V279" s="25"/>
      <c r="W279" s="25"/>
      <c r="X279" s="14" t="str">
        <f aca="false">IF(OR($V279="",$W279=""),"",IF(AND($V279&gt;=Spravochnik!$H$5,$W279&gt;=Spravochnik!$H$6),"Ha","Yo'q"))</f>
        <v/>
      </c>
      <c r="Y279" s="13"/>
      <c r="Z279" s="13"/>
      <c r="AA279" s="13"/>
      <c r="AB279" s="13"/>
      <c r="AC279" s="14" t="str">
        <f aca="false">IF(AND($B279&lt;&gt;"",$AE279="",$AB279&lt;&gt;"",$AB279&lt;Boshqaruv!$C$12),"Ha","")</f>
        <v/>
      </c>
      <c r="AD279" s="25"/>
      <c r="AE279" s="13"/>
      <c r="AF279" s="12"/>
      <c r="AG279" s="14" t="str">
        <f aca="false">IF(OR($B279="",$C279="",$H279=""),"",IF(COUNTIFS($B$5:$B$804,$B279,$C$5:$C$804,$C279,$H$5:$H$804,$H279)&gt;1,"Takror",""))</f>
        <v/>
      </c>
      <c r="AH279" s="28" t="str">
        <f aca="false">IF(AND($B279&lt;&gt;"",$N279="Ha",$H279&lt;&gt;"",$H279&lt;=Boshqaruv!$C$12,OR($AE279="",$AE279&gt;Boshqaruv!$C$12)),MAX($AH$4:$AH278)+1,"")</f>
        <v/>
      </c>
    </row>
    <row r="280" customFormat="false" ht="15" hidden="false" customHeight="false" outlineLevel="0" collapsed="false">
      <c r="A280" s="20" t="n">
        <v>276</v>
      </c>
      <c r="B280" s="12"/>
      <c r="C280" s="13"/>
      <c r="D280" s="24"/>
      <c r="E280" s="12"/>
      <c r="F280" s="25"/>
      <c r="G280" s="27" t="str">
        <f aca="false">IF(OR($B280="",$C280=""),"",$B280&amp;" ("&amp;DAY($C280)&amp;"."&amp;MONTH($C280)&amp;"."&amp;YEAR($C280)&amp;")")</f>
        <v/>
      </c>
      <c r="H280" s="13"/>
      <c r="I280" s="13"/>
      <c r="J280" s="15" t="str">
        <f aca="false">IF($I280="","",$I280+280)</f>
        <v/>
      </c>
      <c r="K280" s="14" t="str">
        <f aca="false">IF(OR($I280="",$AE280&lt;&gt;""),"",INT((Boshqaruv!$C$12-$I280)/7))</f>
        <v/>
      </c>
      <c r="L280" s="14" t="str">
        <f aca="false">IF(OR($C280="",$H280=""),"",INT(($H280-$C280)/365.25))</f>
        <v/>
      </c>
      <c r="M280" s="14" t="str">
        <f aca="false">IF($L280="","",IF($L280&lt;18,"Ha","Yo'q"))</f>
        <v/>
      </c>
      <c r="N280" s="25"/>
      <c r="O280" s="25"/>
      <c r="P280" s="25"/>
      <c r="Q280" s="12"/>
      <c r="R280" s="25"/>
      <c r="S280" s="12"/>
      <c r="T280" s="13"/>
      <c r="U280" s="12"/>
      <c r="V280" s="25"/>
      <c r="W280" s="25"/>
      <c r="X280" s="14" t="str">
        <f aca="false">IF(OR($V280="",$W280=""),"",IF(AND($V280&gt;=Spravochnik!$H$5,$W280&gt;=Spravochnik!$H$6),"Ha","Yo'q"))</f>
        <v/>
      </c>
      <c r="Y280" s="13"/>
      <c r="Z280" s="13"/>
      <c r="AA280" s="13"/>
      <c r="AB280" s="13"/>
      <c r="AC280" s="14" t="str">
        <f aca="false">IF(AND($B280&lt;&gt;"",$AE280="",$AB280&lt;&gt;"",$AB280&lt;Boshqaruv!$C$12),"Ha","")</f>
        <v/>
      </c>
      <c r="AD280" s="25"/>
      <c r="AE280" s="13"/>
      <c r="AF280" s="12"/>
      <c r="AG280" s="14" t="str">
        <f aca="false">IF(OR($B280="",$C280="",$H280=""),"",IF(COUNTIFS($B$5:$B$804,$B280,$C$5:$C$804,$C280,$H$5:$H$804,$H280)&gt;1,"Takror",""))</f>
        <v/>
      </c>
      <c r="AH280" s="28" t="str">
        <f aca="false">IF(AND($B280&lt;&gt;"",$N280="Ha",$H280&lt;&gt;"",$H280&lt;=Boshqaruv!$C$12,OR($AE280="",$AE280&gt;Boshqaruv!$C$12)),MAX($AH$4:$AH279)+1,"")</f>
        <v/>
      </c>
    </row>
    <row r="281" customFormat="false" ht="15" hidden="false" customHeight="false" outlineLevel="0" collapsed="false">
      <c r="A281" s="20" t="n">
        <v>277</v>
      </c>
      <c r="B281" s="12"/>
      <c r="C281" s="13"/>
      <c r="D281" s="24"/>
      <c r="E281" s="12"/>
      <c r="F281" s="25"/>
      <c r="G281" s="27" t="str">
        <f aca="false">IF(OR($B281="",$C281=""),"",$B281&amp;" ("&amp;DAY($C281)&amp;"."&amp;MONTH($C281)&amp;"."&amp;YEAR($C281)&amp;")")</f>
        <v/>
      </c>
      <c r="H281" s="13"/>
      <c r="I281" s="13"/>
      <c r="J281" s="15" t="str">
        <f aca="false">IF($I281="","",$I281+280)</f>
        <v/>
      </c>
      <c r="K281" s="14" t="str">
        <f aca="false">IF(OR($I281="",$AE281&lt;&gt;""),"",INT((Boshqaruv!$C$12-$I281)/7))</f>
        <v/>
      </c>
      <c r="L281" s="14" t="str">
        <f aca="false">IF(OR($C281="",$H281=""),"",INT(($H281-$C281)/365.25))</f>
        <v/>
      </c>
      <c r="M281" s="14" t="str">
        <f aca="false">IF($L281="","",IF($L281&lt;18,"Ha","Yo'q"))</f>
        <v/>
      </c>
      <c r="N281" s="25"/>
      <c r="O281" s="25"/>
      <c r="P281" s="25"/>
      <c r="Q281" s="12"/>
      <c r="R281" s="25"/>
      <c r="S281" s="12"/>
      <c r="T281" s="13"/>
      <c r="U281" s="12"/>
      <c r="V281" s="25"/>
      <c r="W281" s="25"/>
      <c r="X281" s="14" t="str">
        <f aca="false">IF(OR($V281="",$W281=""),"",IF(AND($V281&gt;=Spravochnik!$H$5,$W281&gt;=Spravochnik!$H$6),"Ha","Yo'q"))</f>
        <v/>
      </c>
      <c r="Y281" s="13"/>
      <c r="Z281" s="13"/>
      <c r="AA281" s="13"/>
      <c r="AB281" s="13"/>
      <c r="AC281" s="14" t="str">
        <f aca="false">IF(AND($B281&lt;&gt;"",$AE281="",$AB281&lt;&gt;"",$AB281&lt;Boshqaruv!$C$12),"Ha","")</f>
        <v/>
      </c>
      <c r="AD281" s="25"/>
      <c r="AE281" s="13"/>
      <c r="AF281" s="12"/>
      <c r="AG281" s="14" t="str">
        <f aca="false">IF(OR($B281="",$C281="",$H281=""),"",IF(COUNTIFS($B$5:$B$804,$B281,$C$5:$C$804,$C281,$H$5:$H$804,$H281)&gt;1,"Takror",""))</f>
        <v/>
      </c>
      <c r="AH281" s="28" t="str">
        <f aca="false">IF(AND($B281&lt;&gt;"",$N281="Ha",$H281&lt;&gt;"",$H281&lt;=Boshqaruv!$C$12,OR($AE281="",$AE281&gt;Boshqaruv!$C$12)),MAX($AH$4:$AH280)+1,"")</f>
        <v/>
      </c>
    </row>
    <row r="282" customFormat="false" ht="15" hidden="false" customHeight="false" outlineLevel="0" collapsed="false">
      <c r="A282" s="20" t="n">
        <v>278</v>
      </c>
      <c r="B282" s="12"/>
      <c r="C282" s="13"/>
      <c r="D282" s="24"/>
      <c r="E282" s="12"/>
      <c r="F282" s="25"/>
      <c r="G282" s="27" t="str">
        <f aca="false">IF(OR($B282="",$C282=""),"",$B282&amp;" ("&amp;DAY($C282)&amp;"."&amp;MONTH($C282)&amp;"."&amp;YEAR($C282)&amp;")")</f>
        <v/>
      </c>
      <c r="H282" s="13"/>
      <c r="I282" s="13"/>
      <c r="J282" s="15" t="str">
        <f aca="false">IF($I282="","",$I282+280)</f>
        <v/>
      </c>
      <c r="K282" s="14" t="str">
        <f aca="false">IF(OR($I282="",$AE282&lt;&gt;""),"",INT((Boshqaruv!$C$12-$I282)/7))</f>
        <v/>
      </c>
      <c r="L282" s="14" t="str">
        <f aca="false">IF(OR($C282="",$H282=""),"",INT(($H282-$C282)/365.25))</f>
        <v/>
      </c>
      <c r="M282" s="14" t="str">
        <f aca="false">IF($L282="","",IF($L282&lt;18,"Ha","Yo'q"))</f>
        <v/>
      </c>
      <c r="N282" s="25"/>
      <c r="O282" s="25"/>
      <c r="P282" s="25"/>
      <c r="Q282" s="12"/>
      <c r="R282" s="25"/>
      <c r="S282" s="12"/>
      <c r="T282" s="13"/>
      <c r="U282" s="12"/>
      <c r="V282" s="25"/>
      <c r="W282" s="25"/>
      <c r="X282" s="14" t="str">
        <f aca="false">IF(OR($V282="",$W282=""),"",IF(AND($V282&gt;=Spravochnik!$H$5,$W282&gt;=Spravochnik!$H$6),"Ha","Yo'q"))</f>
        <v/>
      </c>
      <c r="Y282" s="13"/>
      <c r="Z282" s="13"/>
      <c r="AA282" s="13"/>
      <c r="AB282" s="13"/>
      <c r="AC282" s="14" t="str">
        <f aca="false">IF(AND($B282&lt;&gt;"",$AE282="",$AB282&lt;&gt;"",$AB282&lt;Boshqaruv!$C$12),"Ha","")</f>
        <v/>
      </c>
      <c r="AD282" s="25"/>
      <c r="AE282" s="13"/>
      <c r="AF282" s="12"/>
      <c r="AG282" s="14" t="str">
        <f aca="false">IF(OR($B282="",$C282="",$H282=""),"",IF(COUNTIFS($B$5:$B$804,$B282,$C$5:$C$804,$C282,$H$5:$H$804,$H282)&gt;1,"Takror",""))</f>
        <v/>
      </c>
      <c r="AH282" s="28" t="str">
        <f aca="false">IF(AND($B282&lt;&gt;"",$N282="Ha",$H282&lt;&gt;"",$H282&lt;=Boshqaruv!$C$12,OR($AE282="",$AE282&gt;Boshqaruv!$C$12)),MAX($AH$4:$AH281)+1,"")</f>
        <v/>
      </c>
    </row>
    <row r="283" customFormat="false" ht="15" hidden="false" customHeight="false" outlineLevel="0" collapsed="false">
      <c r="A283" s="20" t="n">
        <v>279</v>
      </c>
      <c r="B283" s="12"/>
      <c r="C283" s="13"/>
      <c r="D283" s="24"/>
      <c r="E283" s="12"/>
      <c r="F283" s="25"/>
      <c r="G283" s="27" t="str">
        <f aca="false">IF(OR($B283="",$C283=""),"",$B283&amp;" ("&amp;DAY($C283)&amp;"."&amp;MONTH($C283)&amp;"."&amp;YEAR($C283)&amp;")")</f>
        <v/>
      </c>
      <c r="H283" s="13"/>
      <c r="I283" s="13"/>
      <c r="J283" s="15" t="str">
        <f aca="false">IF($I283="","",$I283+280)</f>
        <v/>
      </c>
      <c r="K283" s="14" t="str">
        <f aca="false">IF(OR($I283="",$AE283&lt;&gt;""),"",INT((Boshqaruv!$C$12-$I283)/7))</f>
        <v/>
      </c>
      <c r="L283" s="14" t="str">
        <f aca="false">IF(OR($C283="",$H283=""),"",INT(($H283-$C283)/365.25))</f>
        <v/>
      </c>
      <c r="M283" s="14" t="str">
        <f aca="false">IF($L283="","",IF($L283&lt;18,"Ha","Yo'q"))</f>
        <v/>
      </c>
      <c r="N283" s="25"/>
      <c r="O283" s="25"/>
      <c r="P283" s="25"/>
      <c r="Q283" s="12"/>
      <c r="R283" s="25"/>
      <c r="S283" s="12"/>
      <c r="T283" s="13"/>
      <c r="U283" s="12"/>
      <c r="V283" s="25"/>
      <c r="W283" s="25"/>
      <c r="X283" s="14" t="str">
        <f aca="false">IF(OR($V283="",$W283=""),"",IF(AND($V283&gt;=Spravochnik!$H$5,$W283&gt;=Spravochnik!$H$6),"Ha","Yo'q"))</f>
        <v/>
      </c>
      <c r="Y283" s="13"/>
      <c r="Z283" s="13"/>
      <c r="AA283" s="13"/>
      <c r="AB283" s="13"/>
      <c r="AC283" s="14" t="str">
        <f aca="false">IF(AND($B283&lt;&gt;"",$AE283="",$AB283&lt;&gt;"",$AB283&lt;Boshqaruv!$C$12),"Ha","")</f>
        <v/>
      </c>
      <c r="AD283" s="25"/>
      <c r="AE283" s="13"/>
      <c r="AF283" s="12"/>
      <c r="AG283" s="14" t="str">
        <f aca="false">IF(OR($B283="",$C283="",$H283=""),"",IF(COUNTIFS($B$5:$B$804,$B283,$C$5:$C$804,$C283,$H$5:$H$804,$H283)&gt;1,"Takror",""))</f>
        <v/>
      </c>
      <c r="AH283" s="28" t="str">
        <f aca="false">IF(AND($B283&lt;&gt;"",$N283="Ha",$H283&lt;&gt;"",$H283&lt;=Boshqaruv!$C$12,OR($AE283="",$AE283&gt;Boshqaruv!$C$12)),MAX($AH$4:$AH282)+1,"")</f>
        <v/>
      </c>
    </row>
    <row r="284" customFormat="false" ht="15" hidden="false" customHeight="false" outlineLevel="0" collapsed="false">
      <c r="A284" s="20" t="n">
        <v>280</v>
      </c>
      <c r="B284" s="12"/>
      <c r="C284" s="13"/>
      <c r="D284" s="24"/>
      <c r="E284" s="12"/>
      <c r="F284" s="25"/>
      <c r="G284" s="27" t="str">
        <f aca="false">IF(OR($B284="",$C284=""),"",$B284&amp;" ("&amp;DAY($C284)&amp;"."&amp;MONTH($C284)&amp;"."&amp;YEAR($C284)&amp;")")</f>
        <v/>
      </c>
      <c r="H284" s="13"/>
      <c r="I284" s="13"/>
      <c r="J284" s="15" t="str">
        <f aca="false">IF($I284="","",$I284+280)</f>
        <v/>
      </c>
      <c r="K284" s="14" t="str">
        <f aca="false">IF(OR($I284="",$AE284&lt;&gt;""),"",INT((Boshqaruv!$C$12-$I284)/7))</f>
        <v/>
      </c>
      <c r="L284" s="14" t="str">
        <f aca="false">IF(OR($C284="",$H284=""),"",INT(($H284-$C284)/365.25))</f>
        <v/>
      </c>
      <c r="M284" s="14" t="str">
        <f aca="false">IF($L284="","",IF($L284&lt;18,"Ha","Yo'q"))</f>
        <v/>
      </c>
      <c r="N284" s="25"/>
      <c r="O284" s="25"/>
      <c r="P284" s="25"/>
      <c r="Q284" s="12"/>
      <c r="R284" s="25"/>
      <c r="S284" s="12"/>
      <c r="T284" s="13"/>
      <c r="U284" s="12"/>
      <c r="V284" s="25"/>
      <c r="W284" s="25"/>
      <c r="X284" s="14" t="str">
        <f aca="false">IF(OR($V284="",$W284=""),"",IF(AND($V284&gt;=Spravochnik!$H$5,$W284&gt;=Spravochnik!$H$6),"Ha","Yo'q"))</f>
        <v/>
      </c>
      <c r="Y284" s="13"/>
      <c r="Z284" s="13"/>
      <c r="AA284" s="13"/>
      <c r="AB284" s="13"/>
      <c r="AC284" s="14" t="str">
        <f aca="false">IF(AND($B284&lt;&gt;"",$AE284="",$AB284&lt;&gt;"",$AB284&lt;Boshqaruv!$C$12),"Ha","")</f>
        <v/>
      </c>
      <c r="AD284" s="25"/>
      <c r="AE284" s="13"/>
      <c r="AF284" s="12"/>
      <c r="AG284" s="14" t="str">
        <f aca="false">IF(OR($B284="",$C284="",$H284=""),"",IF(COUNTIFS($B$5:$B$804,$B284,$C$5:$C$804,$C284,$H$5:$H$804,$H284)&gt;1,"Takror",""))</f>
        <v/>
      </c>
      <c r="AH284" s="28" t="str">
        <f aca="false">IF(AND($B284&lt;&gt;"",$N284="Ha",$H284&lt;&gt;"",$H284&lt;=Boshqaruv!$C$12,OR($AE284="",$AE284&gt;Boshqaruv!$C$12)),MAX($AH$4:$AH283)+1,"")</f>
        <v/>
      </c>
    </row>
    <row r="285" customFormat="false" ht="15" hidden="false" customHeight="false" outlineLevel="0" collapsed="false">
      <c r="A285" s="20" t="n">
        <v>281</v>
      </c>
      <c r="B285" s="12"/>
      <c r="C285" s="13"/>
      <c r="D285" s="24"/>
      <c r="E285" s="12"/>
      <c r="F285" s="25"/>
      <c r="G285" s="27" t="str">
        <f aca="false">IF(OR($B285="",$C285=""),"",$B285&amp;" ("&amp;DAY($C285)&amp;"."&amp;MONTH($C285)&amp;"."&amp;YEAR($C285)&amp;")")</f>
        <v/>
      </c>
      <c r="H285" s="13"/>
      <c r="I285" s="13"/>
      <c r="J285" s="15" t="str">
        <f aca="false">IF($I285="","",$I285+280)</f>
        <v/>
      </c>
      <c r="K285" s="14" t="str">
        <f aca="false">IF(OR($I285="",$AE285&lt;&gt;""),"",INT((Boshqaruv!$C$12-$I285)/7))</f>
        <v/>
      </c>
      <c r="L285" s="14" t="str">
        <f aca="false">IF(OR($C285="",$H285=""),"",INT(($H285-$C285)/365.25))</f>
        <v/>
      </c>
      <c r="M285" s="14" t="str">
        <f aca="false">IF($L285="","",IF($L285&lt;18,"Ha","Yo'q"))</f>
        <v/>
      </c>
      <c r="N285" s="25"/>
      <c r="O285" s="25"/>
      <c r="P285" s="25"/>
      <c r="Q285" s="12"/>
      <c r="R285" s="25"/>
      <c r="S285" s="12"/>
      <c r="T285" s="13"/>
      <c r="U285" s="12"/>
      <c r="V285" s="25"/>
      <c r="W285" s="25"/>
      <c r="X285" s="14" t="str">
        <f aca="false">IF(OR($V285="",$W285=""),"",IF(AND($V285&gt;=Spravochnik!$H$5,$W285&gt;=Spravochnik!$H$6),"Ha","Yo'q"))</f>
        <v/>
      </c>
      <c r="Y285" s="13"/>
      <c r="Z285" s="13"/>
      <c r="AA285" s="13"/>
      <c r="AB285" s="13"/>
      <c r="AC285" s="14" t="str">
        <f aca="false">IF(AND($B285&lt;&gt;"",$AE285="",$AB285&lt;&gt;"",$AB285&lt;Boshqaruv!$C$12),"Ha","")</f>
        <v/>
      </c>
      <c r="AD285" s="25"/>
      <c r="AE285" s="13"/>
      <c r="AF285" s="12"/>
      <c r="AG285" s="14" t="str">
        <f aca="false">IF(OR($B285="",$C285="",$H285=""),"",IF(COUNTIFS($B$5:$B$804,$B285,$C$5:$C$804,$C285,$H$5:$H$804,$H285)&gt;1,"Takror",""))</f>
        <v/>
      </c>
      <c r="AH285" s="28" t="str">
        <f aca="false">IF(AND($B285&lt;&gt;"",$N285="Ha",$H285&lt;&gt;"",$H285&lt;=Boshqaruv!$C$12,OR($AE285="",$AE285&gt;Boshqaruv!$C$12)),MAX($AH$4:$AH284)+1,"")</f>
        <v/>
      </c>
    </row>
    <row r="286" customFormat="false" ht="15" hidden="false" customHeight="false" outlineLevel="0" collapsed="false">
      <c r="A286" s="20" t="n">
        <v>282</v>
      </c>
      <c r="B286" s="12"/>
      <c r="C286" s="13"/>
      <c r="D286" s="24"/>
      <c r="E286" s="12"/>
      <c r="F286" s="25"/>
      <c r="G286" s="27" t="str">
        <f aca="false">IF(OR($B286="",$C286=""),"",$B286&amp;" ("&amp;DAY($C286)&amp;"."&amp;MONTH($C286)&amp;"."&amp;YEAR($C286)&amp;")")</f>
        <v/>
      </c>
      <c r="H286" s="13"/>
      <c r="I286" s="13"/>
      <c r="J286" s="15" t="str">
        <f aca="false">IF($I286="","",$I286+280)</f>
        <v/>
      </c>
      <c r="K286" s="14" t="str">
        <f aca="false">IF(OR($I286="",$AE286&lt;&gt;""),"",INT((Boshqaruv!$C$12-$I286)/7))</f>
        <v/>
      </c>
      <c r="L286" s="14" t="str">
        <f aca="false">IF(OR($C286="",$H286=""),"",INT(($H286-$C286)/365.25))</f>
        <v/>
      </c>
      <c r="M286" s="14" t="str">
        <f aca="false">IF($L286="","",IF($L286&lt;18,"Ha","Yo'q"))</f>
        <v/>
      </c>
      <c r="N286" s="25"/>
      <c r="O286" s="25"/>
      <c r="P286" s="25"/>
      <c r="Q286" s="12"/>
      <c r="R286" s="25"/>
      <c r="S286" s="12"/>
      <c r="T286" s="13"/>
      <c r="U286" s="12"/>
      <c r="V286" s="25"/>
      <c r="W286" s="25"/>
      <c r="X286" s="14" t="str">
        <f aca="false">IF(OR($V286="",$W286=""),"",IF(AND($V286&gt;=Spravochnik!$H$5,$W286&gt;=Spravochnik!$H$6),"Ha","Yo'q"))</f>
        <v/>
      </c>
      <c r="Y286" s="13"/>
      <c r="Z286" s="13"/>
      <c r="AA286" s="13"/>
      <c r="AB286" s="13"/>
      <c r="AC286" s="14" t="str">
        <f aca="false">IF(AND($B286&lt;&gt;"",$AE286="",$AB286&lt;&gt;"",$AB286&lt;Boshqaruv!$C$12),"Ha","")</f>
        <v/>
      </c>
      <c r="AD286" s="25"/>
      <c r="AE286" s="13"/>
      <c r="AF286" s="12"/>
      <c r="AG286" s="14" t="str">
        <f aca="false">IF(OR($B286="",$C286="",$H286=""),"",IF(COUNTIFS($B$5:$B$804,$B286,$C$5:$C$804,$C286,$H$5:$H$804,$H286)&gt;1,"Takror",""))</f>
        <v/>
      </c>
      <c r="AH286" s="28" t="str">
        <f aca="false">IF(AND($B286&lt;&gt;"",$N286="Ha",$H286&lt;&gt;"",$H286&lt;=Boshqaruv!$C$12,OR($AE286="",$AE286&gt;Boshqaruv!$C$12)),MAX($AH$4:$AH285)+1,"")</f>
        <v/>
      </c>
    </row>
    <row r="287" customFormat="false" ht="15" hidden="false" customHeight="false" outlineLevel="0" collapsed="false">
      <c r="A287" s="20" t="n">
        <v>283</v>
      </c>
      <c r="B287" s="12"/>
      <c r="C287" s="13"/>
      <c r="D287" s="24"/>
      <c r="E287" s="12"/>
      <c r="F287" s="25"/>
      <c r="G287" s="27" t="str">
        <f aca="false">IF(OR($B287="",$C287=""),"",$B287&amp;" ("&amp;DAY($C287)&amp;"."&amp;MONTH($C287)&amp;"."&amp;YEAR($C287)&amp;")")</f>
        <v/>
      </c>
      <c r="H287" s="13"/>
      <c r="I287" s="13"/>
      <c r="J287" s="15" t="str">
        <f aca="false">IF($I287="","",$I287+280)</f>
        <v/>
      </c>
      <c r="K287" s="14" t="str">
        <f aca="false">IF(OR($I287="",$AE287&lt;&gt;""),"",INT((Boshqaruv!$C$12-$I287)/7))</f>
        <v/>
      </c>
      <c r="L287" s="14" t="str">
        <f aca="false">IF(OR($C287="",$H287=""),"",INT(($H287-$C287)/365.25))</f>
        <v/>
      </c>
      <c r="M287" s="14" t="str">
        <f aca="false">IF($L287="","",IF($L287&lt;18,"Ha","Yo'q"))</f>
        <v/>
      </c>
      <c r="N287" s="25"/>
      <c r="O287" s="25"/>
      <c r="P287" s="25"/>
      <c r="Q287" s="12"/>
      <c r="R287" s="25"/>
      <c r="S287" s="12"/>
      <c r="T287" s="13"/>
      <c r="U287" s="12"/>
      <c r="V287" s="25"/>
      <c r="W287" s="25"/>
      <c r="X287" s="14" t="str">
        <f aca="false">IF(OR($V287="",$W287=""),"",IF(AND($V287&gt;=Spravochnik!$H$5,$W287&gt;=Spravochnik!$H$6),"Ha","Yo'q"))</f>
        <v/>
      </c>
      <c r="Y287" s="13"/>
      <c r="Z287" s="13"/>
      <c r="AA287" s="13"/>
      <c r="AB287" s="13"/>
      <c r="AC287" s="14" t="str">
        <f aca="false">IF(AND($B287&lt;&gt;"",$AE287="",$AB287&lt;&gt;"",$AB287&lt;Boshqaruv!$C$12),"Ha","")</f>
        <v/>
      </c>
      <c r="AD287" s="25"/>
      <c r="AE287" s="13"/>
      <c r="AF287" s="12"/>
      <c r="AG287" s="14" t="str">
        <f aca="false">IF(OR($B287="",$C287="",$H287=""),"",IF(COUNTIFS($B$5:$B$804,$B287,$C$5:$C$804,$C287,$H$5:$H$804,$H287)&gt;1,"Takror",""))</f>
        <v/>
      </c>
      <c r="AH287" s="28" t="str">
        <f aca="false">IF(AND($B287&lt;&gt;"",$N287="Ha",$H287&lt;&gt;"",$H287&lt;=Boshqaruv!$C$12,OR($AE287="",$AE287&gt;Boshqaruv!$C$12)),MAX($AH$4:$AH286)+1,"")</f>
        <v/>
      </c>
    </row>
    <row r="288" customFormat="false" ht="15" hidden="false" customHeight="false" outlineLevel="0" collapsed="false">
      <c r="A288" s="20" t="n">
        <v>284</v>
      </c>
      <c r="B288" s="12"/>
      <c r="C288" s="13"/>
      <c r="D288" s="24"/>
      <c r="E288" s="12"/>
      <c r="F288" s="25"/>
      <c r="G288" s="27" t="str">
        <f aca="false">IF(OR($B288="",$C288=""),"",$B288&amp;" ("&amp;DAY($C288)&amp;"."&amp;MONTH($C288)&amp;"."&amp;YEAR($C288)&amp;")")</f>
        <v/>
      </c>
      <c r="H288" s="13"/>
      <c r="I288" s="13"/>
      <c r="J288" s="15" t="str">
        <f aca="false">IF($I288="","",$I288+280)</f>
        <v/>
      </c>
      <c r="K288" s="14" t="str">
        <f aca="false">IF(OR($I288="",$AE288&lt;&gt;""),"",INT((Boshqaruv!$C$12-$I288)/7))</f>
        <v/>
      </c>
      <c r="L288" s="14" t="str">
        <f aca="false">IF(OR($C288="",$H288=""),"",INT(($H288-$C288)/365.25))</f>
        <v/>
      </c>
      <c r="M288" s="14" t="str">
        <f aca="false">IF($L288="","",IF($L288&lt;18,"Ha","Yo'q"))</f>
        <v/>
      </c>
      <c r="N288" s="25"/>
      <c r="O288" s="25"/>
      <c r="P288" s="25"/>
      <c r="Q288" s="12"/>
      <c r="R288" s="25"/>
      <c r="S288" s="12"/>
      <c r="T288" s="13"/>
      <c r="U288" s="12"/>
      <c r="V288" s="25"/>
      <c r="W288" s="25"/>
      <c r="X288" s="14" t="str">
        <f aca="false">IF(OR($V288="",$W288=""),"",IF(AND($V288&gt;=Spravochnik!$H$5,$W288&gt;=Spravochnik!$H$6),"Ha","Yo'q"))</f>
        <v/>
      </c>
      <c r="Y288" s="13"/>
      <c r="Z288" s="13"/>
      <c r="AA288" s="13"/>
      <c r="AB288" s="13"/>
      <c r="AC288" s="14" t="str">
        <f aca="false">IF(AND($B288&lt;&gt;"",$AE288="",$AB288&lt;&gt;"",$AB288&lt;Boshqaruv!$C$12),"Ha","")</f>
        <v/>
      </c>
      <c r="AD288" s="25"/>
      <c r="AE288" s="13"/>
      <c r="AF288" s="12"/>
      <c r="AG288" s="14" t="str">
        <f aca="false">IF(OR($B288="",$C288="",$H288=""),"",IF(COUNTIFS($B$5:$B$804,$B288,$C$5:$C$804,$C288,$H$5:$H$804,$H288)&gt;1,"Takror",""))</f>
        <v/>
      </c>
      <c r="AH288" s="28" t="str">
        <f aca="false">IF(AND($B288&lt;&gt;"",$N288="Ha",$H288&lt;&gt;"",$H288&lt;=Boshqaruv!$C$12,OR($AE288="",$AE288&gt;Boshqaruv!$C$12)),MAX($AH$4:$AH287)+1,"")</f>
        <v/>
      </c>
    </row>
    <row r="289" customFormat="false" ht="15" hidden="false" customHeight="false" outlineLevel="0" collapsed="false">
      <c r="A289" s="20" t="n">
        <v>285</v>
      </c>
      <c r="B289" s="12"/>
      <c r="C289" s="13"/>
      <c r="D289" s="24"/>
      <c r="E289" s="12"/>
      <c r="F289" s="25"/>
      <c r="G289" s="27" t="str">
        <f aca="false">IF(OR($B289="",$C289=""),"",$B289&amp;" ("&amp;DAY($C289)&amp;"."&amp;MONTH($C289)&amp;"."&amp;YEAR($C289)&amp;")")</f>
        <v/>
      </c>
      <c r="H289" s="13"/>
      <c r="I289" s="13"/>
      <c r="J289" s="15" t="str">
        <f aca="false">IF($I289="","",$I289+280)</f>
        <v/>
      </c>
      <c r="K289" s="14" t="str">
        <f aca="false">IF(OR($I289="",$AE289&lt;&gt;""),"",INT((Boshqaruv!$C$12-$I289)/7))</f>
        <v/>
      </c>
      <c r="L289" s="14" t="str">
        <f aca="false">IF(OR($C289="",$H289=""),"",INT(($H289-$C289)/365.25))</f>
        <v/>
      </c>
      <c r="M289" s="14" t="str">
        <f aca="false">IF($L289="","",IF($L289&lt;18,"Ha","Yo'q"))</f>
        <v/>
      </c>
      <c r="N289" s="25"/>
      <c r="O289" s="25"/>
      <c r="P289" s="25"/>
      <c r="Q289" s="12"/>
      <c r="R289" s="25"/>
      <c r="S289" s="12"/>
      <c r="T289" s="13"/>
      <c r="U289" s="12"/>
      <c r="V289" s="25"/>
      <c r="W289" s="25"/>
      <c r="X289" s="14" t="str">
        <f aca="false">IF(OR($V289="",$W289=""),"",IF(AND($V289&gt;=Spravochnik!$H$5,$W289&gt;=Spravochnik!$H$6),"Ha","Yo'q"))</f>
        <v/>
      </c>
      <c r="Y289" s="13"/>
      <c r="Z289" s="13"/>
      <c r="AA289" s="13"/>
      <c r="AB289" s="13"/>
      <c r="AC289" s="14" t="str">
        <f aca="false">IF(AND($B289&lt;&gt;"",$AE289="",$AB289&lt;&gt;"",$AB289&lt;Boshqaruv!$C$12),"Ha","")</f>
        <v/>
      </c>
      <c r="AD289" s="25"/>
      <c r="AE289" s="13"/>
      <c r="AF289" s="12"/>
      <c r="AG289" s="14" t="str">
        <f aca="false">IF(OR($B289="",$C289="",$H289=""),"",IF(COUNTIFS($B$5:$B$804,$B289,$C$5:$C$804,$C289,$H$5:$H$804,$H289)&gt;1,"Takror",""))</f>
        <v/>
      </c>
      <c r="AH289" s="28" t="str">
        <f aca="false">IF(AND($B289&lt;&gt;"",$N289="Ha",$H289&lt;&gt;"",$H289&lt;=Boshqaruv!$C$12,OR($AE289="",$AE289&gt;Boshqaruv!$C$12)),MAX($AH$4:$AH288)+1,"")</f>
        <v/>
      </c>
    </row>
    <row r="290" customFormat="false" ht="15" hidden="false" customHeight="false" outlineLevel="0" collapsed="false">
      <c r="A290" s="20" t="n">
        <v>286</v>
      </c>
      <c r="B290" s="12"/>
      <c r="C290" s="13"/>
      <c r="D290" s="24"/>
      <c r="E290" s="12"/>
      <c r="F290" s="25"/>
      <c r="G290" s="27" t="str">
        <f aca="false">IF(OR($B290="",$C290=""),"",$B290&amp;" ("&amp;DAY($C290)&amp;"."&amp;MONTH($C290)&amp;"."&amp;YEAR($C290)&amp;")")</f>
        <v/>
      </c>
      <c r="H290" s="13"/>
      <c r="I290" s="13"/>
      <c r="J290" s="15" t="str">
        <f aca="false">IF($I290="","",$I290+280)</f>
        <v/>
      </c>
      <c r="K290" s="14" t="str">
        <f aca="false">IF(OR($I290="",$AE290&lt;&gt;""),"",INT((Boshqaruv!$C$12-$I290)/7))</f>
        <v/>
      </c>
      <c r="L290" s="14" t="str">
        <f aca="false">IF(OR($C290="",$H290=""),"",INT(($H290-$C290)/365.25))</f>
        <v/>
      </c>
      <c r="M290" s="14" t="str">
        <f aca="false">IF($L290="","",IF($L290&lt;18,"Ha","Yo'q"))</f>
        <v/>
      </c>
      <c r="N290" s="25"/>
      <c r="O290" s="25"/>
      <c r="P290" s="25"/>
      <c r="Q290" s="12"/>
      <c r="R290" s="25"/>
      <c r="S290" s="12"/>
      <c r="T290" s="13"/>
      <c r="U290" s="12"/>
      <c r="V290" s="25"/>
      <c r="W290" s="25"/>
      <c r="X290" s="14" t="str">
        <f aca="false">IF(OR($V290="",$W290=""),"",IF(AND($V290&gt;=Spravochnik!$H$5,$W290&gt;=Spravochnik!$H$6),"Ha","Yo'q"))</f>
        <v/>
      </c>
      <c r="Y290" s="13"/>
      <c r="Z290" s="13"/>
      <c r="AA290" s="13"/>
      <c r="AB290" s="13"/>
      <c r="AC290" s="14" t="str">
        <f aca="false">IF(AND($B290&lt;&gt;"",$AE290="",$AB290&lt;&gt;"",$AB290&lt;Boshqaruv!$C$12),"Ha","")</f>
        <v/>
      </c>
      <c r="AD290" s="25"/>
      <c r="AE290" s="13"/>
      <c r="AF290" s="12"/>
      <c r="AG290" s="14" t="str">
        <f aca="false">IF(OR($B290="",$C290="",$H290=""),"",IF(COUNTIFS($B$5:$B$804,$B290,$C$5:$C$804,$C290,$H$5:$H$804,$H290)&gt;1,"Takror",""))</f>
        <v/>
      </c>
      <c r="AH290" s="28" t="str">
        <f aca="false">IF(AND($B290&lt;&gt;"",$N290="Ha",$H290&lt;&gt;"",$H290&lt;=Boshqaruv!$C$12,OR($AE290="",$AE290&gt;Boshqaruv!$C$12)),MAX($AH$4:$AH289)+1,"")</f>
        <v/>
      </c>
    </row>
    <row r="291" customFormat="false" ht="15" hidden="false" customHeight="false" outlineLevel="0" collapsed="false">
      <c r="A291" s="20" t="n">
        <v>287</v>
      </c>
      <c r="B291" s="12"/>
      <c r="C291" s="13"/>
      <c r="D291" s="24"/>
      <c r="E291" s="12"/>
      <c r="F291" s="25"/>
      <c r="G291" s="27" t="str">
        <f aca="false">IF(OR($B291="",$C291=""),"",$B291&amp;" ("&amp;DAY($C291)&amp;"."&amp;MONTH($C291)&amp;"."&amp;YEAR($C291)&amp;")")</f>
        <v/>
      </c>
      <c r="H291" s="13"/>
      <c r="I291" s="13"/>
      <c r="J291" s="15" t="str">
        <f aca="false">IF($I291="","",$I291+280)</f>
        <v/>
      </c>
      <c r="K291" s="14" t="str">
        <f aca="false">IF(OR($I291="",$AE291&lt;&gt;""),"",INT((Boshqaruv!$C$12-$I291)/7))</f>
        <v/>
      </c>
      <c r="L291" s="14" t="str">
        <f aca="false">IF(OR($C291="",$H291=""),"",INT(($H291-$C291)/365.25))</f>
        <v/>
      </c>
      <c r="M291" s="14" t="str">
        <f aca="false">IF($L291="","",IF($L291&lt;18,"Ha","Yo'q"))</f>
        <v/>
      </c>
      <c r="N291" s="25"/>
      <c r="O291" s="25"/>
      <c r="P291" s="25"/>
      <c r="Q291" s="12"/>
      <c r="R291" s="25"/>
      <c r="S291" s="12"/>
      <c r="T291" s="13"/>
      <c r="U291" s="12"/>
      <c r="V291" s="25"/>
      <c r="W291" s="25"/>
      <c r="X291" s="14" t="str">
        <f aca="false">IF(OR($V291="",$W291=""),"",IF(AND($V291&gt;=Spravochnik!$H$5,$W291&gt;=Spravochnik!$H$6),"Ha","Yo'q"))</f>
        <v/>
      </c>
      <c r="Y291" s="13"/>
      <c r="Z291" s="13"/>
      <c r="AA291" s="13"/>
      <c r="AB291" s="13"/>
      <c r="AC291" s="14" t="str">
        <f aca="false">IF(AND($B291&lt;&gt;"",$AE291="",$AB291&lt;&gt;"",$AB291&lt;Boshqaruv!$C$12),"Ha","")</f>
        <v/>
      </c>
      <c r="AD291" s="25"/>
      <c r="AE291" s="13"/>
      <c r="AF291" s="12"/>
      <c r="AG291" s="14" t="str">
        <f aca="false">IF(OR($B291="",$C291="",$H291=""),"",IF(COUNTIFS($B$5:$B$804,$B291,$C$5:$C$804,$C291,$H$5:$H$804,$H291)&gt;1,"Takror",""))</f>
        <v/>
      </c>
      <c r="AH291" s="28" t="str">
        <f aca="false">IF(AND($B291&lt;&gt;"",$N291="Ha",$H291&lt;&gt;"",$H291&lt;=Boshqaruv!$C$12,OR($AE291="",$AE291&gt;Boshqaruv!$C$12)),MAX($AH$4:$AH290)+1,"")</f>
        <v/>
      </c>
    </row>
    <row r="292" customFormat="false" ht="15" hidden="false" customHeight="false" outlineLevel="0" collapsed="false">
      <c r="A292" s="20" t="n">
        <v>288</v>
      </c>
      <c r="B292" s="12"/>
      <c r="C292" s="13"/>
      <c r="D292" s="24"/>
      <c r="E292" s="12"/>
      <c r="F292" s="25"/>
      <c r="G292" s="27" t="str">
        <f aca="false">IF(OR($B292="",$C292=""),"",$B292&amp;" ("&amp;DAY($C292)&amp;"."&amp;MONTH($C292)&amp;"."&amp;YEAR($C292)&amp;")")</f>
        <v/>
      </c>
      <c r="H292" s="13"/>
      <c r="I292" s="13"/>
      <c r="J292" s="15" t="str">
        <f aca="false">IF($I292="","",$I292+280)</f>
        <v/>
      </c>
      <c r="K292" s="14" t="str">
        <f aca="false">IF(OR($I292="",$AE292&lt;&gt;""),"",INT((Boshqaruv!$C$12-$I292)/7))</f>
        <v/>
      </c>
      <c r="L292" s="14" t="str">
        <f aca="false">IF(OR($C292="",$H292=""),"",INT(($H292-$C292)/365.25))</f>
        <v/>
      </c>
      <c r="M292" s="14" t="str">
        <f aca="false">IF($L292="","",IF($L292&lt;18,"Ha","Yo'q"))</f>
        <v/>
      </c>
      <c r="N292" s="25"/>
      <c r="O292" s="25"/>
      <c r="P292" s="25"/>
      <c r="Q292" s="12"/>
      <c r="R292" s="25"/>
      <c r="S292" s="12"/>
      <c r="T292" s="13"/>
      <c r="U292" s="12"/>
      <c r="V292" s="25"/>
      <c r="W292" s="25"/>
      <c r="X292" s="14" t="str">
        <f aca="false">IF(OR($V292="",$W292=""),"",IF(AND($V292&gt;=Spravochnik!$H$5,$W292&gt;=Spravochnik!$H$6),"Ha","Yo'q"))</f>
        <v/>
      </c>
      <c r="Y292" s="13"/>
      <c r="Z292" s="13"/>
      <c r="AA292" s="13"/>
      <c r="AB292" s="13"/>
      <c r="AC292" s="14" t="str">
        <f aca="false">IF(AND($B292&lt;&gt;"",$AE292="",$AB292&lt;&gt;"",$AB292&lt;Boshqaruv!$C$12),"Ha","")</f>
        <v/>
      </c>
      <c r="AD292" s="25"/>
      <c r="AE292" s="13"/>
      <c r="AF292" s="12"/>
      <c r="AG292" s="14" t="str">
        <f aca="false">IF(OR($B292="",$C292="",$H292=""),"",IF(COUNTIFS($B$5:$B$804,$B292,$C$5:$C$804,$C292,$H$5:$H$804,$H292)&gt;1,"Takror",""))</f>
        <v/>
      </c>
      <c r="AH292" s="28" t="str">
        <f aca="false">IF(AND($B292&lt;&gt;"",$N292="Ha",$H292&lt;&gt;"",$H292&lt;=Boshqaruv!$C$12,OR($AE292="",$AE292&gt;Boshqaruv!$C$12)),MAX($AH$4:$AH291)+1,"")</f>
        <v/>
      </c>
    </row>
    <row r="293" customFormat="false" ht="15" hidden="false" customHeight="false" outlineLevel="0" collapsed="false">
      <c r="A293" s="20" t="n">
        <v>289</v>
      </c>
      <c r="B293" s="12"/>
      <c r="C293" s="13"/>
      <c r="D293" s="24"/>
      <c r="E293" s="12"/>
      <c r="F293" s="25"/>
      <c r="G293" s="27" t="str">
        <f aca="false">IF(OR($B293="",$C293=""),"",$B293&amp;" ("&amp;DAY($C293)&amp;"."&amp;MONTH($C293)&amp;"."&amp;YEAR($C293)&amp;")")</f>
        <v/>
      </c>
      <c r="H293" s="13"/>
      <c r="I293" s="13"/>
      <c r="J293" s="15" t="str">
        <f aca="false">IF($I293="","",$I293+280)</f>
        <v/>
      </c>
      <c r="K293" s="14" t="str">
        <f aca="false">IF(OR($I293="",$AE293&lt;&gt;""),"",INT((Boshqaruv!$C$12-$I293)/7))</f>
        <v/>
      </c>
      <c r="L293" s="14" t="str">
        <f aca="false">IF(OR($C293="",$H293=""),"",INT(($H293-$C293)/365.25))</f>
        <v/>
      </c>
      <c r="M293" s="14" t="str">
        <f aca="false">IF($L293="","",IF($L293&lt;18,"Ha","Yo'q"))</f>
        <v/>
      </c>
      <c r="N293" s="25"/>
      <c r="O293" s="25"/>
      <c r="P293" s="25"/>
      <c r="Q293" s="12"/>
      <c r="R293" s="25"/>
      <c r="S293" s="12"/>
      <c r="T293" s="13"/>
      <c r="U293" s="12"/>
      <c r="V293" s="25"/>
      <c r="W293" s="25"/>
      <c r="X293" s="14" t="str">
        <f aca="false">IF(OR($V293="",$W293=""),"",IF(AND($V293&gt;=Spravochnik!$H$5,$W293&gt;=Spravochnik!$H$6),"Ha","Yo'q"))</f>
        <v/>
      </c>
      <c r="Y293" s="13"/>
      <c r="Z293" s="13"/>
      <c r="AA293" s="13"/>
      <c r="AB293" s="13"/>
      <c r="AC293" s="14" t="str">
        <f aca="false">IF(AND($B293&lt;&gt;"",$AE293="",$AB293&lt;&gt;"",$AB293&lt;Boshqaruv!$C$12),"Ha","")</f>
        <v/>
      </c>
      <c r="AD293" s="25"/>
      <c r="AE293" s="13"/>
      <c r="AF293" s="12"/>
      <c r="AG293" s="14" t="str">
        <f aca="false">IF(OR($B293="",$C293="",$H293=""),"",IF(COUNTIFS($B$5:$B$804,$B293,$C$5:$C$804,$C293,$H$5:$H$804,$H293)&gt;1,"Takror",""))</f>
        <v/>
      </c>
      <c r="AH293" s="28" t="str">
        <f aca="false">IF(AND($B293&lt;&gt;"",$N293="Ha",$H293&lt;&gt;"",$H293&lt;=Boshqaruv!$C$12,OR($AE293="",$AE293&gt;Boshqaruv!$C$12)),MAX($AH$4:$AH292)+1,"")</f>
        <v/>
      </c>
    </row>
    <row r="294" customFormat="false" ht="15" hidden="false" customHeight="false" outlineLevel="0" collapsed="false">
      <c r="A294" s="20" t="n">
        <v>290</v>
      </c>
      <c r="B294" s="12"/>
      <c r="C294" s="13"/>
      <c r="D294" s="24"/>
      <c r="E294" s="12"/>
      <c r="F294" s="25"/>
      <c r="G294" s="27" t="str">
        <f aca="false">IF(OR($B294="",$C294=""),"",$B294&amp;" ("&amp;DAY($C294)&amp;"."&amp;MONTH($C294)&amp;"."&amp;YEAR($C294)&amp;")")</f>
        <v/>
      </c>
      <c r="H294" s="13"/>
      <c r="I294" s="13"/>
      <c r="J294" s="15" t="str">
        <f aca="false">IF($I294="","",$I294+280)</f>
        <v/>
      </c>
      <c r="K294" s="14" t="str">
        <f aca="false">IF(OR($I294="",$AE294&lt;&gt;""),"",INT((Boshqaruv!$C$12-$I294)/7))</f>
        <v/>
      </c>
      <c r="L294" s="14" t="str">
        <f aca="false">IF(OR($C294="",$H294=""),"",INT(($H294-$C294)/365.25))</f>
        <v/>
      </c>
      <c r="M294" s="14" t="str">
        <f aca="false">IF($L294="","",IF($L294&lt;18,"Ha","Yo'q"))</f>
        <v/>
      </c>
      <c r="N294" s="25"/>
      <c r="O294" s="25"/>
      <c r="P294" s="25"/>
      <c r="Q294" s="12"/>
      <c r="R294" s="25"/>
      <c r="S294" s="12"/>
      <c r="T294" s="13"/>
      <c r="U294" s="12"/>
      <c r="V294" s="25"/>
      <c r="W294" s="25"/>
      <c r="X294" s="14" t="str">
        <f aca="false">IF(OR($V294="",$W294=""),"",IF(AND($V294&gt;=Spravochnik!$H$5,$W294&gt;=Spravochnik!$H$6),"Ha","Yo'q"))</f>
        <v/>
      </c>
      <c r="Y294" s="13"/>
      <c r="Z294" s="13"/>
      <c r="AA294" s="13"/>
      <c r="AB294" s="13"/>
      <c r="AC294" s="14" t="str">
        <f aca="false">IF(AND($B294&lt;&gt;"",$AE294="",$AB294&lt;&gt;"",$AB294&lt;Boshqaruv!$C$12),"Ha","")</f>
        <v/>
      </c>
      <c r="AD294" s="25"/>
      <c r="AE294" s="13"/>
      <c r="AF294" s="12"/>
      <c r="AG294" s="14" t="str">
        <f aca="false">IF(OR($B294="",$C294="",$H294=""),"",IF(COUNTIFS($B$5:$B$804,$B294,$C$5:$C$804,$C294,$H$5:$H$804,$H294)&gt;1,"Takror",""))</f>
        <v/>
      </c>
      <c r="AH294" s="28" t="str">
        <f aca="false">IF(AND($B294&lt;&gt;"",$N294="Ha",$H294&lt;&gt;"",$H294&lt;=Boshqaruv!$C$12,OR($AE294="",$AE294&gt;Boshqaruv!$C$12)),MAX($AH$4:$AH293)+1,"")</f>
        <v/>
      </c>
    </row>
    <row r="295" customFormat="false" ht="15" hidden="false" customHeight="false" outlineLevel="0" collapsed="false">
      <c r="A295" s="20" t="n">
        <v>291</v>
      </c>
      <c r="B295" s="12"/>
      <c r="C295" s="13"/>
      <c r="D295" s="24"/>
      <c r="E295" s="12"/>
      <c r="F295" s="25"/>
      <c r="G295" s="27" t="str">
        <f aca="false">IF(OR($B295="",$C295=""),"",$B295&amp;" ("&amp;DAY($C295)&amp;"."&amp;MONTH($C295)&amp;"."&amp;YEAR($C295)&amp;")")</f>
        <v/>
      </c>
      <c r="H295" s="13"/>
      <c r="I295" s="13"/>
      <c r="J295" s="15" t="str">
        <f aca="false">IF($I295="","",$I295+280)</f>
        <v/>
      </c>
      <c r="K295" s="14" t="str">
        <f aca="false">IF(OR($I295="",$AE295&lt;&gt;""),"",INT((Boshqaruv!$C$12-$I295)/7))</f>
        <v/>
      </c>
      <c r="L295" s="14" t="str">
        <f aca="false">IF(OR($C295="",$H295=""),"",INT(($H295-$C295)/365.25))</f>
        <v/>
      </c>
      <c r="M295" s="14" t="str">
        <f aca="false">IF($L295="","",IF($L295&lt;18,"Ha","Yo'q"))</f>
        <v/>
      </c>
      <c r="N295" s="25"/>
      <c r="O295" s="25"/>
      <c r="P295" s="25"/>
      <c r="Q295" s="12"/>
      <c r="R295" s="25"/>
      <c r="S295" s="12"/>
      <c r="T295" s="13"/>
      <c r="U295" s="12"/>
      <c r="V295" s="25"/>
      <c r="W295" s="25"/>
      <c r="X295" s="14" t="str">
        <f aca="false">IF(OR($V295="",$W295=""),"",IF(AND($V295&gt;=Spravochnik!$H$5,$W295&gt;=Spravochnik!$H$6),"Ha","Yo'q"))</f>
        <v/>
      </c>
      <c r="Y295" s="13"/>
      <c r="Z295" s="13"/>
      <c r="AA295" s="13"/>
      <c r="AB295" s="13"/>
      <c r="AC295" s="14" t="str">
        <f aca="false">IF(AND($B295&lt;&gt;"",$AE295="",$AB295&lt;&gt;"",$AB295&lt;Boshqaruv!$C$12),"Ha","")</f>
        <v/>
      </c>
      <c r="AD295" s="25"/>
      <c r="AE295" s="13"/>
      <c r="AF295" s="12"/>
      <c r="AG295" s="14" t="str">
        <f aca="false">IF(OR($B295="",$C295="",$H295=""),"",IF(COUNTIFS($B$5:$B$804,$B295,$C$5:$C$804,$C295,$H$5:$H$804,$H295)&gt;1,"Takror",""))</f>
        <v/>
      </c>
      <c r="AH295" s="28" t="str">
        <f aca="false">IF(AND($B295&lt;&gt;"",$N295="Ha",$H295&lt;&gt;"",$H295&lt;=Boshqaruv!$C$12,OR($AE295="",$AE295&gt;Boshqaruv!$C$12)),MAX($AH$4:$AH294)+1,"")</f>
        <v/>
      </c>
    </row>
    <row r="296" customFormat="false" ht="15" hidden="false" customHeight="false" outlineLevel="0" collapsed="false">
      <c r="A296" s="20" t="n">
        <v>292</v>
      </c>
      <c r="B296" s="12"/>
      <c r="C296" s="13"/>
      <c r="D296" s="24"/>
      <c r="E296" s="12"/>
      <c r="F296" s="25"/>
      <c r="G296" s="27" t="str">
        <f aca="false">IF(OR($B296="",$C296=""),"",$B296&amp;" ("&amp;DAY($C296)&amp;"."&amp;MONTH($C296)&amp;"."&amp;YEAR($C296)&amp;")")</f>
        <v/>
      </c>
      <c r="H296" s="13"/>
      <c r="I296" s="13"/>
      <c r="J296" s="15" t="str">
        <f aca="false">IF($I296="","",$I296+280)</f>
        <v/>
      </c>
      <c r="K296" s="14" t="str">
        <f aca="false">IF(OR($I296="",$AE296&lt;&gt;""),"",INT((Boshqaruv!$C$12-$I296)/7))</f>
        <v/>
      </c>
      <c r="L296" s="14" t="str">
        <f aca="false">IF(OR($C296="",$H296=""),"",INT(($H296-$C296)/365.25))</f>
        <v/>
      </c>
      <c r="M296" s="14" t="str">
        <f aca="false">IF($L296="","",IF($L296&lt;18,"Ha","Yo'q"))</f>
        <v/>
      </c>
      <c r="N296" s="25"/>
      <c r="O296" s="25"/>
      <c r="P296" s="25"/>
      <c r="Q296" s="12"/>
      <c r="R296" s="25"/>
      <c r="S296" s="12"/>
      <c r="T296" s="13"/>
      <c r="U296" s="12"/>
      <c r="V296" s="25"/>
      <c r="W296" s="25"/>
      <c r="X296" s="14" t="str">
        <f aca="false">IF(OR($V296="",$W296=""),"",IF(AND($V296&gt;=Spravochnik!$H$5,$W296&gt;=Spravochnik!$H$6),"Ha","Yo'q"))</f>
        <v/>
      </c>
      <c r="Y296" s="13"/>
      <c r="Z296" s="13"/>
      <c r="AA296" s="13"/>
      <c r="AB296" s="13"/>
      <c r="AC296" s="14" t="str">
        <f aca="false">IF(AND($B296&lt;&gt;"",$AE296="",$AB296&lt;&gt;"",$AB296&lt;Boshqaruv!$C$12),"Ha","")</f>
        <v/>
      </c>
      <c r="AD296" s="25"/>
      <c r="AE296" s="13"/>
      <c r="AF296" s="12"/>
      <c r="AG296" s="14" t="str">
        <f aca="false">IF(OR($B296="",$C296="",$H296=""),"",IF(COUNTIFS($B$5:$B$804,$B296,$C$5:$C$804,$C296,$H$5:$H$804,$H296)&gt;1,"Takror",""))</f>
        <v/>
      </c>
      <c r="AH296" s="28" t="str">
        <f aca="false">IF(AND($B296&lt;&gt;"",$N296="Ha",$H296&lt;&gt;"",$H296&lt;=Boshqaruv!$C$12,OR($AE296="",$AE296&gt;Boshqaruv!$C$12)),MAX($AH$4:$AH295)+1,"")</f>
        <v/>
      </c>
    </row>
    <row r="297" customFormat="false" ht="15" hidden="false" customHeight="false" outlineLevel="0" collapsed="false">
      <c r="A297" s="20" t="n">
        <v>293</v>
      </c>
      <c r="B297" s="12"/>
      <c r="C297" s="13"/>
      <c r="D297" s="24"/>
      <c r="E297" s="12"/>
      <c r="F297" s="25"/>
      <c r="G297" s="27" t="str">
        <f aca="false">IF(OR($B297="",$C297=""),"",$B297&amp;" ("&amp;DAY($C297)&amp;"."&amp;MONTH($C297)&amp;"."&amp;YEAR($C297)&amp;")")</f>
        <v/>
      </c>
      <c r="H297" s="13"/>
      <c r="I297" s="13"/>
      <c r="J297" s="15" t="str">
        <f aca="false">IF($I297="","",$I297+280)</f>
        <v/>
      </c>
      <c r="K297" s="14" t="str">
        <f aca="false">IF(OR($I297="",$AE297&lt;&gt;""),"",INT((Boshqaruv!$C$12-$I297)/7))</f>
        <v/>
      </c>
      <c r="L297" s="14" t="str">
        <f aca="false">IF(OR($C297="",$H297=""),"",INT(($H297-$C297)/365.25))</f>
        <v/>
      </c>
      <c r="M297" s="14" t="str">
        <f aca="false">IF($L297="","",IF($L297&lt;18,"Ha","Yo'q"))</f>
        <v/>
      </c>
      <c r="N297" s="25"/>
      <c r="O297" s="25"/>
      <c r="P297" s="25"/>
      <c r="Q297" s="12"/>
      <c r="R297" s="25"/>
      <c r="S297" s="12"/>
      <c r="T297" s="13"/>
      <c r="U297" s="12"/>
      <c r="V297" s="25"/>
      <c r="W297" s="25"/>
      <c r="X297" s="14" t="str">
        <f aca="false">IF(OR($V297="",$W297=""),"",IF(AND($V297&gt;=Spravochnik!$H$5,$W297&gt;=Spravochnik!$H$6),"Ha","Yo'q"))</f>
        <v/>
      </c>
      <c r="Y297" s="13"/>
      <c r="Z297" s="13"/>
      <c r="AA297" s="13"/>
      <c r="AB297" s="13"/>
      <c r="AC297" s="14" t="str">
        <f aca="false">IF(AND($B297&lt;&gt;"",$AE297="",$AB297&lt;&gt;"",$AB297&lt;Boshqaruv!$C$12),"Ha","")</f>
        <v/>
      </c>
      <c r="AD297" s="25"/>
      <c r="AE297" s="13"/>
      <c r="AF297" s="12"/>
      <c r="AG297" s="14" t="str">
        <f aca="false">IF(OR($B297="",$C297="",$H297=""),"",IF(COUNTIFS($B$5:$B$804,$B297,$C$5:$C$804,$C297,$H$5:$H$804,$H297)&gt;1,"Takror",""))</f>
        <v/>
      </c>
      <c r="AH297" s="28" t="str">
        <f aca="false">IF(AND($B297&lt;&gt;"",$N297="Ha",$H297&lt;&gt;"",$H297&lt;=Boshqaruv!$C$12,OR($AE297="",$AE297&gt;Boshqaruv!$C$12)),MAX($AH$4:$AH296)+1,"")</f>
        <v/>
      </c>
    </row>
    <row r="298" customFormat="false" ht="15" hidden="false" customHeight="false" outlineLevel="0" collapsed="false">
      <c r="A298" s="20" t="n">
        <v>294</v>
      </c>
      <c r="B298" s="12"/>
      <c r="C298" s="13"/>
      <c r="D298" s="24"/>
      <c r="E298" s="12"/>
      <c r="F298" s="25"/>
      <c r="G298" s="27" t="str">
        <f aca="false">IF(OR($B298="",$C298=""),"",$B298&amp;" ("&amp;DAY($C298)&amp;"."&amp;MONTH($C298)&amp;"."&amp;YEAR($C298)&amp;")")</f>
        <v/>
      </c>
      <c r="H298" s="13"/>
      <c r="I298" s="13"/>
      <c r="J298" s="15" t="str">
        <f aca="false">IF($I298="","",$I298+280)</f>
        <v/>
      </c>
      <c r="K298" s="14" t="str">
        <f aca="false">IF(OR($I298="",$AE298&lt;&gt;""),"",INT((Boshqaruv!$C$12-$I298)/7))</f>
        <v/>
      </c>
      <c r="L298" s="14" t="str">
        <f aca="false">IF(OR($C298="",$H298=""),"",INT(($H298-$C298)/365.25))</f>
        <v/>
      </c>
      <c r="M298" s="14" t="str">
        <f aca="false">IF($L298="","",IF($L298&lt;18,"Ha","Yo'q"))</f>
        <v/>
      </c>
      <c r="N298" s="25"/>
      <c r="O298" s="25"/>
      <c r="P298" s="25"/>
      <c r="Q298" s="12"/>
      <c r="R298" s="25"/>
      <c r="S298" s="12"/>
      <c r="T298" s="13"/>
      <c r="U298" s="12"/>
      <c r="V298" s="25"/>
      <c r="W298" s="25"/>
      <c r="X298" s="14" t="str">
        <f aca="false">IF(OR($V298="",$W298=""),"",IF(AND($V298&gt;=Spravochnik!$H$5,$W298&gt;=Spravochnik!$H$6),"Ha","Yo'q"))</f>
        <v/>
      </c>
      <c r="Y298" s="13"/>
      <c r="Z298" s="13"/>
      <c r="AA298" s="13"/>
      <c r="AB298" s="13"/>
      <c r="AC298" s="14" t="str">
        <f aca="false">IF(AND($B298&lt;&gt;"",$AE298="",$AB298&lt;&gt;"",$AB298&lt;Boshqaruv!$C$12),"Ha","")</f>
        <v/>
      </c>
      <c r="AD298" s="25"/>
      <c r="AE298" s="13"/>
      <c r="AF298" s="12"/>
      <c r="AG298" s="14" t="str">
        <f aca="false">IF(OR($B298="",$C298="",$H298=""),"",IF(COUNTIFS($B$5:$B$804,$B298,$C$5:$C$804,$C298,$H$5:$H$804,$H298)&gt;1,"Takror",""))</f>
        <v/>
      </c>
      <c r="AH298" s="28" t="str">
        <f aca="false">IF(AND($B298&lt;&gt;"",$N298="Ha",$H298&lt;&gt;"",$H298&lt;=Boshqaruv!$C$12,OR($AE298="",$AE298&gt;Boshqaruv!$C$12)),MAX($AH$4:$AH297)+1,"")</f>
        <v/>
      </c>
    </row>
    <row r="299" customFormat="false" ht="15" hidden="false" customHeight="false" outlineLevel="0" collapsed="false">
      <c r="A299" s="20" t="n">
        <v>295</v>
      </c>
      <c r="B299" s="12"/>
      <c r="C299" s="13"/>
      <c r="D299" s="24"/>
      <c r="E299" s="12"/>
      <c r="F299" s="25"/>
      <c r="G299" s="27" t="str">
        <f aca="false">IF(OR($B299="",$C299=""),"",$B299&amp;" ("&amp;DAY($C299)&amp;"."&amp;MONTH($C299)&amp;"."&amp;YEAR($C299)&amp;")")</f>
        <v/>
      </c>
      <c r="H299" s="13"/>
      <c r="I299" s="13"/>
      <c r="J299" s="15" t="str">
        <f aca="false">IF($I299="","",$I299+280)</f>
        <v/>
      </c>
      <c r="K299" s="14" t="str">
        <f aca="false">IF(OR($I299="",$AE299&lt;&gt;""),"",INT((Boshqaruv!$C$12-$I299)/7))</f>
        <v/>
      </c>
      <c r="L299" s="14" t="str">
        <f aca="false">IF(OR($C299="",$H299=""),"",INT(($H299-$C299)/365.25))</f>
        <v/>
      </c>
      <c r="M299" s="14" t="str">
        <f aca="false">IF($L299="","",IF($L299&lt;18,"Ha","Yo'q"))</f>
        <v/>
      </c>
      <c r="N299" s="25"/>
      <c r="O299" s="25"/>
      <c r="P299" s="25"/>
      <c r="Q299" s="12"/>
      <c r="R299" s="25"/>
      <c r="S299" s="12"/>
      <c r="T299" s="13"/>
      <c r="U299" s="12"/>
      <c r="V299" s="25"/>
      <c r="W299" s="25"/>
      <c r="X299" s="14" t="str">
        <f aca="false">IF(OR($V299="",$W299=""),"",IF(AND($V299&gt;=Spravochnik!$H$5,$W299&gt;=Spravochnik!$H$6),"Ha","Yo'q"))</f>
        <v/>
      </c>
      <c r="Y299" s="13"/>
      <c r="Z299" s="13"/>
      <c r="AA299" s="13"/>
      <c r="AB299" s="13"/>
      <c r="AC299" s="14" t="str">
        <f aca="false">IF(AND($B299&lt;&gt;"",$AE299="",$AB299&lt;&gt;"",$AB299&lt;Boshqaruv!$C$12),"Ha","")</f>
        <v/>
      </c>
      <c r="AD299" s="25"/>
      <c r="AE299" s="13"/>
      <c r="AF299" s="12"/>
      <c r="AG299" s="14" t="str">
        <f aca="false">IF(OR($B299="",$C299="",$H299=""),"",IF(COUNTIFS($B$5:$B$804,$B299,$C$5:$C$804,$C299,$H$5:$H$804,$H299)&gt;1,"Takror",""))</f>
        <v/>
      </c>
      <c r="AH299" s="28" t="str">
        <f aca="false">IF(AND($B299&lt;&gt;"",$N299="Ha",$H299&lt;&gt;"",$H299&lt;=Boshqaruv!$C$12,OR($AE299="",$AE299&gt;Boshqaruv!$C$12)),MAX($AH$4:$AH298)+1,"")</f>
        <v/>
      </c>
    </row>
    <row r="300" customFormat="false" ht="15" hidden="false" customHeight="false" outlineLevel="0" collapsed="false">
      <c r="A300" s="20" t="n">
        <v>296</v>
      </c>
      <c r="B300" s="12"/>
      <c r="C300" s="13"/>
      <c r="D300" s="24"/>
      <c r="E300" s="12"/>
      <c r="F300" s="25"/>
      <c r="G300" s="27" t="str">
        <f aca="false">IF(OR($B300="",$C300=""),"",$B300&amp;" ("&amp;DAY($C300)&amp;"."&amp;MONTH($C300)&amp;"."&amp;YEAR($C300)&amp;")")</f>
        <v/>
      </c>
      <c r="H300" s="13"/>
      <c r="I300" s="13"/>
      <c r="J300" s="15" t="str">
        <f aca="false">IF($I300="","",$I300+280)</f>
        <v/>
      </c>
      <c r="K300" s="14" t="str">
        <f aca="false">IF(OR($I300="",$AE300&lt;&gt;""),"",INT((Boshqaruv!$C$12-$I300)/7))</f>
        <v/>
      </c>
      <c r="L300" s="14" t="str">
        <f aca="false">IF(OR($C300="",$H300=""),"",INT(($H300-$C300)/365.25))</f>
        <v/>
      </c>
      <c r="M300" s="14" t="str">
        <f aca="false">IF($L300="","",IF($L300&lt;18,"Ha","Yo'q"))</f>
        <v/>
      </c>
      <c r="N300" s="25"/>
      <c r="O300" s="25"/>
      <c r="P300" s="25"/>
      <c r="Q300" s="12"/>
      <c r="R300" s="25"/>
      <c r="S300" s="12"/>
      <c r="T300" s="13"/>
      <c r="U300" s="12"/>
      <c r="V300" s="25"/>
      <c r="W300" s="25"/>
      <c r="X300" s="14" t="str">
        <f aca="false">IF(OR($V300="",$W300=""),"",IF(AND($V300&gt;=Spravochnik!$H$5,$W300&gt;=Spravochnik!$H$6),"Ha","Yo'q"))</f>
        <v/>
      </c>
      <c r="Y300" s="13"/>
      <c r="Z300" s="13"/>
      <c r="AA300" s="13"/>
      <c r="AB300" s="13"/>
      <c r="AC300" s="14" t="str">
        <f aca="false">IF(AND($B300&lt;&gt;"",$AE300="",$AB300&lt;&gt;"",$AB300&lt;Boshqaruv!$C$12),"Ha","")</f>
        <v/>
      </c>
      <c r="AD300" s="25"/>
      <c r="AE300" s="13"/>
      <c r="AF300" s="12"/>
      <c r="AG300" s="14" t="str">
        <f aca="false">IF(OR($B300="",$C300="",$H300=""),"",IF(COUNTIFS($B$5:$B$804,$B300,$C$5:$C$804,$C300,$H$5:$H$804,$H300)&gt;1,"Takror",""))</f>
        <v/>
      </c>
      <c r="AH300" s="28" t="str">
        <f aca="false">IF(AND($B300&lt;&gt;"",$N300="Ha",$H300&lt;&gt;"",$H300&lt;=Boshqaruv!$C$12,OR($AE300="",$AE300&gt;Boshqaruv!$C$12)),MAX($AH$4:$AH299)+1,"")</f>
        <v/>
      </c>
    </row>
    <row r="301" customFormat="false" ht="15" hidden="false" customHeight="false" outlineLevel="0" collapsed="false">
      <c r="A301" s="20" t="n">
        <v>297</v>
      </c>
      <c r="B301" s="12"/>
      <c r="C301" s="13"/>
      <c r="D301" s="24"/>
      <c r="E301" s="12"/>
      <c r="F301" s="25"/>
      <c r="G301" s="27" t="str">
        <f aca="false">IF(OR($B301="",$C301=""),"",$B301&amp;" ("&amp;DAY($C301)&amp;"."&amp;MONTH($C301)&amp;"."&amp;YEAR($C301)&amp;")")</f>
        <v/>
      </c>
      <c r="H301" s="13"/>
      <c r="I301" s="13"/>
      <c r="J301" s="15" t="str">
        <f aca="false">IF($I301="","",$I301+280)</f>
        <v/>
      </c>
      <c r="K301" s="14" t="str">
        <f aca="false">IF(OR($I301="",$AE301&lt;&gt;""),"",INT((Boshqaruv!$C$12-$I301)/7))</f>
        <v/>
      </c>
      <c r="L301" s="14" t="str">
        <f aca="false">IF(OR($C301="",$H301=""),"",INT(($H301-$C301)/365.25))</f>
        <v/>
      </c>
      <c r="M301" s="14" t="str">
        <f aca="false">IF($L301="","",IF($L301&lt;18,"Ha","Yo'q"))</f>
        <v/>
      </c>
      <c r="N301" s="25"/>
      <c r="O301" s="25"/>
      <c r="P301" s="25"/>
      <c r="Q301" s="12"/>
      <c r="R301" s="25"/>
      <c r="S301" s="12"/>
      <c r="T301" s="13"/>
      <c r="U301" s="12"/>
      <c r="V301" s="25"/>
      <c r="W301" s="25"/>
      <c r="X301" s="14" t="str">
        <f aca="false">IF(OR($V301="",$W301=""),"",IF(AND($V301&gt;=Spravochnik!$H$5,$W301&gt;=Spravochnik!$H$6),"Ha","Yo'q"))</f>
        <v/>
      </c>
      <c r="Y301" s="13"/>
      <c r="Z301" s="13"/>
      <c r="AA301" s="13"/>
      <c r="AB301" s="13"/>
      <c r="AC301" s="14" t="str">
        <f aca="false">IF(AND($B301&lt;&gt;"",$AE301="",$AB301&lt;&gt;"",$AB301&lt;Boshqaruv!$C$12),"Ha","")</f>
        <v/>
      </c>
      <c r="AD301" s="25"/>
      <c r="AE301" s="13"/>
      <c r="AF301" s="12"/>
      <c r="AG301" s="14" t="str">
        <f aca="false">IF(OR($B301="",$C301="",$H301=""),"",IF(COUNTIFS($B$5:$B$804,$B301,$C$5:$C$804,$C301,$H$5:$H$804,$H301)&gt;1,"Takror",""))</f>
        <v/>
      </c>
      <c r="AH301" s="28" t="str">
        <f aca="false">IF(AND($B301&lt;&gt;"",$N301="Ha",$H301&lt;&gt;"",$H301&lt;=Boshqaruv!$C$12,OR($AE301="",$AE301&gt;Boshqaruv!$C$12)),MAX($AH$4:$AH300)+1,"")</f>
        <v/>
      </c>
    </row>
    <row r="302" customFormat="false" ht="15" hidden="false" customHeight="false" outlineLevel="0" collapsed="false">
      <c r="A302" s="20" t="n">
        <v>298</v>
      </c>
      <c r="B302" s="12"/>
      <c r="C302" s="13"/>
      <c r="D302" s="24"/>
      <c r="E302" s="12"/>
      <c r="F302" s="25"/>
      <c r="G302" s="27" t="str">
        <f aca="false">IF(OR($B302="",$C302=""),"",$B302&amp;" ("&amp;DAY($C302)&amp;"."&amp;MONTH($C302)&amp;"."&amp;YEAR($C302)&amp;")")</f>
        <v/>
      </c>
      <c r="H302" s="13"/>
      <c r="I302" s="13"/>
      <c r="J302" s="15" t="str">
        <f aca="false">IF($I302="","",$I302+280)</f>
        <v/>
      </c>
      <c r="K302" s="14" t="str">
        <f aca="false">IF(OR($I302="",$AE302&lt;&gt;""),"",INT((Boshqaruv!$C$12-$I302)/7))</f>
        <v/>
      </c>
      <c r="L302" s="14" t="str">
        <f aca="false">IF(OR($C302="",$H302=""),"",INT(($H302-$C302)/365.25))</f>
        <v/>
      </c>
      <c r="M302" s="14" t="str">
        <f aca="false">IF($L302="","",IF($L302&lt;18,"Ha","Yo'q"))</f>
        <v/>
      </c>
      <c r="N302" s="25"/>
      <c r="O302" s="25"/>
      <c r="P302" s="25"/>
      <c r="Q302" s="12"/>
      <c r="R302" s="25"/>
      <c r="S302" s="12"/>
      <c r="T302" s="13"/>
      <c r="U302" s="12"/>
      <c r="V302" s="25"/>
      <c r="W302" s="25"/>
      <c r="X302" s="14" t="str">
        <f aca="false">IF(OR($V302="",$W302=""),"",IF(AND($V302&gt;=Spravochnik!$H$5,$W302&gt;=Spravochnik!$H$6),"Ha","Yo'q"))</f>
        <v/>
      </c>
      <c r="Y302" s="13"/>
      <c r="Z302" s="13"/>
      <c r="AA302" s="13"/>
      <c r="AB302" s="13"/>
      <c r="AC302" s="14" t="str">
        <f aca="false">IF(AND($B302&lt;&gt;"",$AE302="",$AB302&lt;&gt;"",$AB302&lt;Boshqaruv!$C$12),"Ha","")</f>
        <v/>
      </c>
      <c r="AD302" s="25"/>
      <c r="AE302" s="13"/>
      <c r="AF302" s="12"/>
      <c r="AG302" s="14" t="str">
        <f aca="false">IF(OR($B302="",$C302="",$H302=""),"",IF(COUNTIFS($B$5:$B$804,$B302,$C$5:$C$804,$C302,$H$5:$H$804,$H302)&gt;1,"Takror",""))</f>
        <v/>
      </c>
      <c r="AH302" s="28" t="str">
        <f aca="false">IF(AND($B302&lt;&gt;"",$N302="Ha",$H302&lt;&gt;"",$H302&lt;=Boshqaruv!$C$12,OR($AE302="",$AE302&gt;Boshqaruv!$C$12)),MAX($AH$4:$AH301)+1,"")</f>
        <v/>
      </c>
    </row>
    <row r="303" customFormat="false" ht="15" hidden="false" customHeight="false" outlineLevel="0" collapsed="false">
      <c r="A303" s="20" t="n">
        <v>299</v>
      </c>
      <c r="B303" s="12"/>
      <c r="C303" s="13"/>
      <c r="D303" s="24"/>
      <c r="E303" s="12"/>
      <c r="F303" s="25"/>
      <c r="G303" s="27" t="str">
        <f aca="false">IF(OR($B303="",$C303=""),"",$B303&amp;" ("&amp;DAY($C303)&amp;"."&amp;MONTH($C303)&amp;"."&amp;YEAR($C303)&amp;")")</f>
        <v/>
      </c>
      <c r="H303" s="13"/>
      <c r="I303" s="13"/>
      <c r="J303" s="15" t="str">
        <f aca="false">IF($I303="","",$I303+280)</f>
        <v/>
      </c>
      <c r="K303" s="14" t="str">
        <f aca="false">IF(OR($I303="",$AE303&lt;&gt;""),"",INT((Boshqaruv!$C$12-$I303)/7))</f>
        <v/>
      </c>
      <c r="L303" s="14" t="str">
        <f aca="false">IF(OR($C303="",$H303=""),"",INT(($H303-$C303)/365.25))</f>
        <v/>
      </c>
      <c r="M303" s="14" t="str">
        <f aca="false">IF($L303="","",IF($L303&lt;18,"Ha","Yo'q"))</f>
        <v/>
      </c>
      <c r="N303" s="25"/>
      <c r="O303" s="25"/>
      <c r="P303" s="25"/>
      <c r="Q303" s="12"/>
      <c r="R303" s="25"/>
      <c r="S303" s="12"/>
      <c r="T303" s="13"/>
      <c r="U303" s="12"/>
      <c r="V303" s="25"/>
      <c r="W303" s="25"/>
      <c r="X303" s="14" t="str">
        <f aca="false">IF(OR($V303="",$W303=""),"",IF(AND($V303&gt;=Spravochnik!$H$5,$W303&gt;=Spravochnik!$H$6),"Ha","Yo'q"))</f>
        <v/>
      </c>
      <c r="Y303" s="13"/>
      <c r="Z303" s="13"/>
      <c r="AA303" s="13"/>
      <c r="AB303" s="13"/>
      <c r="AC303" s="14" t="str">
        <f aca="false">IF(AND($B303&lt;&gt;"",$AE303="",$AB303&lt;&gt;"",$AB303&lt;Boshqaruv!$C$12),"Ha","")</f>
        <v/>
      </c>
      <c r="AD303" s="25"/>
      <c r="AE303" s="13"/>
      <c r="AF303" s="12"/>
      <c r="AG303" s="14" t="str">
        <f aca="false">IF(OR($B303="",$C303="",$H303=""),"",IF(COUNTIFS($B$5:$B$804,$B303,$C$5:$C$804,$C303,$H$5:$H$804,$H303)&gt;1,"Takror",""))</f>
        <v/>
      </c>
      <c r="AH303" s="28" t="str">
        <f aca="false">IF(AND($B303&lt;&gt;"",$N303="Ha",$H303&lt;&gt;"",$H303&lt;=Boshqaruv!$C$12,OR($AE303="",$AE303&gt;Boshqaruv!$C$12)),MAX($AH$4:$AH302)+1,"")</f>
        <v/>
      </c>
    </row>
    <row r="304" customFormat="false" ht="15" hidden="false" customHeight="false" outlineLevel="0" collapsed="false">
      <c r="A304" s="20" t="n">
        <v>300</v>
      </c>
      <c r="B304" s="12"/>
      <c r="C304" s="13"/>
      <c r="D304" s="24"/>
      <c r="E304" s="12"/>
      <c r="F304" s="25"/>
      <c r="G304" s="27" t="str">
        <f aca="false">IF(OR($B304="",$C304=""),"",$B304&amp;" ("&amp;DAY($C304)&amp;"."&amp;MONTH($C304)&amp;"."&amp;YEAR($C304)&amp;")")</f>
        <v/>
      </c>
      <c r="H304" s="13"/>
      <c r="I304" s="13"/>
      <c r="J304" s="15" t="str">
        <f aca="false">IF($I304="","",$I304+280)</f>
        <v/>
      </c>
      <c r="K304" s="14" t="str">
        <f aca="false">IF(OR($I304="",$AE304&lt;&gt;""),"",INT((Boshqaruv!$C$12-$I304)/7))</f>
        <v/>
      </c>
      <c r="L304" s="14" t="str">
        <f aca="false">IF(OR($C304="",$H304=""),"",INT(($H304-$C304)/365.25))</f>
        <v/>
      </c>
      <c r="M304" s="14" t="str">
        <f aca="false">IF($L304="","",IF($L304&lt;18,"Ha","Yo'q"))</f>
        <v/>
      </c>
      <c r="N304" s="25"/>
      <c r="O304" s="25"/>
      <c r="P304" s="25"/>
      <c r="Q304" s="12"/>
      <c r="R304" s="25"/>
      <c r="S304" s="12"/>
      <c r="T304" s="13"/>
      <c r="U304" s="12"/>
      <c r="V304" s="25"/>
      <c r="W304" s="25"/>
      <c r="X304" s="14" t="str">
        <f aca="false">IF(OR($V304="",$W304=""),"",IF(AND($V304&gt;=Spravochnik!$H$5,$W304&gt;=Spravochnik!$H$6),"Ha","Yo'q"))</f>
        <v/>
      </c>
      <c r="Y304" s="13"/>
      <c r="Z304" s="13"/>
      <c r="AA304" s="13"/>
      <c r="AB304" s="13"/>
      <c r="AC304" s="14" t="str">
        <f aca="false">IF(AND($B304&lt;&gt;"",$AE304="",$AB304&lt;&gt;"",$AB304&lt;Boshqaruv!$C$12),"Ha","")</f>
        <v/>
      </c>
      <c r="AD304" s="25"/>
      <c r="AE304" s="13"/>
      <c r="AF304" s="12"/>
      <c r="AG304" s="14" t="str">
        <f aca="false">IF(OR($B304="",$C304="",$H304=""),"",IF(COUNTIFS($B$5:$B$804,$B304,$C$5:$C$804,$C304,$H$5:$H$804,$H304)&gt;1,"Takror",""))</f>
        <v/>
      </c>
      <c r="AH304" s="28" t="str">
        <f aca="false">IF(AND($B304&lt;&gt;"",$N304="Ha",$H304&lt;&gt;"",$H304&lt;=Boshqaruv!$C$12,OR($AE304="",$AE304&gt;Boshqaruv!$C$12)),MAX($AH$4:$AH303)+1,"")</f>
        <v/>
      </c>
    </row>
    <row r="305" customFormat="false" ht="15" hidden="false" customHeight="false" outlineLevel="0" collapsed="false">
      <c r="A305" s="20" t="n">
        <v>301</v>
      </c>
      <c r="B305" s="12"/>
      <c r="C305" s="13"/>
      <c r="D305" s="24"/>
      <c r="E305" s="12"/>
      <c r="F305" s="25"/>
      <c r="G305" s="27" t="str">
        <f aca="false">IF(OR($B305="",$C305=""),"",$B305&amp;" ("&amp;DAY($C305)&amp;"."&amp;MONTH($C305)&amp;"."&amp;YEAR($C305)&amp;")")</f>
        <v/>
      </c>
      <c r="H305" s="13"/>
      <c r="I305" s="13"/>
      <c r="J305" s="15" t="str">
        <f aca="false">IF($I305="","",$I305+280)</f>
        <v/>
      </c>
      <c r="K305" s="14" t="str">
        <f aca="false">IF(OR($I305="",$AE305&lt;&gt;""),"",INT((Boshqaruv!$C$12-$I305)/7))</f>
        <v/>
      </c>
      <c r="L305" s="14" t="str">
        <f aca="false">IF(OR($C305="",$H305=""),"",INT(($H305-$C305)/365.25))</f>
        <v/>
      </c>
      <c r="M305" s="14" t="str">
        <f aca="false">IF($L305="","",IF($L305&lt;18,"Ha","Yo'q"))</f>
        <v/>
      </c>
      <c r="N305" s="25"/>
      <c r="O305" s="25"/>
      <c r="P305" s="25"/>
      <c r="Q305" s="12"/>
      <c r="R305" s="25"/>
      <c r="S305" s="12"/>
      <c r="T305" s="13"/>
      <c r="U305" s="12"/>
      <c r="V305" s="25"/>
      <c r="W305" s="25"/>
      <c r="X305" s="14" t="str">
        <f aca="false">IF(OR($V305="",$W305=""),"",IF(AND($V305&gt;=Spravochnik!$H$5,$W305&gt;=Spravochnik!$H$6),"Ha","Yo'q"))</f>
        <v/>
      </c>
      <c r="Y305" s="13"/>
      <c r="Z305" s="13"/>
      <c r="AA305" s="13"/>
      <c r="AB305" s="13"/>
      <c r="AC305" s="14" t="str">
        <f aca="false">IF(AND($B305&lt;&gt;"",$AE305="",$AB305&lt;&gt;"",$AB305&lt;Boshqaruv!$C$12),"Ha","")</f>
        <v/>
      </c>
      <c r="AD305" s="25"/>
      <c r="AE305" s="13"/>
      <c r="AF305" s="12"/>
      <c r="AG305" s="14" t="str">
        <f aca="false">IF(OR($B305="",$C305="",$H305=""),"",IF(COUNTIFS($B$5:$B$804,$B305,$C$5:$C$804,$C305,$H$5:$H$804,$H305)&gt;1,"Takror",""))</f>
        <v/>
      </c>
      <c r="AH305" s="28" t="str">
        <f aca="false">IF(AND($B305&lt;&gt;"",$N305="Ha",$H305&lt;&gt;"",$H305&lt;=Boshqaruv!$C$12,OR($AE305="",$AE305&gt;Boshqaruv!$C$12)),MAX($AH$4:$AH304)+1,"")</f>
        <v/>
      </c>
    </row>
    <row r="306" customFormat="false" ht="15" hidden="false" customHeight="false" outlineLevel="0" collapsed="false">
      <c r="A306" s="20" t="n">
        <v>302</v>
      </c>
      <c r="B306" s="12"/>
      <c r="C306" s="13"/>
      <c r="D306" s="24"/>
      <c r="E306" s="12"/>
      <c r="F306" s="25"/>
      <c r="G306" s="27" t="str">
        <f aca="false">IF(OR($B306="",$C306=""),"",$B306&amp;" ("&amp;DAY($C306)&amp;"."&amp;MONTH($C306)&amp;"."&amp;YEAR($C306)&amp;")")</f>
        <v/>
      </c>
      <c r="H306" s="13"/>
      <c r="I306" s="13"/>
      <c r="J306" s="15" t="str">
        <f aca="false">IF($I306="","",$I306+280)</f>
        <v/>
      </c>
      <c r="K306" s="14" t="str">
        <f aca="false">IF(OR($I306="",$AE306&lt;&gt;""),"",INT((Boshqaruv!$C$12-$I306)/7))</f>
        <v/>
      </c>
      <c r="L306" s="14" t="str">
        <f aca="false">IF(OR($C306="",$H306=""),"",INT(($H306-$C306)/365.25))</f>
        <v/>
      </c>
      <c r="M306" s="14" t="str">
        <f aca="false">IF($L306="","",IF($L306&lt;18,"Ha","Yo'q"))</f>
        <v/>
      </c>
      <c r="N306" s="25"/>
      <c r="O306" s="25"/>
      <c r="P306" s="25"/>
      <c r="Q306" s="12"/>
      <c r="R306" s="25"/>
      <c r="S306" s="12"/>
      <c r="T306" s="13"/>
      <c r="U306" s="12"/>
      <c r="V306" s="25"/>
      <c r="W306" s="25"/>
      <c r="X306" s="14" t="str">
        <f aca="false">IF(OR($V306="",$W306=""),"",IF(AND($V306&gt;=Spravochnik!$H$5,$W306&gt;=Spravochnik!$H$6),"Ha","Yo'q"))</f>
        <v/>
      </c>
      <c r="Y306" s="13"/>
      <c r="Z306" s="13"/>
      <c r="AA306" s="13"/>
      <c r="AB306" s="13"/>
      <c r="AC306" s="14" t="str">
        <f aca="false">IF(AND($B306&lt;&gt;"",$AE306="",$AB306&lt;&gt;"",$AB306&lt;Boshqaruv!$C$12),"Ha","")</f>
        <v/>
      </c>
      <c r="AD306" s="25"/>
      <c r="AE306" s="13"/>
      <c r="AF306" s="12"/>
      <c r="AG306" s="14" t="str">
        <f aca="false">IF(OR($B306="",$C306="",$H306=""),"",IF(COUNTIFS($B$5:$B$804,$B306,$C$5:$C$804,$C306,$H$5:$H$804,$H306)&gt;1,"Takror",""))</f>
        <v/>
      </c>
      <c r="AH306" s="28" t="str">
        <f aca="false">IF(AND($B306&lt;&gt;"",$N306="Ha",$H306&lt;&gt;"",$H306&lt;=Boshqaruv!$C$12,OR($AE306="",$AE306&gt;Boshqaruv!$C$12)),MAX($AH$4:$AH305)+1,"")</f>
        <v/>
      </c>
    </row>
    <row r="307" customFormat="false" ht="15" hidden="false" customHeight="false" outlineLevel="0" collapsed="false">
      <c r="A307" s="20" t="n">
        <v>303</v>
      </c>
      <c r="B307" s="12"/>
      <c r="C307" s="13"/>
      <c r="D307" s="24"/>
      <c r="E307" s="12"/>
      <c r="F307" s="25"/>
      <c r="G307" s="27" t="str">
        <f aca="false">IF(OR($B307="",$C307=""),"",$B307&amp;" ("&amp;DAY($C307)&amp;"."&amp;MONTH($C307)&amp;"."&amp;YEAR($C307)&amp;")")</f>
        <v/>
      </c>
      <c r="H307" s="13"/>
      <c r="I307" s="13"/>
      <c r="J307" s="15" t="str">
        <f aca="false">IF($I307="","",$I307+280)</f>
        <v/>
      </c>
      <c r="K307" s="14" t="str">
        <f aca="false">IF(OR($I307="",$AE307&lt;&gt;""),"",INT((Boshqaruv!$C$12-$I307)/7))</f>
        <v/>
      </c>
      <c r="L307" s="14" t="str">
        <f aca="false">IF(OR($C307="",$H307=""),"",INT(($H307-$C307)/365.25))</f>
        <v/>
      </c>
      <c r="M307" s="14" t="str">
        <f aca="false">IF($L307="","",IF($L307&lt;18,"Ha","Yo'q"))</f>
        <v/>
      </c>
      <c r="N307" s="25"/>
      <c r="O307" s="25"/>
      <c r="P307" s="25"/>
      <c r="Q307" s="12"/>
      <c r="R307" s="25"/>
      <c r="S307" s="12"/>
      <c r="T307" s="13"/>
      <c r="U307" s="12"/>
      <c r="V307" s="25"/>
      <c r="W307" s="25"/>
      <c r="X307" s="14" t="str">
        <f aca="false">IF(OR($V307="",$W307=""),"",IF(AND($V307&gt;=Spravochnik!$H$5,$W307&gt;=Spravochnik!$H$6),"Ha","Yo'q"))</f>
        <v/>
      </c>
      <c r="Y307" s="13"/>
      <c r="Z307" s="13"/>
      <c r="AA307" s="13"/>
      <c r="AB307" s="13"/>
      <c r="AC307" s="14" t="str">
        <f aca="false">IF(AND($B307&lt;&gt;"",$AE307="",$AB307&lt;&gt;"",$AB307&lt;Boshqaruv!$C$12),"Ha","")</f>
        <v/>
      </c>
      <c r="AD307" s="25"/>
      <c r="AE307" s="13"/>
      <c r="AF307" s="12"/>
      <c r="AG307" s="14" t="str">
        <f aca="false">IF(OR($B307="",$C307="",$H307=""),"",IF(COUNTIFS($B$5:$B$804,$B307,$C$5:$C$804,$C307,$H$5:$H$804,$H307)&gt;1,"Takror",""))</f>
        <v/>
      </c>
      <c r="AH307" s="28" t="str">
        <f aca="false">IF(AND($B307&lt;&gt;"",$N307="Ha",$H307&lt;&gt;"",$H307&lt;=Boshqaruv!$C$12,OR($AE307="",$AE307&gt;Boshqaruv!$C$12)),MAX($AH$4:$AH306)+1,"")</f>
        <v/>
      </c>
    </row>
    <row r="308" customFormat="false" ht="15" hidden="false" customHeight="false" outlineLevel="0" collapsed="false">
      <c r="A308" s="20" t="n">
        <v>304</v>
      </c>
      <c r="B308" s="12"/>
      <c r="C308" s="13"/>
      <c r="D308" s="24"/>
      <c r="E308" s="12"/>
      <c r="F308" s="25"/>
      <c r="G308" s="27" t="str">
        <f aca="false">IF(OR($B308="",$C308=""),"",$B308&amp;" ("&amp;DAY($C308)&amp;"."&amp;MONTH($C308)&amp;"."&amp;YEAR($C308)&amp;")")</f>
        <v/>
      </c>
      <c r="H308" s="13"/>
      <c r="I308" s="13"/>
      <c r="J308" s="15" t="str">
        <f aca="false">IF($I308="","",$I308+280)</f>
        <v/>
      </c>
      <c r="K308" s="14" t="str">
        <f aca="false">IF(OR($I308="",$AE308&lt;&gt;""),"",INT((Boshqaruv!$C$12-$I308)/7))</f>
        <v/>
      </c>
      <c r="L308" s="14" t="str">
        <f aca="false">IF(OR($C308="",$H308=""),"",INT(($H308-$C308)/365.25))</f>
        <v/>
      </c>
      <c r="M308" s="14" t="str">
        <f aca="false">IF($L308="","",IF($L308&lt;18,"Ha","Yo'q"))</f>
        <v/>
      </c>
      <c r="N308" s="25"/>
      <c r="O308" s="25"/>
      <c r="P308" s="25"/>
      <c r="Q308" s="12"/>
      <c r="R308" s="25"/>
      <c r="S308" s="12"/>
      <c r="T308" s="13"/>
      <c r="U308" s="12"/>
      <c r="V308" s="25"/>
      <c r="W308" s="25"/>
      <c r="X308" s="14" t="str">
        <f aca="false">IF(OR($V308="",$W308=""),"",IF(AND($V308&gt;=Spravochnik!$H$5,$W308&gt;=Spravochnik!$H$6),"Ha","Yo'q"))</f>
        <v/>
      </c>
      <c r="Y308" s="13"/>
      <c r="Z308" s="13"/>
      <c r="AA308" s="13"/>
      <c r="AB308" s="13"/>
      <c r="AC308" s="14" t="str">
        <f aca="false">IF(AND($B308&lt;&gt;"",$AE308="",$AB308&lt;&gt;"",$AB308&lt;Boshqaruv!$C$12),"Ha","")</f>
        <v/>
      </c>
      <c r="AD308" s="25"/>
      <c r="AE308" s="13"/>
      <c r="AF308" s="12"/>
      <c r="AG308" s="14" t="str">
        <f aca="false">IF(OR($B308="",$C308="",$H308=""),"",IF(COUNTIFS($B$5:$B$804,$B308,$C$5:$C$804,$C308,$H$5:$H$804,$H308)&gt;1,"Takror",""))</f>
        <v/>
      </c>
      <c r="AH308" s="28" t="str">
        <f aca="false">IF(AND($B308&lt;&gt;"",$N308="Ha",$H308&lt;&gt;"",$H308&lt;=Boshqaruv!$C$12,OR($AE308="",$AE308&gt;Boshqaruv!$C$12)),MAX($AH$4:$AH307)+1,"")</f>
        <v/>
      </c>
    </row>
    <row r="309" customFormat="false" ht="15" hidden="false" customHeight="false" outlineLevel="0" collapsed="false">
      <c r="A309" s="20" t="n">
        <v>305</v>
      </c>
      <c r="B309" s="12"/>
      <c r="C309" s="13"/>
      <c r="D309" s="24"/>
      <c r="E309" s="12"/>
      <c r="F309" s="25"/>
      <c r="G309" s="27" t="str">
        <f aca="false">IF(OR($B309="",$C309=""),"",$B309&amp;" ("&amp;DAY($C309)&amp;"."&amp;MONTH($C309)&amp;"."&amp;YEAR($C309)&amp;")")</f>
        <v/>
      </c>
      <c r="H309" s="13"/>
      <c r="I309" s="13"/>
      <c r="J309" s="15" t="str">
        <f aca="false">IF($I309="","",$I309+280)</f>
        <v/>
      </c>
      <c r="K309" s="14" t="str">
        <f aca="false">IF(OR($I309="",$AE309&lt;&gt;""),"",INT((Boshqaruv!$C$12-$I309)/7))</f>
        <v/>
      </c>
      <c r="L309" s="14" t="str">
        <f aca="false">IF(OR($C309="",$H309=""),"",INT(($H309-$C309)/365.25))</f>
        <v/>
      </c>
      <c r="M309" s="14" t="str">
        <f aca="false">IF($L309="","",IF($L309&lt;18,"Ha","Yo'q"))</f>
        <v/>
      </c>
      <c r="N309" s="25"/>
      <c r="O309" s="25"/>
      <c r="P309" s="25"/>
      <c r="Q309" s="12"/>
      <c r="R309" s="25"/>
      <c r="S309" s="12"/>
      <c r="T309" s="13"/>
      <c r="U309" s="12"/>
      <c r="V309" s="25"/>
      <c r="W309" s="25"/>
      <c r="X309" s="14" t="str">
        <f aca="false">IF(OR($V309="",$W309=""),"",IF(AND($V309&gt;=Spravochnik!$H$5,$W309&gt;=Spravochnik!$H$6),"Ha","Yo'q"))</f>
        <v/>
      </c>
      <c r="Y309" s="13"/>
      <c r="Z309" s="13"/>
      <c r="AA309" s="13"/>
      <c r="AB309" s="13"/>
      <c r="AC309" s="14" t="str">
        <f aca="false">IF(AND($B309&lt;&gt;"",$AE309="",$AB309&lt;&gt;"",$AB309&lt;Boshqaruv!$C$12),"Ha","")</f>
        <v/>
      </c>
      <c r="AD309" s="25"/>
      <c r="AE309" s="13"/>
      <c r="AF309" s="12"/>
      <c r="AG309" s="14" t="str">
        <f aca="false">IF(OR($B309="",$C309="",$H309=""),"",IF(COUNTIFS($B$5:$B$804,$B309,$C$5:$C$804,$C309,$H$5:$H$804,$H309)&gt;1,"Takror",""))</f>
        <v/>
      </c>
      <c r="AH309" s="28" t="str">
        <f aca="false">IF(AND($B309&lt;&gt;"",$N309="Ha",$H309&lt;&gt;"",$H309&lt;=Boshqaruv!$C$12,OR($AE309="",$AE309&gt;Boshqaruv!$C$12)),MAX($AH$4:$AH308)+1,"")</f>
        <v/>
      </c>
    </row>
    <row r="310" customFormat="false" ht="15" hidden="false" customHeight="false" outlineLevel="0" collapsed="false">
      <c r="A310" s="20" t="n">
        <v>306</v>
      </c>
      <c r="B310" s="12"/>
      <c r="C310" s="13"/>
      <c r="D310" s="24"/>
      <c r="E310" s="12"/>
      <c r="F310" s="25"/>
      <c r="G310" s="27" t="str">
        <f aca="false">IF(OR($B310="",$C310=""),"",$B310&amp;" ("&amp;DAY($C310)&amp;"."&amp;MONTH($C310)&amp;"."&amp;YEAR($C310)&amp;")")</f>
        <v/>
      </c>
      <c r="H310" s="13"/>
      <c r="I310" s="13"/>
      <c r="J310" s="15" t="str">
        <f aca="false">IF($I310="","",$I310+280)</f>
        <v/>
      </c>
      <c r="K310" s="14" t="str">
        <f aca="false">IF(OR($I310="",$AE310&lt;&gt;""),"",INT((Boshqaruv!$C$12-$I310)/7))</f>
        <v/>
      </c>
      <c r="L310" s="14" t="str">
        <f aca="false">IF(OR($C310="",$H310=""),"",INT(($H310-$C310)/365.25))</f>
        <v/>
      </c>
      <c r="M310" s="14" t="str">
        <f aca="false">IF($L310="","",IF($L310&lt;18,"Ha","Yo'q"))</f>
        <v/>
      </c>
      <c r="N310" s="25"/>
      <c r="O310" s="25"/>
      <c r="P310" s="25"/>
      <c r="Q310" s="12"/>
      <c r="R310" s="25"/>
      <c r="S310" s="12"/>
      <c r="T310" s="13"/>
      <c r="U310" s="12"/>
      <c r="V310" s="25"/>
      <c r="W310" s="25"/>
      <c r="X310" s="14" t="str">
        <f aca="false">IF(OR($V310="",$W310=""),"",IF(AND($V310&gt;=Spravochnik!$H$5,$W310&gt;=Spravochnik!$H$6),"Ha","Yo'q"))</f>
        <v/>
      </c>
      <c r="Y310" s="13"/>
      <c r="Z310" s="13"/>
      <c r="AA310" s="13"/>
      <c r="AB310" s="13"/>
      <c r="AC310" s="14" t="str">
        <f aca="false">IF(AND($B310&lt;&gt;"",$AE310="",$AB310&lt;&gt;"",$AB310&lt;Boshqaruv!$C$12),"Ha","")</f>
        <v/>
      </c>
      <c r="AD310" s="25"/>
      <c r="AE310" s="13"/>
      <c r="AF310" s="12"/>
      <c r="AG310" s="14" t="str">
        <f aca="false">IF(OR($B310="",$C310="",$H310=""),"",IF(COUNTIFS($B$5:$B$804,$B310,$C$5:$C$804,$C310,$H$5:$H$804,$H310)&gt;1,"Takror",""))</f>
        <v/>
      </c>
      <c r="AH310" s="28" t="str">
        <f aca="false">IF(AND($B310&lt;&gt;"",$N310="Ha",$H310&lt;&gt;"",$H310&lt;=Boshqaruv!$C$12,OR($AE310="",$AE310&gt;Boshqaruv!$C$12)),MAX($AH$4:$AH309)+1,"")</f>
        <v/>
      </c>
    </row>
    <row r="311" customFormat="false" ht="15" hidden="false" customHeight="false" outlineLevel="0" collapsed="false">
      <c r="A311" s="20" t="n">
        <v>307</v>
      </c>
      <c r="B311" s="12"/>
      <c r="C311" s="13"/>
      <c r="D311" s="24"/>
      <c r="E311" s="12"/>
      <c r="F311" s="25"/>
      <c r="G311" s="27" t="str">
        <f aca="false">IF(OR($B311="",$C311=""),"",$B311&amp;" ("&amp;DAY($C311)&amp;"."&amp;MONTH($C311)&amp;"."&amp;YEAR($C311)&amp;")")</f>
        <v/>
      </c>
      <c r="H311" s="13"/>
      <c r="I311" s="13"/>
      <c r="J311" s="15" t="str">
        <f aca="false">IF($I311="","",$I311+280)</f>
        <v/>
      </c>
      <c r="K311" s="14" t="str">
        <f aca="false">IF(OR($I311="",$AE311&lt;&gt;""),"",INT((Boshqaruv!$C$12-$I311)/7))</f>
        <v/>
      </c>
      <c r="L311" s="14" t="str">
        <f aca="false">IF(OR($C311="",$H311=""),"",INT(($H311-$C311)/365.25))</f>
        <v/>
      </c>
      <c r="M311" s="14" t="str">
        <f aca="false">IF($L311="","",IF($L311&lt;18,"Ha","Yo'q"))</f>
        <v/>
      </c>
      <c r="N311" s="25"/>
      <c r="O311" s="25"/>
      <c r="P311" s="25"/>
      <c r="Q311" s="12"/>
      <c r="R311" s="25"/>
      <c r="S311" s="12"/>
      <c r="T311" s="13"/>
      <c r="U311" s="12"/>
      <c r="V311" s="25"/>
      <c r="W311" s="25"/>
      <c r="X311" s="14" t="str">
        <f aca="false">IF(OR($V311="",$W311=""),"",IF(AND($V311&gt;=Spravochnik!$H$5,$W311&gt;=Spravochnik!$H$6),"Ha","Yo'q"))</f>
        <v/>
      </c>
      <c r="Y311" s="13"/>
      <c r="Z311" s="13"/>
      <c r="AA311" s="13"/>
      <c r="AB311" s="13"/>
      <c r="AC311" s="14" t="str">
        <f aca="false">IF(AND($B311&lt;&gt;"",$AE311="",$AB311&lt;&gt;"",$AB311&lt;Boshqaruv!$C$12),"Ha","")</f>
        <v/>
      </c>
      <c r="AD311" s="25"/>
      <c r="AE311" s="13"/>
      <c r="AF311" s="12"/>
      <c r="AG311" s="14" t="str">
        <f aca="false">IF(OR($B311="",$C311="",$H311=""),"",IF(COUNTIFS($B$5:$B$804,$B311,$C$5:$C$804,$C311,$H$5:$H$804,$H311)&gt;1,"Takror",""))</f>
        <v/>
      </c>
      <c r="AH311" s="28" t="str">
        <f aca="false">IF(AND($B311&lt;&gt;"",$N311="Ha",$H311&lt;&gt;"",$H311&lt;=Boshqaruv!$C$12,OR($AE311="",$AE311&gt;Boshqaruv!$C$12)),MAX($AH$4:$AH310)+1,"")</f>
        <v/>
      </c>
    </row>
    <row r="312" customFormat="false" ht="15" hidden="false" customHeight="false" outlineLevel="0" collapsed="false">
      <c r="A312" s="20" t="n">
        <v>308</v>
      </c>
      <c r="B312" s="12"/>
      <c r="C312" s="13"/>
      <c r="D312" s="24"/>
      <c r="E312" s="12"/>
      <c r="F312" s="25"/>
      <c r="G312" s="27" t="str">
        <f aca="false">IF(OR($B312="",$C312=""),"",$B312&amp;" ("&amp;DAY($C312)&amp;"."&amp;MONTH($C312)&amp;"."&amp;YEAR($C312)&amp;")")</f>
        <v/>
      </c>
      <c r="H312" s="13"/>
      <c r="I312" s="13"/>
      <c r="J312" s="15" t="str">
        <f aca="false">IF($I312="","",$I312+280)</f>
        <v/>
      </c>
      <c r="K312" s="14" t="str">
        <f aca="false">IF(OR($I312="",$AE312&lt;&gt;""),"",INT((Boshqaruv!$C$12-$I312)/7))</f>
        <v/>
      </c>
      <c r="L312" s="14" t="str">
        <f aca="false">IF(OR($C312="",$H312=""),"",INT(($H312-$C312)/365.25))</f>
        <v/>
      </c>
      <c r="M312" s="14" t="str">
        <f aca="false">IF($L312="","",IF($L312&lt;18,"Ha","Yo'q"))</f>
        <v/>
      </c>
      <c r="N312" s="25"/>
      <c r="O312" s="25"/>
      <c r="P312" s="25"/>
      <c r="Q312" s="12"/>
      <c r="R312" s="25"/>
      <c r="S312" s="12"/>
      <c r="T312" s="13"/>
      <c r="U312" s="12"/>
      <c r="V312" s="25"/>
      <c r="W312" s="25"/>
      <c r="X312" s="14" t="str">
        <f aca="false">IF(OR($V312="",$W312=""),"",IF(AND($V312&gt;=Spravochnik!$H$5,$W312&gt;=Spravochnik!$H$6),"Ha","Yo'q"))</f>
        <v/>
      </c>
      <c r="Y312" s="13"/>
      <c r="Z312" s="13"/>
      <c r="AA312" s="13"/>
      <c r="AB312" s="13"/>
      <c r="AC312" s="14" t="str">
        <f aca="false">IF(AND($B312&lt;&gt;"",$AE312="",$AB312&lt;&gt;"",$AB312&lt;Boshqaruv!$C$12),"Ha","")</f>
        <v/>
      </c>
      <c r="AD312" s="25"/>
      <c r="AE312" s="13"/>
      <c r="AF312" s="12"/>
      <c r="AG312" s="14" t="str">
        <f aca="false">IF(OR($B312="",$C312="",$H312=""),"",IF(COUNTIFS($B$5:$B$804,$B312,$C$5:$C$804,$C312,$H$5:$H$804,$H312)&gt;1,"Takror",""))</f>
        <v/>
      </c>
      <c r="AH312" s="28" t="str">
        <f aca="false">IF(AND($B312&lt;&gt;"",$N312="Ha",$H312&lt;&gt;"",$H312&lt;=Boshqaruv!$C$12,OR($AE312="",$AE312&gt;Boshqaruv!$C$12)),MAX($AH$4:$AH311)+1,"")</f>
        <v/>
      </c>
    </row>
    <row r="313" customFormat="false" ht="15" hidden="false" customHeight="false" outlineLevel="0" collapsed="false">
      <c r="A313" s="20" t="n">
        <v>309</v>
      </c>
      <c r="B313" s="12"/>
      <c r="C313" s="13"/>
      <c r="D313" s="24"/>
      <c r="E313" s="12"/>
      <c r="F313" s="25"/>
      <c r="G313" s="27" t="str">
        <f aca="false">IF(OR($B313="",$C313=""),"",$B313&amp;" ("&amp;DAY($C313)&amp;"."&amp;MONTH($C313)&amp;"."&amp;YEAR($C313)&amp;")")</f>
        <v/>
      </c>
      <c r="H313" s="13"/>
      <c r="I313" s="13"/>
      <c r="J313" s="15" t="str">
        <f aca="false">IF($I313="","",$I313+280)</f>
        <v/>
      </c>
      <c r="K313" s="14" t="str">
        <f aca="false">IF(OR($I313="",$AE313&lt;&gt;""),"",INT((Boshqaruv!$C$12-$I313)/7))</f>
        <v/>
      </c>
      <c r="L313" s="14" t="str">
        <f aca="false">IF(OR($C313="",$H313=""),"",INT(($H313-$C313)/365.25))</f>
        <v/>
      </c>
      <c r="M313" s="14" t="str">
        <f aca="false">IF($L313="","",IF($L313&lt;18,"Ha","Yo'q"))</f>
        <v/>
      </c>
      <c r="N313" s="25"/>
      <c r="O313" s="25"/>
      <c r="P313" s="25"/>
      <c r="Q313" s="12"/>
      <c r="R313" s="25"/>
      <c r="S313" s="12"/>
      <c r="T313" s="13"/>
      <c r="U313" s="12"/>
      <c r="V313" s="25"/>
      <c r="W313" s="25"/>
      <c r="X313" s="14" t="str">
        <f aca="false">IF(OR($V313="",$W313=""),"",IF(AND($V313&gt;=Spravochnik!$H$5,$W313&gt;=Spravochnik!$H$6),"Ha","Yo'q"))</f>
        <v/>
      </c>
      <c r="Y313" s="13"/>
      <c r="Z313" s="13"/>
      <c r="AA313" s="13"/>
      <c r="AB313" s="13"/>
      <c r="AC313" s="14" t="str">
        <f aca="false">IF(AND($B313&lt;&gt;"",$AE313="",$AB313&lt;&gt;"",$AB313&lt;Boshqaruv!$C$12),"Ha","")</f>
        <v/>
      </c>
      <c r="AD313" s="25"/>
      <c r="AE313" s="13"/>
      <c r="AF313" s="12"/>
      <c r="AG313" s="14" t="str">
        <f aca="false">IF(OR($B313="",$C313="",$H313=""),"",IF(COUNTIFS($B$5:$B$804,$B313,$C$5:$C$804,$C313,$H$5:$H$804,$H313)&gt;1,"Takror",""))</f>
        <v/>
      </c>
      <c r="AH313" s="28" t="str">
        <f aca="false">IF(AND($B313&lt;&gt;"",$N313="Ha",$H313&lt;&gt;"",$H313&lt;=Boshqaruv!$C$12,OR($AE313="",$AE313&gt;Boshqaruv!$C$12)),MAX($AH$4:$AH312)+1,"")</f>
        <v/>
      </c>
    </row>
    <row r="314" customFormat="false" ht="15" hidden="false" customHeight="false" outlineLevel="0" collapsed="false">
      <c r="A314" s="20" t="n">
        <v>310</v>
      </c>
      <c r="B314" s="12"/>
      <c r="C314" s="13"/>
      <c r="D314" s="24"/>
      <c r="E314" s="12"/>
      <c r="F314" s="25"/>
      <c r="G314" s="27" t="str">
        <f aca="false">IF(OR($B314="",$C314=""),"",$B314&amp;" ("&amp;DAY($C314)&amp;"."&amp;MONTH($C314)&amp;"."&amp;YEAR($C314)&amp;")")</f>
        <v/>
      </c>
      <c r="H314" s="13"/>
      <c r="I314" s="13"/>
      <c r="J314" s="15" t="str">
        <f aca="false">IF($I314="","",$I314+280)</f>
        <v/>
      </c>
      <c r="K314" s="14" t="str">
        <f aca="false">IF(OR($I314="",$AE314&lt;&gt;""),"",INT((Boshqaruv!$C$12-$I314)/7))</f>
        <v/>
      </c>
      <c r="L314" s="14" t="str">
        <f aca="false">IF(OR($C314="",$H314=""),"",INT(($H314-$C314)/365.25))</f>
        <v/>
      </c>
      <c r="M314" s="14" t="str">
        <f aca="false">IF($L314="","",IF($L314&lt;18,"Ha","Yo'q"))</f>
        <v/>
      </c>
      <c r="N314" s="25"/>
      <c r="O314" s="25"/>
      <c r="P314" s="25"/>
      <c r="Q314" s="12"/>
      <c r="R314" s="25"/>
      <c r="S314" s="12"/>
      <c r="T314" s="13"/>
      <c r="U314" s="12"/>
      <c r="V314" s="25"/>
      <c r="W314" s="25"/>
      <c r="X314" s="14" t="str">
        <f aca="false">IF(OR($V314="",$W314=""),"",IF(AND($V314&gt;=Spravochnik!$H$5,$W314&gt;=Spravochnik!$H$6),"Ha","Yo'q"))</f>
        <v/>
      </c>
      <c r="Y314" s="13"/>
      <c r="Z314" s="13"/>
      <c r="AA314" s="13"/>
      <c r="AB314" s="13"/>
      <c r="AC314" s="14" t="str">
        <f aca="false">IF(AND($B314&lt;&gt;"",$AE314="",$AB314&lt;&gt;"",$AB314&lt;Boshqaruv!$C$12),"Ha","")</f>
        <v/>
      </c>
      <c r="AD314" s="25"/>
      <c r="AE314" s="13"/>
      <c r="AF314" s="12"/>
      <c r="AG314" s="14" t="str">
        <f aca="false">IF(OR($B314="",$C314="",$H314=""),"",IF(COUNTIFS($B$5:$B$804,$B314,$C$5:$C$804,$C314,$H$5:$H$804,$H314)&gt;1,"Takror",""))</f>
        <v/>
      </c>
      <c r="AH314" s="28" t="str">
        <f aca="false">IF(AND($B314&lt;&gt;"",$N314="Ha",$H314&lt;&gt;"",$H314&lt;=Boshqaruv!$C$12,OR($AE314="",$AE314&gt;Boshqaruv!$C$12)),MAX($AH$4:$AH313)+1,"")</f>
        <v/>
      </c>
    </row>
    <row r="315" customFormat="false" ht="15" hidden="false" customHeight="false" outlineLevel="0" collapsed="false">
      <c r="A315" s="20" t="n">
        <v>311</v>
      </c>
      <c r="B315" s="12"/>
      <c r="C315" s="13"/>
      <c r="D315" s="24"/>
      <c r="E315" s="12"/>
      <c r="F315" s="25"/>
      <c r="G315" s="27" t="str">
        <f aca="false">IF(OR($B315="",$C315=""),"",$B315&amp;" ("&amp;DAY($C315)&amp;"."&amp;MONTH($C315)&amp;"."&amp;YEAR($C315)&amp;")")</f>
        <v/>
      </c>
      <c r="H315" s="13"/>
      <c r="I315" s="13"/>
      <c r="J315" s="15" t="str">
        <f aca="false">IF($I315="","",$I315+280)</f>
        <v/>
      </c>
      <c r="K315" s="14" t="str">
        <f aca="false">IF(OR($I315="",$AE315&lt;&gt;""),"",INT((Boshqaruv!$C$12-$I315)/7))</f>
        <v/>
      </c>
      <c r="L315" s="14" t="str">
        <f aca="false">IF(OR($C315="",$H315=""),"",INT(($H315-$C315)/365.25))</f>
        <v/>
      </c>
      <c r="M315" s="14" t="str">
        <f aca="false">IF($L315="","",IF($L315&lt;18,"Ha","Yo'q"))</f>
        <v/>
      </c>
      <c r="N315" s="25"/>
      <c r="O315" s="25"/>
      <c r="P315" s="25"/>
      <c r="Q315" s="12"/>
      <c r="R315" s="25"/>
      <c r="S315" s="12"/>
      <c r="T315" s="13"/>
      <c r="U315" s="12"/>
      <c r="V315" s="25"/>
      <c r="W315" s="25"/>
      <c r="X315" s="14" t="str">
        <f aca="false">IF(OR($V315="",$W315=""),"",IF(AND($V315&gt;=Spravochnik!$H$5,$W315&gt;=Spravochnik!$H$6),"Ha","Yo'q"))</f>
        <v/>
      </c>
      <c r="Y315" s="13"/>
      <c r="Z315" s="13"/>
      <c r="AA315" s="13"/>
      <c r="AB315" s="13"/>
      <c r="AC315" s="14" t="str">
        <f aca="false">IF(AND($B315&lt;&gt;"",$AE315="",$AB315&lt;&gt;"",$AB315&lt;Boshqaruv!$C$12),"Ha","")</f>
        <v/>
      </c>
      <c r="AD315" s="25"/>
      <c r="AE315" s="13"/>
      <c r="AF315" s="12"/>
      <c r="AG315" s="14" t="str">
        <f aca="false">IF(OR($B315="",$C315="",$H315=""),"",IF(COUNTIFS($B$5:$B$804,$B315,$C$5:$C$804,$C315,$H$5:$H$804,$H315)&gt;1,"Takror",""))</f>
        <v/>
      </c>
      <c r="AH315" s="28" t="str">
        <f aca="false">IF(AND($B315&lt;&gt;"",$N315="Ha",$H315&lt;&gt;"",$H315&lt;=Boshqaruv!$C$12,OR($AE315="",$AE315&gt;Boshqaruv!$C$12)),MAX($AH$4:$AH314)+1,"")</f>
        <v/>
      </c>
    </row>
    <row r="316" customFormat="false" ht="15" hidden="false" customHeight="false" outlineLevel="0" collapsed="false">
      <c r="A316" s="20" t="n">
        <v>312</v>
      </c>
      <c r="B316" s="12"/>
      <c r="C316" s="13"/>
      <c r="D316" s="24"/>
      <c r="E316" s="12"/>
      <c r="F316" s="25"/>
      <c r="G316" s="27" t="str">
        <f aca="false">IF(OR($B316="",$C316=""),"",$B316&amp;" ("&amp;DAY($C316)&amp;"."&amp;MONTH($C316)&amp;"."&amp;YEAR($C316)&amp;")")</f>
        <v/>
      </c>
      <c r="H316" s="13"/>
      <c r="I316" s="13"/>
      <c r="J316" s="15" t="str">
        <f aca="false">IF($I316="","",$I316+280)</f>
        <v/>
      </c>
      <c r="K316" s="14" t="str">
        <f aca="false">IF(OR($I316="",$AE316&lt;&gt;""),"",INT((Boshqaruv!$C$12-$I316)/7))</f>
        <v/>
      </c>
      <c r="L316" s="14" t="str">
        <f aca="false">IF(OR($C316="",$H316=""),"",INT(($H316-$C316)/365.25))</f>
        <v/>
      </c>
      <c r="M316" s="14" t="str">
        <f aca="false">IF($L316="","",IF($L316&lt;18,"Ha","Yo'q"))</f>
        <v/>
      </c>
      <c r="N316" s="25"/>
      <c r="O316" s="25"/>
      <c r="P316" s="25"/>
      <c r="Q316" s="12"/>
      <c r="R316" s="25"/>
      <c r="S316" s="12"/>
      <c r="T316" s="13"/>
      <c r="U316" s="12"/>
      <c r="V316" s="25"/>
      <c r="W316" s="25"/>
      <c r="X316" s="14" t="str">
        <f aca="false">IF(OR($V316="",$W316=""),"",IF(AND($V316&gt;=Spravochnik!$H$5,$W316&gt;=Spravochnik!$H$6),"Ha","Yo'q"))</f>
        <v/>
      </c>
      <c r="Y316" s="13"/>
      <c r="Z316" s="13"/>
      <c r="AA316" s="13"/>
      <c r="AB316" s="13"/>
      <c r="AC316" s="14" t="str">
        <f aca="false">IF(AND($B316&lt;&gt;"",$AE316="",$AB316&lt;&gt;"",$AB316&lt;Boshqaruv!$C$12),"Ha","")</f>
        <v/>
      </c>
      <c r="AD316" s="25"/>
      <c r="AE316" s="13"/>
      <c r="AF316" s="12"/>
      <c r="AG316" s="14" t="str">
        <f aca="false">IF(OR($B316="",$C316="",$H316=""),"",IF(COUNTIFS($B$5:$B$804,$B316,$C$5:$C$804,$C316,$H$5:$H$804,$H316)&gt;1,"Takror",""))</f>
        <v/>
      </c>
      <c r="AH316" s="28" t="str">
        <f aca="false">IF(AND($B316&lt;&gt;"",$N316="Ha",$H316&lt;&gt;"",$H316&lt;=Boshqaruv!$C$12,OR($AE316="",$AE316&gt;Boshqaruv!$C$12)),MAX($AH$4:$AH315)+1,"")</f>
        <v/>
      </c>
    </row>
    <row r="317" customFormat="false" ht="15" hidden="false" customHeight="false" outlineLevel="0" collapsed="false">
      <c r="A317" s="20" t="n">
        <v>313</v>
      </c>
      <c r="B317" s="12"/>
      <c r="C317" s="13"/>
      <c r="D317" s="24"/>
      <c r="E317" s="12"/>
      <c r="F317" s="25"/>
      <c r="G317" s="27" t="str">
        <f aca="false">IF(OR($B317="",$C317=""),"",$B317&amp;" ("&amp;DAY($C317)&amp;"."&amp;MONTH($C317)&amp;"."&amp;YEAR($C317)&amp;")")</f>
        <v/>
      </c>
      <c r="H317" s="13"/>
      <c r="I317" s="13"/>
      <c r="J317" s="15" t="str">
        <f aca="false">IF($I317="","",$I317+280)</f>
        <v/>
      </c>
      <c r="K317" s="14" t="str">
        <f aca="false">IF(OR($I317="",$AE317&lt;&gt;""),"",INT((Boshqaruv!$C$12-$I317)/7))</f>
        <v/>
      </c>
      <c r="L317" s="14" t="str">
        <f aca="false">IF(OR($C317="",$H317=""),"",INT(($H317-$C317)/365.25))</f>
        <v/>
      </c>
      <c r="M317" s="14" t="str">
        <f aca="false">IF($L317="","",IF($L317&lt;18,"Ha","Yo'q"))</f>
        <v/>
      </c>
      <c r="N317" s="25"/>
      <c r="O317" s="25"/>
      <c r="P317" s="25"/>
      <c r="Q317" s="12"/>
      <c r="R317" s="25"/>
      <c r="S317" s="12"/>
      <c r="T317" s="13"/>
      <c r="U317" s="12"/>
      <c r="V317" s="25"/>
      <c r="W317" s="25"/>
      <c r="X317" s="14" t="str">
        <f aca="false">IF(OR($V317="",$W317=""),"",IF(AND($V317&gt;=Spravochnik!$H$5,$W317&gt;=Spravochnik!$H$6),"Ha","Yo'q"))</f>
        <v/>
      </c>
      <c r="Y317" s="13"/>
      <c r="Z317" s="13"/>
      <c r="AA317" s="13"/>
      <c r="AB317" s="13"/>
      <c r="AC317" s="14" t="str">
        <f aca="false">IF(AND($B317&lt;&gt;"",$AE317="",$AB317&lt;&gt;"",$AB317&lt;Boshqaruv!$C$12),"Ha","")</f>
        <v/>
      </c>
      <c r="AD317" s="25"/>
      <c r="AE317" s="13"/>
      <c r="AF317" s="12"/>
      <c r="AG317" s="14" t="str">
        <f aca="false">IF(OR($B317="",$C317="",$H317=""),"",IF(COUNTIFS($B$5:$B$804,$B317,$C$5:$C$804,$C317,$H$5:$H$804,$H317)&gt;1,"Takror",""))</f>
        <v/>
      </c>
      <c r="AH317" s="28" t="str">
        <f aca="false">IF(AND($B317&lt;&gt;"",$N317="Ha",$H317&lt;&gt;"",$H317&lt;=Boshqaruv!$C$12,OR($AE317="",$AE317&gt;Boshqaruv!$C$12)),MAX($AH$4:$AH316)+1,"")</f>
        <v/>
      </c>
    </row>
    <row r="318" customFormat="false" ht="15" hidden="false" customHeight="false" outlineLevel="0" collapsed="false">
      <c r="A318" s="20" t="n">
        <v>314</v>
      </c>
      <c r="B318" s="12"/>
      <c r="C318" s="13"/>
      <c r="D318" s="24"/>
      <c r="E318" s="12"/>
      <c r="F318" s="25"/>
      <c r="G318" s="27" t="str">
        <f aca="false">IF(OR($B318="",$C318=""),"",$B318&amp;" ("&amp;DAY($C318)&amp;"."&amp;MONTH($C318)&amp;"."&amp;YEAR($C318)&amp;")")</f>
        <v/>
      </c>
      <c r="H318" s="13"/>
      <c r="I318" s="13"/>
      <c r="J318" s="15" t="str">
        <f aca="false">IF($I318="","",$I318+280)</f>
        <v/>
      </c>
      <c r="K318" s="14" t="str">
        <f aca="false">IF(OR($I318="",$AE318&lt;&gt;""),"",INT((Boshqaruv!$C$12-$I318)/7))</f>
        <v/>
      </c>
      <c r="L318" s="14" t="str">
        <f aca="false">IF(OR($C318="",$H318=""),"",INT(($H318-$C318)/365.25))</f>
        <v/>
      </c>
      <c r="M318" s="14" t="str">
        <f aca="false">IF($L318="","",IF($L318&lt;18,"Ha","Yo'q"))</f>
        <v/>
      </c>
      <c r="N318" s="25"/>
      <c r="O318" s="25"/>
      <c r="P318" s="25"/>
      <c r="Q318" s="12"/>
      <c r="R318" s="25"/>
      <c r="S318" s="12"/>
      <c r="T318" s="13"/>
      <c r="U318" s="12"/>
      <c r="V318" s="25"/>
      <c r="W318" s="25"/>
      <c r="X318" s="14" t="str">
        <f aca="false">IF(OR($V318="",$W318=""),"",IF(AND($V318&gt;=Spravochnik!$H$5,$W318&gt;=Spravochnik!$H$6),"Ha","Yo'q"))</f>
        <v/>
      </c>
      <c r="Y318" s="13"/>
      <c r="Z318" s="13"/>
      <c r="AA318" s="13"/>
      <c r="AB318" s="13"/>
      <c r="AC318" s="14" t="str">
        <f aca="false">IF(AND($B318&lt;&gt;"",$AE318="",$AB318&lt;&gt;"",$AB318&lt;Boshqaruv!$C$12),"Ha","")</f>
        <v/>
      </c>
      <c r="AD318" s="25"/>
      <c r="AE318" s="13"/>
      <c r="AF318" s="12"/>
      <c r="AG318" s="14" t="str">
        <f aca="false">IF(OR($B318="",$C318="",$H318=""),"",IF(COUNTIFS($B$5:$B$804,$B318,$C$5:$C$804,$C318,$H$5:$H$804,$H318)&gt;1,"Takror",""))</f>
        <v/>
      </c>
      <c r="AH318" s="28" t="str">
        <f aca="false">IF(AND($B318&lt;&gt;"",$N318="Ha",$H318&lt;&gt;"",$H318&lt;=Boshqaruv!$C$12,OR($AE318="",$AE318&gt;Boshqaruv!$C$12)),MAX($AH$4:$AH317)+1,"")</f>
        <v/>
      </c>
    </row>
    <row r="319" customFormat="false" ht="15" hidden="false" customHeight="false" outlineLevel="0" collapsed="false">
      <c r="A319" s="20" t="n">
        <v>315</v>
      </c>
      <c r="B319" s="12"/>
      <c r="C319" s="13"/>
      <c r="D319" s="24"/>
      <c r="E319" s="12"/>
      <c r="F319" s="25"/>
      <c r="G319" s="27" t="str">
        <f aca="false">IF(OR($B319="",$C319=""),"",$B319&amp;" ("&amp;DAY($C319)&amp;"."&amp;MONTH($C319)&amp;"."&amp;YEAR($C319)&amp;")")</f>
        <v/>
      </c>
      <c r="H319" s="13"/>
      <c r="I319" s="13"/>
      <c r="J319" s="15" t="str">
        <f aca="false">IF($I319="","",$I319+280)</f>
        <v/>
      </c>
      <c r="K319" s="14" t="str">
        <f aca="false">IF(OR($I319="",$AE319&lt;&gt;""),"",INT((Boshqaruv!$C$12-$I319)/7))</f>
        <v/>
      </c>
      <c r="L319" s="14" t="str">
        <f aca="false">IF(OR($C319="",$H319=""),"",INT(($H319-$C319)/365.25))</f>
        <v/>
      </c>
      <c r="M319" s="14" t="str">
        <f aca="false">IF($L319="","",IF($L319&lt;18,"Ha","Yo'q"))</f>
        <v/>
      </c>
      <c r="N319" s="25"/>
      <c r="O319" s="25"/>
      <c r="P319" s="25"/>
      <c r="Q319" s="12"/>
      <c r="R319" s="25"/>
      <c r="S319" s="12"/>
      <c r="T319" s="13"/>
      <c r="U319" s="12"/>
      <c r="V319" s="25"/>
      <c r="W319" s="25"/>
      <c r="X319" s="14" t="str">
        <f aca="false">IF(OR($V319="",$W319=""),"",IF(AND($V319&gt;=Spravochnik!$H$5,$W319&gt;=Spravochnik!$H$6),"Ha","Yo'q"))</f>
        <v/>
      </c>
      <c r="Y319" s="13"/>
      <c r="Z319" s="13"/>
      <c r="AA319" s="13"/>
      <c r="AB319" s="13"/>
      <c r="AC319" s="14" t="str">
        <f aca="false">IF(AND($B319&lt;&gt;"",$AE319="",$AB319&lt;&gt;"",$AB319&lt;Boshqaruv!$C$12),"Ha","")</f>
        <v/>
      </c>
      <c r="AD319" s="25"/>
      <c r="AE319" s="13"/>
      <c r="AF319" s="12"/>
      <c r="AG319" s="14" t="str">
        <f aca="false">IF(OR($B319="",$C319="",$H319=""),"",IF(COUNTIFS($B$5:$B$804,$B319,$C$5:$C$804,$C319,$H$5:$H$804,$H319)&gt;1,"Takror",""))</f>
        <v/>
      </c>
      <c r="AH319" s="28" t="str">
        <f aca="false">IF(AND($B319&lt;&gt;"",$N319="Ha",$H319&lt;&gt;"",$H319&lt;=Boshqaruv!$C$12,OR($AE319="",$AE319&gt;Boshqaruv!$C$12)),MAX($AH$4:$AH318)+1,"")</f>
        <v/>
      </c>
    </row>
    <row r="320" customFormat="false" ht="15" hidden="false" customHeight="false" outlineLevel="0" collapsed="false">
      <c r="A320" s="20" t="n">
        <v>316</v>
      </c>
      <c r="B320" s="12"/>
      <c r="C320" s="13"/>
      <c r="D320" s="24"/>
      <c r="E320" s="12"/>
      <c r="F320" s="25"/>
      <c r="G320" s="27" t="str">
        <f aca="false">IF(OR($B320="",$C320=""),"",$B320&amp;" ("&amp;DAY($C320)&amp;"."&amp;MONTH($C320)&amp;"."&amp;YEAR($C320)&amp;")")</f>
        <v/>
      </c>
      <c r="H320" s="13"/>
      <c r="I320" s="13"/>
      <c r="J320" s="15" t="str">
        <f aca="false">IF($I320="","",$I320+280)</f>
        <v/>
      </c>
      <c r="K320" s="14" t="str">
        <f aca="false">IF(OR($I320="",$AE320&lt;&gt;""),"",INT((Boshqaruv!$C$12-$I320)/7))</f>
        <v/>
      </c>
      <c r="L320" s="14" t="str">
        <f aca="false">IF(OR($C320="",$H320=""),"",INT(($H320-$C320)/365.25))</f>
        <v/>
      </c>
      <c r="M320" s="14" t="str">
        <f aca="false">IF($L320="","",IF($L320&lt;18,"Ha","Yo'q"))</f>
        <v/>
      </c>
      <c r="N320" s="25"/>
      <c r="O320" s="25"/>
      <c r="P320" s="25"/>
      <c r="Q320" s="12"/>
      <c r="R320" s="25"/>
      <c r="S320" s="12"/>
      <c r="T320" s="13"/>
      <c r="U320" s="12"/>
      <c r="V320" s="25"/>
      <c r="W320" s="25"/>
      <c r="X320" s="14" t="str">
        <f aca="false">IF(OR($V320="",$W320=""),"",IF(AND($V320&gt;=Spravochnik!$H$5,$W320&gt;=Spravochnik!$H$6),"Ha","Yo'q"))</f>
        <v/>
      </c>
      <c r="Y320" s="13"/>
      <c r="Z320" s="13"/>
      <c r="AA320" s="13"/>
      <c r="AB320" s="13"/>
      <c r="AC320" s="14" t="str">
        <f aca="false">IF(AND($B320&lt;&gt;"",$AE320="",$AB320&lt;&gt;"",$AB320&lt;Boshqaruv!$C$12),"Ha","")</f>
        <v/>
      </c>
      <c r="AD320" s="25"/>
      <c r="AE320" s="13"/>
      <c r="AF320" s="12"/>
      <c r="AG320" s="14" t="str">
        <f aca="false">IF(OR($B320="",$C320="",$H320=""),"",IF(COUNTIFS($B$5:$B$804,$B320,$C$5:$C$804,$C320,$H$5:$H$804,$H320)&gt;1,"Takror",""))</f>
        <v/>
      </c>
      <c r="AH320" s="28" t="str">
        <f aca="false">IF(AND($B320&lt;&gt;"",$N320="Ha",$H320&lt;&gt;"",$H320&lt;=Boshqaruv!$C$12,OR($AE320="",$AE320&gt;Boshqaruv!$C$12)),MAX($AH$4:$AH319)+1,"")</f>
        <v/>
      </c>
    </row>
    <row r="321" customFormat="false" ht="15" hidden="false" customHeight="false" outlineLevel="0" collapsed="false">
      <c r="A321" s="20" t="n">
        <v>317</v>
      </c>
      <c r="B321" s="12"/>
      <c r="C321" s="13"/>
      <c r="D321" s="24"/>
      <c r="E321" s="12"/>
      <c r="F321" s="25"/>
      <c r="G321" s="27" t="str">
        <f aca="false">IF(OR($B321="",$C321=""),"",$B321&amp;" ("&amp;DAY($C321)&amp;"."&amp;MONTH($C321)&amp;"."&amp;YEAR($C321)&amp;")")</f>
        <v/>
      </c>
      <c r="H321" s="13"/>
      <c r="I321" s="13"/>
      <c r="J321" s="15" t="str">
        <f aca="false">IF($I321="","",$I321+280)</f>
        <v/>
      </c>
      <c r="K321" s="14" t="str">
        <f aca="false">IF(OR($I321="",$AE321&lt;&gt;""),"",INT((Boshqaruv!$C$12-$I321)/7))</f>
        <v/>
      </c>
      <c r="L321" s="14" t="str">
        <f aca="false">IF(OR($C321="",$H321=""),"",INT(($H321-$C321)/365.25))</f>
        <v/>
      </c>
      <c r="M321" s="14" t="str">
        <f aca="false">IF($L321="","",IF($L321&lt;18,"Ha","Yo'q"))</f>
        <v/>
      </c>
      <c r="N321" s="25"/>
      <c r="O321" s="25"/>
      <c r="P321" s="25"/>
      <c r="Q321" s="12"/>
      <c r="R321" s="25"/>
      <c r="S321" s="12"/>
      <c r="T321" s="13"/>
      <c r="U321" s="12"/>
      <c r="V321" s="25"/>
      <c r="W321" s="25"/>
      <c r="X321" s="14" t="str">
        <f aca="false">IF(OR($V321="",$W321=""),"",IF(AND($V321&gt;=Spravochnik!$H$5,$W321&gt;=Spravochnik!$H$6),"Ha","Yo'q"))</f>
        <v/>
      </c>
      <c r="Y321" s="13"/>
      <c r="Z321" s="13"/>
      <c r="AA321" s="13"/>
      <c r="AB321" s="13"/>
      <c r="AC321" s="14" t="str">
        <f aca="false">IF(AND($B321&lt;&gt;"",$AE321="",$AB321&lt;&gt;"",$AB321&lt;Boshqaruv!$C$12),"Ha","")</f>
        <v/>
      </c>
      <c r="AD321" s="25"/>
      <c r="AE321" s="13"/>
      <c r="AF321" s="12"/>
      <c r="AG321" s="14" t="str">
        <f aca="false">IF(OR($B321="",$C321="",$H321=""),"",IF(COUNTIFS($B$5:$B$804,$B321,$C$5:$C$804,$C321,$H$5:$H$804,$H321)&gt;1,"Takror",""))</f>
        <v/>
      </c>
      <c r="AH321" s="28" t="str">
        <f aca="false">IF(AND($B321&lt;&gt;"",$N321="Ha",$H321&lt;&gt;"",$H321&lt;=Boshqaruv!$C$12,OR($AE321="",$AE321&gt;Boshqaruv!$C$12)),MAX($AH$4:$AH320)+1,"")</f>
        <v/>
      </c>
    </row>
    <row r="322" customFormat="false" ht="15" hidden="false" customHeight="false" outlineLevel="0" collapsed="false">
      <c r="A322" s="20" t="n">
        <v>318</v>
      </c>
      <c r="B322" s="12"/>
      <c r="C322" s="13"/>
      <c r="D322" s="24"/>
      <c r="E322" s="12"/>
      <c r="F322" s="25"/>
      <c r="G322" s="27" t="str">
        <f aca="false">IF(OR($B322="",$C322=""),"",$B322&amp;" ("&amp;DAY($C322)&amp;"."&amp;MONTH($C322)&amp;"."&amp;YEAR($C322)&amp;")")</f>
        <v/>
      </c>
      <c r="H322" s="13"/>
      <c r="I322" s="13"/>
      <c r="J322" s="15" t="str">
        <f aca="false">IF($I322="","",$I322+280)</f>
        <v/>
      </c>
      <c r="K322" s="14" t="str">
        <f aca="false">IF(OR($I322="",$AE322&lt;&gt;""),"",INT((Boshqaruv!$C$12-$I322)/7))</f>
        <v/>
      </c>
      <c r="L322" s="14" t="str">
        <f aca="false">IF(OR($C322="",$H322=""),"",INT(($H322-$C322)/365.25))</f>
        <v/>
      </c>
      <c r="M322" s="14" t="str">
        <f aca="false">IF($L322="","",IF($L322&lt;18,"Ha","Yo'q"))</f>
        <v/>
      </c>
      <c r="N322" s="25"/>
      <c r="O322" s="25"/>
      <c r="P322" s="25"/>
      <c r="Q322" s="12"/>
      <c r="R322" s="25"/>
      <c r="S322" s="12"/>
      <c r="T322" s="13"/>
      <c r="U322" s="12"/>
      <c r="V322" s="25"/>
      <c r="W322" s="25"/>
      <c r="X322" s="14" t="str">
        <f aca="false">IF(OR($V322="",$W322=""),"",IF(AND($V322&gt;=Spravochnik!$H$5,$W322&gt;=Spravochnik!$H$6),"Ha","Yo'q"))</f>
        <v/>
      </c>
      <c r="Y322" s="13"/>
      <c r="Z322" s="13"/>
      <c r="AA322" s="13"/>
      <c r="AB322" s="13"/>
      <c r="AC322" s="14" t="str">
        <f aca="false">IF(AND($B322&lt;&gt;"",$AE322="",$AB322&lt;&gt;"",$AB322&lt;Boshqaruv!$C$12),"Ha","")</f>
        <v/>
      </c>
      <c r="AD322" s="25"/>
      <c r="AE322" s="13"/>
      <c r="AF322" s="12"/>
      <c r="AG322" s="14" t="str">
        <f aca="false">IF(OR($B322="",$C322="",$H322=""),"",IF(COUNTIFS($B$5:$B$804,$B322,$C$5:$C$804,$C322,$H$5:$H$804,$H322)&gt;1,"Takror",""))</f>
        <v/>
      </c>
      <c r="AH322" s="28" t="str">
        <f aca="false">IF(AND($B322&lt;&gt;"",$N322="Ha",$H322&lt;&gt;"",$H322&lt;=Boshqaruv!$C$12,OR($AE322="",$AE322&gt;Boshqaruv!$C$12)),MAX($AH$4:$AH321)+1,"")</f>
        <v/>
      </c>
    </row>
    <row r="323" customFormat="false" ht="15" hidden="false" customHeight="false" outlineLevel="0" collapsed="false">
      <c r="A323" s="20" t="n">
        <v>319</v>
      </c>
      <c r="B323" s="12"/>
      <c r="C323" s="13"/>
      <c r="D323" s="24"/>
      <c r="E323" s="12"/>
      <c r="F323" s="25"/>
      <c r="G323" s="27" t="str">
        <f aca="false">IF(OR($B323="",$C323=""),"",$B323&amp;" ("&amp;DAY($C323)&amp;"."&amp;MONTH($C323)&amp;"."&amp;YEAR($C323)&amp;")")</f>
        <v/>
      </c>
      <c r="H323" s="13"/>
      <c r="I323" s="13"/>
      <c r="J323" s="15" t="str">
        <f aca="false">IF($I323="","",$I323+280)</f>
        <v/>
      </c>
      <c r="K323" s="14" t="str">
        <f aca="false">IF(OR($I323="",$AE323&lt;&gt;""),"",INT((Boshqaruv!$C$12-$I323)/7))</f>
        <v/>
      </c>
      <c r="L323" s="14" t="str">
        <f aca="false">IF(OR($C323="",$H323=""),"",INT(($H323-$C323)/365.25))</f>
        <v/>
      </c>
      <c r="M323" s="14" t="str">
        <f aca="false">IF($L323="","",IF($L323&lt;18,"Ha","Yo'q"))</f>
        <v/>
      </c>
      <c r="N323" s="25"/>
      <c r="O323" s="25"/>
      <c r="P323" s="25"/>
      <c r="Q323" s="12"/>
      <c r="R323" s="25"/>
      <c r="S323" s="12"/>
      <c r="T323" s="13"/>
      <c r="U323" s="12"/>
      <c r="V323" s="25"/>
      <c r="W323" s="25"/>
      <c r="X323" s="14" t="str">
        <f aca="false">IF(OR($V323="",$W323=""),"",IF(AND($V323&gt;=Spravochnik!$H$5,$W323&gt;=Spravochnik!$H$6),"Ha","Yo'q"))</f>
        <v/>
      </c>
      <c r="Y323" s="13"/>
      <c r="Z323" s="13"/>
      <c r="AA323" s="13"/>
      <c r="AB323" s="13"/>
      <c r="AC323" s="14" t="str">
        <f aca="false">IF(AND($B323&lt;&gt;"",$AE323="",$AB323&lt;&gt;"",$AB323&lt;Boshqaruv!$C$12),"Ha","")</f>
        <v/>
      </c>
      <c r="AD323" s="25"/>
      <c r="AE323" s="13"/>
      <c r="AF323" s="12"/>
      <c r="AG323" s="14" t="str">
        <f aca="false">IF(OR($B323="",$C323="",$H323=""),"",IF(COUNTIFS($B$5:$B$804,$B323,$C$5:$C$804,$C323,$H$5:$H$804,$H323)&gt;1,"Takror",""))</f>
        <v/>
      </c>
      <c r="AH323" s="28" t="str">
        <f aca="false">IF(AND($B323&lt;&gt;"",$N323="Ha",$H323&lt;&gt;"",$H323&lt;=Boshqaruv!$C$12,OR($AE323="",$AE323&gt;Boshqaruv!$C$12)),MAX($AH$4:$AH322)+1,"")</f>
        <v/>
      </c>
    </row>
    <row r="324" customFormat="false" ht="15" hidden="false" customHeight="false" outlineLevel="0" collapsed="false">
      <c r="A324" s="20" t="n">
        <v>320</v>
      </c>
      <c r="B324" s="12"/>
      <c r="C324" s="13"/>
      <c r="D324" s="24"/>
      <c r="E324" s="12"/>
      <c r="F324" s="25"/>
      <c r="G324" s="27" t="str">
        <f aca="false">IF(OR($B324="",$C324=""),"",$B324&amp;" ("&amp;DAY($C324)&amp;"."&amp;MONTH($C324)&amp;"."&amp;YEAR($C324)&amp;")")</f>
        <v/>
      </c>
      <c r="H324" s="13"/>
      <c r="I324" s="13"/>
      <c r="J324" s="15" t="str">
        <f aca="false">IF($I324="","",$I324+280)</f>
        <v/>
      </c>
      <c r="K324" s="14" t="str">
        <f aca="false">IF(OR($I324="",$AE324&lt;&gt;""),"",INT((Boshqaruv!$C$12-$I324)/7))</f>
        <v/>
      </c>
      <c r="L324" s="14" t="str">
        <f aca="false">IF(OR($C324="",$H324=""),"",INT(($H324-$C324)/365.25))</f>
        <v/>
      </c>
      <c r="M324" s="14" t="str">
        <f aca="false">IF($L324="","",IF($L324&lt;18,"Ha","Yo'q"))</f>
        <v/>
      </c>
      <c r="N324" s="25"/>
      <c r="O324" s="25"/>
      <c r="P324" s="25"/>
      <c r="Q324" s="12"/>
      <c r="R324" s="25"/>
      <c r="S324" s="12"/>
      <c r="T324" s="13"/>
      <c r="U324" s="12"/>
      <c r="V324" s="25"/>
      <c r="W324" s="25"/>
      <c r="X324" s="14" t="str">
        <f aca="false">IF(OR($V324="",$W324=""),"",IF(AND($V324&gt;=Spravochnik!$H$5,$W324&gt;=Spravochnik!$H$6),"Ha","Yo'q"))</f>
        <v/>
      </c>
      <c r="Y324" s="13"/>
      <c r="Z324" s="13"/>
      <c r="AA324" s="13"/>
      <c r="AB324" s="13"/>
      <c r="AC324" s="14" t="str">
        <f aca="false">IF(AND($B324&lt;&gt;"",$AE324="",$AB324&lt;&gt;"",$AB324&lt;Boshqaruv!$C$12),"Ha","")</f>
        <v/>
      </c>
      <c r="AD324" s="25"/>
      <c r="AE324" s="13"/>
      <c r="AF324" s="12"/>
      <c r="AG324" s="14" t="str">
        <f aca="false">IF(OR($B324="",$C324="",$H324=""),"",IF(COUNTIFS($B$5:$B$804,$B324,$C$5:$C$804,$C324,$H$5:$H$804,$H324)&gt;1,"Takror",""))</f>
        <v/>
      </c>
      <c r="AH324" s="28" t="str">
        <f aca="false">IF(AND($B324&lt;&gt;"",$N324="Ha",$H324&lt;&gt;"",$H324&lt;=Boshqaruv!$C$12,OR($AE324="",$AE324&gt;Boshqaruv!$C$12)),MAX($AH$4:$AH323)+1,"")</f>
        <v/>
      </c>
    </row>
    <row r="325" customFormat="false" ht="15" hidden="false" customHeight="false" outlineLevel="0" collapsed="false">
      <c r="A325" s="20" t="n">
        <v>321</v>
      </c>
      <c r="B325" s="12"/>
      <c r="C325" s="13"/>
      <c r="D325" s="24"/>
      <c r="E325" s="12"/>
      <c r="F325" s="25"/>
      <c r="G325" s="27" t="str">
        <f aca="false">IF(OR($B325="",$C325=""),"",$B325&amp;" ("&amp;DAY($C325)&amp;"."&amp;MONTH($C325)&amp;"."&amp;YEAR($C325)&amp;")")</f>
        <v/>
      </c>
      <c r="H325" s="13"/>
      <c r="I325" s="13"/>
      <c r="J325" s="15" t="str">
        <f aca="false">IF($I325="","",$I325+280)</f>
        <v/>
      </c>
      <c r="K325" s="14" t="str">
        <f aca="false">IF(OR($I325="",$AE325&lt;&gt;""),"",INT((Boshqaruv!$C$12-$I325)/7))</f>
        <v/>
      </c>
      <c r="L325" s="14" t="str">
        <f aca="false">IF(OR($C325="",$H325=""),"",INT(($H325-$C325)/365.25))</f>
        <v/>
      </c>
      <c r="M325" s="14" t="str">
        <f aca="false">IF($L325="","",IF($L325&lt;18,"Ha","Yo'q"))</f>
        <v/>
      </c>
      <c r="N325" s="25"/>
      <c r="O325" s="25"/>
      <c r="P325" s="25"/>
      <c r="Q325" s="12"/>
      <c r="R325" s="25"/>
      <c r="S325" s="12"/>
      <c r="T325" s="13"/>
      <c r="U325" s="12"/>
      <c r="V325" s="25"/>
      <c r="W325" s="25"/>
      <c r="X325" s="14" t="str">
        <f aca="false">IF(OR($V325="",$W325=""),"",IF(AND($V325&gt;=Spravochnik!$H$5,$W325&gt;=Spravochnik!$H$6),"Ha","Yo'q"))</f>
        <v/>
      </c>
      <c r="Y325" s="13"/>
      <c r="Z325" s="13"/>
      <c r="AA325" s="13"/>
      <c r="AB325" s="13"/>
      <c r="AC325" s="14" t="str">
        <f aca="false">IF(AND($B325&lt;&gt;"",$AE325="",$AB325&lt;&gt;"",$AB325&lt;Boshqaruv!$C$12),"Ha","")</f>
        <v/>
      </c>
      <c r="AD325" s="25"/>
      <c r="AE325" s="13"/>
      <c r="AF325" s="12"/>
      <c r="AG325" s="14" t="str">
        <f aca="false">IF(OR($B325="",$C325="",$H325=""),"",IF(COUNTIFS($B$5:$B$804,$B325,$C$5:$C$804,$C325,$H$5:$H$804,$H325)&gt;1,"Takror",""))</f>
        <v/>
      </c>
      <c r="AH325" s="28" t="str">
        <f aca="false">IF(AND($B325&lt;&gt;"",$N325="Ha",$H325&lt;&gt;"",$H325&lt;=Boshqaruv!$C$12,OR($AE325="",$AE325&gt;Boshqaruv!$C$12)),MAX($AH$4:$AH324)+1,"")</f>
        <v/>
      </c>
    </row>
    <row r="326" customFormat="false" ht="15" hidden="false" customHeight="false" outlineLevel="0" collapsed="false">
      <c r="A326" s="20" t="n">
        <v>322</v>
      </c>
      <c r="B326" s="12"/>
      <c r="C326" s="13"/>
      <c r="D326" s="24"/>
      <c r="E326" s="12"/>
      <c r="F326" s="25"/>
      <c r="G326" s="27" t="str">
        <f aca="false">IF(OR($B326="",$C326=""),"",$B326&amp;" ("&amp;DAY($C326)&amp;"."&amp;MONTH($C326)&amp;"."&amp;YEAR($C326)&amp;")")</f>
        <v/>
      </c>
      <c r="H326" s="13"/>
      <c r="I326" s="13"/>
      <c r="J326" s="15" t="str">
        <f aca="false">IF($I326="","",$I326+280)</f>
        <v/>
      </c>
      <c r="K326" s="14" t="str">
        <f aca="false">IF(OR($I326="",$AE326&lt;&gt;""),"",INT((Boshqaruv!$C$12-$I326)/7))</f>
        <v/>
      </c>
      <c r="L326" s="14" t="str">
        <f aca="false">IF(OR($C326="",$H326=""),"",INT(($H326-$C326)/365.25))</f>
        <v/>
      </c>
      <c r="M326" s="14" t="str">
        <f aca="false">IF($L326="","",IF($L326&lt;18,"Ha","Yo'q"))</f>
        <v/>
      </c>
      <c r="N326" s="25"/>
      <c r="O326" s="25"/>
      <c r="P326" s="25"/>
      <c r="Q326" s="12"/>
      <c r="R326" s="25"/>
      <c r="S326" s="12"/>
      <c r="T326" s="13"/>
      <c r="U326" s="12"/>
      <c r="V326" s="25"/>
      <c r="W326" s="25"/>
      <c r="X326" s="14" t="str">
        <f aca="false">IF(OR($V326="",$W326=""),"",IF(AND($V326&gt;=Spravochnik!$H$5,$W326&gt;=Spravochnik!$H$6),"Ha","Yo'q"))</f>
        <v/>
      </c>
      <c r="Y326" s="13"/>
      <c r="Z326" s="13"/>
      <c r="AA326" s="13"/>
      <c r="AB326" s="13"/>
      <c r="AC326" s="14" t="str">
        <f aca="false">IF(AND($B326&lt;&gt;"",$AE326="",$AB326&lt;&gt;"",$AB326&lt;Boshqaruv!$C$12),"Ha","")</f>
        <v/>
      </c>
      <c r="AD326" s="25"/>
      <c r="AE326" s="13"/>
      <c r="AF326" s="12"/>
      <c r="AG326" s="14" t="str">
        <f aca="false">IF(OR($B326="",$C326="",$H326=""),"",IF(COUNTIFS($B$5:$B$804,$B326,$C$5:$C$804,$C326,$H$5:$H$804,$H326)&gt;1,"Takror",""))</f>
        <v/>
      </c>
      <c r="AH326" s="28" t="str">
        <f aca="false">IF(AND($B326&lt;&gt;"",$N326="Ha",$H326&lt;&gt;"",$H326&lt;=Boshqaruv!$C$12,OR($AE326="",$AE326&gt;Boshqaruv!$C$12)),MAX($AH$4:$AH325)+1,"")</f>
        <v/>
      </c>
    </row>
    <row r="327" customFormat="false" ht="15" hidden="false" customHeight="false" outlineLevel="0" collapsed="false">
      <c r="A327" s="20" t="n">
        <v>323</v>
      </c>
      <c r="B327" s="12"/>
      <c r="C327" s="13"/>
      <c r="D327" s="24"/>
      <c r="E327" s="12"/>
      <c r="F327" s="25"/>
      <c r="G327" s="27" t="str">
        <f aca="false">IF(OR($B327="",$C327=""),"",$B327&amp;" ("&amp;DAY($C327)&amp;"."&amp;MONTH($C327)&amp;"."&amp;YEAR($C327)&amp;")")</f>
        <v/>
      </c>
      <c r="H327" s="13"/>
      <c r="I327" s="13"/>
      <c r="J327" s="15" t="str">
        <f aca="false">IF($I327="","",$I327+280)</f>
        <v/>
      </c>
      <c r="K327" s="14" t="str">
        <f aca="false">IF(OR($I327="",$AE327&lt;&gt;""),"",INT((Boshqaruv!$C$12-$I327)/7))</f>
        <v/>
      </c>
      <c r="L327" s="14" t="str">
        <f aca="false">IF(OR($C327="",$H327=""),"",INT(($H327-$C327)/365.25))</f>
        <v/>
      </c>
      <c r="M327" s="14" t="str">
        <f aca="false">IF($L327="","",IF($L327&lt;18,"Ha","Yo'q"))</f>
        <v/>
      </c>
      <c r="N327" s="25"/>
      <c r="O327" s="25"/>
      <c r="P327" s="25"/>
      <c r="Q327" s="12"/>
      <c r="R327" s="25"/>
      <c r="S327" s="12"/>
      <c r="T327" s="13"/>
      <c r="U327" s="12"/>
      <c r="V327" s="25"/>
      <c r="W327" s="25"/>
      <c r="X327" s="14" t="str">
        <f aca="false">IF(OR($V327="",$W327=""),"",IF(AND($V327&gt;=Spravochnik!$H$5,$W327&gt;=Spravochnik!$H$6),"Ha","Yo'q"))</f>
        <v/>
      </c>
      <c r="Y327" s="13"/>
      <c r="Z327" s="13"/>
      <c r="AA327" s="13"/>
      <c r="AB327" s="13"/>
      <c r="AC327" s="14" t="str">
        <f aca="false">IF(AND($B327&lt;&gt;"",$AE327="",$AB327&lt;&gt;"",$AB327&lt;Boshqaruv!$C$12),"Ha","")</f>
        <v/>
      </c>
      <c r="AD327" s="25"/>
      <c r="AE327" s="13"/>
      <c r="AF327" s="12"/>
      <c r="AG327" s="14" t="str">
        <f aca="false">IF(OR($B327="",$C327="",$H327=""),"",IF(COUNTIFS($B$5:$B$804,$B327,$C$5:$C$804,$C327,$H$5:$H$804,$H327)&gt;1,"Takror",""))</f>
        <v/>
      </c>
      <c r="AH327" s="28" t="str">
        <f aca="false">IF(AND($B327&lt;&gt;"",$N327="Ha",$H327&lt;&gt;"",$H327&lt;=Boshqaruv!$C$12,OR($AE327="",$AE327&gt;Boshqaruv!$C$12)),MAX($AH$4:$AH326)+1,"")</f>
        <v/>
      </c>
    </row>
    <row r="328" customFormat="false" ht="15" hidden="false" customHeight="false" outlineLevel="0" collapsed="false">
      <c r="A328" s="20" t="n">
        <v>324</v>
      </c>
      <c r="B328" s="12"/>
      <c r="C328" s="13"/>
      <c r="D328" s="24"/>
      <c r="E328" s="12"/>
      <c r="F328" s="25"/>
      <c r="G328" s="27" t="str">
        <f aca="false">IF(OR($B328="",$C328=""),"",$B328&amp;" ("&amp;DAY($C328)&amp;"."&amp;MONTH($C328)&amp;"."&amp;YEAR($C328)&amp;")")</f>
        <v/>
      </c>
      <c r="H328" s="13"/>
      <c r="I328" s="13"/>
      <c r="J328" s="15" t="str">
        <f aca="false">IF($I328="","",$I328+280)</f>
        <v/>
      </c>
      <c r="K328" s="14" t="str">
        <f aca="false">IF(OR($I328="",$AE328&lt;&gt;""),"",INT((Boshqaruv!$C$12-$I328)/7))</f>
        <v/>
      </c>
      <c r="L328" s="14" t="str">
        <f aca="false">IF(OR($C328="",$H328=""),"",INT(($H328-$C328)/365.25))</f>
        <v/>
      </c>
      <c r="M328" s="14" t="str">
        <f aca="false">IF($L328="","",IF($L328&lt;18,"Ha","Yo'q"))</f>
        <v/>
      </c>
      <c r="N328" s="25"/>
      <c r="O328" s="25"/>
      <c r="P328" s="25"/>
      <c r="Q328" s="12"/>
      <c r="R328" s="25"/>
      <c r="S328" s="12"/>
      <c r="T328" s="13"/>
      <c r="U328" s="12"/>
      <c r="V328" s="25"/>
      <c r="W328" s="25"/>
      <c r="X328" s="14" t="str">
        <f aca="false">IF(OR($V328="",$W328=""),"",IF(AND($V328&gt;=Spravochnik!$H$5,$W328&gt;=Spravochnik!$H$6),"Ha","Yo'q"))</f>
        <v/>
      </c>
      <c r="Y328" s="13"/>
      <c r="Z328" s="13"/>
      <c r="AA328" s="13"/>
      <c r="AB328" s="13"/>
      <c r="AC328" s="14" t="str">
        <f aca="false">IF(AND($B328&lt;&gt;"",$AE328="",$AB328&lt;&gt;"",$AB328&lt;Boshqaruv!$C$12),"Ha","")</f>
        <v/>
      </c>
      <c r="AD328" s="25"/>
      <c r="AE328" s="13"/>
      <c r="AF328" s="12"/>
      <c r="AG328" s="14" t="str">
        <f aca="false">IF(OR($B328="",$C328="",$H328=""),"",IF(COUNTIFS($B$5:$B$804,$B328,$C$5:$C$804,$C328,$H$5:$H$804,$H328)&gt;1,"Takror",""))</f>
        <v/>
      </c>
      <c r="AH328" s="28" t="str">
        <f aca="false">IF(AND($B328&lt;&gt;"",$N328="Ha",$H328&lt;&gt;"",$H328&lt;=Boshqaruv!$C$12,OR($AE328="",$AE328&gt;Boshqaruv!$C$12)),MAX($AH$4:$AH327)+1,"")</f>
        <v/>
      </c>
    </row>
    <row r="329" customFormat="false" ht="15" hidden="false" customHeight="false" outlineLevel="0" collapsed="false">
      <c r="A329" s="20" t="n">
        <v>325</v>
      </c>
      <c r="B329" s="12"/>
      <c r="C329" s="13"/>
      <c r="D329" s="24"/>
      <c r="E329" s="12"/>
      <c r="F329" s="25"/>
      <c r="G329" s="27" t="str">
        <f aca="false">IF(OR($B329="",$C329=""),"",$B329&amp;" ("&amp;DAY($C329)&amp;"."&amp;MONTH($C329)&amp;"."&amp;YEAR($C329)&amp;")")</f>
        <v/>
      </c>
      <c r="H329" s="13"/>
      <c r="I329" s="13"/>
      <c r="J329" s="15" t="str">
        <f aca="false">IF($I329="","",$I329+280)</f>
        <v/>
      </c>
      <c r="K329" s="14" t="str">
        <f aca="false">IF(OR($I329="",$AE329&lt;&gt;""),"",INT((Boshqaruv!$C$12-$I329)/7))</f>
        <v/>
      </c>
      <c r="L329" s="14" t="str">
        <f aca="false">IF(OR($C329="",$H329=""),"",INT(($H329-$C329)/365.25))</f>
        <v/>
      </c>
      <c r="M329" s="14" t="str">
        <f aca="false">IF($L329="","",IF($L329&lt;18,"Ha","Yo'q"))</f>
        <v/>
      </c>
      <c r="N329" s="25"/>
      <c r="O329" s="25"/>
      <c r="P329" s="25"/>
      <c r="Q329" s="12"/>
      <c r="R329" s="25"/>
      <c r="S329" s="12"/>
      <c r="T329" s="13"/>
      <c r="U329" s="12"/>
      <c r="V329" s="25"/>
      <c r="W329" s="25"/>
      <c r="X329" s="14" t="str">
        <f aca="false">IF(OR($V329="",$W329=""),"",IF(AND($V329&gt;=Spravochnik!$H$5,$W329&gt;=Spravochnik!$H$6),"Ha","Yo'q"))</f>
        <v/>
      </c>
      <c r="Y329" s="13"/>
      <c r="Z329" s="13"/>
      <c r="AA329" s="13"/>
      <c r="AB329" s="13"/>
      <c r="AC329" s="14" t="str">
        <f aca="false">IF(AND($B329&lt;&gt;"",$AE329="",$AB329&lt;&gt;"",$AB329&lt;Boshqaruv!$C$12),"Ha","")</f>
        <v/>
      </c>
      <c r="AD329" s="25"/>
      <c r="AE329" s="13"/>
      <c r="AF329" s="12"/>
      <c r="AG329" s="14" t="str">
        <f aca="false">IF(OR($B329="",$C329="",$H329=""),"",IF(COUNTIFS($B$5:$B$804,$B329,$C$5:$C$804,$C329,$H$5:$H$804,$H329)&gt;1,"Takror",""))</f>
        <v/>
      </c>
      <c r="AH329" s="28" t="str">
        <f aca="false">IF(AND($B329&lt;&gt;"",$N329="Ha",$H329&lt;&gt;"",$H329&lt;=Boshqaruv!$C$12,OR($AE329="",$AE329&gt;Boshqaruv!$C$12)),MAX($AH$4:$AH328)+1,"")</f>
        <v/>
      </c>
    </row>
    <row r="330" customFormat="false" ht="15" hidden="false" customHeight="false" outlineLevel="0" collapsed="false">
      <c r="A330" s="20" t="n">
        <v>326</v>
      </c>
      <c r="B330" s="12"/>
      <c r="C330" s="13"/>
      <c r="D330" s="24"/>
      <c r="E330" s="12"/>
      <c r="F330" s="25"/>
      <c r="G330" s="27" t="str">
        <f aca="false">IF(OR($B330="",$C330=""),"",$B330&amp;" ("&amp;DAY($C330)&amp;"."&amp;MONTH($C330)&amp;"."&amp;YEAR($C330)&amp;")")</f>
        <v/>
      </c>
      <c r="H330" s="13"/>
      <c r="I330" s="13"/>
      <c r="J330" s="15" t="str">
        <f aca="false">IF($I330="","",$I330+280)</f>
        <v/>
      </c>
      <c r="K330" s="14" t="str">
        <f aca="false">IF(OR($I330="",$AE330&lt;&gt;""),"",INT((Boshqaruv!$C$12-$I330)/7))</f>
        <v/>
      </c>
      <c r="L330" s="14" t="str">
        <f aca="false">IF(OR($C330="",$H330=""),"",INT(($H330-$C330)/365.25))</f>
        <v/>
      </c>
      <c r="M330" s="14" t="str">
        <f aca="false">IF($L330="","",IF($L330&lt;18,"Ha","Yo'q"))</f>
        <v/>
      </c>
      <c r="N330" s="25"/>
      <c r="O330" s="25"/>
      <c r="P330" s="25"/>
      <c r="Q330" s="12"/>
      <c r="R330" s="25"/>
      <c r="S330" s="12"/>
      <c r="T330" s="13"/>
      <c r="U330" s="12"/>
      <c r="V330" s="25"/>
      <c r="W330" s="25"/>
      <c r="X330" s="14" t="str">
        <f aca="false">IF(OR($V330="",$W330=""),"",IF(AND($V330&gt;=Spravochnik!$H$5,$W330&gt;=Spravochnik!$H$6),"Ha","Yo'q"))</f>
        <v/>
      </c>
      <c r="Y330" s="13"/>
      <c r="Z330" s="13"/>
      <c r="AA330" s="13"/>
      <c r="AB330" s="13"/>
      <c r="AC330" s="14" t="str">
        <f aca="false">IF(AND($B330&lt;&gt;"",$AE330="",$AB330&lt;&gt;"",$AB330&lt;Boshqaruv!$C$12),"Ha","")</f>
        <v/>
      </c>
      <c r="AD330" s="25"/>
      <c r="AE330" s="13"/>
      <c r="AF330" s="12"/>
      <c r="AG330" s="14" t="str">
        <f aca="false">IF(OR($B330="",$C330="",$H330=""),"",IF(COUNTIFS($B$5:$B$804,$B330,$C$5:$C$804,$C330,$H$5:$H$804,$H330)&gt;1,"Takror",""))</f>
        <v/>
      </c>
      <c r="AH330" s="28" t="str">
        <f aca="false">IF(AND($B330&lt;&gt;"",$N330="Ha",$H330&lt;&gt;"",$H330&lt;=Boshqaruv!$C$12,OR($AE330="",$AE330&gt;Boshqaruv!$C$12)),MAX($AH$4:$AH329)+1,"")</f>
        <v/>
      </c>
    </row>
    <row r="331" customFormat="false" ht="15" hidden="false" customHeight="false" outlineLevel="0" collapsed="false">
      <c r="A331" s="20" t="n">
        <v>327</v>
      </c>
      <c r="B331" s="12"/>
      <c r="C331" s="13"/>
      <c r="D331" s="24"/>
      <c r="E331" s="12"/>
      <c r="F331" s="25"/>
      <c r="G331" s="27" t="str">
        <f aca="false">IF(OR($B331="",$C331=""),"",$B331&amp;" ("&amp;DAY($C331)&amp;"."&amp;MONTH($C331)&amp;"."&amp;YEAR($C331)&amp;")")</f>
        <v/>
      </c>
      <c r="H331" s="13"/>
      <c r="I331" s="13"/>
      <c r="J331" s="15" t="str">
        <f aca="false">IF($I331="","",$I331+280)</f>
        <v/>
      </c>
      <c r="K331" s="14" t="str">
        <f aca="false">IF(OR($I331="",$AE331&lt;&gt;""),"",INT((Boshqaruv!$C$12-$I331)/7))</f>
        <v/>
      </c>
      <c r="L331" s="14" t="str">
        <f aca="false">IF(OR($C331="",$H331=""),"",INT(($H331-$C331)/365.25))</f>
        <v/>
      </c>
      <c r="M331" s="14" t="str">
        <f aca="false">IF($L331="","",IF($L331&lt;18,"Ha","Yo'q"))</f>
        <v/>
      </c>
      <c r="N331" s="25"/>
      <c r="O331" s="25"/>
      <c r="P331" s="25"/>
      <c r="Q331" s="12"/>
      <c r="R331" s="25"/>
      <c r="S331" s="12"/>
      <c r="T331" s="13"/>
      <c r="U331" s="12"/>
      <c r="V331" s="25"/>
      <c r="W331" s="25"/>
      <c r="X331" s="14" t="str">
        <f aca="false">IF(OR($V331="",$W331=""),"",IF(AND($V331&gt;=Spravochnik!$H$5,$W331&gt;=Spravochnik!$H$6),"Ha","Yo'q"))</f>
        <v/>
      </c>
      <c r="Y331" s="13"/>
      <c r="Z331" s="13"/>
      <c r="AA331" s="13"/>
      <c r="AB331" s="13"/>
      <c r="AC331" s="14" t="str">
        <f aca="false">IF(AND($B331&lt;&gt;"",$AE331="",$AB331&lt;&gt;"",$AB331&lt;Boshqaruv!$C$12),"Ha","")</f>
        <v/>
      </c>
      <c r="AD331" s="25"/>
      <c r="AE331" s="13"/>
      <c r="AF331" s="12"/>
      <c r="AG331" s="14" t="str">
        <f aca="false">IF(OR($B331="",$C331="",$H331=""),"",IF(COUNTIFS($B$5:$B$804,$B331,$C$5:$C$804,$C331,$H$5:$H$804,$H331)&gt;1,"Takror",""))</f>
        <v/>
      </c>
      <c r="AH331" s="28" t="str">
        <f aca="false">IF(AND($B331&lt;&gt;"",$N331="Ha",$H331&lt;&gt;"",$H331&lt;=Boshqaruv!$C$12,OR($AE331="",$AE331&gt;Boshqaruv!$C$12)),MAX($AH$4:$AH330)+1,"")</f>
        <v/>
      </c>
    </row>
    <row r="332" customFormat="false" ht="15" hidden="false" customHeight="false" outlineLevel="0" collapsed="false">
      <c r="A332" s="20" t="n">
        <v>328</v>
      </c>
      <c r="B332" s="12"/>
      <c r="C332" s="13"/>
      <c r="D332" s="24"/>
      <c r="E332" s="12"/>
      <c r="F332" s="25"/>
      <c r="G332" s="27" t="str">
        <f aca="false">IF(OR($B332="",$C332=""),"",$B332&amp;" ("&amp;DAY($C332)&amp;"."&amp;MONTH($C332)&amp;"."&amp;YEAR($C332)&amp;")")</f>
        <v/>
      </c>
      <c r="H332" s="13"/>
      <c r="I332" s="13"/>
      <c r="J332" s="15" t="str">
        <f aca="false">IF($I332="","",$I332+280)</f>
        <v/>
      </c>
      <c r="K332" s="14" t="str">
        <f aca="false">IF(OR($I332="",$AE332&lt;&gt;""),"",INT((Boshqaruv!$C$12-$I332)/7))</f>
        <v/>
      </c>
      <c r="L332" s="14" t="str">
        <f aca="false">IF(OR($C332="",$H332=""),"",INT(($H332-$C332)/365.25))</f>
        <v/>
      </c>
      <c r="M332" s="14" t="str">
        <f aca="false">IF($L332="","",IF($L332&lt;18,"Ha","Yo'q"))</f>
        <v/>
      </c>
      <c r="N332" s="25"/>
      <c r="O332" s="25"/>
      <c r="P332" s="25"/>
      <c r="Q332" s="12"/>
      <c r="R332" s="25"/>
      <c r="S332" s="12"/>
      <c r="T332" s="13"/>
      <c r="U332" s="12"/>
      <c r="V332" s="25"/>
      <c r="W332" s="25"/>
      <c r="X332" s="14" t="str">
        <f aca="false">IF(OR($V332="",$W332=""),"",IF(AND($V332&gt;=Spravochnik!$H$5,$W332&gt;=Spravochnik!$H$6),"Ha","Yo'q"))</f>
        <v/>
      </c>
      <c r="Y332" s="13"/>
      <c r="Z332" s="13"/>
      <c r="AA332" s="13"/>
      <c r="AB332" s="13"/>
      <c r="AC332" s="14" t="str">
        <f aca="false">IF(AND($B332&lt;&gt;"",$AE332="",$AB332&lt;&gt;"",$AB332&lt;Boshqaruv!$C$12),"Ha","")</f>
        <v/>
      </c>
      <c r="AD332" s="25"/>
      <c r="AE332" s="13"/>
      <c r="AF332" s="12"/>
      <c r="AG332" s="14" t="str">
        <f aca="false">IF(OR($B332="",$C332="",$H332=""),"",IF(COUNTIFS($B$5:$B$804,$B332,$C$5:$C$804,$C332,$H$5:$H$804,$H332)&gt;1,"Takror",""))</f>
        <v/>
      </c>
      <c r="AH332" s="28" t="str">
        <f aca="false">IF(AND($B332&lt;&gt;"",$N332="Ha",$H332&lt;&gt;"",$H332&lt;=Boshqaruv!$C$12,OR($AE332="",$AE332&gt;Boshqaruv!$C$12)),MAX($AH$4:$AH331)+1,"")</f>
        <v/>
      </c>
    </row>
    <row r="333" customFormat="false" ht="15" hidden="false" customHeight="false" outlineLevel="0" collapsed="false">
      <c r="A333" s="20" t="n">
        <v>329</v>
      </c>
      <c r="B333" s="12"/>
      <c r="C333" s="13"/>
      <c r="D333" s="24"/>
      <c r="E333" s="12"/>
      <c r="F333" s="25"/>
      <c r="G333" s="27" t="str">
        <f aca="false">IF(OR($B333="",$C333=""),"",$B333&amp;" ("&amp;DAY($C333)&amp;"."&amp;MONTH($C333)&amp;"."&amp;YEAR($C333)&amp;")")</f>
        <v/>
      </c>
      <c r="H333" s="13"/>
      <c r="I333" s="13"/>
      <c r="J333" s="15" t="str">
        <f aca="false">IF($I333="","",$I333+280)</f>
        <v/>
      </c>
      <c r="K333" s="14" t="str">
        <f aca="false">IF(OR($I333="",$AE333&lt;&gt;""),"",INT((Boshqaruv!$C$12-$I333)/7))</f>
        <v/>
      </c>
      <c r="L333" s="14" t="str">
        <f aca="false">IF(OR($C333="",$H333=""),"",INT(($H333-$C333)/365.25))</f>
        <v/>
      </c>
      <c r="M333" s="14" t="str">
        <f aca="false">IF($L333="","",IF($L333&lt;18,"Ha","Yo'q"))</f>
        <v/>
      </c>
      <c r="N333" s="25"/>
      <c r="O333" s="25"/>
      <c r="P333" s="25"/>
      <c r="Q333" s="12"/>
      <c r="R333" s="25"/>
      <c r="S333" s="12"/>
      <c r="T333" s="13"/>
      <c r="U333" s="12"/>
      <c r="V333" s="25"/>
      <c r="W333" s="25"/>
      <c r="X333" s="14" t="str">
        <f aca="false">IF(OR($V333="",$W333=""),"",IF(AND($V333&gt;=Spravochnik!$H$5,$W333&gt;=Spravochnik!$H$6),"Ha","Yo'q"))</f>
        <v/>
      </c>
      <c r="Y333" s="13"/>
      <c r="Z333" s="13"/>
      <c r="AA333" s="13"/>
      <c r="AB333" s="13"/>
      <c r="AC333" s="14" t="str">
        <f aca="false">IF(AND($B333&lt;&gt;"",$AE333="",$AB333&lt;&gt;"",$AB333&lt;Boshqaruv!$C$12),"Ha","")</f>
        <v/>
      </c>
      <c r="AD333" s="25"/>
      <c r="AE333" s="13"/>
      <c r="AF333" s="12"/>
      <c r="AG333" s="14" t="str">
        <f aca="false">IF(OR($B333="",$C333="",$H333=""),"",IF(COUNTIFS($B$5:$B$804,$B333,$C$5:$C$804,$C333,$H$5:$H$804,$H333)&gt;1,"Takror",""))</f>
        <v/>
      </c>
      <c r="AH333" s="28" t="str">
        <f aca="false">IF(AND($B333&lt;&gt;"",$N333="Ha",$H333&lt;&gt;"",$H333&lt;=Boshqaruv!$C$12,OR($AE333="",$AE333&gt;Boshqaruv!$C$12)),MAX($AH$4:$AH332)+1,"")</f>
        <v/>
      </c>
    </row>
    <row r="334" customFormat="false" ht="15" hidden="false" customHeight="false" outlineLevel="0" collapsed="false">
      <c r="A334" s="20" t="n">
        <v>330</v>
      </c>
      <c r="B334" s="12"/>
      <c r="C334" s="13"/>
      <c r="D334" s="24"/>
      <c r="E334" s="12"/>
      <c r="F334" s="25"/>
      <c r="G334" s="27" t="str">
        <f aca="false">IF(OR($B334="",$C334=""),"",$B334&amp;" ("&amp;DAY($C334)&amp;"."&amp;MONTH($C334)&amp;"."&amp;YEAR($C334)&amp;")")</f>
        <v/>
      </c>
      <c r="H334" s="13"/>
      <c r="I334" s="13"/>
      <c r="J334" s="15" t="str">
        <f aca="false">IF($I334="","",$I334+280)</f>
        <v/>
      </c>
      <c r="K334" s="14" t="str">
        <f aca="false">IF(OR($I334="",$AE334&lt;&gt;""),"",INT((Boshqaruv!$C$12-$I334)/7))</f>
        <v/>
      </c>
      <c r="L334" s="14" t="str">
        <f aca="false">IF(OR($C334="",$H334=""),"",INT(($H334-$C334)/365.25))</f>
        <v/>
      </c>
      <c r="M334" s="14" t="str">
        <f aca="false">IF($L334="","",IF($L334&lt;18,"Ha","Yo'q"))</f>
        <v/>
      </c>
      <c r="N334" s="25"/>
      <c r="O334" s="25"/>
      <c r="P334" s="25"/>
      <c r="Q334" s="12"/>
      <c r="R334" s="25"/>
      <c r="S334" s="12"/>
      <c r="T334" s="13"/>
      <c r="U334" s="12"/>
      <c r="V334" s="25"/>
      <c r="W334" s="25"/>
      <c r="X334" s="14" t="str">
        <f aca="false">IF(OR($V334="",$W334=""),"",IF(AND($V334&gt;=Spravochnik!$H$5,$W334&gt;=Spravochnik!$H$6),"Ha","Yo'q"))</f>
        <v/>
      </c>
      <c r="Y334" s="13"/>
      <c r="Z334" s="13"/>
      <c r="AA334" s="13"/>
      <c r="AB334" s="13"/>
      <c r="AC334" s="14" t="str">
        <f aca="false">IF(AND($B334&lt;&gt;"",$AE334="",$AB334&lt;&gt;"",$AB334&lt;Boshqaruv!$C$12),"Ha","")</f>
        <v/>
      </c>
      <c r="AD334" s="25"/>
      <c r="AE334" s="13"/>
      <c r="AF334" s="12"/>
      <c r="AG334" s="14" t="str">
        <f aca="false">IF(OR($B334="",$C334="",$H334=""),"",IF(COUNTIFS($B$5:$B$804,$B334,$C$5:$C$804,$C334,$H$5:$H$804,$H334)&gt;1,"Takror",""))</f>
        <v/>
      </c>
      <c r="AH334" s="28" t="str">
        <f aca="false">IF(AND($B334&lt;&gt;"",$N334="Ha",$H334&lt;&gt;"",$H334&lt;=Boshqaruv!$C$12,OR($AE334="",$AE334&gt;Boshqaruv!$C$12)),MAX($AH$4:$AH333)+1,"")</f>
        <v/>
      </c>
    </row>
    <row r="335" customFormat="false" ht="15" hidden="false" customHeight="false" outlineLevel="0" collapsed="false">
      <c r="A335" s="20" t="n">
        <v>331</v>
      </c>
      <c r="B335" s="12"/>
      <c r="C335" s="13"/>
      <c r="D335" s="24"/>
      <c r="E335" s="12"/>
      <c r="F335" s="25"/>
      <c r="G335" s="27" t="str">
        <f aca="false">IF(OR($B335="",$C335=""),"",$B335&amp;" ("&amp;DAY($C335)&amp;"."&amp;MONTH($C335)&amp;"."&amp;YEAR($C335)&amp;")")</f>
        <v/>
      </c>
      <c r="H335" s="13"/>
      <c r="I335" s="13"/>
      <c r="J335" s="15" t="str">
        <f aca="false">IF($I335="","",$I335+280)</f>
        <v/>
      </c>
      <c r="K335" s="14" t="str">
        <f aca="false">IF(OR($I335="",$AE335&lt;&gt;""),"",INT((Boshqaruv!$C$12-$I335)/7))</f>
        <v/>
      </c>
      <c r="L335" s="14" t="str">
        <f aca="false">IF(OR($C335="",$H335=""),"",INT(($H335-$C335)/365.25))</f>
        <v/>
      </c>
      <c r="M335" s="14" t="str">
        <f aca="false">IF($L335="","",IF($L335&lt;18,"Ha","Yo'q"))</f>
        <v/>
      </c>
      <c r="N335" s="25"/>
      <c r="O335" s="25"/>
      <c r="P335" s="25"/>
      <c r="Q335" s="12"/>
      <c r="R335" s="25"/>
      <c r="S335" s="12"/>
      <c r="T335" s="13"/>
      <c r="U335" s="12"/>
      <c r="V335" s="25"/>
      <c r="W335" s="25"/>
      <c r="X335" s="14" t="str">
        <f aca="false">IF(OR($V335="",$W335=""),"",IF(AND($V335&gt;=Spravochnik!$H$5,$W335&gt;=Spravochnik!$H$6),"Ha","Yo'q"))</f>
        <v/>
      </c>
      <c r="Y335" s="13"/>
      <c r="Z335" s="13"/>
      <c r="AA335" s="13"/>
      <c r="AB335" s="13"/>
      <c r="AC335" s="14" t="str">
        <f aca="false">IF(AND($B335&lt;&gt;"",$AE335="",$AB335&lt;&gt;"",$AB335&lt;Boshqaruv!$C$12),"Ha","")</f>
        <v/>
      </c>
      <c r="AD335" s="25"/>
      <c r="AE335" s="13"/>
      <c r="AF335" s="12"/>
      <c r="AG335" s="14" t="str">
        <f aca="false">IF(OR($B335="",$C335="",$H335=""),"",IF(COUNTIFS($B$5:$B$804,$B335,$C$5:$C$804,$C335,$H$5:$H$804,$H335)&gt;1,"Takror",""))</f>
        <v/>
      </c>
      <c r="AH335" s="28" t="str">
        <f aca="false">IF(AND($B335&lt;&gt;"",$N335="Ha",$H335&lt;&gt;"",$H335&lt;=Boshqaruv!$C$12,OR($AE335="",$AE335&gt;Boshqaruv!$C$12)),MAX($AH$4:$AH334)+1,"")</f>
        <v/>
      </c>
    </row>
    <row r="336" customFormat="false" ht="15" hidden="false" customHeight="false" outlineLevel="0" collapsed="false">
      <c r="A336" s="20" t="n">
        <v>332</v>
      </c>
      <c r="B336" s="12"/>
      <c r="C336" s="13"/>
      <c r="D336" s="24"/>
      <c r="E336" s="12"/>
      <c r="F336" s="25"/>
      <c r="G336" s="27" t="str">
        <f aca="false">IF(OR($B336="",$C336=""),"",$B336&amp;" ("&amp;DAY($C336)&amp;"."&amp;MONTH($C336)&amp;"."&amp;YEAR($C336)&amp;")")</f>
        <v/>
      </c>
      <c r="H336" s="13"/>
      <c r="I336" s="13"/>
      <c r="J336" s="15" t="str">
        <f aca="false">IF($I336="","",$I336+280)</f>
        <v/>
      </c>
      <c r="K336" s="14" t="str">
        <f aca="false">IF(OR($I336="",$AE336&lt;&gt;""),"",INT((Boshqaruv!$C$12-$I336)/7))</f>
        <v/>
      </c>
      <c r="L336" s="14" t="str">
        <f aca="false">IF(OR($C336="",$H336=""),"",INT(($H336-$C336)/365.25))</f>
        <v/>
      </c>
      <c r="M336" s="14" t="str">
        <f aca="false">IF($L336="","",IF($L336&lt;18,"Ha","Yo'q"))</f>
        <v/>
      </c>
      <c r="N336" s="25"/>
      <c r="O336" s="25"/>
      <c r="P336" s="25"/>
      <c r="Q336" s="12"/>
      <c r="R336" s="25"/>
      <c r="S336" s="12"/>
      <c r="T336" s="13"/>
      <c r="U336" s="12"/>
      <c r="V336" s="25"/>
      <c r="W336" s="25"/>
      <c r="X336" s="14" t="str">
        <f aca="false">IF(OR($V336="",$W336=""),"",IF(AND($V336&gt;=Spravochnik!$H$5,$W336&gt;=Spravochnik!$H$6),"Ha","Yo'q"))</f>
        <v/>
      </c>
      <c r="Y336" s="13"/>
      <c r="Z336" s="13"/>
      <c r="AA336" s="13"/>
      <c r="AB336" s="13"/>
      <c r="AC336" s="14" t="str">
        <f aca="false">IF(AND($B336&lt;&gt;"",$AE336="",$AB336&lt;&gt;"",$AB336&lt;Boshqaruv!$C$12),"Ha","")</f>
        <v/>
      </c>
      <c r="AD336" s="25"/>
      <c r="AE336" s="13"/>
      <c r="AF336" s="12"/>
      <c r="AG336" s="14" t="str">
        <f aca="false">IF(OR($B336="",$C336="",$H336=""),"",IF(COUNTIFS($B$5:$B$804,$B336,$C$5:$C$804,$C336,$H$5:$H$804,$H336)&gt;1,"Takror",""))</f>
        <v/>
      </c>
      <c r="AH336" s="28" t="str">
        <f aca="false">IF(AND($B336&lt;&gt;"",$N336="Ha",$H336&lt;&gt;"",$H336&lt;=Boshqaruv!$C$12,OR($AE336="",$AE336&gt;Boshqaruv!$C$12)),MAX($AH$4:$AH335)+1,"")</f>
        <v/>
      </c>
    </row>
    <row r="337" customFormat="false" ht="15" hidden="false" customHeight="false" outlineLevel="0" collapsed="false">
      <c r="A337" s="20" t="n">
        <v>333</v>
      </c>
      <c r="B337" s="12"/>
      <c r="C337" s="13"/>
      <c r="D337" s="24"/>
      <c r="E337" s="12"/>
      <c r="F337" s="25"/>
      <c r="G337" s="27" t="str">
        <f aca="false">IF(OR($B337="",$C337=""),"",$B337&amp;" ("&amp;DAY($C337)&amp;"."&amp;MONTH($C337)&amp;"."&amp;YEAR($C337)&amp;")")</f>
        <v/>
      </c>
      <c r="H337" s="13"/>
      <c r="I337" s="13"/>
      <c r="J337" s="15" t="str">
        <f aca="false">IF($I337="","",$I337+280)</f>
        <v/>
      </c>
      <c r="K337" s="14" t="str">
        <f aca="false">IF(OR($I337="",$AE337&lt;&gt;""),"",INT((Boshqaruv!$C$12-$I337)/7))</f>
        <v/>
      </c>
      <c r="L337" s="14" t="str">
        <f aca="false">IF(OR($C337="",$H337=""),"",INT(($H337-$C337)/365.25))</f>
        <v/>
      </c>
      <c r="M337" s="14" t="str">
        <f aca="false">IF($L337="","",IF($L337&lt;18,"Ha","Yo'q"))</f>
        <v/>
      </c>
      <c r="N337" s="25"/>
      <c r="O337" s="25"/>
      <c r="P337" s="25"/>
      <c r="Q337" s="12"/>
      <c r="R337" s="25"/>
      <c r="S337" s="12"/>
      <c r="T337" s="13"/>
      <c r="U337" s="12"/>
      <c r="V337" s="25"/>
      <c r="W337" s="25"/>
      <c r="X337" s="14" t="str">
        <f aca="false">IF(OR($V337="",$W337=""),"",IF(AND($V337&gt;=Spravochnik!$H$5,$W337&gt;=Spravochnik!$H$6),"Ha","Yo'q"))</f>
        <v/>
      </c>
      <c r="Y337" s="13"/>
      <c r="Z337" s="13"/>
      <c r="AA337" s="13"/>
      <c r="AB337" s="13"/>
      <c r="AC337" s="14" t="str">
        <f aca="false">IF(AND($B337&lt;&gt;"",$AE337="",$AB337&lt;&gt;"",$AB337&lt;Boshqaruv!$C$12),"Ha","")</f>
        <v/>
      </c>
      <c r="AD337" s="25"/>
      <c r="AE337" s="13"/>
      <c r="AF337" s="12"/>
      <c r="AG337" s="14" t="str">
        <f aca="false">IF(OR($B337="",$C337="",$H337=""),"",IF(COUNTIFS($B$5:$B$804,$B337,$C$5:$C$804,$C337,$H$5:$H$804,$H337)&gt;1,"Takror",""))</f>
        <v/>
      </c>
      <c r="AH337" s="28" t="str">
        <f aca="false">IF(AND($B337&lt;&gt;"",$N337="Ha",$H337&lt;&gt;"",$H337&lt;=Boshqaruv!$C$12,OR($AE337="",$AE337&gt;Boshqaruv!$C$12)),MAX($AH$4:$AH336)+1,"")</f>
        <v/>
      </c>
    </row>
    <row r="338" customFormat="false" ht="15" hidden="false" customHeight="false" outlineLevel="0" collapsed="false">
      <c r="A338" s="20" t="n">
        <v>334</v>
      </c>
      <c r="B338" s="12"/>
      <c r="C338" s="13"/>
      <c r="D338" s="24"/>
      <c r="E338" s="12"/>
      <c r="F338" s="25"/>
      <c r="G338" s="27" t="str">
        <f aca="false">IF(OR($B338="",$C338=""),"",$B338&amp;" ("&amp;DAY($C338)&amp;"."&amp;MONTH($C338)&amp;"."&amp;YEAR($C338)&amp;")")</f>
        <v/>
      </c>
      <c r="H338" s="13"/>
      <c r="I338" s="13"/>
      <c r="J338" s="15" t="str">
        <f aca="false">IF($I338="","",$I338+280)</f>
        <v/>
      </c>
      <c r="K338" s="14" t="str">
        <f aca="false">IF(OR($I338="",$AE338&lt;&gt;""),"",INT((Boshqaruv!$C$12-$I338)/7))</f>
        <v/>
      </c>
      <c r="L338" s="14" t="str">
        <f aca="false">IF(OR($C338="",$H338=""),"",INT(($H338-$C338)/365.25))</f>
        <v/>
      </c>
      <c r="M338" s="14" t="str">
        <f aca="false">IF($L338="","",IF($L338&lt;18,"Ha","Yo'q"))</f>
        <v/>
      </c>
      <c r="N338" s="25"/>
      <c r="O338" s="25"/>
      <c r="P338" s="25"/>
      <c r="Q338" s="12"/>
      <c r="R338" s="25"/>
      <c r="S338" s="12"/>
      <c r="T338" s="13"/>
      <c r="U338" s="12"/>
      <c r="V338" s="25"/>
      <c r="W338" s="25"/>
      <c r="X338" s="14" t="str">
        <f aca="false">IF(OR($V338="",$W338=""),"",IF(AND($V338&gt;=Spravochnik!$H$5,$W338&gt;=Spravochnik!$H$6),"Ha","Yo'q"))</f>
        <v/>
      </c>
      <c r="Y338" s="13"/>
      <c r="Z338" s="13"/>
      <c r="AA338" s="13"/>
      <c r="AB338" s="13"/>
      <c r="AC338" s="14" t="str">
        <f aca="false">IF(AND($B338&lt;&gt;"",$AE338="",$AB338&lt;&gt;"",$AB338&lt;Boshqaruv!$C$12),"Ha","")</f>
        <v/>
      </c>
      <c r="AD338" s="25"/>
      <c r="AE338" s="13"/>
      <c r="AF338" s="12"/>
      <c r="AG338" s="14" t="str">
        <f aca="false">IF(OR($B338="",$C338="",$H338=""),"",IF(COUNTIFS($B$5:$B$804,$B338,$C$5:$C$804,$C338,$H$5:$H$804,$H338)&gt;1,"Takror",""))</f>
        <v/>
      </c>
      <c r="AH338" s="28" t="str">
        <f aca="false">IF(AND($B338&lt;&gt;"",$N338="Ha",$H338&lt;&gt;"",$H338&lt;=Boshqaruv!$C$12,OR($AE338="",$AE338&gt;Boshqaruv!$C$12)),MAX($AH$4:$AH337)+1,"")</f>
        <v/>
      </c>
    </row>
    <row r="339" customFormat="false" ht="15" hidden="false" customHeight="false" outlineLevel="0" collapsed="false">
      <c r="A339" s="20" t="n">
        <v>335</v>
      </c>
      <c r="B339" s="12"/>
      <c r="C339" s="13"/>
      <c r="D339" s="24"/>
      <c r="E339" s="12"/>
      <c r="F339" s="25"/>
      <c r="G339" s="27" t="str">
        <f aca="false">IF(OR($B339="",$C339=""),"",$B339&amp;" ("&amp;DAY($C339)&amp;"."&amp;MONTH($C339)&amp;"."&amp;YEAR($C339)&amp;")")</f>
        <v/>
      </c>
      <c r="H339" s="13"/>
      <c r="I339" s="13"/>
      <c r="J339" s="15" t="str">
        <f aca="false">IF($I339="","",$I339+280)</f>
        <v/>
      </c>
      <c r="K339" s="14" t="str">
        <f aca="false">IF(OR($I339="",$AE339&lt;&gt;""),"",INT((Boshqaruv!$C$12-$I339)/7))</f>
        <v/>
      </c>
      <c r="L339" s="14" t="str">
        <f aca="false">IF(OR($C339="",$H339=""),"",INT(($H339-$C339)/365.25))</f>
        <v/>
      </c>
      <c r="M339" s="14" t="str">
        <f aca="false">IF($L339="","",IF($L339&lt;18,"Ha","Yo'q"))</f>
        <v/>
      </c>
      <c r="N339" s="25"/>
      <c r="O339" s="25"/>
      <c r="P339" s="25"/>
      <c r="Q339" s="12"/>
      <c r="R339" s="25"/>
      <c r="S339" s="12"/>
      <c r="T339" s="13"/>
      <c r="U339" s="12"/>
      <c r="V339" s="25"/>
      <c r="W339" s="25"/>
      <c r="X339" s="14" t="str">
        <f aca="false">IF(OR($V339="",$W339=""),"",IF(AND($V339&gt;=Spravochnik!$H$5,$W339&gt;=Spravochnik!$H$6),"Ha","Yo'q"))</f>
        <v/>
      </c>
      <c r="Y339" s="13"/>
      <c r="Z339" s="13"/>
      <c r="AA339" s="13"/>
      <c r="AB339" s="13"/>
      <c r="AC339" s="14" t="str">
        <f aca="false">IF(AND($B339&lt;&gt;"",$AE339="",$AB339&lt;&gt;"",$AB339&lt;Boshqaruv!$C$12),"Ha","")</f>
        <v/>
      </c>
      <c r="AD339" s="25"/>
      <c r="AE339" s="13"/>
      <c r="AF339" s="12"/>
      <c r="AG339" s="14" t="str">
        <f aca="false">IF(OR($B339="",$C339="",$H339=""),"",IF(COUNTIFS($B$5:$B$804,$B339,$C$5:$C$804,$C339,$H$5:$H$804,$H339)&gt;1,"Takror",""))</f>
        <v/>
      </c>
      <c r="AH339" s="28" t="str">
        <f aca="false">IF(AND($B339&lt;&gt;"",$N339="Ha",$H339&lt;&gt;"",$H339&lt;=Boshqaruv!$C$12,OR($AE339="",$AE339&gt;Boshqaruv!$C$12)),MAX($AH$4:$AH338)+1,"")</f>
        <v/>
      </c>
    </row>
    <row r="340" customFormat="false" ht="15" hidden="false" customHeight="false" outlineLevel="0" collapsed="false">
      <c r="A340" s="20" t="n">
        <v>336</v>
      </c>
      <c r="B340" s="12"/>
      <c r="C340" s="13"/>
      <c r="D340" s="24"/>
      <c r="E340" s="12"/>
      <c r="F340" s="25"/>
      <c r="G340" s="27" t="str">
        <f aca="false">IF(OR($B340="",$C340=""),"",$B340&amp;" ("&amp;DAY($C340)&amp;"."&amp;MONTH($C340)&amp;"."&amp;YEAR($C340)&amp;")")</f>
        <v/>
      </c>
      <c r="H340" s="13"/>
      <c r="I340" s="13"/>
      <c r="J340" s="15" t="str">
        <f aca="false">IF($I340="","",$I340+280)</f>
        <v/>
      </c>
      <c r="K340" s="14" t="str">
        <f aca="false">IF(OR($I340="",$AE340&lt;&gt;""),"",INT((Boshqaruv!$C$12-$I340)/7))</f>
        <v/>
      </c>
      <c r="L340" s="14" t="str">
        <f aca="false">IF(OR($C340="",$H340=""),"",INT(($H340-$C340)/365.25))</f>
        <v/>
      </c>
      <c r="M340" s="14" t="str">
        <f aca="false">IF($L340="","",IF($L340&lt;18,"Ha","Yo'q"))</f>
        <v/>
      </c>
      <c r="N340" s="25"/>
      <c r="O340" s="25"/>
      <c r="P340" s="25"/>
      <c r="Q340" s="12"/>
      <c r="R340" s="25"/>
      <c r="S340" s="12"/>
      <c r="T340" s="13"/>
      <c r="U340" s="12"/>
      <c r="V340" s="25"/>
      <c r="W340" s="25"/>
      <c r="X340" s="14" t="str">
        <f aca="false">IF(OR($V340="",$W340=""),"",IF(AND($V340&gt;=Spravochnik!$H$5,$W340&gt;=Spravochnik!$H$6),"Ha","Yo'q"))</f>
        <v/>
      </c>
      <c r="Y340" s="13"/>
      <c r="Z340" s="13"/>
      <c r="AA340" s="13"/>
      <c r="AB340" s="13"/>
      <c r="AC340" s="14" t="str">
        <f aca="false">IF(AND($B340&lt;&gt;"",$AE340="",$AB340&lt;&gt;"",$AB340&lt;Boshqaruv!$C$12),"Ha","")</f>
        <v/>
      </c>
      <c r="AD340" s="25"/>
      <c r="AE340" s="13"/>
      <c r="AF340" s="12"/>
      <c r="AG340" s="14" t="str">
        <f aca="false">IF(OR($B340="",$C340="",$H340=""),"",IF(COUNTIFS($B$5:$B$804,$B340,$C$5:$C$804,$C340,$H$5:$H$804,$H340)&gt;1,"Takror",""))</f>
        <v/>
      </c>
      <c r="AH340" s="28" t="str">
        <f aca="false">IF(AND($B340&lt;&gt;"",$N340="Ha",$H340&lt;&gt;"",$H340&lt;=Boshqaruv!$C$12,OR($AE340="",$AE340&gt;Boshqaruv!$C$12)),MAX($AH$4:$AH339)+1,"")</f>
        <v/>
      </c>
    </row>
    <row r="341" customFormat="false" ht="15" hidden="false" customHeight="false" outlineLevel="0" collapsed="false">
      <c r="A341" s="20" t="n">
        <v>337</v>
      </c>
      <c r="B341" s="12"/>
      <c r="C341" s="13"/>
      <c r="D341" s="24"/>
      <c r="E341" s="12"/>
      <c r="F341" s="25"/>
      <c r="G341" s="27" t="str">
        <f aca="false">IF(OR($B341="",$C341=""),"",$B341&amp;" ("&amp;DAY($C341)&amp;"."&amp;MONTH($C341)&amp;"."&amp;YEAR($C341)&amp;")")</f>
        <v/>
      </c>
      <c r="H341" s="13"/>
      <c r="I341" s="13"/>
      <c r="J341" s="15" t="str">
        <f aca="false">IF($I341="","",$I341+280)</f>
        <v/>
      </c>
      <c r="K341" s="14" t="str">
        <f aca="false">IF(OR($I341="",$AE341&lt;&gt;""),"",INT((Boshqaruv!$C$12-$I341)/7))</f>
        <v/>
      </c>
      <c r="L341" s="14" t="str">
        <f aca="false">IF(OR($C341="",$H341=""),"",INT(($H341-$C341)/365.25))</f>
        <v/>
      </c>
      <c r="M341" s="14" t="str">
        <f aca="false">IF($L341="","",IF($L341&lt;18,"Ha","Yo'q"))</f>
        <v/>
      </c>
      <c r="N341" s="25"/>
      <c r="O341" s="25"/>
      <c r="P341" s="25"/>
      <c r="Q341" s="12"/>
      <c r="R341" s="25"/>
      <c r="S341" s="12"/>
      <c r="T341" s="13"/>
      <c r="U341" s="12"/>
      <c r="V341" s="25"/>
      <c r="W341" s="25"/>
      <c r="X341" s="14" t="str">
        <f aca="false">IF(OR($V341="",$W341=""),"",IF(AND($V341&gt;=Spravochnik!$H$5,$W341&gt;=Spravochnik!$H$6),"Ha","Yo'q"))</f>
        <v/>
      </c>
      <c r="Y341" s="13"/>
      <c r="Z341" s="13"/>
      <c r="AA341" s="13"/>
      <c r="AB341" s="13"/>
      <c r="AC341" s="14" t="str">
        <f aca="false">IF(AND($B341&lt;&gt;"",$AE341="",$AB341&lt;&gt;"",$AB341&lt;Boshqaruv!$C$12),"Ha","")</f>
        <v/>
      </c>
      <c r="AD341" s="25"/>
      <c r="AE341" s="13"/>
      <c r="AF341" s="12"/>
      <c r="AG341" s="14" t="str">
        <f aca="false">IF(OR($B341="",$C341="",$H341=""),"",IF(COUNTIFS($B$5:$B$804,$B341,$C$5:$C$804,$C341,$H$5:$H$804,$H341)&gt;1,"Takror",""))</f>
        <v/>
      </c>
      <c r="AH341" s="28" t="str">
        <f aca="false">IF(AND($B341&lt;&gt;"",$N341="Ha",$H341&lt;&gt;"",$H341&lt;=Boshqaruv!$C$12,OR($AE341="",$AE341&gt;Boshqaruv!$C$12)),MAX($AH$4:$AH340)+1,"")</f>
        <v/>
      </c>
    </row>
    <row r="342" customFormat="false" ht="15" hidden="false" customHeight="false" outlineLevel="0" collapsed="false">
      <c r="A342" s="20" t="n">
        <v>338</v>
      </c>
      <c r="B342" s="12"/>
      <c r="C342" s="13"/>
      <c r="D342" s="24"/>
      <c r="E342" s="12"/>
      <c r="F342" s="25"/>
      <c r="G342" s="27" t="str">
        <f aca="false">IF(OR($B342="",$C342=""),"",$B342&amp;" ("&amp;DAY($C342)&amp;"."&amp;MONTH($C342)&amp;"."&amp;YEAR($C342)&amp;")")</f>
        <v/>
      </c>
      <c r="H342" s="13"/>
      <c r="I342" s="13"/>
      <c r="J342" s="15" t="str">
        <f aca="false">IF($I342="","",$I342+280)</f>
        <v/>
      </c>
      <c r="K342" s="14" t="str">
        <f aca="false">IF(OR($I342="",$AE342&lt;&gt;""),"",INT((Boshqaruv!$C$12-$I342)/7))</f>
        <v/>
      </c>
      <c r="L342" s="14" t="str">
        <f aca="false">IF(OR($C342="",$H342=""),"",INT(($H342-$C342)/365.25))</f>
        <v/>
      </c>
      <c r="M342" s="14" t="str">
        <f aca="false">IF($L342="","",IF($L342&lt;18,"Ha","Yo'q"))</f>
        <v/>
      </c>
      <c r="N342" s="25"/>
      <c r="O342" s="25"/>
      <c r="P342" s="25"/>
      <c r="Q342" s="12"/>
      <c r="R342" s="25"/>
      <c r="S342" s="12"/>
      <c r="T342" s="13"/>
      <c r="U342" s="12"/>
      <c r="V342" s="25"/>
      <c r="W342" s="25"/>
      <c r="X342" s="14" t="str">
        <f aca="false">IF(OR($V342="",$W342=""),"",IF(AND($V342&gt;=Spravochnik!$H$5,$W342&gt;=Spravochnik!$H$6),"Ha","Yo'q"))</f>
        <v/>
      </c>
      <c r="Y342" s="13"/>
      <c r="Z342" s="13"/>
      <c r="AA342" s="13"/>
      <c r="AB342" s="13"/>
      <c r="AC342" s="14" t="str">
        <f aca="false">IF(AND($B342&lt;&gt;"",$AE342="",$AB342&lt;&gt;"",$AB342&lt;Boshqaruv!$C$12),"Ha","")</f>
        <v/>
      </c>
      <c r="AD342" s="25"/>
      <c r="AE342" s="13"/>
      <c r="AF342" s="12"/>
      <c r="AG342" s="14" t="str">
        <f aca="false">IF(OR($B342="",$C342="",$H342=""),"",IF(COUNTIFS($B$5:$B$804,$B342,$C$5:$C$804,$C342,$H$5:$H$804,$H342)&gt;1,"Takror",""))</f>
        <v/>
      </c>
      <c r="AH342" s="28" t="str">
        <f aca="false">IF(AND($B342&lt;&gt;"",$N342="Ha",$H342&lt;&gt;"",$H342&lt;=Boshqaruv!$C$12,OR($AE342="",$AE342&gt;Boshqaruv!$C$12)),MAX($AH$4:$AH341)+1,"")</f>
        <v/>
      </c>
    </row>
    <row r="343" customFormat="false" ht="15" hidden="false" customHeight="false" outlineLevel="0" collapsed="false">
      <c r="A343" s="20" t="n">
        <v>339</v>
      </c>
      <c r="B343" s="12"/>
      <c r="C343" s="13"/>
      <c r="D343" s="24"/>
      <c r="E343" s="12"/>
      <c r="F343" s="25"/>
      <c r="G343" s="27" t="str">
        <f aca="false">IF(OR($B343="",$C343=""),"",$B343&amp;" ("&amp;DAY($C343)&amp;"."&amp;MONTH($C343)&amp;"."&amp;YEAR($C343)&amp;")")</f>
        <v/>
      </c>
      <c r="H343" s="13"/>
      <c r="I343" s="13"/>
      <c r="J343" s="15" t="str">
        <f aca="false">IF($I343="","",$I343+280)</f>
        <v/>
      </c>
      <c r="K343" s="14" t="str">
        <f aca="false">IF(OR($I343="",$AE343&lt;&gt;""),"",INT((Boshqaruv!$C$12-$I343)/7))</f>
        <v/>
      </c>
      <c r="L343" s="14" t="str">
        <f aca="false">IF(OR($C343="",$H343=""),"",INT(($H343-$C343)/365.25))</f>
        <v/>
      </c>
      <c r="M343" s="14" t="str">
        <f aca="false">IF($L343="","",IF($L343&lt;18,"Ha","Yo'q"))</f>
        <v/>
      </c>
      <c r="N343" s="25"/>
      <c r="O343" s="25"/>
      <c r="P343" s="25"/>
      <c r="Q343" s="12"/>
      <c r="R343" s="25"/>
      <c r="S343" s="12"/>
      <c r="T343" s="13"/>
      <c r="U343" s="12"/>
      <c r="V343" s="25"/>
      <c r="W343" s="25"/>
      <c r="X343" s="14" t="str">
        <f aca="false">IF(OR($V343="",$W343=""),"",IF(AND($V343&gt;=Spravochnik!$H$5,$W343&gt;=Spravochnik!$H$6),"Ha","Yo'q"))</f>
        <v/>
      </c>
      <c r="Y343" s="13"/>
      <c r="Z343" s="13"/>
      <c r="AA343" s="13"/>
      <c r="AB343" s="13"/>
      <c r="AC343" s="14" t="str">
        <f aca="false">IF(AND($B343&lt;&gt;"",$AE343="",$AB343&lt;&gt;"",$AB343&lt;Boshqaruv!$C$12),"Ha","")</f>
        <v/>
      </c>
      <c r="AD343" s="25"/>
      <c r="AE343" s="13"/>
      <c r="AF343" s="12"/>
      <c r="AG343" s="14" t="str">
        <f aca="false">IF(OR($B343="",$C343="",$H343=""),"",IF(COUNTIFS($B$5:$B$804,$B343,$C$5:$C$804,$C343,$H$5:$H$804,$H343)&gt;1,"Takror",""))</f>
        <v/>
      </c>
      <c r="AH343" s="28" t="str">
        <f aca="false">IF(AND($B343&lt;&gt;"",$N343="Ha",$H343&lt;&gt;"",$H343&lt;=Boshqaruv!$C$12,OR($AE343="",$AE343&gt;Boshqaruv!$C$12)),MAX($AH$4:$AH342)+1,"")</f>
        <v/>
      </c>
    </row>
    <row r="344" customFormat="false" ht="15" hidden="false" customHeight="false" outlineLevel="0" collapsed="false">
      <c r="A344" s="20" t="n">
        <v>340</v>
      </c>
      <c r="B344" s="12"/>
      <c r="C344" s="13"/>
      <c r="D344" s="24"/>
      <c r="E344" s="12"/>
      <c r="F344" s="25"/>
      <c r="G344" s="27" t="str">
        <f aca="false">IF(OR($B344="",$C344=""),"",$B344&amp;" ("&amp;DAY($C344)&amp;"."&amp;MONTH($C344)&amp;"."&amp;YEAR($C344)&amp;")")</f>
        <v/>
      </c>
      <c r="H344" s="13"/>
      <c r="I344" s="13"/>
      <c r="J344" s="15" t="str">
        <f aca="false">IF($I344="","",$I344+280)</f>
        <v/>
      </c>
      <c r="K344" s="14" t="str">
        <f aca="false">IF(OR($I344="",$AE344&lt;&gt;""),"",INT((Boshqaruv!$C$12-$I344)/7))</f>
        <v/>
      </c>
      <c r="L344" s="14" t="str">
        <f aca="false">IF(OR($C344="",$H344=""),"",INT(($H344-$C344)/365.25))</f>
        <v/>
      </c>
      <c r="M344" s="14" t="str">
        <f aca="false">IF($L344="","",IF($L344&lt;18,"Ha","Yo'q"))</f>
        <v/>
      </c>
      <c r="N344" s="25"/>
      <c r="O344" s="25"/>
      <c r="P344" s="25"/>
      <c r="Q344" s="12"/>
      <c r="R344" s="25"/>
      <c r="S344" s="12"/>
      <c r="T344" s="13"/>
      <c r="U344" s="12"/>
      <c r="V344" s="25"/>
      <c r="W344" s="25"/>
      <c r="X344" s="14" t="str">
        <f aca="false">IF(OR($V344="",$W344=""),"",IF(AND($V344&gt;=Spravochnik!$H$5,$W344&gt;=Spravochnik!$H$6),"Ha","Yo'q"))</f>
        <v/>
      </c>
      <c r="Y344" s="13"/>
      <c r="Z344" s="13"/>
      <c r="AA344" s="13"/>
      <c r="AB344" s="13"/>
      <c r="AC344" s="14" t="str">
        <f aca="false">IF(AND($B344&lt;&gt;"",$AE344="",$AB344&lt;&gt;"",$AB344&lt;Boshqaruv!$C$12),"Ha","")</f>
        <v/>
      </c>
      <c r="AD344" s="25"/>
      <c r="AE344" s="13"/>
      <c r="AF344" s="12"/>
      <c r="AG344" s="14" t="str">
        <f aca="false">IF(OR($B344="",$C344="",$H344=""),"",IF(COUNTIFS($B$5:$B$804,$B344,$C$5:$C$804,$C344,$H$5:$H$804,$H344)&gt;1,"Takror",""))</f>
        <v/>
      </c>
      <c r="AH344" s="28" t="str">
        <f aca="false">IF(AND($B344&lt;&gt;"",$N344="Ha",$H344&lt;&gt;"",$H344&lt;=Boshqaruv!$C$12,OR($AE344="",$AE344&gt;Boshqaruv!$C$12)),MAX($AH$4:$AH343)+1,"")</f>
        <v/>
      </c>
    </row>
    <row r="345" customFormat="false" ht="15" hidden="false" customHeight="false" outlineLevel="0" collapsed="false">
      <c r="A345" s="20" t="n">
        <v>341</v>
      </c>
      <c r="B345" s="12"/>
      <c r="C345" s="13"/>
      <c r="D345" s="24"/>
      <c r="E345" s="12"/>
      <c r="F345" s="25"/>
      <c r="G345" s="27" t="str">
        <f aca="false">IF(OR($B345="",$C345=""),"",$B345&amp;" ("&amp;DAY($C345)&amp;"."&amp;MONTH($C345)&amp;"."&amp;YEAR($C345)&amp;")")</f>
        <v/>
      </c>
      <c r="H345" s="13"/>
      <c r="I345" s="13"/>
      <c r="J345" s="15" t="str">
        <f aca="false">IF($I345="","",$I345+280)</f>
        <v/>
      </c>
      <c r="K345" s="14" t="str">
        <f aca="false">IF(OR($I345="",$AE345&lt;&gt;""),"",INT((Boshqaruv!$C$12-$I345)/7))</f>
        <v/>
      </c>
      <c r="L345" s="14" t="str">
        <f aca="false">IF(OR($C345="",$H345=""),"",INT(($H345-$C345)/365.25))</f>
        <v/>
      </c>
      <c r="M345" s="14" t="str">
        <f aca="false">IF($L345="","",IF($L345&lt;18,"Ha","Yo'q"))</f>
        <v/>
      </c>
      <c r="N345" s="25"/>
      <c r="O345" s="25"/>
      <c r="P345" s="25"/>
      <c r="Q345" s="12"/>
      <c r="R345" s="25"/>
      <c r="S345" s="12"/>
      <c r="T345" s="13"/>
      <c r="U345" s="12"/>
      <c r="V345" s="25"/>
      <c r="W345" s="25"/>
      <c r="X345" s="14" t="str">
        <f aca="false">IF(OR($V345="",$W345=""),"",IF(AND($V345&gt;=Spravochnik!$H$5,$W345&gt;=Spravochnik!$H$6),"Ha","Yo'q"))</f>
        <v/>
      </c>
      <c r="Y345" s="13"/>
      <c r="Z345" s="13"/>
      <c r="AA345" s="13"/>
      <c r="AB345" s="13"/>
      <c r="AC345" s="14" t="str">
        <f aca="false">IF(AND($B345&lt;&gt;"",$AE345="",$AB345&lt;&gt;"",$AB345&lt;Boshqaruv!$C$12),"Ha","")</f>
        <v/>
      </c>
      <c r="AD345" s="25"/>
      <c r="AE345" s="13"/>
      <c r="AF345" s="12"/>
      <c r="AG345" s="14" t="str">
        <f aca="false">IF(OR($B345="",$C345="",$H345=""),"",IF(COUNTIFS($B$5:$B$804,$B345,$C$5:$C$804,$C345,$H$5:$H$804,$H345)&gt;1,"Takror",""))</f>
        <v/>
      </c>
      <c r="AH345" s="28" t="str">
        <f aca="false">IF(AND($B345&lt;&gt;"",$N345="Ha",$H345&lt;&gt;"",$H345&lt;=Boshqaruv!$C$12,OR($AE345="",$AE345&gt;Boshqaruv!$C$12)),MAX($AH$4:$AH344)+1,"")</f>
        <v/>
      </c>
    </row>
    <row r="346" customFormat="false" ht="15" hidden="false" customHeight="false" outlineLevel="0" collapsed="false">
      <c r="A346" s="20" t="n">
        <v>342</v>
      </c>
      <c r="B346" s="12"/>
      <c r="C346" s="13"/>
      <c r="D346" s="24"/>
      <c r="E346" s="12"/>
      <c r="F346" s="25"/>
      <c r="G346" s="27" t="str">
        <f aca="false">IF(OR($B346="",$C346=""),"",$B346&amp;" ("&amp;DAY($C346)&amp;"."&amp;MONTH($C346)&amp;"."&amp;YEAR($C346)&amp;")")</f>
        <v/>
      </c>
      <c r="H346" s="13"/>
      <c r="I346" s="13"/>
      <c r="J346" s="15" t="str">
        <f aca="false">IF($I346="","",$I346+280)</f>
        <v/>
      </c>
      <c r="K346" s="14" t="str">
        <f aca="false">IF(OR($I346="",$AE346&lt;&gt;""),"",INT((Boshqaruv!$C$12-$I346)/7))</f>
        <v/>
      </c>
      <c r="L346" s="14" t="str">
        <f aca="false">IF(OR($C346="",$H346=""),"",INT(($H346-$C346)/365.25))</f>
        <v/>
      </c>
      <c r="M346" s="14" t="str">
        <f aca="false">IF($L346="","",IF($L346&lt;18,"Ha","Yo'q"))</f>
        <v/>
      </c>
      <c r="N346" s="25"/>
      <c r="O346" s="25"/>
      <c r="P346" s="25"/>
      <c r="Q346" s="12"/>
      <c r="R346" s="25"/>
      <c r="S346" s="12"/>
      <c r="T346" s="13"/>
      <c r="U346" s="12"/>
      <c r="V346" s="25"/>
      <c r="W346" s="25"/>
      <c r="X346" s="14" t="str">
        <f aca="false">IF(OR($V346="",$W346=""),"",IF(AND($V346&gt;=Spravochnik!$H$5,$W346&gt;=Spravochnik!$H$6),"Ha","Yo'q"))</f>
        <v/>
      </c>
      <c r="Y346" s="13"/>
      <c r="Z346" s="13"/>
      <c r="AA346" s="13"/>
      <c r="AB346" s="13"/>
      <c r="AC346" s="14" t="str">
        <f aca="false">IF(AND($B346&lt;&gt;"",$AE346="",$AB346&lt;&gt;"",$AB346&lt;Boshqaruv!$C$12),"Ha","")</f>
        <v/>
      </c>
      <c r="AD346" s="25"/>
      <c r="AE346" s="13"/>
      <c r="AF346" s="12"/>
      <c r="AG346" s="14" t="str">
        <f aca="false">IF(OR($B346="",$C346="",$H346=""),"",IF(COUNTIFS($B$5:$B$804,$B346,$C$5:$C$804,$C346,$H$5:$H$804,$H346)&gt;1,"Takror",""))</f>
        <v/>
      </c>
      <c r="AH346" s="28" t="str">
        <f aca="false">IF(AND($B346&lt;&gt;"",$N346="Ha",$H346&lt;&gt;"",$H346&lt;=Boshqaruv!$C$12,OR($AE346="",$AE346&gt;Boshqaruv!$C$12)),MAX($AH$4:$AH345)+1,"")</f>
        <v/>
      </c>
    </row>
    <row r="347" customFormat="false" ht="15" hidden="false" customHeight="false" outlineLevel="0" collapsed="false">
      <c r="A347" s="20" t="n">
        <v>343</v>
      </c>
      <c r="B347" s="12"/>
      <c r="C347" s="13"/>
      <c r="D347" s="24"/>
      <c r="E347" s="12"/>
      <c r="F347" s="25"/>
      <c r="G347" s="27" t="str">
        <f aca="false">IF(OR($B347="",$C347=""),"",$B347&amp;" ("&amp;DAY($C347)&amp;"."&amp;MONTH($C347)&amp;"."&amp;YEAR($C347)&amp;")")</f>
        <v/>
      </c>
      <c r="H347" s="13"/>
      <c r="I347" s="13"/>
      <c r="J347" s="15" t="str">
        <f aca="false">IF($I347="","",$I347+280)</f>
        <v/>
      </c>
      <c r="K347" s="14" t="str">
        <f aca="false">IF(OR($I347="",$AE347&lt;&gt;""),"",INT((Boshqaruv!$C$12-$I347)/7))</f>
        <v/>
      </c>
      <c r="L347" s="14" t="str">
        <f aca="false">IF(OR($C347="",$H347=""),"",INT(($H347-$C347)/365.25))</f>
        <v/>
      </c>
      <c r="M347" s="14" t="str">
        <f aca="false">IF($L347="","",IF($L347&lt;18,"Ha","Yo'q"))</f>
        <v/>
      </c>
      <c r="N347" s="25"/>
      <c r="O347" s="25"/>
      <c r="P347" s="25"/>
      <c r="Q347" s="12"/>
      <c r="R347" s="25"/>
      <c r="S347" s="12"/>
      <c r="T347" s="13"/>
      <c r="U347" s="12"/>
      <c r="V347" s="25"/>
      <c r="W347" s="25"/>
      <c r="X347" s="14" t="str">
        <f aca="false">IF(OR($V347="",$W347=""),"",IF(AND($V347&gt;=Spravochnik!$H$5,$W347&gt;=Spravochnik!$H$6),"Ha","Yo'q"))</f>
        <v/>
      </c>
      <c r="Y347" s="13"/>
      <c r="Z347" s="13"/>
      <c r="AA347" s="13"/>
      <c r="AB347" s="13"/>
      <c r="AC347" s="14" t="str">
        <f aca="false">IF(AND($B347&lt;&gt;"",$AE347="",$AB347&lt;&gt;"",$AB347&lt;Boshqaruv!$C$12),"Ha","")</f>
        <v/>
      </c>
      <c r="AD347" s="25"/>
      <c r="AE347" s="13"/>
      <c r="AF347" s="12"/>
      <c r="AG347" s="14" t="str">
        <f aca="false">IF(OR($B347="",$C347="",$H347=""),"",IF(COUNTIFS($B$5:$B$804,$B347,$C$5:$C$804,$C347,$H$5:$H$804,$H347)&gt;1,"Takror",""))</f>
        <v/>
      </c>
      <c r="AH347" s="28" t="str">
        <f aca="false">IF(AND($B347&lt;&gt;"",$N347="Ha",$H347&lt;&gt;"",$H347&lt;=Boshqaruv!$C$12,OR($AE347="",$AE347&gt;Boshqaruv!$C$12)),MAX($AH$4:$AH346)+1,"")</f>
        <v/>
      </c>
    </row>
    <row r="348" customFormat="false" ht="15" hidden="false" customHeight="false" outlineLevel="0" collapsed="false">
      <c r="A348" s="20" t="n">
        <v>344</v>
      </c>
      <c r="B348" s="12"/>
      <c r="C348" s="13"/>
      <c r="D348" s="24"/>
      <c r="E348" s="12"/>
      <c r="F348" s="25"/>
      <c r="G348" s="27" t="str">
        <f aca="false">IF(OR($B348="",$C348=""),"",$B348&amp;" ("&amp;DAY($C348)&amp;"."&amp;MONTH($C348)&amp;"."&amp;YEAR($C348)&amp;")")</f>
        <v/>
      </c>
      <c r="H348" s="13"/>
      <c r="I348" s="13"/>
      <c r="J348" s="15" t="str">
        <f aca="false">IF($I348="","",$I348+280)</f>
        <v/>
      </c>
      <c r="K348" s="14" t="str">
        <f aca="false">IF(OR($I348="",$AE348&lt;&gt;""),"",INT((Boshqaruv!$C$12-$I348)/7))</f>
        <v/>
      </c>
      <c r="L348" s="14" t="str">
        <f aca="false">IF(OR($C348="",$H348=""),"",INT(($H348-$C348)/365.25))</f>
        <v/>
      </c>
      <c r="M348" s="14" t="str">
        <f aca="false">IF($L348="","",IF($L348&lt;18,"Ha","Yo'q"))</f>
        <v/>
      </c>
      <c r="N348" s="25"/>
      <c r="O348" s="25"/>
      <c r="P348" s="25"/>
      <c r="Q348" s="12"/>
      <c r="R348" s="25"/>
      <c r="S348" s="12"/>
      <c r="T348" s="13"/>
      <c r="U348" s="12"/>
      <c r="V348" s="25"/>
      <c r="W348" s="25"/>
      <c r="X348" s="14" t="str">
        <f aca="false">IF(OR($V348="",$W348=""),"",IF(AND($V348&gt;=Spravochnik!$H$5,$W348&gt;=Spravochnik!$H$6),"Ha","Yo'q"))</f>
        <v/>
      </c>
      <c r="Y348" s="13"/>
      <c r="Z348" s="13"/>
      <c r="AA348" s="13"/>
      <c r="AB348" s="13"/>
      <c r="AC348" s="14" t="str">
        <f aca="false">IF(AND($B348&lt;&gt;"",$AE348="",$AB348&lt;&gt;"",$AB348&lt;Boshqaruv!$C$12),"Ha","")</f>
        <v/>
      </c>
      <c r="AD348" s="25"/>
      <c r="AE348" s="13"/>
      <c r="AF348" s="12"/>
      <c r="AG348" s="14" t="str">
        <f aca="false">IF(OR($B348="",$C348="",$H348=""),"",IF(COUNTIFS($B$5:$B$804,$B348,$C$5:$C$804,$C348,$H$5:$H$804,$H348)&gt;1,"Takror",""))</f>
        <v/>
      </c>
      <c r="AH348" s="28" t="str">
        <f aca="false">IF(AND($B348&lt;&gt;"",$N348="Ha",$H348&lt;&gt;"",$H348&lt;=Boshqaruv!$C$12,OR($AE348="",$AE348&gt;Boshqaruv!$C$12)),MAX($AH$4:$AH347)+1,"")</f>
        <v/>
      </c>
    </row>
    <row r="349" customFormat="false" ht="15" hidden="false" customHeight="false" outlineLevel="0" collapsed="false">
      <c r="A349" s="20" t="n">
        <v>345</v>
      </c>
      <c r="B349" s="12"/>
      <c r="C349" s="13"/>
      <c r="D349" s="24"/>
      <c r="E349" s="12"/>
      <c r="F349" s="25"/>
      <c r="G349" s="27" t="str">
        <f aca="false">IF(OR($B349="",$C349=""),"",$B349&amp;" ("&amp;DAY($C349)&amp;"."&amp;MONTH($C349)&amp;"."&amp;YEAR($C349)&amp;")")</f>
        <v/>
      </c>
      <c r="H349" s="13"/>
      <c r="I349" s="13"/>
      <c r="J349" s="15" t="str">
        <f aca="false">IF($I349="","",$I349+280)</f>
        <v/>
      </c>
      <c r="K349" s="14" t="str">
        <f aca="false">IF(OR($I349="",$AE349&lt;&gt;""),"",INT((Boshqaruv!$C$12-$I349)/7))</f>
        <v/>
      </c>
      <c r="L349" s="14" t="str">
        <f aca="false">IF(OR($C349="",$H349=""),"",INT(($H349-$C349)/365.25))</f>
        <v/>
      </c>
      <c r="M349" s="14" t="str">
        <f aca="false">IF($L349="","",IF($L349&lt;18,"Ha","Yo'q"))</f>
        <v/>
      </c>
      <c r="N349" s="25"/>
      <c r="O349" s="25"/>
      <c r="P349" s="25"/>
      <c r="Q349" s="12"/>
      <c r="R349" s="25"/>
      <c r="S349" s="12"/>
      <c r="T349" s="13"/>
      <c r="U349" s="12"/>
      <c r="V349" s="25"/>
      <c r="W349" s="25"/>
      <c r="X349" s="14" t="str">
        <f aca="false">IF(OR($V349="",$W349=""),"",IF(AND($V349&gt;=Spravochnik!$H$5,$W349&gt;=Spravochnik!$H$6),"Ha","Yo'q"))</f>
        <v/>
      </c>
      <c r="Y349" s="13"/>
      <c r="Z349" s="13"/>
      <c r="AA349" s="13"/>
      <c r="AB349" s="13"/>
      <c r="AC349" s="14" t="str">
        <f aca="false">IF(AND($B349&lt;&gt;"",$AE349="",$AB349&lt;&gt;"",$AB349&lt;Boshqaruv!$C$12),"Ha","")</f>
        <v/>
      </c>
      <c r="AD349" s="25"/>
      <c r="AE349" s="13"/>
      <c r="AF349" s="12"/>
      <c r="AG349" s="14" t="str">
        <f aca="false">IF(OR($B349="",$C349="",$H349=""),"",IF(COUNTIFS($B$5:$B$804,$B349,$C$5:$C$804,$C349,$H$5:$H$804,$H349)&gt;1,"Takror",""))</f>
        <v/>
      </c>
      <c r="AH349" s="28" t="str">
        <f aca="false">IF(AND($B349&lt;&gt;"",$N349="Ha",$H349&lt;&gt;"",$H349&lt;=Boshqaruv!$C$12,OR($AE349="",$AE349&gt;Boshqaruv!$C$12)),MAX($AH$4:$AH348)+1,"")</f>
        <v/>
      </c>
    </row>
    <row r="350" customFormat="false" ht="15" hidden="false" customHeight="false" outlineLevel="0" collapsed="false">
      <c r="A350" s="20" t="n">
        <v>346</v>
      </c>
      <c r="B350" s="12"/>
      <c r="C350" s="13"/>
      <c r="D350" s="24"/>
      <c r="E350" s="12"/>
      <c r="F350" s="25"/>
      <c r="G350" s="27" t="str">
        <f aca="false">IF(OR($B350="",$C350=""),"",$B350&amp;" ("&amp;DAY($C350)&amp;"."&amp;MONTH($C350)&amp;"."&amp;YEAR($C350)&amp;")")</f>
        <v/>
      </c>
      <c r="H350" s="13"/>
      <c r="I350" s="13"/>
      <c r="J350" s="15" t="str">
        <f aca="false">IF($I350="","",$I350+280)</f>
        <v/>
      </c>
      <c r="K350" s="14" t="str">
        <f aca="false">IF(OR($I350="",$AE350&lt;&gt;""),"",INT((Boshqaruv!$C$12-$I350)/7))</f>
        <v/>
      </c>
      <c r="L350" s="14" t="str">
        <f aca="false">IF(OR($C350="",$H350=""),"",INT(($H350-$C350)/365.25))</f>
        <v/>
      </c>
      <c r="M350" s="14" t="str">
        <f aca="false">IF($L350="","",IF($L350&lt;18,"Ha","Yo'q"))</f>
        <v/>
      </c>
      <c r="N350" s="25"/>
      <c r="O350" s="25"/>
      <c r="P350" s="25"/>
      <c r="Q350" s="12"/>
      <c r="R350" s="25"/>
      <c r="S350" s="12"/>
      <c r="T350" s="13"/>
      <c r="U350" s="12"/>
      <c r="V350" s="25"/>
      <c r="W350" s="25"/>
      <c r="X350" s="14" t="str">
        <f aca="false">IF(OR($V350="",$W350=""),"",IF(AND($V350&gt;=Spravochnik!$H$5,$W350&gt;=Spravochnik!$H$6),"Ha","Yo'q"))</f>
        <v/>
      </c>
      <c r="Y350" s="13"/>
      <c r="Z350" s="13"/>
      <c r="AA350" s="13"/>
      <c r="AB350" s="13"/>
      <c r="AC350" s="14" t="str">
        <f aca="false">IF(AND($B350&lt;&gt;"",$AE350="",$AB350&lt;&gt;"",$AB350&lt;Boshqaruv!$C$12),"Ha","")</f>
        <v/>
      </c>
      <c r="AD350" s="25"/>
      <c r="AE350" s="13"/>
      <c r="AF350" s="12"/>
      <c r="AG350" s="14" t="str">
        <f aca="false">IF(OR($B350="",$C350="",$H350=""),"",IF(COUNTIFS($B$5:$B$804,$B350,$C$5:$C$804,$C350,$H$5:$H$804,$H350)&gt;1,"Takror",""))</f>
        <v/>
      </c>
      <c r="AH350" s="28" t="str">
        <f aca="false">IF(AND($B350&lt;&gt;"",$N350="Ha",$H350&lt;&gt;"",$H350&lt;=Boshqaruv!$C$12,OR($AE350="",$AE350&gt;Boshqaruv!$C$12)),MAX($AH$4:$AH349)+1,"")</f>
        <v/>
      </c>
    </row>
    <row r="351" customFormat="false" ht="15" hidden="false" customHeight="false" outlineLevel="0" collapsed="false">
      <c r="A351" s="20" t="n">
        <v>347</v>
      </c>
      <c r="B351" s="12"/>
      <c r="C351" s="13"/>
      <c r="D351" s="24"/>
      <c r="E351" s="12"/>
      <c r="F351" s="25"/>
      <c r="G351" s="27" t="str">
        <f aca="false">IF(OR($B351="",$C351=""),"",$B351&amp;" ("&amp;DAY($C351)&amp;"."&amp;MONTH($C351)&amp;"."&amp;YEAR($C351)&amp;")")</f>
        <v/>
      </c>
      <c r="H351" s="13"/>
      <c r="I351" s="13"/>
      <c r="J351" s="15" t="str">
        <f aca="false">IF($I351="","",$I351+280)</f>
        <v/>
      </c>
      <c r="K351" s="14" t="str">
        <f aca="false">IF(OR($I351="",$AE351&lt;&gt;""),"",INT((Boshqaruv!$C$12-$I351)/7))</f>
        <v/>
      </c>
      <c r="L351" s="14" t="str">
        <f aca="false">IF(OR($C351="",$H351=""),"",INT(($H351-$C351)/365.25))</f>
        <v/>
      </c>
      <c r="M351" s="14" t="str">
        <f aca="false">IF($L351="","",IF($L351&lt;18,"Ha","Yo'q"))</f>
        <v/>
      </c>
      <c r="N351" s="25"/>
      <c r="O351" s="25"/>
      <c r="P351" s="25"/>
      <c r="Q351" s="12"/>
      <c r="R351" s="25"/>
      <c r="S351" s="12"/>
      <c r="T351" s="13"/>
      <c r="U351" s="12"/>
      <c r="V351" s="25"/>
      <c r="W351" s="25"/>
      <c r="X351" s="14" t="str">
        <f aca="false">IF(OR($V351="",$W351=""),"",IF(AND($V351&gt;=Spravochnik!$H$5,$W351&gt;=Spravochnik!$H$6),"Ha","Yo'q"))</f>
        <v/>
      </c>
      <c r="Y351" s="13"/>
      <c r="Z351" s="13"/>
      <c r="AA351" s="13"/>
      <c r="AB351" s="13"/>
      <c r="AC351" s="14" t="str">
        <f aca="false">IF(AND($B351&lt;&gt;"",$AE351="",$AB351&lt;&gt;"",$AB351&lt;Boshqaruv!$C$12),"Ha","")</f>
        <v/>
      </c>
      <c r="AD351" s="25"/>
      <c r="AE351" s="13"/>
      <c r="AF351" s="12"/>
      <c r="AG351" s="14" t="str">
        <f aca="false">IF(OR($B351="",$C351="",$H351=""),"",IF(COUNTIFS($B$5:$B$804,$B351,$C$5:$C$804,$C351,$H$5:$H$804,$H351)&gt;1,"Takror",""))</f>
        <v/>
      </c>
      <c r="AH351" s="28" t="str">
        <f aca="false">IF(AND($B351&lt;&gt;"",$N351="Ha",$H351&lt;&gt;"",$H351&lt;=Boshqaruv!$C$12,OR($AE351="",$AE351&gt;Boshqaruv!$C$12)),MAX($AH$4:$AH350)+1,"")</f>
        <v/>
      </c>
    </row>
    <row r="352" customFormat="false" ht="15" hidden="false" customHeight="false" outlineLevel="0" collapsed="false">
      <c r="A352" s="20" t="n">
        <v>348</v>
      </c>
      <c r="B352" s="12"/>
      <c r="C352" s="13"/>
      <c r="D352" s="24"/>
      <c r="E352" s="12"/>
      <c r="F352" s="25"/>
      <c r="G352" s="27" t="str">
        <f aca="false">IF(OR($B352="",$C352=""),"",$B352&amp;" ("&amp;DAY($C352)&amp;"."&amp;MONTH($C352)&amp;"."&amp;YEAR($C352)&amp;")")</f>
        <v/>
      </c>
      <c r="H352" s="13"/>
      <c r="I352" s="13"/>
      <c r="J352" s="15" t="str">
        <f aca="false">IF($I352="","",$I352+280)</f>
        <v/>
      </c>
      <c r="K352" s="14" t="str">
        <f aca="false">IF(OR($I352="",$AE352&lt;&gt;""),"",INT((Boshqaruv!$C$12-$I352)/7))</f>
        <v/>
      </c>
      <c r="L352" s="14" t="str">
        <f aca="false">IF(OR($C352="",$H352=""),"",INT(($H352-$C352)/365.25))</f>
        <v/>
      </c>
      <c r="M352" s="14" t="str">
        <f aca="false">IF($L352="","",IF($L352&lt;18,"Ha","Yo'q"))</f>
        <v/>
      </c>
      <c r="N352" s="25"/>
      <c r="O352" s="25"/>
      <c r="P352" s="25"/>
      <c r="Q352" s="12"/>
      <c r="R352" s="25"/>
      <c r="S352" s="12"/>
      <c r="T352" s="13"/>
      <c r="U352" s="12"/>
      <c r="V352" s="25"/>
      <c r="W352" s="25"/>
      <c r="X352" s="14" t="str">
        <f aca="false">IF(OR($V352="",$W352=""),"",IF(AND($V352&gt;=Spravochnik!$H$5,$W352&gt;=Spravochnik!$H$6),"Ha","Yo'q"))</f>
        <v/>
      </c>
      <c r="Y352" s="13"/>
      <c r="Z352" s="13"/>
      <c r="AA352" s="13"/>
      <c r="AB352" s="13"/>
      <c r="AC352" s="14" t="str">
        <f aca="false">IF(AND($B352&lt;&gt;"",$AE352="",$AB352&lt;&gt;"",$AB352&lt;Boshqaruv!$C$12),"Ha","")</f>
        <v/>
      </c>
      <c r="AD352" s="25"/>
      <c r="AE352" s="13"/>
      <c r="AF352" s="12"/>
      <c r="AG352" s="14" t="str">
        <f aca="false">IF(OR($B352="",$C352="",$H352=""),"",IF(COUNTIFS($B$5:$B$804,$B352,$C$5:$C$804,$C352,$H$5:$H$804,$H352)&gt;1,"Takror",""))</f>
        <v/>
      </c>
      <c r="AH352" s="28" t="str">
        <f aca="false">IF(AND($B352&lt;&gt;"",$N352="Ha",$H352&lt;&gt;"",$H352&lt;=Boshqaruv!$C$12,OR($AE352="",$AE352&gt;Boshqaruv!$C$12)),MAX($AH$4:$AH351)+1,"")</f>
        <v/>
      </c>
    </row>
    <row r="353" customFormat="false" ht="15" hidden="false" customHeight="false" outlineLevel="0" collapsed="false">
      <c r="A353" s="20" t="n">
        <v>349</v>
      </c>
      <c r="B353" s="12"/>
      <c r="C353" s="13"/>
      <c r="D353" s="24"/>
      <c r="E353" s="12"/>
      <c r="F353" s="25"/>
      <c r="G353" s="27" t="str">
        <f aca="false">IF(OR($B353="",$C353=""),"",$B353&amp;" ("&amp;DAY($C353)&amp;"."&amp;MONTH($C353)&amp;"."&amp;YEAR($C353)&amp;")")</f>
        <v/>
      </c>
      <c r="H353" s="13"/>
      <c r="I353" s="13"/>
      <c r="J353" s="15" t="str">
        <f aca="false">IF($I353="","",$I353+280)</f>
        <v/>
      </c>
      <c r="K353" s="14" t="str">
        <f aca="false">IF(OR($I353="",$AE353&lt;&gt;""),"",INT((Boshqaruv!$C$12-$I353)/7))</f>
        <v/>
      </c>
      <c r="L353" s="14" t="str">
        <f aca="false">IF(OR($C353="",$H353=""),"",INT(($H353-$C353)/365.25))</f>
        <v/>
      </c>
      <c r="M353" s="14" t="str">
        <f aca="false">IF($L353="","",IF($L353&lt;18,"Ha","Yo'q"))</f>
        <v/>
      </c>
      <c r="N353" s="25"/>
      <c r="O353" s="25"/>
      <c r="P353" s="25"/>
      <c r="Q353" s="12"/>
      <c r="R353" s="25"/>
      <c r="S353" s="12"/>
      <c r="T353" s="13"/>
      <c r="U353" s="12"/>
      <c r="V353" s="25"/>
      <c r="W353" s="25"/>
      <c r="X353" s="14" t="str">
        <f aca="false">IF(OR($V353="",$W353=""),"",IF(AND($V353&gt;=Spravochnik!$H$5,$W353&gt;=Spravochnik!$H$6),"Ha","Yo'q"))</f>
        <v/>
      </c>
      <c r="Y353" s="13"/>
      <c r="Z353" s="13"/>
      <c r="AA353" s="13"/>
      <c r="AB353" s="13"/>
      <c r="AC353" s="14" t="str">
        <f aca="false">IF(AND($B353&lt;&gt;"",$AE353="",$AB353&lt;&gt;"",$AB353&lt;Boshqaruv!$C$12),"Ha","")</f>
        <v/>
      </c>
      <c r="AD353" s="25"/>
      <c r="AE353" s="13"/>
      <c r="AF353" s="12"/>
      <c r="AG353" s="14" t="str">
        <f aca="false">IF(OR($B353="",$C353="",$H353=""),"",IF(COUNTIFS($B$5:$B$804,$B353,$C$5:$C$804,$C353,$H$5:$H$804,$H353)&gt;1,"Takror",""))</f>
        <v/>
      </c>
      <c r="AH353" s="28" t="str">
        <f aca="false">IF(AND($B353&lt;&gt;"",$N353="Ha",$H353&lt;&gt;"",$H353&lt;=Boshqaruv!$C$12,OR($AE353="",$AE353&gt;Boshqaruv!$C$12)),MAX($AH$4:$AH352)+1,"")</f>
        <v/>
      </c>
    </row>
    <row r="354" customFormat="false" ht="15" hidden="false" customHeight="false" outlineLevel="0" collapsed="false">
      <c r="A354" s="20" t="n">
        <v>350</v>
      </c>
      <c r="B354" s="12"/>
      <c r="C354" s="13"/>
      <c r="D354" s="24"/>
      <c r="E354" s="12"/>
      <c r="F354" s="25"/>
      <c r="G354" s="27" t="str">
        <f aca="false">IF(OR($B354="",$C354=""),"",$B354&amp;" ("&amp;DAY($C354)&amp;"."&amp;MONTH($C354)&amp;"."&amp;YEAR($C354)&amp;")")</f>
        <v/>
      </c>
      <c r="H354" s="13"/>
      <c r="I354" s="13"/>
      <c r="J354" s="15" t="str">
        <f aca="false">IF($I354="","",$I354+280)</f>
        <v/>
      </c>
      <c r="K354" s="14" t="str">
        <f aca="false">IF(OR($I354="",$AE354&lt;&gt;""),"",INT((Boshqaruv!$C$12-$I354)/7))</f>
        <v/>
      </c>
      <c r="L354" s="14" t="str">
        <f aca="false">IF(OR($C354="",$H354=""),"",INT(($H354-$C354)/365.25))</f>
        <v/>
      </c>
      <c r="M354" s="14" t="str">
        <f aca="false">IF($L354="","",IF($L354&lt;18,"Ha","Yo'q"))</f>
        <v/>
      </c>
      <c r="N354" s="25"/>
      <c r="O354" s="25"/>
      <c r="P354" s="25"/>
      <c r="Q354" s="12"/>
      <c r="R354" s="25"/>
      <c r="S354" s="12"/>
      <c r="T354" s="13"/>
      <c r="U354" s="12"/>
      <c r="V354" s="25"/>
      <c r="W354" s="25"/>
      <c r="X354" s="14" t="str">
        <f aca="false">IF(OR($V354="",$W354=""),"",IF(AND($V354&gt;=Spravochnik!$H$5,$W354&gt;=Spravochnik!$H$6),"Ha","Yo'q"))</f>
        <v/>
      </c>
      <c r="Y354" s="13"/>
      <c r="Z354" s="13"/>
      <c r="AA354" s="13"/>
      <c r="AB354" s="13"/>
      <c r="AC354" s="14" t="str">
        <f aca="false">IF(AND($B354&lt;&gt;"",$AE354="",$AB354&lt;&gt;"",$AB354&lt;Boshqaruv!$C$12),"Ha","")</f>
        <v/>
      </c>
      <c r="AD354" s="25"/>
      <c r="AE354" s="13"/>
      <c r="AF354" s="12"/>
      <c r="AG354" s="14" t="str">
        <f aca="false">IF(OR($B354="",$C354="",$H354=""),"",IF(COUNTIFS($B$5:$B$804,$B354,$C$5:$C$804,$C354,$H$5:$H$804,$H354)&gt;1,"Takror",""))</f>
        <v/>
      </c>
      <c r="AH354" s="28" t="str">
        <f aca="false">IF(AND($B354&lt;&gt;"",$N354="Ha",$H354&lt;&gt;"",$H354&lt;=Boshqaruv!$C$12,OR($AE354="",$AE354&gt;Boshqaruv!$C$12)),MAX($AH$4:$AH353)+1,"")</f>
        <v/>
      </c>
    </row>
    <row r="355" customFormat="false" ht="15" hidden="false" customHeight="false" outlineLevel="0" collapsed="false">
      <c r="A355" s="20" t="n">
        <v>351</v>
      </c>
      <c r="B355" s="12"/>
      <c r="C355" s="13"/>
      <c r="D355" s="24"/>
      <c r="E355" s="12"/>
      <c r="F355" s="25"/>
      <c r="G355" s="27" t="str">
        <f aca="false">IF(OR($B355="",$C355=""),"",$B355&amp;" ("&amp;DAY($C355)&amp;"."&amp;MONTH($C355)&amp;"."&amp;YEAR($C355)&amp;")")</f>
        <v/>
      </c>
      <c r="H355" s="13"/>
      <c r="I355" s="13"/>
      <c r="J355" s="15" t="str">
        <f aca="false">IF($I355="","",$I355+280)</f>
        <v/>
      </c>
      <c r="K355" s="14" t="str">
        <f aca="false">IF(OR($I355="",$AE355&lt;&gt;""),"",INT((Boshqaruv!$C$12-$I355)/7))</f>
        <v/>
      </c>
      <c r="L355" s="14" t="str">
        <f aca="false">IF(OR($C355="",$H355=""),"",INT(($H355-$C355)/365.25))</f>
        <v/>
      </c>
      <c r="M355" s="14" t="str">
        <f aca="false">IF($L355="","",IF($L355&lt;18,"Ha","Yo'q"))</f>
        <v/>
      </c>
      <c r="N355" s="25"/>
      <c r="O355" s="25"/>
      <c r="P355" s="25"/>
      <c r="Q355" s="12"/>
      <c r="R355" s="25"/>
      <c r="S355" s="12"/>
      <c r="T355" s="13"/>
      <c r="U355" s="12"/>
      <c r="V355" s="25"/>
      <c r="W355" s="25"/>
      <c r="X355" s="14" t="str">
        <f aca="false">IF(OR($V355="",$W355=""),"",IF(AND($V355&gt;=Spravochnik!$H$5,$W355&gt;=Spravochnik!$H$6),"Ha","Yo'q"))</f>
        <v/>
      </c>
      <c r="Y355" s="13"/>
      <c r="Z355" s="13"/>
      <c r="AA355" s="13"/>
      <c r="AB355" s="13"/>
      <c r="AC355" s="14" t="str">
        <f aca="false">IF(AND($B355&lt;&gt;"",$AE355="",$AB355&lt;&gt;"",$AB355&lt;Boshqaruv!$C$12),"Ha","")</f>
        <v/>
      </c>
      <c r="AD355" s="25"/>
      <c r="AE355" s="13"/>
      <c r="AF355" s="12"/>
      <c r="AG355" s="14" t="str">
        <f aca="false">IF(OR($B355="",$C355="",$H355=""),"",IF(COUNTIFS($B$5:$B$804,$B355,$C$5:$C$804,$C355,$H$5:$H$804,$H355)&gt;1,"Takror",""))</f>
        <v/>
      </c>
      <c r="AH355" s="28" t="str">
        <f aca="false">IF(AND($B355&lt;&gt;"",$N355="Ha",$H355&lt;&gt;"",$H355&lt;=Boshqaruv!$C$12,OR($AE355="",$AE355&gt;Boshqaruv!$C$12)),MAX($AH$4:$AH354)+1,"")</f>
        <v/>
      </c>
    </row>
    <row r="356" customFormat="false" ht="15" hidden="false" customHeight="false" outlineLevel="0" collapsed="false">
      <c r="A356" s="20" t="n">
        <v>352</v>
      </c>
      <c r="B356" s="12"/>
      <c r="C356" s="13"/>
      <c r="D356" s="24"/>
      <c r="E356" s="12"/>
      <c r="F356" s="25"/>
      <c r="G356" s="27" t="str">
        <f aca="false">IF(OR($B356="",$C356=""),"",$B356&amp;" ("&amp;DAY($C356)&amp;"."&amp;MONTH($C356)&amp;"."&amp;YEAR($C356)&amp;")")</f>
        <v/>
      </c>
      <c r="H356" s="13"/>
      <c r="I356" s="13"/>
      <c r="J356" s="15" t="str">
        <f aca="false">IF($I356="","",$I356+280)</f>
        <v/>
      </c>
      <c r="K356" s="14" t="str">
        <f aca="false">IF(OR($I356="",$AE356&lt;&gt;""),"",INT((Boshqaruv!$C$12-$I356)/7))</f>
        <v/>
      </c>
      <c r="L356" s="14" t="str">
        <f aca="false">IF(OR($C356="",$H356=""),"",INT(($H356-$C356)/365.25))</f>
        <v/>
      </c>
      <c r="M356" s="14" t="str">
        <f aca="false">IF($L356="","",IF($L356&lt;18,"Ha","Yo'q"))</f>
        <v/>
      </c>
      <c r="N356" s="25"/>
      <c r="O356" s="25"/>
      <c r="P356" s="25"/>
      <c r="Q356" s="12"/>
      <c r="R356" s="25"/>
      <c r="S356" s="12"/>
      <c r="T356" s="13"/>
      <c r="U356" s="12"/>
      <c r="V356" s="25"/>
      <c r="W356" s="25"/>
      <c r="X356" s="14" t="str">
        <f aca="false">IF(OR($V356="",$W356=""),"",IF(AND($V356&gt;=Spravochnik!$H$5,$W356&gt;=Spravochnik!$H$6),"Ha","Yo'q"))</f>
        <v/>
      </c>
      <c r="Y356" s="13"/>
      <c r="Z356" s="13"/>
      <c r="AA356" s="13"/>
      <c r="AB356" s="13"/>
      <c r="AC356" s="14" t="str">
        <f aca="false">IF(AND($B356&lt;&gt;"",$AE356="",$AB356&lt;&gt;"",$AB356&lt;Boshqaruv!$C$12),"Ha","")</f>
        <v/>
      </c>
      <c r="AD356" s="25"/>
      <c r="AE356" s="13"/>
      <c r="AF356" s="12"/>
      <c r="AG356" s="14" t="str">
        <f aca="false">IF(OR($B356="",$C356="",$H356=""),"",IF(COUNTIFS($B$5:$B$804,$B356,$C$5:$C$804,$C356,$H$5:$H$804,$H356)&gt;1,"Takror",""))</f>
        <v/>
      </c>
      <c r="AH356" s="28" t="str">
        <f aca="false">IF(AND($B356&lt;&gt;"",$N356="Ha",$H356&lt;&gt;"",$H356&lt;=Boshqaruv!$C$12,OR($AE356="",$AE356&gt;Boshqaruv!$C$12)),MAX($AH$4:$AH355)+1,"")</f>
        <v/>
      </c>
    </row>
    <row r="357" customFormat="false" ht="15" hidden="false" customHeight="false" outlineLevel="0" collapsed="false">
      <c r="A357" s="20" t="n">
        <v>353</v>
      </c>
      <c r="B357" s="12"/>
      <c r="C357" s="13"/>
      <c r="D357" s="24"/>
      <c r="E357" s="12"/>
      <c r="F357" s="25"/>
      <c r="G357" s="27" t="str">
        <f aca="false">IF(OR($B357="",$C357=""),"",$B357&amp;" ("&amp;DAY($C357)&amp;"."&amp;MONTH($C357)&amp;"."&amp;YEAR($C357)&amp;")")</f>
        <v/>
      </c>
      <c r="H357" s="13"/>
      <c r="I357" s="13"/>
      <c r="J357" s="15" t="str">
        <f aca="false">IF($I357="","",$I357+280)</f>
        <v/>
      </c>
      <c r="K357" s="14" t="str">
        <f aca="false">IF(OR($I357="",$AE357&lt;&gt;""),"",INT((Boshqaruv!$C$12-$I357)/7))</f>
        <v/>
      </c>
      <c r="L357" s="14" t="str">
        <f aca="false">IF(OR($C357="",$H357=""),"",INT(($H357-$C357)/365.25))</f>
        <v/>
      </c>
      <c r="M357" s="14" t="str">
        <f aca="false">IF($L357="","",IF($L357&lt;18,"Ha","Yo'q"))</f>
        <v/>
      </c>
      <c r="N357" s="25"/>
      <c r="O357" s="25"/>
      <c r="P357" s="25"/>
      <c r="Q357" s="12"/>
      <c r="R357" s="25"/>
      <c r="S357" s="12"/>
      <c r="T357" s="13"/>
      <c r="U357" s="12"/>
      <c r="V357" s="25"/>
      <c r="W357" s="25"/>
      <c r="X357" s="14" t="str">
        <f aca="false">IF(OR($V357="",$W357=""),"",IF(AND($V357&gt;=Spravochnik!$H$5,$W357&gt;=Spravochnik!$H$6),"Ha","Yo'q"))</f>
        <v/>
      </c>
      <c r="Y357" s="13"/>
      <c r="Z357" s="13"/>
      <c r="AA357" s="13"/>
      <c r="AB357" s="13"/>
      <c r="AC357" s="14" t="str">
        <f aca="false">IF(AND($B357&lt;&gt;"",$AE357="",$AB357&lt;&gt;"",$AB357&lt;Boshqaruv!$C$12),"Ha","")</f>
        <v/>
      </c>
      <c r="AD357" s="25"/>
      <c r="AE357" s="13"/>
      <c r="AF357" s="12"/>
      <c r="AG357" s="14" t="str">
        <f aca="false">IF(OR($B357="",$C357="",$H357=""),"",IF(COUNTIFS($B$5:$B$804,$B357,$C$5:$C$804,$C357,$H$5:$H$804,$H357)&gt;1,"Takror",""))</f>
        <v/>
      </c>
      <c r="AH357" s="28" t="str">
        <f aca="false">IF(AND($B357&lt;&gt;"",$N357="Ha",$H357&lt;&gt;"",$H357&lt;=Boshqaruv!$C$12,OR($AE357="",$AE357&gt;Boshqaruv!$C$12)),MAX($AH$4:$AH356)+1,"")</f>
        <v/>
      </c>
    </row>
    <row r="358" customFormat="false" ht="15" hidden="false" customHeight="false" outlineLevel="0" collapsed="false">
      <c r="A358" s="20" t="n">
        <v>354</v>
      </c>
      <c r="B358" s="12"/>
      <c r="C358" s="13"/>
      <c r="D358" s="24"/>
      <c r="E358" s="12"/>
      <c r="F358" s="25"/>
      <c r="G358" s="27" t="str">
        <f aca="false">IF(OR($B358="",$C358=""),"",$B358&amp;" ("&amp;DAY($C358)&amp;"."&amp;MONTH($C358)&amp;"."&amp;YEAR($C358)&amp;")")</f>
        <v/>
      </c>
      <c r="H358" s="13"/>
      <c r="I358" s="13"/>
      <c r="J358" s="15" t="str">
        <f aca="false">IF($I358="","",$I358+280)</f>
        <v/>
      </c>
      <c r="K358" s="14" t="str">
        <f aca="false">IF(OR($I358="",$AE358&lt;&gt;""),"",INT((Boshqaruv!$C$12-$I358)/7))</f>
        <v/>
      </c>
      <c r="L358" s="14" t="str">
        <f aca="false">IF(OR($C358="",$H358=""),"",INT(($H358-$C358)/365.25))</f>
        <v/>
      </c>
      <c r="M358" s="14" t="str">
        <f aca="false">IF($L358="","",IF($L358&lt;18,"Ha","Yo'q"))</f>
        <v/>
      </c>
      <c r="N358" s="25"/>
      <c r="O358" s="25"/>
      <c r="P358" s="25"/>
      <c r="Q358" s="12"/>
      <c r="R358" s="25"/>
      <c r="S358" s="12"/>
      <c r="T358" s="13"/>
      <c r="U358" s="12"/>
      <c r="V358" s="25"/>
      <c r="W358" s="25"/>
      <c r="X358" s="14" t="str">
        <f aca="false">IF(OR($V358="",$W358=""),"",IF(AND($V358&gt;=Spravochnik!$H$5,$W358&gt;=Spravochnik!$H$6),"Ha","Yo'q"))</f>
        <v/>
      </c>
      <c r="Y358" s="13"/>
      <c r="Z358" s="13"/>
      <c r="AA358" s="13"/>
      <c r="AB358" s="13"/>
      <c r="AC358" s="14" t="str">
        <f aca="false">IF(AND($B358&lt;&gt;"",$AE358="",$AB358&lt;&gt;"",$AB358&lt;Boshqaruv!$C$12),"Ha","")</f>
        <v/>
      </c>
      <c r="AD358" s="25"/>
      <c r="AE358" s="13"/>
      <c r="AF358" s="12"/>
      <c r="AG358" s="14" t="str">
        <f aca="false">IF(OR($B358="",$C358="",$H358=""),"",IF(COUNTIFS($B$5:$B$804,$B358,$C$5:$C$804,$C358,$H$5:$H$804,$H358)&gt;1,"Takror",""))</f>
        <v/>
      </c>
      <c r="AH358" s="28" t="str">
        <f aca="false">IF(AND($B358&lt;&gt;"",$N358="Ha",$H358&lt;&gt;"",$H358&lt;=Boshqaruv!$C$12,OR($AE358="",$AE358&gt;Boshqaruv!$C$12)),MAX($AH$4:$AH357)+1,"")</f>
        <v/>
      </c>
    </row>
    <row r="359" customFormat="false" ht="15" hidden="false" customHeight="false" outlineLevel="0" collapsed="false">
      <c r="A359" s="20" t="n">
        <v>355</v>
      </c>
      <c r="B359" s="12"/>
      <c r="C359" s="13"/>
      <c r="D359" s="24"/>
      <c r="E359" s="12"/>
      <c r="F359" s="25"/>
      <c r="G359" s="27" t="str">
        <f aca="false">IF(OR($B359="",$C359=""),"",$B359&amp;" ("&amp;DAY($C359)&amp;"."&amp;MONTH($C359)&amp;"."&amp;YEAR($C359)&amp;")")</f>
        <v/>
      </c>
      <c r="H359" s="13"/>
      <c r="I359" s="13"/>
      <c r="J359" s="15" t="str">
        <f aca="false">IF($I359="","",$I359+280)</f>
        <v/>
      </c>
      <c r="K359" s="14" t="str">
        <f aca="false">IF(OR($I359="",$AE359&lt;&gt;""),"",INT((Boshqaruv!$C$12-$I359)/7))</f>
        <v/>
      </c>
      <c r="L359" s="14" t="str">
        <f aca="false">IF(OR($C359="",$H359=""),"",INT(($H359-$C359)/365.25))</f>
        <v/>
      </c>
      <c r="M359" s="14" t="str">
        <f aca="false">IF($L359="","",IF($L359&lt;18,"Ha","Yo'q"))</f>
        <v/>
      </c>
      <c r="N359" s="25"/>
      <c r="O359" s="25"/>
      <c r="P359" s="25"/>
      <c r="Q359" s="12"/>
      <c r="R359" s="25"/>
      <c r="S359" s="12"/>
      <c r="T359" s="13"/>
      <c r="U359" s="12"/>
      <c r="V359" s="25"/>
      <c r="W359" s="25"/>
      <c r="X359" s="14" t="str">
        <f aca="false">IF(OR($V359="",$W359=""),"",IF(AND($V359&gt;=Spravochnik!$H$5,$W359&gt;=Spravochnik!$H$6),"Ha","Yo'q"))</f>
        <v/>
      </c>
      <c r="Y359" s="13"/>
      <c r="Z359" s="13"/>
      <c r="AA359" s="13"/>
      <c r="AB359" s="13"/>
      <c r="AC359" s="14" t="str">
        <f aca="false">IF(AND($B359&lt;&gt;"",$AE359="",$AB359&lt;&gt;"",$AB359&lt;Boshqaruv!$C$12),"Ha","")</f>
        <v/>
      </c>
      <c r="AD359" s="25"/>
      <c r="AE359" s="13"/>
      <c r="AF359" s="12"/>
      <c r="AG359" s="14" t="str">
        <f aca="false">IF(OR($B359="",$C359="",$H359=""),"",IF(COUNTIFS($B$5:$B$804,$B359,$C$5:$C$804,$C359,$H$5:$H$804,$H359)&gt;1,"Takror",""))</f>
        <v/>
      </c>
      <c r="AH359" s="28" t="str">
        <f aca="false">IF(AND($B359&lt;&gt;"",$N359="Ha",$H359&lt;&gt;"",$H359&lt;=Boshqaruv!$C$12,OR($AE359="",$AE359&gt;Boshqaruv!$C$12)),MAX($AH$4:$AH358)+1,"")</f>
        <v/>
      </c>
    </row>
    <row r="360" customFormat="false" ht="15" hidden="false" customHeight="false" outlineLevel="0" collapsed="false">
      <c r="A360" s="20" t="n">
        <v>356</v>
      </c>
      <c r="B360" s="12"/>
      <c r="C360" s="13"/>
      <c r="D360" s="24"/>
      <c r="E360" s="12"/>
      <c r="F360" s="25"/>
      <c r="G360" s="27" t="str">
        <f aca="false">IF(OR($B360="",$C360=""),"",$B360&amp;" ("&amp;DAY($C360)&amp;"."&amp;MONTH($C360)&amp;"."&amp;YEAR($C360)&amp;")")</f>
        <v/>
      </c>
      <c r="H360" s="13"/>
      <c r="I360" s="13"/>
      <c r="J360" s="15" t="str">
        <f aca="false">IF($I360="","",$I360+280)</f>
        <v/>
      </c>
      <c r="K360" s="14" t="str">
        <f aca="false">IF(OR($I360="",$AE360&lt;&gt;""),"",INT((Boshqaruv!$C$12-$I360)/7))</f>
        <v/>
      </c>
      <c r="L360" s="14" t="str">
        <f aca="false">IF(OR($C360="",$H360=""),"",INT(($H360-$C360)/365.25))</f>
        <v/>
      </c>
      <c r="M360" s="14" t="str">
        <f aca="false">IF($L360="","",IF($L360&lt;18,"Ha","Yo'q"))</f>
        <v/>
      </c>
      <c r="N360" s="25"/>
      <c r="O360" s="25"/>
      <c r="P360" s="25"/>
      <c r="Q360" s="12"/>
      <c r="R360" s="25"/>
      <c r="S360" s="12"/>
      <c r="T360" s="13"/>
      <c r="U360" s="12"/>
      <c r="V360" s="25"/>
      <c r="W360" s="25"/>
      <c r="X360" s="14" t="str">
        <f aca="false">IF(OR($V360="",$W360=""),"",IF(AND($V360&gt;=Spravochnik!$H$5,$W360&gt;=Spravochnik!$H$6),"Ha","Yo'q"))</f>
        <v/>
      </c>
      <c r="Y360" s="13"/>
      <c r="Z360" s="13"/>
      <c r="AA360" s="13"/>
      <c r="AB360" s="13"/>
      <c r="AC360" s="14" t="str">
        <f aca="false">IF(AND($B360&lt;&gt;"",$AE360="",$AB360&lt;&gt;"",$AB360&lt;Boshqaruv!$C$12),"Ha","")</f>
        <v/>
      </c>
      <c r="AD360" s="25"/>
      <c r="AE360" s="13"/>
      <c r="AF360" s="12"/>
      <c r="AG360" s="14" t="str">
        <f aca="false">IF(OR($B360="",$C360="",$H360=""),"",IF(COUNTIFS($B$5:$B$804,$B360,$C$5:$C$804,$C360,$H$5:$H$804,$H360)&gt;1,"Takror",""))</f>
        <v/>
      </c>
      <c r="AH360" s="28" t="str">
        <f aca="false">IF(AND($B360&lt;&gt;"",$N360="Ha",$H360&lt;&gt;"",$H360&lt;=Boshqaruv!$C$12,OR($AE360="",$AE360&gt;Boshqaruv!$C$12)),MAX($AH$4:$AH359)+1,"")</f>
        <v/>
      </c>
    </row>
    <row r="361" customFormat="false" ht="15" hidden="false" customHeight="false" outlineLevel="0" collapsed="false">
      <c r="A361" s="20" t="n">
        <v>357</v>
      </c>
      <c r="B361" s="12"/>
      <c r="C361" s="13"/>
      <c r="D361" s="24"/>
      <c r="E361" s="12"/>
      <c r="F361" s="25"/>
      <c r="G361" s="27" t="str">
        <f aca="false">IF(OR($B361="",$C361=""),"",$B361&amp;" ("&amp;DAY($C361)&amp;"."&amp;MONTH($C361)&amp;"."&amp;YEAR($C361)&amp;")")</f>
        <v/>
      </c>
      <c r="H361" s="13"/>
      <c r="I361" s="13"/>
      <c r="J361" s="15" t="str">
        <f aca="false">IF($I361="","",$I361+280)</f>
        <v/>
      </c>
      <c r="K361" s="14" t="str">
        <f aca="false">IF(OR($I361="",$AE361&lt;&gt;""),"",INT((Boshqaruv!$C$12-$I361)/7))</f>
        <v/>
      </c>
      <c r="L361" s="14" t="str">
        <f aca="false">IF(OR($C361="",$H361=""),"",INT(($H361-$C361)/365.25))</f>
        <v/>
      </c>
      <c r="M361" s="14" t="str">
        <f aca="false">IF($L361="","",IF($L361&lt;18,"Ha","Yo'q"))</f>
        <v/>
      </c>
      <c r="N361" s="25"/>
      <c r="O361" s="25"/>
      <c r="P361" s="25"/>
      <c r="Q361" s="12"/>
      <c r="R361" s="25"/>
      <c r="S361" s="12"/>
      <c r="T361" s="13"/>
      <c r="U361" s="12"/>
      <c r="V361" s="25"/>
      <c r="W361" s="25"/>
      <c r="X361" s="14" t="str">
        <f aca="false">IF(OR($V361="",$W361=""),"",IF(AND($V361&gt;=Spravochnik!$H$5,$W361&gt;=Spravochnik!$H$6),"Ha","Yo'q"))</f>
        <v/>
      </c>
      <c r="Y361" s="13"/>
      <c r="Z361" s="13"/>
      <c r="AA361" s="13"/>
      <c r="AB361" s="13"/>
      <c r="AC361" s="14" t="str">
        <f aca="false">IF(AND($B361&lt;&gt;"",$AE361="",$AB361&lt;&gt;"",$AB361&lt;Boshqaruv!$C$12),"Ha","")</f>
        <v/>
      </c>
      <c r="AD361" s="25"/>
      <c r="AE361" s="13"/>
      <c r="AF361" s="12"/>
      <c r="AG361" s="14" t="str">
        <f aca="false">IF(OR($B361="",$C361="",$H361=""),"",IF(COUNTIFS($B$5:$B$804,$B361,$C$5:$C$804,$C361,$H$5:$H$804,$H361)&gt;1,"Takror",""))</f>
        <v/>
      </c>
      <c r="AH361" s="28" t="str">
        <f aca="false">IF(AND($B361&lt;&gt;"",$N361="Ha",$H361&lt;&gt;"",$H361&lt;=Boshqaruv!$C$12,OR($AE361="",$AE361&gt;Boshqaruv!$C$12)),MAX($AH$4:$AH360)+1,"")</f>
        <v/>
      </c>
    </row>
    <row r="362" customFormat="false" ht="15" hidden="false" customHeight="false" outlineLevel="0" collapsed="false">
      <c r="A362" s="20" t="n">
        <v>358</v>
      </c>
      <c r="B362" s="12"/>
      <c r="C362" s="13"/>
      <c r="D362" s="24"/>
      <c r="E362" s="12"/>
      <c r="F362" s="25"/>
      <c r="G362" s="27" t="str">
        <f aca="false">IF(OR($B362="",$C362=""),"",$B362&amp;" ("&amp;DAY($C362)&amp;"."&amp;MONTH($C362)&amp;"."&amp;YEAR($C362)&amp;")")</f>
        <v/>
      </c>
      <c r="H362" s="13"/>
      <c r="I362" s="13"/>
      <c r="J362" s="15" t="str">
        <f aca="false">IF($I362="","",$I362+280)</f>
        <v/>
      </c>
      <c r="K362" s="14" t="str">
        <f aca="false">IF(OR($I362="",$AE362&lt;&gt;""),"",INT((Boshqaruv!$C$12-$I362)/7))</f>
        <v/>
      </c>
      <c r="L362" s="14" t="str">
        <f aca="false">IF(OR($C362="",$H362=""),"",INT(($H362-$C362)/365.25))</f>
        <v/>
      </c>
      <c r="M362" s="14" t="str">
        <f aca="false">IF($L362="","",IF($L362&lt;18,"Ha","Yo'q"))</f>
        <v/>
      </c>
      <c r="N362" s="25"/>
      <c r="O362" s="25"/>
      <c r="P362" s="25"/>
      <c r="Q362" s="12"/>
      <c r="R362" s="25"/>
      <c r="S362" s="12"/>
      <c r="T362" s="13"/>
      <c r="U362" s="12"/>
      <c r="V362" s="25"/>
      <c r="W362" s="25"/>
      <c r="X362" s="14" t="str">
        <f aca="false">IF(OR($V362="",$W362=""),"",IF(AND($V362&gt;=Spravochnik!$H$5,$W362&gt;=Spravochnik!$H$6),"Ha","Yo'q"))</f>
        <v/>
      </c>
      <c r="Y362" s="13"/>
      <c r="Z362" s="13"/>
      <c r="AA362" s="13"/>
      <c r="AB362" s="13"/>
      <c r="AC362" s="14" t="str">
        <f aca="false">IF(AND($B362&lt;&gt;"",$AE362="",$AB362&lt;&gt;"",$AB362&lt;Boshqaruv!$C$12),"Ha","")</f>
        <v/>
      </c>
      <c r="AD362" s="25"/>
      <c r="AE362" s="13"/>
      <c r="AF362" s="12"/>
      <c r="AG362" s="14" t="str">
        <f aca="false">IF(OR($B362="",$C362="",$H362=""),"",IF(COUNTIFS($B$5:$B$804,$B362,$C$5:$C$804,$C362,$H$5:$H$804,$H362)&gt;1,"Takror",""))</f>
        <v/>
      </c>
      <c r="AH362" s="28" t="str">
        <f aca="false">IF(AND($B362&lt;&gt;"",$N362="Ha",$H362&lt;&gt;"",$H362&lt;=Boshqaruv!$C$12,OR($AE362="",$AE362&gt;Boshqaruv!$C$12)),MAX($AH$4:$AH361)+1,"")</f>
        <v/>
      </c>
    </row>
    <row r="363" customFormat="false" ht="15" hidden="false" customHeight="false" outlineLevel="0" collapsed="false">
      <c r="A363" s="20" t="n">
        <v>359</v>
      </c>
      <c r="B363" s="12"/>
      <c r="C363" s="13"/>
      <c r="D363" s="24"/>
      <c r="E363" s="12"/>
      <c r="F363" s="25"/>
      <c r="G363" s="27" t="str">
        <f aca="false">IF(OR($B363="",$C363=""),"",$B363&amp;" ("&amp;DAY($C363)&amp;"."&amp;MONTH($C363)&amp;"."&amp;YEAR($C363)&amp;")")</f>
        <v/>
      </c>
      <c r="H363" s="13"/>
      <c r="I363" s="13"/>
      <c r="J363" s="15" t="str">
        <f aca="false">IF($I363="","",$I363+280)</f>
        <v/>
      </c>
      <c r="K363" s="14" t="str">
        <f aca="false">IF(OR($I363="",$AE363&lt;&gt;""),"",INT((Boshqaruv!$C$12-$I363)/7))</f>
        <v/>
      </c>
      <c r="L363" s="14" t="str">
        <f aca="false">IF(OR($C363="",$H363=""),"",INT(($H363-$C363)/365.25))</f>
        <v/>
      </c>
      <c r="M363" s="14" t="str">
        <f aca="false">IF($L363="","",IF($L363&lt;18,"Ha","Yo'q"))</f>
        <v/>
      </c>
      <c r="N363" s="25"/>
      <c r="O363" s="25"/>
      <c r="P363" s="25"/>
      <c r="Q363" s="12"/>
      <c r="R363" s="25"/>
      <c r="S363" s="12"/>
      <c r="T363" s="13"/>
      <c r="U363" s="12"/>
      <c r="V363" s="25"/>
      <c r="W363" s="25"/>
      <c r="X363" s="14" t="str">
        <f aca="false">IF(OR($V363="",$W363=""),"",IF(AND($V363&gt;=Spravochnik!$H$5,$W363&gt;=Spravochnik!$H$6),"Ha","Yo'q"))</f>
        <v/>
      </c>
      <c r="Y363" s="13"/>
      <c r="Z363" s="13"/>
      <c r="AA363" s="13"/>
      <c r="AB363" s="13"/>
      <c r="AC363" s="14" t="str">
        <f aca="false">IF(AND($B363&lt;&gt;"",$AE363="",$AB363&lt;&gt;"",$AB363&lt;Boshqaruv!$C$12),"Ha","")</f>
        <v/>
      </c>
      <c r="AD363" s="25"/>
      <c r="AE363" s="13"/>
      <c r="AF363" s="12"/>
      <c r="AG363" s="14" t="str">
        <f aca="false">IF(OR($B363="",$C363="",$H363=""),"",IF(COUNTIFS($B$5:$B$804,$B363,$C$5:$C$804,$C363,$H$5:$H$804,$H363)&gt;1,"Takror",""))</f>
        <v/>
      </c>
      <c r="AH363" s="28" t="str">
        <f aca="false">IF(AND($B363&lt;&gt;"",$N363="Ha",$H363&lt;&gt;"",$H363&lt;=Boshqaruv!$C$12,OR($AE363="",$AE363&gt;Boshqaruv!$C$12)),MAX($AH$4:$AH362)+1,"")</f>
        <v/>
      </c>
    </row>
    <row r="364" customFormat="false" ht="15" hidden="false" customHeight="false" outlineLevel="0" collapsed="false">
      <c r="A364" s="20" t="n">
        <v>360</v>
      </c>
      <c r="B364" s="12"/>
      <c r="C364" s="13"/>
      <c r="D364" s="24"/>
      <c r="E364" s="12"/>
      <c r="F364" s="25"/>
      <c r="G364" s="27" t="str">
        <f aca="false">IF(OR($B364="",$C364=""),"",$B364&amp;" ("&amp;DAY($C364)&amp;"."&amp;MONTH($C364)&amp;"."&amp;YEAR($C364)&amp;")")</f>
        <v/>
      </c>
      <c r="H364" s="13"/>
      <c r="I364" s="13"/>
      <c r="J364" s="15" t="str">
        <f aca="false">IF($I364="","",$I364+280)</f>
        <v/>
      </c>
      <c r="K364" s="14" t="str">
        <f aca="false">IF(OR($I364="",$AE364&lt;&gt;""),"",INT((Boshqaruv!$C$12-$I364)/7))</f>
        <v/>
      </c>
      <c r="L364" s="14" t="str">
        <f aca="false">IF(OR($C364="",$H364=""),"",INT(($H364-$C364)/365.25))</f>
        <v/>
      </c>
      <c r="M364" s="14" t="str">
        <f aca="false">IF($L364="","",IF($L364&lt;18,"Ha","Yo'q"))</f>
        <v/>
      </c>
      <c r="N364" s="25"/>
      <c r="O364" s="25"/>
      <c r="P364" s="25"/>
      <c r="Q364" s="12"/>
      <c r="R364" s="25"/>
      <c r="S364" s="12"/>
      <c r="T364" s="13"/>
      <c r="U364" s="12"/>
      <c r="V364" s="25"/>
      <c r="W364" s="25"/>
      <c r="X364" s="14" t="str">
        <f aca="false">IF(OR($V364="",$W364=""),"",IF(AND($V364&gt;=Spravochnik!$H$5,$W364&gt;=Spravochnik!$H$6),"Ha","Yo'q"))</f>
        <v/>
      </c>
      <c r="Y364" s="13"/>
      <c r="Z364" s="13"/>
      <c r="AA364" s="13"/>
      <c r="AB364" s="13"/>
      <c r="AC364" s="14" t="str">
        <f aca="false">IF(AND($B364&lt;&gt;"",$AE364="",$AB364&lt;&gt;"",$AB364&lt;Boshqaruv!$C$12),"Ha","")</f>
        <v/>
      </c>
      <c r="AD364" s="25"/>
      <c r="AE364" s="13"/>
      <c r="AF364" s="12"/>
      <c r="AG364" s="14" t="str">
        <f aca="false">IF(OR($B364="",$C364="",$H364=""),"",IF(COUNTIFS($B$5:$B$804,$B364,$C$5:$C$804,$C364,$H$5:$H$804,$H364)&gt;1,"Takror",""))</f>
        <v/>
      </c>
      <c r="AH364" s="28" t="str">
        <f aca="false">IF(AND($B364&lt;&gt;"",$N364="Ha",$H364&lt;&gt;"",$H364&lt;=Boshqaruv!$C$12,OR($AE364="",$AE364&gt;Boshqaruv!$C$12)),MAX($AH$4:$AH363)+1,"")</f>
        <v/>
      </c>
    </row>
    <row r="365" customFormat="false" ht="15" hidden="false" customHeight="false" outlineLevel="0" collapsed="false">
      <c r="A365" s="20" t="n">
        <v>361</v>
      </c>
      <c r="B365" s="12"/>
      <c r="C365" s="13"/>
      <c r="D365" s="24"/>
      <c r="E365" s="12"/>
      <c r="F365" s="25"/>
      <c r="G365" s="27" t="str">
        <f aca="false">IF(OR($B365="",$C365=""),"",$B365&amp;" ("&amp;DAY($C365)&amp;"."&amp;MONTH($C365)&amp;"."&amp;YEAR($C365)&amp;")")</f>
        <v/>
      </c>
      <c r="H365" s="13"/>
      <c r="I365" s="13"/>
      <c r="J365" s="15" t="str">
        <f aca="false">IF($I365="","",$I365+280)</f>
        <v/>
      </c>
      <c r="K365" s="14" t="str">
        <f aca="false">IF(OR($I365="",$AE365&lt;&gt;""),"",INT((Boshqaruv!$C$12-$I365)/7))</f>
        <v/>
      </c>
      <c r="L365" s="14" t="str">
        <f aca="false">IF(OR($C365="",$H365=""),"",INT(($H365-$C365)/365.25))</f>
        <v/>
      </c>
      <c r="M365" s="14" t="str">
        <f aca="false">IF($L365="","",IF($L365&lt;18,"Ha","Yo'q"))</f>
        <v/>
      </c>
      <c r="N365" s="25"/>
      <c r="O365" s="25"/>
      <c r="P365" s="25"/>
      <c r="Q365" s="12"/>
      <c r="R365" s="25"/>
      <c r="S365" s="12"/>
      <c r="T365" s="13"/>
      <c r="U365" s="12"/>
      <c r="V365" s="25"/>
      <c r="W365" s="25"/>
      <c r="X365" s="14" t="str">
        <f aca="false">IF(OR($V365="",$W365=""),"",IF(AND($V365&gt;=Spravochnik!$H$5,$W365&gt;=Spravochnik!$H$6),"Ha","Yo'q"))</f>
        <v/>
      </c>
      <c r="Y365" s="13"/>
      <c r="Z365" s="13"/>
      <c r="AA365" s="13"/>
      <c r="AB365" s="13"/>
      <c r="AC365" s="14" t="str">
        <f aca="false">IF(AND($B365&lt;&gt;"",$AE365="",$AB365&lt;&gt;"",$AB365&lt;Boshqaruv!$C$12),"Ha","")</f>
        <v/>
      </c>
      <c r="AD365" s="25"/>
      <c r="AE365" s="13"/>
      <c r="AF365" s="12"/>
      <c r="AG365" s="14" t="str">
        <f aca="false">IF(OR($B365="",$C365="",$H365=""),"",IF(COUNTIFS($B$5:$B$804,$B365,$C$5:$C$804,$C365,$H$5:$H$804,$H365)&gt;1,"Takror",""))</f>
        <v/>
      </c>
      <c r="AH365" s="28" t="str">
        <f aca="false">IF(AND($B365&lt;&gt;"",$N365="Ha",$H365&lt;&gt;"",$H365&lt;=Boshqaruv!$C$12,OR($AE365="",$AE365&gt;Boshqaruv!$C$12)),MAX($AH$4:$AH364)+1,"")</f>
        <v/>
      </c>
    </row>
    <row r="366" customFormat="false" ht="15" hidden="false" customHeight="false" outlineLevel="0" collapsed="false">
      <c r="A366" s="20" t="n">
        <v>362</v>
      </c>
      <c r="B366" s="12"/>
      <c r="C366" s="13"/>
      <c r="D366" s="24"/>
      <c r="E366" s="12"/>
      <c r="F366" s="25"/>
      <c r="G366" s="27" t="str">
        <f aca="false">IF(OR($B366="",$C366=""),"",$B366&amp;" ("&amp;DAY($C366)&amp;"."&amp;MONTH($C366)&amp;"."&amp;YEAR($C366)&amp;")")</f>
        <v/>
      </c>
      <c r="H366" s="13"/>
      <c r="I366" s="13"/>
      <c r="J366" s="15" t="str">
        <f aca="false">IF($I366="","",$I366+280)</f>
        <v/>
      </c>
      <c r="K366" s="14" t="str">
        <f aca="false">IF(OR($I366="",$AE366&lt;&gt;""),"",INT((Boshqaruv!$C$12-$I366)/7))</f>
        <v/>
      </c>
      <c r="L366" s="14" t="str">
        <f aca="false">IF(OR($C366="",$H366=""),"",INT(($H366-$C366)/365.25))</f>
        <v/>
      </c>
      <c r="M366" s="14" t="str">
        <f aca="false">IF($L366="","",IF($L366&lt;18,"Ha","Yo'q"))</f>
        <v/>
      </c>
      <c r="N366" s="25"/>
      <c r="O366" s="25"/>
      <c r="P366" s="25"/>
      <c r="Q366" s="12"/>
      <c r="R366" s="25"/>
      <c r="S366" s="12"/>
      <c r="T366" s="13"/>
      <c r="U366" s="12"/>
      <c r="V366" s="25"/>
      <c r="W366" s="25"/>
      <c r="X366" s="14" t="str">
        <f aca="false">IF(OR($V366="",$W366=""),"",IF(AND($V366&gt;=Spravochnik!$H$5,$W366&gt;=Spravochnik!$H$6),"Ha","Yo'q"))</f>
        <v/>
      </c>
      <c r="Y366" s="13"/>
      <c r="Z366" s="13"/>
      <c r="AA366" s="13"/>
      <c r="AB366" s="13"/>
      <c r="AC366" s="14" t="str">
        <f aca="false">IF(AND($B366&lt;&gt;"",$AE366="",$AB366&lt;&gt;"",$AB366&lt;Boshqaruv!$C$12),"Ha","")</f>
        <v/>
      </c>
      <c r="AD366" s="25"/>
      <c r="AE366" s="13"/>
      <c r="AF366" s="12"/>
      <c r="AG366" s="14" t="str">
        <f aca="false">IF(OR($B366="",$C366="",$H366=""),"",IF(COUNTIFS($B$5:$B$804,$B366,$C$5:$C$804,$C366,$H$5:$H$804,$H366)&gt;1,"Takror",""))</f>
        <v/>
      </c>
      <c r="AH366" s="28" t="str">
        <f aca="false">IF(AND($B366&lt;&gt;"",$N366="Ha",$H366&lt;&gt;"",$H366&lt;=Boshqaruv!$C$12,OR($AE366="",$AE366&gt;Boshqaruv!$C$12)),MAX($AH$4:$AH365)+1,"")</f>
        <v/>
      </c>
    </row>
    <row r="367" customFormat="false" ht="15" hidden="false" customHeight="false" outlineLevel="0" collapsed="false">
      <c r="A367" s="20" t="n">
        <v>363</v>
      </c>
      <c r="B367" s="12"/>
      <c r="C367" s="13"/>
      <c r="D367" s="24"/>
      <c r="E367" s="12"/>
      <c r="F367" s="25"/>
      <c r="G367" s="27" t="str">
        <f aca="false">IF(OR($B367="",$C367=""),"",$B367&amp;" ("&amp;DAY($C367)&amp;"."&amp;MONTH($C367)&amp;"."&amp;YEAR($C367)&amp;")")</f>
        <v/>
      </c>
      <c r="H367" s="13"/>
      <c r="I367" s="13"/>
      <c r="J367" s="15" t="str">
        <f aca="false">IF($I367="","",$I367+280)</f>
        <v/>
      </c>
      <c r="K367" s="14" t="str">
        <f aca="false">IF(OR($I367="",$AE367&lt;&gt;""),"",INT((Boshqaruv!$C$12-$I367)/7))</f>
        <v/>
      </c>
      <c r="L367" s="14" t="str">
        <f aca="false">IF(OR($C367="",$H367=""),"",INT(($H367-$C367)/365.25))</f>
        <v/>
      </c>
      <c r="M367" s="14" t="str">
        <f aca="false">IF($L367="","",IF($L367&lt;18,"Ha","Yo'q"))</f>
        <v/>
      </c>
      <c r="N367" s="25"/>
      <c r="O367" s="25"/>
      <c r="P367" s="25"/>
      <c r="Q367" s="12"/>
      <c r="R367" s="25"/>
      <c r="S367" s="12"/>
      <c r="T367" s="13"/>
      <c r="U367" s="12"/>
      <c r="V367" s="25"/>
      <c r="W367" s="25"/>
      <c r="X367" s="14" t="str">
        <f aca="false">IF(OR($V367="",$W367=""),"",IF(AND($V367&gt;=Spravochnik!$H$5,$W367&gt;=Spravochnik!$H$6),"Ha","Yo'q"))</f>
        <v/>
      </c>
      <c r="Y367" s="13"/>
      <c r="Z367" s="13"/>
      <c r="AA367" s="13"/>
      <c r="AB367" s="13"/>
      <c r="AC367" s="14" t="str">
        <f aca="false">IF(AND($B367&lt;&gt;"",$AE367="",$AB367&lt;&gt;"",$AB367&lt;Boshqaruv!$C$12),"Ha","")</f>
        <v/>
      </c>
      <c r="AD367" s="25"/>
      <c r="AE367" s="13"/>
      <c r="AF367" s="12"/>
      <c r="AG367" s="14" t="str">
        <f aca="false">IF(OR($B367="",$C367="",$H367=""),"",IF(COUNTIFS($B$5:$B$804,$B367,$C$5:$C$804,$C367,$H$5:$H$804,$H367)&gt;1,"Takror",""))</f>
        <v/>
      </c>
      <c r="AH367" s="28" t="str">
        <f aca="false">IF(AND($B367&lt;&gt;"",$N367="Ha",$H367&lt;&gt;"",$H367&lt;=Boshqaruv!$C$12,OR($AE367="",$AE367&gt;Boshqaruv!$C$12)),MAX($AH$4:$AH366)+1,"")</f>
        <v/>
      </c>
    </row>
    <row r="368" customFormat="false" ht="15" hidden="false" customHeight="false" outlineLevel="0" collapsed="false">
      <c r="A368" s="20" t="n">
        <v>364</v>
      </c>
      <c r="B368" s="12"/>
      <c r="C368" s="13"/>
      <c r="D368" s="24"/>
      <c r="E368" s="12"/>
      <c r="F368" s="25"/>
      <c r="G368" s="27" t="str">
        <f aca="false">IF(OR($B368="",$C368=""),"",$B368&amp;" ("&amp;DAY($C368)&amp;"."&amp;MONTH($C368)&amp;"."&amp;YEAR($C368)&amp;")")</f>
        <v/>
      </c>
      <c r="H368" s="13"/>
      <c r="I368" s="13"/>
      <c r="J368" s="15" t="str">
        <f aca="false">IF($I368="","",$I368+280)</f>
        <v/>
      </c>
      <c r="K368" s="14" t="str">
        <f aca="false">IF(OR($I368="",$AE368&lt;&gt;""),"",INT((Boshqaruv!$C$12-$I368)/7))</f>
        <v/>
      </c>
      <c r="L368" s="14" t="str">
        <f aca="false">IF(OR($C368="",$H368=""),"",INT(($H368-$C368)/365.25))</f>
        <v/>
      </c>
      <c r="M368" s="14" t="str">
        <f aca="false">IF($L368="","",IF($L368&lt;18,"Ha","Yo'q"))</f>
        <v/>
      </c>
      <c r="N368" s="25"/>
      <c r="O368" s="25"/>
      <c r="P368" s="25"/>
      <c r="Q368" s="12"/>
      <c r="R368" s="25"/>
      <c r="S368" s="12"/>
      <c r="T368" s="13"/>
      <c r="U368" s="12"/>
      <c r="V368" s="25"/>
      <c r="W368" s="25"/>
      <c r="X368" s="14" t="str">
        <f aca="false">IF(OR($V368="",$W368=""),"",IF(AND($V368&gt;=Spravochnik!$H$5,$W368&gt;=Spravochnik!$H$6),"Ha","Yo'q"))</f>
        <v/>
      </c>
      <c r="Y368" s="13"/>
      <c r="Z368" s="13"/>
      <c r="AA368" s="13"/>
      <c r="AB368" s="13"/>
      <c r="AC368" s="14" t="str">
        <f aca="false">IF(AND($B368&lt;&gt;"",$AE368="",$AB368&lt;&gt;"",$AB368&lt;Boshqaruv!$C$12),"Ha","")</f>
        <v/>
      </c>
      <c r="AD368" s="25"/>
      <c r="AE368" s="13"/>
      <c r="AF368" s="12"/>
      <c r="AG368" s="14" t="str">
        <f aca="false">IF(OR($B368="",$C368="",$H368=""),"",IF(COUNTIFS($B$5:$B$804,$B368,$C$5:$C$804,$C368,$H$5:$H$804,$H368)&gt;1,"Takror",""))</f>
        <v/>
      </c>
      <c r="AH368" s="28" t="str">
        <f aca="false">IF(AND($B368&lt;&gt;"",$N368="Ha",$H368&lt;&gt;"",$H368&lt;=Boshqaruv!$C$12,OR($AE368="",$AE368&gt;Boshqaruv!$C$12)),MAX($AH$4:$AH367)+1,"")</f>
        <v/>
      </c>
    </row>
    <row r="369" customFormat="false" ht="15" hidden="false" customHeight="false" outlineLevel="0" collapsed="false">
      <c r="A369" s="20" t="n">
        <v>365</v>
      </c>
      <c r="B369" s="12"/>
      <c r="C369" s="13"/>
      <c r="D369" s="24"/>
      <c r="E369" s="12"/>
      <c r="F369" s="25"/>
      <c r="G369" s="27" t="str">
        <f aca="false">IF(OR($B369="",$C369=""),"",$B369&amp;" ("&amp;DAY($C369)&amp;"."&amp;MONTH($C369)&amp;"."&amp;YEAR($C369)&amp;")")</f>
        <v/>
      </c>
      <c r="H369" s="13"/>
      <c r="I369" s="13"/>
      <c r="J369" s="15" t="str">
        <f aca="false">IF($I369="","",$I369+280)</f>
        <v/>
      </c>
      <c r="K369" s="14" t="str">
        <f aca="false">IF(OR($I369="",$AE369&lt;&gt;""),"",INT((Boshqaruv!$C$12-$I369)/7))</f>
        <v/>
      </c>
      <c r="L369" s="14" t="str">
        <f aca="false">IF(OR($C369="",$H369=""),"",INT(($H369-$C369)/365.25))</f>
        <v/>
      </c>
      <c r="M369" s="14" t="str">
        <f aca="false">IF($L369="","",IF($L369&lt;18,"Ha","Yo'q"))</f>
        <v/>
      </c>
      <c r="N369" s="25"/>
      <c r="O369" s="25"/>
      <c r="P369" s="25"/>
      <c r="Q369" s="12"/>
      <c r="R369" s="25"/>
      <c r="S369" s="12"/>
      <c r="T369" s="13"/>
      <c r="U369" s="12"/>
      <c r="V369" s="25"/>
      <c r="W369" s="25"/>
      <c r="X369" s="14" t="str">
        <f aca="false">IF(OR($V369="",$W369=""),"",IF(AND($V369&gt;=Spravochnik!$H$5,$W369&gt;=Spravochnik!$H$6),"Ha","Yo'q"))</f>
        <v/>
      </c>
      <c r="Y369" s="13"/>
      <c r="Z369" s="13"/>
      <c r="AA369" s="13"/>
      <c r="AB369" s="13"/>
      <c r="AC369" s="14" t="str">
        <f aca="false">IF(AND($B369&lt;&gt;"",$AE369="",$AB369&lt;&gt;"",$AB369&lt;Boshqaruv!$C$12),"Ha","")</f>
        <v/>
      </c>
      <c r="AD369" s="25"/>
      <c r="AE369" s="13"/>
      <c r="AF369" s="12"/>
      <c r="AG369" s="14" t="str">
        <f aca="false">IF(OR($B369="",$C369="",$H369=""),"",IF(COUNTIFS($B$5:$B$804,$B369,$C$5:$C$804,$C369,$H$5:$H$804,$H369)&gt;1,"Takror",""))</f>
        <v/>
      </c>
      <c r="AH369" s="28" t="str">
        <f aca="false">IF(AND($B369&lt;&gt;"",$N369="Ha",$H369&lt;&gt;"",$H369&lt;=Boshqaruv!$C$12,OR($AE369="",$AE369&gt;Boshqaruv!$C$12)),MAX($AH$4:$AH368)+1,"")</f>
        <v/>
      </c>
    </row>
    <row r="370" customFormat="false" ht="15" hidden="false" customHeight="false" outlineLevel="0" collapsed="false">
      <c r="A370" s="20" t="n">
        <v>366</v>
      </c>
      <c r="B370" s="12"/>
      <c r="C370" s="13"/>
      <c r="D370" s="24"/>
      <c r="E370" s="12"/>
      <c r="F370" s="25"/>
      <c r="G370" s="27" t="str">
        <f aca="false">IF(OR($B370="",$C370=""),"",$B370&amp;" ("&amp;DAY($C370)&amp;"."&amp;MONTH($C370)&amp;"."&amp;YEAR($C370)&amp;")")</f>
        <v/>
      </c>
      <c r="H370" s="13"/>
      <c r="I370" s="13"/>
      <c r="J370" s="15" t="str">
        <f aca="false">IF($I370="","",$I370+280)</f>
        <v/>
      </c>
      <c r="K370" s="14" t="str">
        <f aca="false">IF(OR($I370="",$AE370&lt;&gt;""),"",INT((Boshqaruv!$C$12-$I370)/7))</f>
        <v/>
      </c>
      <c r="L370" s="14" t="str">
        <f aca="false">IF(OR($C370="",$H370=""),"",INT(($H370-$C370)/365.25))</f>
        <v/>
      </c>
      <c r="M370" s="14" t="str">
        <f aca="false">IF($L370="","",IF($L370&lt;18,"Ha","Yo'q"))</f>
        <v/>
      </c>
      <c r="N370" s="25"/>
      <c r="O370" s="25"/>
      <c r="P370" s="25"/>
      <c r="Q370" s="12"/>
      <c r="R370" s="25"/>
      <c r="S370" s="12"/>
      <c r="T370" s="13"/>
      <c r="U370" s="12"/>
      <c r="V370" s="25"/>
      <c r="W370" s="25"/>
      <c r="X370" s="14" t="str">
        <f aca="false">IF(OR($V370="",$W370=""),"",IF(AND($V370&gt;=Spravochnik!$H$5,$W370&gt;=Spravochnik!$H$6),"Ha","Yo'q"))</f>
        <v/>
      </c>
      <c r="Y370" s="13"/>
      <c r="Z370" s="13"/>
      <c r="AA370" s="13"/>
      <c r="AB370" s="13"/>
      <c r="AC370" s="14" t="str">
        <f aca="false">IF(AND($B370&lt;&gt;"",$AE370="",$AB370&lt;&gt;"",$AB370&lt;Boshqaruv!$C$12),"Ha","")</f>
        <v/>
      </c>
      <c r="AD370" s="25"/>
      <c r="AE370" s="13"/>
      <c r="AF370" s="12"/>
      <c r="AG370" s="14" t="str">
        <f aca="false">IF(OR($B370="",$C370="",$H370=""),"",IF(COUNTIFS($B$5:$B$804,$B370,$C$5:$C$804,$C370,$H$5:$H$804,$H370)&gt;1,"Takror",""))</f>
        <v/>
      </c>
      <c r="AH370" s="28" t="str">
        <f aca="false">IF(AND($B370&lt;&gt;"",$N370="Ha",$H370&lt;&gt;"",$H370&lt;=Boshqaruv!$C$12,OR($AE370="",$AE370&gt;Boshqaruv!$C$12)),MAX($AH$4:$AH369)+1,"")</f>
        <v/>
      </c>
    </row>
    <row r="371" customFormat="false" ht="15" hidden="false" customHeight="false" outlineLevel="0" collapsed="false">
      <c r="A371" s="20" t="n">
        <v>367</v>
      </c>
      <c r="B371" s="12"/>
      <c r="C371" s="13"/>
      <c r="D371" s="24"/>
      <c r="E371" s="12"/>
      <c r="F371" s="25"/>
      <c r="G371" s="27" t="str">
        <f aca="false">IF(OR($B371="",$C371=""),"",$B371&amp;" ("&amp;DAY($C371)&amp;"."&amp;MONTH($C371)&amp;"."&amp;YEAR($C371)&amp;")")</f>
        <v/>
      </c>
      <c r="H371" s="13"/>
      <c r="I371" s="13"/>
      <c r="J371" s="15" t="str">
        <f aca="false">IF($I371="","",$I371+280)</f>
        <v/>
      </c>
      <c r="K371" s="14" t="str">
        <f aca="false">IF(OR($I371="",$AE371&lt;&gt;""),"",INT((Boshqaruv!$C$12-$I371)/7))</f>
        <v/>
      </c>
      <c r="L371" s="14" t="str">
        <f aca="false">IF(OR($C371="",$H371=""),"",INT(($H371-$C371)/365.25))</f>
        <v/>
      </c>
      <c r="M371" s="14" t="str">
        <f aca="false">IF($L371="","",IF($L371&lt;18,"Ha","Yo'q"))</f>
        <v/>
      </c>
      <c r="N371" s="25"/>
      <c r="O371" s="25"/>
      <c r="P371" s="25"/>
      <c r="Q371" s="12"/>
      <c r="R371" s="25"/>
      <c r="S371" s="12"/>
      <c r="T371" s="13"/>
      <c r="U371" s="12"/>
      <c r="V371" s="25"/>
      <c r="W371" s="25"/>
      <c r="X371" s="14" t="str">
        <f aca="false">IF(OR($V371="",$W371=""),"",IF(AND($V371&gt;=Spravochnik!$H$5,$W371&gt;=Spravochnik!$H$6),"Ha","Yo'q"))</f>
        <v/>
      </c>
      <c r="Y371" s="13"/>
      <c r="Z371" s="13"/>
      <c r="AA371" s="13"/>
      <c r="AB371" s="13"/>
      <c r="AC371" s="14" t="str">
        <f aca="false">IF(AND($B371&lt;&gt;"",$AE371="",$AB371&lt;&gt;"",$AB371&lt;Boshqaruv!$C$12),"Ha","")</f>
        <v/>
      </c>
      <c r="AD371" s="25"/>
      <c r="AE371" s="13"/>
      <c r="AF371" s="12"/>
      <c r="AG371" s="14" t="str">
        <f aca="false">IF(OR($B371="",$C371="",$H371=""),"",IF(COUNTIFS($B$5:$B$804,$B371,$C$5:$C$804,$C371,$H$5:$H$804,$H371)&gt;1,"Takror",""))</f>
        <v/>
      </c>
      <c r="AH371" s="28" t="str">
        <f aca="false">IF(AND($B371&lt;&gt;"",$N371="Ha",$H371&lt;&gt;"",$H371&lt;=Boshqaruv!$C$12,OR($AE371="",$AE371&gt;Boshqaruv!$C$12)),MAX($AH$4:$AH370)+1,"")</f>
        <v/>
      </c>
    </row>
    <row r="372" customFormat="false" ht="15" hidden="false" customHeight="false" outlineLevel="0" collapsed="false">
      <c r="A372" s="20" t="n">
        <v>368</v>
      </c>
      <c r="B372" s="12"/>
      <c r="C372" s="13"/>
      <c r="D372" s="24"/>
      <c r="E372" s="12"/>
      <c r="F372" s="25"/>
      <c r="G372" s="27" t="str">
        <f aca="false">IF(OR($B372="",$C372=""),"",$B372&amp;" ("&amp;DAY($C372)&amp;"."&amp;MONTH($C372)&amp;"."&amp;YEAR($C372)&amp;")")</f>
        <v/>
      </c>
      <c r="H372" s="13"/>
      <c r="I372" s="13"/>
      <c r="J372" s="15" t="str">
        <f aca="false">IF($I372="","",$I372+280)</f>
        <v/>
      </c>
      <c r="K372" s="14" t="str">
        <f aca="false">IF(OR($I372="",$AE372&lt;&gt;""),"",INT((Boshqaruv!$C$12-$I372)/7))</f>
        <v/>
      </c>
      <c r="L372" s="14" t="str">
        <f aca="false">IF(OR($C372="",$H372=""),"",INT(($H372-$C372)/365.25))</f>
        <v/>
      </c>
      <c r="M372" s="14" t="str">
        <f aca="false">IF($L372="","",IF($L372&lt;18,"Ha","Yo'q"))</f>
        <v/>
      </c>
      <c r="N372" s="25"/>
      <c r="O372" s="25"/>
      <c r="P372" s="25"/>
      <c r="Q372" s="12"/>
      <c r="R372" s="25"/>
      <c r="S372" s="12"/>
      <c r="T372" s="13"/>
      <c r="U372" s="12"/>
      <c r="V372" s="25"/>
      <c r="W372" s="25"/>
      <c r="X372" s="14" t="str">
        <f aca="false">IF(OR($V372="",$W372=""),"",IF(AND($V372&gt;=Spravochnik!$H$5,$W372&gt;=Spravochnik!$H$6),"Ha","Yo'q"))</f>
        <v/>
      </c>
      <c r="Y372" s="13"/>
      <c r="Z372" s="13"/>
      <c r="AA372" s="13"/>
      <c r="AB372" s="13"/>
      <c r="AC372" s="14" t="str">
        <f aca="false">IF(AND($B372&lt;&gt;"",$AE372="",$AB372&lt;&gt;"",$AB372&lt;Boshqaruv!$C$12),"Ha","")</f>
        <v/>
      </c>
      <c r="AD372" s="25"/>
      <c r="AE372" s="13"/>
      <c r="AF372" s="12"/>
      <c r="AG372" s="14" t="str">
        <f aca="false">IF(OR($B372="",$C372="",$H372=""),"",IF(COUNTIFS($B$5:$B$804,$B372,$C$5:$C$804,$C372,$H$5:$H$804,$H372)&gt;1,"Takror",""))</f>
        <v/>
      </c>
      <c r="AH372" s="28" t="str">
        <f aca="false">IF(AND($B372&lt;&gt;"",$N372="Ha",$H372&lt;&gt;"",$H372&lt;=Boshqaruv!$C$12,OR($AE372="",$AE372&gt;Boshqaruv!$C$12)),MAX($AH$4:$AH371)+1,"")</f>
        <v/>
      </c>
    </row>
    <row r="373" customFormat="false" ht="15" hidden="false" customHeight="false" outlineLevel="0" collapsed="false">
      <c r="A373" s="20" t="n">
        <v>369</v>
      </c>
      <c r="B373" s="12"/>
      <c r="C373" s="13"/>
      <c r="D373" s="24"/>
      <c r="E373" s="12"/>
      <c r="F373" s="25"/>
      <c r="G373" s="27" t="str">
        <f aca="false">IF(OR($B373="",$C373=""),"",$B373&amp;" ("&amp;DAY($C373)&amp;"."&amp;MONTH($C373)&amp;"."&amp;YEAR($C373)&amp;")")</f>
        <v/>
      </c>
      <c r="H373" s="13"/>
      <c r="I373" s="13"/>
      <c r="J373" s="15" t="str">
        <f aca="false">IF($I373="","",$I373+280)</f>
        <v/>
      </c>
      <c r="K373" s="14" t="str">
        <f aca="false">IF(OR($I373="",$AE373&lt;&gt;""),"",INT((Boshqaruv!$C$12-$I373)/7))</f>
        <v/>
      </c>
      <c r="L373" s="14" t="str">
        <f aca="false">IF(OR($C373="",$H373=""),"",INT(($H373-$C373)/365.25))</f>
        <v/>
      </c>
      <c r="M373" s="14" t="str">
        <f aca="false">IF($L373="","",IF($L373&lt;18,"Ha","Yo'q"))</f>
        <v/>
      </c>
      <c r="N373" s="25"/>
      <c r="O373" s="25"/>
      <c r="P373" s="25"/>
      <c r="Q373" s="12"/>
      <c r="R373" s="25"/>
      <c r="S373" s="12"/>
      <c r="T373" s="13"/>
      <c r="U373" s="12"/>
      <c r="V373" s="25"/>
      <c r="W373" s="25"/>
      <c r="X373" s="14" t="str">
        <f aca="false">IF(OR($V373="",$W373=""),"",IF(AND($V373&gt;=Spravochnik!$H$5,$W373&gt;=Spravochnik!$H$6),"Ha","Yo'q"))</f>
        <v/>
      </c>
      <c r="Y373" s="13"/>
      <c r="Z373" s="13"/>
      <c r="AA373" s="13"/>
      <c r="AB373" s="13"/>
      <c r="AC373" s="14" t="str">
        <f aca="false">IF(AND($B373&lt;&gt;"",$AE373="",$AB373&lt;&gt;"",$AB373&lt;Boshqaruv!$C$12),"Ha","")</f>
        <v/>
      </c>
      <c r="AD373" s="25"/>
      <c r="AE373" s="13"/>
      <c r="AF373" s="12"/>
      <c r="AG373" s="14" t="str">
        <f aca="false">IF(OR($B373="",$C373="",$H373=""),"",IF(COUNTIFS($B$5:$B$804,$B373,$C$5:$C$804,$C373,$H$5:$H$804,$H373)&gt;1,"Takror",""))</f>
        <v/>
      </c>
      <c r="AH373" s="28" t="str">
        <f aca="false">IF(AND($B373&lt;&gt;"",$N373="Ha",$H373&lt;&gt;"",$H373&lt;=Boshqaruv!$C$12,OR($AE373="",$AE373&gt;Boshqaruv!$C$12)),MAX($AH$4:$AH372)+1,"")</f>
        <v/>
      </c>
    </row>
    <row r="374" customFormat="false" ht="15" hidden="false" customHeight="false" outlineLevel="0" collapsed="false">
      <c r="A374" s="20" t="n">
        <v>370</v>
      </c>
      <c r="B374" s="12"/>
      <c r="C374" s="13"/>
      <c r="D374" s="24"/>
      <c r="E374" s="12"/>
      <c r="F374" s="25"/>
      <c r="G374" s="27" t="str">
        <f aca="false">IF(OR($B374="",$C374=""),"",$B374&amp;" ("&amp;DAY($C374)&amp;"."&amp;MONTH($C374)&amp;"."&amp;YEAR($C374)&amp;")")</f>
        <v/>
      </c>
      <c r="H374" s="13"/>
      <c r="I374" s="13"/>
      <c r="J374" s="15" t="str">
        <f aca="false">IF($I374="","",$I374+280)</f>
        <v/>
      </c>
      <c r="K374" s="14" t="str">
        <f aca="false">IF(OR($I374="",$AE374&lt;&gt;""),"",INT((Boshqaruv!$C$12-$I374)/7))</f>
        <v/>
      </c>
      <c r="L374" s="14" t="str">
        <f aca="false">IF(OR($C374="",$H374=""),"",INT(($H374-$C374)/365.25))</f>
        <v/>
      </c>
      <c r="M374" s="14" t="str">
        <f aca="false">IF($L374="","",IF($L374&lt;18,"Ha","Yo'q"))</f>
        <v/>
      </c>
      <c r="N374" s="25"/>
      <c r="O374" s="25"/>
      <c r="P374" s="25"/>
      <c r="Q374" s="12"/>
      <c r="R374" s="25"/>
      <c r="S374" s="12"/>
      <c r="T374" s="13"/>
      <c r="U374" s="12"/>
      <c r="V374" s="25"/>
      <c r="W374" s="25"/>
      <c r="X374" s="14" t="str">
        <f aca="false">IF(OR($V374="",$W374=""),"",IF(AND($V374&gt;=Spravochnik!$H$5,$W374&gt;=Spravochnik!$H$6),"Ha","Yo'q"))</f>
        <v/>
      </c>
      <c r="Y374" s="13"/>
      <c r="Z374" s="13"/>
      <c r="AA374" s="13"/>
      <c r="AB374" s="13"/>
      <c r="AC374" s="14" t="str">
        <f aca="false">IF(AND($B374&lt;&gt;"",$AE374="",$AB374&lt;&gt;"",$AB374&lt;Boshqaruv!$C$12),"Ha","")</f>
        <v/>
      </c>
      <c r="AD374" s="25"/>
      <c r="AE374" s="13"/>
      <c r="AF374" s="12"/>
      <c r="AG374" s="14" t="str">
        <f aca="false">IF(OR($B374="",$C374="",$H374=""),"",IF(COUNTIFS($B$5:$B$804,$B374,$C$5:$C$804,$C374,$H$5:$H$804,$H374)&gt;1,"Takror",""))</f>
        <v/>
      </c>
      <c r="AH374" s="28" t="str">
        <f aca="false">IF(AND($B374&lt;&gt;"",$N374="Ha",$H374&lt;&gt;"",$H374&lt;=Boshqaruv!$C$12,OR($AE374="",$AE374&gt;Boshqaruv!$C$12)),MAX($AH$4:$AH373)+1,"")</f>
        <v/>
      </c>
    </row>
    <row r="375" customFormat="false" ht="15" hidden="false" customHeight="false" outlineLevel="0" collapsed="false">
      <c r="A375" s="20" t="n">
        <v>371</v>
      </c>
      <c r="B375" s="12"/>
      <c r="C375" s="13"/>
      <c r="D375" s="24"/>
      <c r="E375" s="12"/>
      <c r="F375" s="25"/>
      <c r="G375" s="27" t="str">
        <f aca="false">IF(OR($B375="",$C375=""),"",$B375&amp;" ("&amp;DAY($C375)&amp;"."&amp;MONTH($C375)&amp;"."&amp;YEAR($C375)&amp;")")</f>
        <v/>
      </c>
      <c r="H375" s="13"/>
      <c r="I375" s="13"/>
      <c r="J375" s="15" t="str">
        <f aca="false">IF($I375="","",$I375+280)</f>
        <v/>
      </c>
      <c r="K375" s="14" t="str">
        <f aca="false">IF(OR($I375="",$AE375&lt;&gt;""),"",INT((Boshqaruv!$C$12-$I375)/7))</f>
        <v/>
      </c>
      <c r="L375" s="14" t="str">
        <f aca="false">IF(OR($C375="",$H375=""),"",INT(($H375-$C375)/365.25))</f>
        <v/>
      </c>
      <c r="M375" s="14" t="str">
        <f aca="false">IF($L375="","",IF($L375&lt;18,"Ha","Yo'q"))</f>
        <v/>
      </c>
      <c r="N375" s="25"/>
      <c r="O375" s="25"/>
      <c r="P375" s="25"/>
      <c r="Q375" s="12"/>
      <c r="R375" s="25"/>
      <c r="S375" s="12"/>
      <c r="T375" s="13"/>
      <c r="U375" s="12"/>
      <c r="V375" s="25"/>
      <c r="W375" s="25"/>
      <c r="X375" s="14" t="str">
        <f aca="false">IF(OR($V375="",$W375=""),"",IF(AND($V375&gt;=Spravochnik!$H$5,$W375&gt;=Spravochnik!$H$6),"Ha","Yo'q"))</f>
        <v/>
      </c>
      <c r="Y375" s="13"/>
      <c r="Z375" s="13"/>
      <c r="AA375" s="13"/>
      <c r="AB375" s="13"/>
      <c r="AC375" s="14" t="str">
        <f aca="false">IF(AND($B375&lt;&gt;"",$AE375="",$AB375&lt;&gt;"",$AB375&lt;Boshqaruv!$C$12),"Ha","")</f>
        <v/>
      </c>
      <c r="AD375" s="25"/>
      <c r="AE375" s="13"/>
      <c r="AF375" s="12"/>
      <c r="AG375" s="14" t="str">
        <f aca="false">IF(OR($B375="",$C375="",$H375=""),"",IF(COUNTIFS($B$5:$B$804,$B375,$C$5:$C$804,$C375,$H$5:$H$804,$H375)&gt;1,"Takror",""))</f>
        <v/>
      </c>
      <c r="AH375" s="28" t="str">
        <f aca="false">IF(AND($B375&lt;&gt;"",$N375="Ha",$H375&lt;&gt;"",$H375&lt;=Boshqaruv!$C$12,OR($AE375="",$AE375&gt;Boshqaruv!$C$12)),MAX($AH$4:$AH374)+1,"")</f>
        <v/>
      </c>
    </row>
    <row r="376" customFormat="false" ht="15" hidden="false" customHeight="false" outlineLevel="0" collapsed="false">
      <c r="A376" s="20" t="n">
        <v>372</v>
      </c>
      <c r="B376" s="12"/>
      <c r="C376" s="13"/>
      <c r="D376" s="24"/>
      <c r="E376" s="12"/>
      <c r="F376" s="25"/>
      <c r="G376" s="27" t="str">
        <f aca="false">IF(OR($B376="",$C376=""),"",$B376&amp;" ("&amp;DAY($C376)&amp;"."&amp;MONTH($C376)&amp;"."&amp;YEAR($C376)&amp;")")</f>
        <v/>
      </c>
      <c r="H376" s="13"/>
      <c r="I376" s="13"/>
      <c r="J376" s="15" t="str">
        <f aca="false">IF($I376="","",$I376+280)</f>
        <v/>
      </c>
      <c r="K376" s="14" t="str">
        <f aca="false">IF(OR($I376="",$AE376&lt;&gt;""),"",INT((Boshqaruv!$C$12-$I376)/7))</f>
        <v/>
      </c>
      <c r="L376" s="14" t="str">
        <f aca="false">IF(OR($C376="",$H376=""),"",INT(($H376-$C376)/365.25))</f>
        <v/>
      </c>
      <c r="M376" s="14" t="str">
        <f aca="false">IF($L376="","",IF($L376&lt;18,"Ha","Yo'q"))</f>
        <v/>
      </c>
      <c r="N376" s="25"/>
      <c r="O376" s="25"/>
      <c r="P376" s="25"/>
      <c r="Q376" s="12"/>
      <c r="R376" s="25"/>
      <c r="S376" s="12"/>
      <c r="T376" s="13"/>
      <c r="U376" s="12"/>
      <c r="V376" s="25"/>
      <c r="W376" s="25"/>
      <c r="X376" s="14" t="str">
        <f aca="false">IF(OR($V376="",$W376=""),"",IF(AND($V376&gt;=Spravochnik!$H$5,$W376&gt;=Spravochnik!$H$6),"Ha","Yo'q"))</f>
        <v/>
      </c>
      <c r="Y376" s="13"/>
      <c r="Z376" s="13"/>
      <c r="AA376" s="13"/>
      <c r="AB376" s="13"/>
      <c r="AC376" s="14" t="str">
        <f aca="false">IF(AND($B376&lt;&gt;"",$AE376="",$AB376&lt;&gt;"",$AB376&lt;Boshqaruv!$C$12),"Ha","")</f>
        <v/>
      </c>
      <c r="AD376" s="25"/>
      <c r="AE376" s="13"/>
      <c r="AF376" s="12"/>
      <c r="AG376" s="14" t="str">
        <f aca="false">IF(OR($B376="",$C376="",$H376=""),"",IF(COUNTIFS($B$5:$B$804,$B376,$C$5:$C$804,$C376,$H$5:$H$804,$H376)&gt;1,"Takror",""))</f>
        <v/>
      </c>
      <c r="AH376" s="28" t="str">
        <f aca="false">IF(AND($B376&lt;&gt;"",$N376="Ha",$H376&lt;&gt;"",$H376&lt;=Boshqaruv!$C$12,OR($AE376="",$AE376&gt;Boshqaruv!$C$12)),MAX($AH$4:$AH375)+1,"")</f>
        <v/>
      </c>
    </row>
    <row r="377" customFormat="false" ht="15" hidden="false" customHeight="false" outlineLevel="0" collapsed="false">
      <c r="A377" s="20" t="n">
        <v>373</v>
      </c>
      <c r="B377" s="12"/>
      <c r="C377" s="13"/>
      <c r="D377" s="24"/>
      <c r="E377" s="12"/>
      <c r="F377" s="25"/>
      <c r="G377" s="27" t="str">
        <f aca="false">IF(OR($B377="",$C377=""),"",$B377&amp;" ("&amp;DAY($C377)&amp;"."&amp;MONTH($C377)&amp;"."&amp;YEAR($C377)&amp;")")</f>
        <v/>
      </c>
      <c r="H377" s="13"/>
      <c r="I377" s="13"/>
      <c r="J377" s="15" t="str">
        <f aca="false">IF($I377="","",$I377+280)</f>
        <v/>
      </c>
      <c r="K377" s="14" t="str">
        <f aca="false">IF(OR($I377="",$AE377&lt;&gt;""),"",INT((Boshqaruv!$C$12-$I377)/7))</f>
        <v/>
      </c>
      <c r="L377" s="14" t="str">
        <f aca="false">IF(OR($C377="",$H377=""),"",INT(($H377-$C377)/365.25))</f>
        <v/>
      </c>
      <c r="M377" s="14" t="str">
        <f aca="false">IF($L377="","",IF($L377&lt;18,"Ha","Yo'q"))</f>
        <v/>
      </c>
      <c r="N377" s="25"/>
      <c r="O377" s="25"/>
      <c r="P377" s="25"/>
      <c r="Q377" s="12"/>
      <c r="R377" s="25"/>
      <c r="S377" s="12"/>
      <c r="T377" s="13"/>
      <c r="U377" s="12"/>
      <c r="V377" s="25"/>
      <c r="W377" s="25"/>
      <c r="X377" s="14" t="str">
        <f aca="false">IF(OR($V377="",$W377=""),"",IF(AND($V377&gt;=Spravochnik!$H$5,$W377&gt;=Spravochnik!$H$6),"Ha","Yo'q"))</f>
        <v/>
      </c>
      <c r="Y377" s="13"/>
      <c r="Z377" s="13"/>
      <c r="AA377" s="13"/>
      <c r="AB377" s="13"/>
      <c r="AC377" s="14" t="str">
        <f aca="false">IF(AND($B377&lt;&gt;"",$AE377="",$AB377&lt;&gt;"",$AB377&lt;Boshqaruv!$C$12),"Ha","")</f>
        <v/>
      </c>
      <c r="AD377" s="25"/>
      <c r="AE377" s="13"/>
      <c r="AF377" s="12"/>
      <c r="AG377" s="14" t="str">
        <f aca="false">IF(OR($B377="",$C377="",$H377=""),"",IF(COUNTIFS($B$5:$B$804,$B377,$C$5:$C$804,$C377,$H$5:$H$804,$H377)&gt;1,"Takror",""))</f>
        <v/>
      </c>
      <c r="AH377" s="28" t="str">
        <f aca="false">IF(AND($B377&lt;&gt;"",$N377="Ha",$H377&lt;&gt;"",$H377&lt;=Boshqaruv!$C$12,OR($AE377="",$AE377&gt;Boshqaruv!$C$12)),MAX($AH$4:$AH376)+1,"")</f>
        <v/>
      </c>
    </row>
    <row r="378" customFormat="false" ht="15" hidden="false" customHeight="false" outlineLevel="0" collapsed="false">
      <c r="A378" s="20" t="n">
        <v>374</v>
      </c>
      <c r="B378" s="12"/>
      <c r="C378" s="13"/>
      <c r="D378" s="24"/>
      <c r="E378" s="12"/>
      <c r="F378" s="25"/>
      <c r="G378" s="27" t="str">
        <f aca="false">IF(OR($B378="",$C378=""),"",$B378&amp;" ("&amp;DAY($C378)&amp;"."&amp;MONTH($C378)&amp;"."&amp;YEAR($C378)&amp;")")</f>
        <v/>
      </c>
      <c r="H378" s="13"/>
      <c r="I378" s="13"/>
      <c r="J378" s="15" t="str">
        <f aca="false">IF($I378="","",$I378+280)</f>
        <v/>
      </c>
      <c r="K378" s="14" t="str">
        <f aca="false">IF(OR($I378="",$AE378&lt;&gt;""),"",INT((Boshqaruv!$C$12-$I378)/7))</f>
        <v/>
      </c>
      <c r="L378" s="14" t="str">
        <f aca="false">IF(OR($C378="",$H378=""),"",INT(($H378-$C378)/365.25))</f>
        <v/>
      </c>
      <c r="M378" s="14" t="str">
        <f aca="false">IF($L378="","",IF($L378&lt;18,"Ha","Yo'q"))</f>
        <v/>
      </c>
      <c r="N378" s="25"/>
      <c r="O378" s="25"/>
      <c r="P378" s="25"/>
      <c r="Q378" s="12"/>
      <c r="R378" s="25"/>
      <c r="S378" s="12"/>
      <c r="T378" s="13"/>
      <c r="U378" s="12"/>
      <c r="V378" s="25"/>
      <c r="W378" s="25"/>
      <c r="X378" s="14" t="str">
        <f aca="false">IF(OR($V378="",$W378=""),"",IF(AND($V378&gt;=Spravochnik!$H$5,$W378&gt;=Spravochnik!$H$6),"Ha","Yo'q"))</f>
        <v/>
      </c>
      <c r="Y378" s="13"/>
      <c r="Z378" s="13"/>
      <c r="AA378" s="13"/>
      <c r="AB378" s="13"/>
      <c r="AC378" s="14" t="str">
        <f aca="false">IF(AND($B378&lt;&gt;"",$AE378="",$AB378&lt;&gt;"",$AB378&lt;Boshqaruv!$C$12),"Ha","")</f>
        <v/>
      </c>
      <c r="AD378" s="25"/>
      <c r="AE378" s="13"/>
      <c r="AF378" s="12"/>
      <c r="AG378" s="14" t="str">
        <f aca="false">IF(OR($B378="",$C378="",$H378=""),"",IF(COUNTIFS($B$5:$B$804,$B378,$C$5:$C$804,$C378,$H$5:$H$804,$H378)&gt;1,"Takror",""))</f>
        <v/>
      </c>
      <c r="AH378" s="28" t="str">
        <f aca="false">IF(AND($B378&lt;&gt;"",$N378="Ha",$H378&lt;&gt;"",$H378&lt;=Boshqaruv!$C$12,OR($AE378="",$AE378&gt;Boshqaruv!$C$12)),MAX($AH$4:$AH377)+1,"")</f>
        <v/>
      </c>
    </row>
    <row r="379" customFormat="false" ht="15" hidden="false" customHeight="false" outlineLevel="0" collapsed="false">
      <c r="A379" s="20" t="n">
        <v>375</v>
      </c>
      <c r="B379" s="12"/>
      <c r="C379" s="13"/>
      <c r="D379" s="24"/>
      <c r="E379" s="12"/>
      <c r="F379" s="25"/>
      <c r="G379" s="27" t="str">
        <f aca="false">IF(OR($B379="",$C379=""),"",$B379&amp;" ("&amp;DAY($C379)&amp;"."&amp;MONTH($C379)&amp;"."&amp;YEAR($C379)&amp;")")</f>
        <v/>
      </c>
      <c r="H379" s="13"/>
      <c r="I379" s="13"/>
      <c r="J379" s="15" t="str">
        <f aca="false">IF($I379="","",$I379+280)</f>
        <v/>
      </c>
      <c r="K379" s="14" t="str">
        <f aca="false">IF(OR($I379="",$AE379&lt;&gt;""),"",INT((Boshqaruv!$C$12-$I379)/7))</f>
        <v/>
      </c>
      <c r="L379" s="14" t="str">
        <f aca="false">IF(OR($C379="",$H379=""),"",INT(($H379-$C379)/365.25))</f>
        <v/>
      </c>
      <c r="M379" s="14" t="str">
        <f aca="false">IF($L379="","",IF($L379&lt;18,"Ha","Yo'q"))</f>
        <v/>
      </c>
      <c r="N379" s="25"/>
      <c r="O379" s="25"/>
      <c r="P379" s="25"/>
      <c r="Q379" s="12"/>
      <c r="R379" s="25"/>
      <c r="S379" s="12"/>
      <c r="T379" s="13"/>
      <c r="U379" s="12"/>
      <c r="V379" s="25"/>
      <c r="W379" s="25"/>
      <c r="X379" s="14" t="str">
        <f aca="false">IF(OR($V379="",$W379=""),"",IF(AND($V379&gt;=Spravochnik!$H$5,$W379&gt;=Spravochnik!$H$6),"Ha","Yo'q"))</f>
        <v/>
      </c>
      <c r="Y379" s="13"/>
      <c r="Z379" s="13"/>
      <c r="AA379" s="13"/>
      <c r="AB379" s="13"/>
      <c r="AC379" s="14" t="str">
        <f aca="false">IF(AND($B379&lt;&gt;"",$AE379="",$AB379&lt;&gt;"",$AB379&lt;Boshqaruv!$C$12),"Ha","")</f>
        <v/>
      </c>
      <c r="AD379" s="25"/>
      <c r="AE379" s="13"/>
      <c r="AF379" s="12"/>
      <c r="AG379" s="14" t="str">
        <f aca="false">IF(OR($B379="",$C379="",$H379=""),"",IF(COUNTIFS($B$5:$B$804,$B379,$C$5:$C$804,$C379,$H$5:$H$804,$H379)&gt;1,"Takror",""))</f>
        <v/>
      </c>
      <c r="AH379" s="28" t="str">
        <f aca="false">IF(AND($B379&lt;&gt;"",$N379="Ha",$H379&lt;&gt;"",$H379&lt;=Boshqaruv!$C$12,OR($AE379="",$AE379&gt;Boshqaruv!$C$12)),MAX($AH$4:$AH378)+1,"")</f>
        <v/>
      </c>
    </row>
    <row r="380" customFormat="false" ht="15" hidden="false" customHeight="false" outlineLevel="0" collapsed="false">
      <c r="A380" s="20" t="n">
        <v>376</v>
      </c>
      <c r="B380" s="12"/>
      <c r="C380" s="13"/>
      <c r="D380" s="24"/>
      <c r="E380" s="12"/>
      <c r="F380" s="25"/>
      <c r="G380" s="27" t="str">
        <f aca="false">IF(OR($B380="",$C380=""),"",$B380&amp;" ("&amp;DAY($C380)&amp;"."&amp;MONTH($C380)&amp;"."&amp;YEAR($C380)&amp;")")</f>
        <v/>
      </c>
      <c r="H380" s="13"/>
      <c r="I380" s="13"/>
      <c r="J380" s="15" t="str">
        <f aca="false">IF($I380="","",$I380+280)</f>
        <v/>
      </c>
      <c r="K380" s="14" t="str">
        <f aca="false">IF(OR($I380="",$AE380&lt;&gt;""),"",INT((Boshqaruv!$C$12-$I380)/7))</f>
        <v/>
      </c>
      <c r="L380" s="14" t="str">
        <f aca="false">IF(OR($C380="",$H380=""),"",INT(($H380-$C380)/365.25))</f>
        <v/>
      </c>
      <c r="M380" s="14" t="str">
        <f aca="false">IF($L380="","",IF($L380&lt;18,"Ha","Yo'q"))</f>
        <v/>
      </c>
      <c r="N380" s="25"/>
      <c r="O380" s="25"/>
      <c r="P380" s="25"/>
      <c r="Q380" s="12"/>
      <c r="R380" s="25"/>
      <c r="S380" s="12"/>
      <c r="T380" s="13"/>
      <c r="U380" s="12"/>
      <c r="V380" s="25"/>
      <c r="W380" s="25"/>
      <c r="X380" s="14" t="str">
        <f aca="false">IF(OR($V380="",$W380=""),"",IF(AND($V380&gt;=Spravochnik!$H$5,$W380&gt;=Spravochnik!$H$6),"Ha","Yo'q"))</f>
        <v/>
      </c>
      <c r="Y380" s="13"/>
      <c r="Z380" s="13"/>
      <c r="AA380" s="13"/>
      <c r="AB380" s="13"/>
      <c r="AC380" s="14" t="str">
        <f aca="false">IF(AND($B380&lt;&gt;"",$AE380="",$AB380&lt;&gt;"",$AB380&lt;Boshqaruv!$C$12),"Ha","")</f>
        <v/>
      </c>
      <c r="AD380" s="25"/>
      <c r="AE380" s="13"/>
      <c r="AF380" s="12"/>
      <c r="AG380" s="14" t="str">
        <f aca="false">IF(OR($B380="",$C380="",$H380=""),"",IF(COUNTIFS($B$5:$B$804,$B380,$C$5:$C$804,$C380,$H$5:$H$804,$H380)&gt;1,"Takror",""))</f>
        <v/>
      </c>
      <c r="AH380" s="28" t="str">
        <f aca="false">IF(AND($B380&lt;&gt;"",$N380="Ha",$H380&lt;&gt;"",$H380&lt;=Boshqaruv!$C$12,OR($AE380="",$AE380&gt;Boshqaruv!$C$12)),MAX($AH$4:$AH379)+1,"")</f>
        <v/>
      </c>
    </row>
    <row r="381" customFormat="false" ht="15" hidden="false" customHeight="false" outlineLevel="0" collapsed="false">
      <c r="A381" s="20" t="n">
        <v>377</v>
      </c>
      <c r="B381" s="12"/>
      <c r="C381" s="13"/>
      <c r="D381" s="24"/>
      <c r="E381" s="12"/>
      <c r="F381" s="25"/>
      <c r="G381" s="27" t="str">
        <f aca="false">IF(OR($B381="",$C381=""),"",$B381&amp;" ("&amp;DAY($C381)&amp;"."&amp;MONTH($C381)&amp;"."&amp;YEAR($C381)&amp;")")</f>
        <v/>
      </c>
      <c r="H381" s="13"/>
      <c r="I381" s="13"/>
      <c r="J381" s="15" t="str">
        <f aca="false">IF($I381="","",$I381+280)</f>
        <v/>
      </c>
      <c r="K381" s="14" t="str">
        <f aca="false">IF(OR($I381="",$AE381&lt;&gt;""),"",INT((Boshqaruv!$C$12-$I381)/7))</f>
        <v/>
      </c>
      <c r="L381" s="14" t="str">
        <f aca="false">IF(OR($C381="",$H381=""),"",INT(($H381-$C381)/365.25))</f>
        <v/>
      </c>
      <c r="M381" s="14" t="str">
        <f aca="false">IF($L381="","",IF($L381&lt;18,"Ha","Yo'q"))</f>
        <v/>
      </c>
      <c r="N381" s="25"/>
      <c r="O381" s="25"/>
      <c r="P381" s="25"/>
      <c r="Q381" s="12"/>
      <c r="R381" s="25"/>
      <c r="S381" s="12"/>
      <c r="T381" s="13"/>
      <c r="U381" s="12"/>
      <c r="V381" s="25"/>
      <c r="W381" s="25"/>
      <c r="X381" s="14" t="str">
        <f aca="false">IF(OR($V381="",$W381=""),"",IF(AND($V381&gt;=Spravochnik!$H$5,$W381&gt;=Spravochnik!$H$6),"Ha","Yo'q"))</f>
        <v/>
      </c>
      <c r="Y381" s="13"/>
      <c r="Z381" s="13"/>
      <c r="AA381" s="13"/>
      <c r="AB381" s="13"/>
      <c r="AC381" s="14" t="str">
        <f aca="false">IF(AND($B381&lt;&gt;"",$AE381="",$AB381&lt;&gt;"",$AB381&lt;Boshqaruv!$C$12),"Ha","")</f>
        <v/>
      </c>
      <c r="AD381" s="25"/>
      <c r="AE381" s="13"/>
      <c r="AF381" s="12"/>
      <c r="AG381" s="14" t="str">
        <f aca="false">IF(OR($B381="",$C381="",$H381=""),"",IF(COUNTIFS($B$5:$B$804,$B381,$C$5:$C$804,$C381,$H$5:$H$804,$H381)&gt;1,"Takror",""))</f>
        <v/>
      </c>
      <c r="AH381" s="28" t="str">
        <f aca="false">IF(AND($B381&lt;&gt;"",$N381="Ha",$H381&lt;&gt;"",$H381&lt;=Boshqaruv!$C$12,OR($AE381="",$AE381&gt;Boshqaruv!$C$12)),MAX($AH$4:$AH380)+1,"")</f>
        <v/>
      </c>
    </row>
    <row r="382" customFormat="false" ht="15" hidden="false" customHeight="false" outlineLevel="0" collapsed="false">
      <c r="A382" s="20" t="n">
        <v>378</v>
      </c>
      <c r="B382" s="12"/>
      <c r="C382" s="13"/>
      <c r="D382" s="24"/>
      <c r="E382" s="12"/>
      <c r="F382" s="25"/>
      <c r="G382" s="27" t="str">
        <f aca="false">IF(OR($B382="",$C382=""),"",$B382&amp;" ("&amp;DAY($C382)&amp;"."&amp;MONTH($C382)&amp;"."&amp;YEAR($C382)&amp;")")</f>
        <v/>
      </c>
      <c r="H382" s="13"/>
      <c r="I382" s="13"/>
      <c r="J382" s="15" t="str">
        <f aca="false">IF($I382="","",$I382+280)</f>
        <v/>
      </c>
      <c r="K382" s="14" t="str">
        <f aca="false">IF(OR($I382="",$AE382&lt;&gt;""),"",INT((Boshqaruv!$C$12-$I382)/7))</f>
        <v/>
      </c>
      <c r="L382" s="14" t="str">
        <f aca="false">IF(OR($C382="",$H382=""),"",INT(($H382-$C382)/365.25))</f>
        <v/>
      </c>
      <c r="M382" s="14" t="str">
        <f aca="false">IF($L382="","",IF($L382&lt;18,"Ha","Yo'q"))</f>
        <v/>
      </c>
      <c r="N382" s="25"/>
      <c r="O382" s="25"/>
      <c r="P382" s="25"/>
      <c r="Q382" s="12"/>
      <c r="R382" s="25"/>
      <c r="S382" s="12"/>
      <c r="T382" s="13"/>
      <c r="U382" s="12"/>
      <c r="V382" s="25"/>
      <c r="W382" s="25"/>
      <c r="X382" s="14" t="str">
        <f aca="false">IF(OR($V382="",$W382=""),"",IF(AND($V382&gt;=Spravochnik!$H$5,$W382&gt;=Spravochnik!$H$6),"Ha","Yo'q"))</f>
        <v/>
      </c>
      <c r="Y382" s="13"/>
      <c r="Z382" s="13"/>
      <c r="AA382" s="13"/>
      <c r="AB382" s="13"/>
      <c r="AC382" s="14" t="str">
        <f aca="false">IF(AND($B382&lt;&gt;"",$AE382="",$AB382&lt;&gt;"",$AB382&lt;Boshqaruv!$C$12),"Ha","")</f>
        <v/>
      </c>
      <c r="AD382" s="25"/>
      <c r="AE382" s="13"/>
      <c r="AF382" s="12"/>
      <c r="AG382" s="14" t="str">
        <f aca="false">IF(OR($B382="",$C382="",$H382=""),"",IF(COUNTIFS($B$5:$B$804,$B382,$C$5:$C$804,$C382,$H$5:$H$804,$H382)&gt;1,"Takror",""))</f>
        <v/>
      </c>
      <c r="AH382" s="28" t="str">
        <f aca="false">IF(AND($B382&lt;&gt;"",$N382="Ha",$H382&lt;&gt;"",$H382&lt;=Boshqaruv!$C$12,OR($AE382="",$AE382&gt;Boshqaruv!$C$12)),MAX($AH$4:$AH381)+1,"")</f>
        <v/>
      </c>
    </row>
    <row r="383" customFormat="false" ht="15" hidden="false" customHeight="false" outlineLevel="0" collapsed="false">
      <c r="A383" s="20" t="n">
        <v>379</v>
      </c>
      <c r="B383" s="12"/>
      <c r="C383" s="13"/>
      <c r="D383" s="24"/>
      <c r="E383" s="12"/>
      <c r="F383" s="25"/>
      <c r="G383" s="27" t="str">
        <f aca="false">IF(OR($B383="",$C383=""),"",$B383&amp;" ("&amp;DAY($C383)&amp;"."&amp;MONTH($C383)&amp;"."&amp;YEAR($C383)&amp;")")</f>
        <v/>
      </c>
      <c r="H383" s="13"/>
      <c r="I383" s="13"/>
      <c r="J383" s="15" t="str">
        <f aca="false">IF($I383="","",$I383+280)</f>
        <v/>
      </c>
      <c r="K383" s="14" t="str">
        <f aca="false">IF(OR($I383="",$AE383&lt;&gt;""),"",INT((Boshqaruv!$C$12-$I383)/7))</f>
        <v/>
      </c>
      <c r="L383" s="14" t="str">
        <f aca="false">IF(OR($C383="",$H383=""),"",INT(($H383-$C383)/365.25))</f>
        <v/>
      </c>
      <c r="M383" s="14" t="str">
        <f aca="false">IF($L383="","",IF($L383&lt;18,"Ha","Yo'q"))</f>
        <v/>
      </c>
      <c r="N383" s="25"/>
      <c r="O383" s="25"/>
      <c r="P383" s="25"/>
      <c r="Q383" s="12"/>
      <c r="R383" s="25"/>
      <c r="S383" s="12"/>
      <c r="T383" s="13"/>
      <c r="U383" s="12"/>
      <c r="V383" s="25"/>
      <c r="W383" s="25"/>
      <c r="X383" s="14" t="str">
        <f aca="false">IF(OR($V383="",$W383=""),"",IF(AND($V383&gt;=Spravochnik!$H$5,$W383&gt;=Spravochnik!$H$6),"Ha","Yo'q"))</f>
        <v/>
      </c>
      <c r="Y383" s="13"/>
      <c r="Z383" s="13"/>
      <c r="AA383" s="13"/>
      <c r="AB383" s="13"/>
      <c r="AC383" s="14" t="str">
        <f aca="false">IF(AND($B383&lt;&gt;"",$AE383="",$AB383&lt;&gt;"",$AB383&lt;Boshqaruv!$C$12),"Ha","")</f>
        <v/>
      </c>
      <c r="AD383" s="25"/>
      <c r="AE383" s="13"/>
      <c r="AF383" s="12"/>
      <c r="AG383" s="14" t="str">
        <f aca="false">IF(OR($B383="",$C383="",$H383=""),"",IF(COUNTIFS($B$5:$B$804,$B383,$C$5:$C$804,$C383,$H$5:$H$804,$H383)&gt;1,"Takror",""))</f>
        <v/>
      </c>
      <c r="AH383" s="28" t="str">
        <f aca="false">IF(AND($B383&lt;&gt;"",$N383="Ha",$H383&lt;&gt;"",$H383&lt;=Boshqaruv!$C$12,OR($AE383="",$AE383&gt;Boshqaruv!$C$12)),MAX($AH$4:$AH382)+1,"")</f>
        <v/>
      </c>
    </row>
    <row r="384" customFormat="false" ht="15" hidden="false" customHeight="false" outlineLevel="0" collapsed="false">
      <c r="A384" s="20" t="n">
        <v>380</v>
      </c>
      <c r="B384" s="12"/>
      <c r="C384" s="13"/>
      <c r="D384" s="24"/>
      <c r="E384" s="12"/>
      <c r="F384" s="25"/>
      <c r="G384" s="27" t="str">
        <f aca="false">IF(OR($B384="",$C384=""),"",$B384&amp;" ("&amp;DAY($C384)&amp;"."&amp;MONTH($C384)&amp;"."&amp;YEAR($C384)&amp;")")</f>
        <v/>
      </c>
      <c r="H384" s="13"/>
      <c r="I384" s="13"/>
      <c r="J384" s="15" t="str">
        <f aca="false">IF($I384="","",$I384+280)</f>
        <v/>
      </c>
      <c r="K384" s="14" t="str">
        <f aca="false">IF(OR($I384="",$AE384&lt;&gt;""),"",INT((Boshqaruv!$C$12-$I384)/7))</f>
        <v/>
      </c>
      <c r="L384" s="14" t="str">
        <f aca="false">IF(OR($C384="",$H384=""),"",INT(($H384-$C384)/365.25))</f>
        <v/>
      </c>
      <c r="M384" s="14" t="str">
        <f aca="false">IF($L384="","",IF($L384&lt;18,"Ha","Yo'q"))</f>
        <v/>
      </c>
      <c r="N384" s="25"/>
      <c r="O384" s="25"/>
      <c r="P384" s="25"/>
      <c r="Q384" s="12"/>
      <c r="R384" s="25"/>
      <c r="S384" s="12"/>
      <c r="T384" s="13"/>
      <c r="U384" s="12"/>
      <c r="V384" s="25"/>
      <c r="W384" s="25"/>
      <c r="X384" s="14" t="str">
        <f aca="false">IF(OR($V384="",$W384=""),"",IF(AND($V384&gt;=Spravochnik!$H$5,$W384&gt;=Spravochnik!$H$6),"Ha","Yo'q"))</f>
        <v/>
      </c>
      <c r="Y384" s="13"/>
      <c r="Z384" s="13"/>
      <c r="AA384" s="13"/>
      <c r="AB384" s="13"/>
      <c r="AC384" s="14" t="str">
        <f aca="false">IF(AND($B384&lt;&gt;"",$AE384="",$AB384&lt;&gt;"",$AB384&lt;Boshqaruv!$C$12),"Ha","")</f>
        <v/>
      </c>
      <c r="AD384" s="25"/>
      <c r="AE384" s="13"/>
      <c r="AF384" s="12"/>
      <c r="AG384" s="14" t="str">
        <f aca="false">IF(OR($B384="",$C384="",$H384=""),"",IF(COUNTIFS($B$5:$B$804,$B384,$C$5:$C$804,$C384,$H$5:$H$804,$H384)&gt;1,"Takror",""))</f>
        <v/>
      </c>
      <c r="AH384" s="28" t="str">
        <f aca="false">IF(AND($B384&lt;&gt;"",$N384="Ha",$H384&lt;&gt;"",$H384&lt;=Boshqaruv!$C$12,OR($AE384="",$AE384&gt;Boshqaruv!$C$12)),MAX($AH$4:$AH383)+1,"")</f>
        <v/>
      </c>
    </row>
    <row r="385" customFormat="false" ht="15" hidden="false" customHeight="false" outlineLevel="0" collapsed="false">
      <c r="A385" s="20" t="n">
        <v>381</v>
      </c>
      <c r="B385" s="12"/>
      <c r="C385" s="13"/>
      <c r="D385" s="24"/>
      <c r="E385" s="12"/>
      <c r="F385" s="25"/>
      <c r="G385" s="27" t="str">
        <f aca="false">IF(OR($B385="",$C385=""),"",$B385&amp;" ("&amp;DAY($C385)&amp;"."&amp;MONTH($C385)&amp;"."&amp;YEAR($C385)&amp;")")</f>
        <v/>
      </c>
      <c r="H385" s="13"/>
      <c r="I385" s="13"/>
      <c r="J385" s="15" t="str">
        <f aca="false">IF($I385="","",$I385+280)</f>
        <v/>
      </c>
      <c r="K385" s="14" t="str">
        <f aca="false">IF(OR($I385="",$AE385&lt;&gt;""),"",INT((Boshqaruv!$C$12-$I385)/7))</f>
        <v/>
      </c>
      <c r="L385" s="14" t="str">
        <f aca="false">IF(OR($C385="",$H385=""),"",INT(($H385-$C385)/365.25))</f>
        <v/>
      </c>
      <c r="M385" s="14" t="str">
        <f aca="false">IF($L385="","",IF($L385&lt;18,"Ha","Yo'q"))</f>
        <v/>
      </c>
      <c r="N385" s="25"/>
      <c r="O385" s="25"/>
      <c r="P385" s="25"/>
      <c r="Q385" s="12"/>
      <c r="R385" s="25"/>
      <c r="S385" s="12"/>
      <c r="T385" s="13"/>
      <c r="U385" s="12"/>
      <c r="V385" s="25"/>
      <c r="W385" s="25"/>
      <c r="X385" s="14" t="str">
        <f aca="false">IF(OR($V385="",$W385=""),"",IF(AND($V385&gt;=Spravochnik!$H$5,$W385&gt;=Spravochnik!$H$6),"Ha","Yo'q"))</f>
        <v/>
      </c>
      <c r="Y385" s="13"/>
      <c r="Z385" s="13"/>
      <c r="AA385" s="13"/>
      <c r="AB385" s="13"/>
      <c r="AC385" s="14" t="str">
        <f aca="false">IF(AND($B385&lt;&gt;"",$AE385="",$AB385&lt;&gt;"",$AB385&lt;Boshqaruv!$C$12),"Ha","")</f>
        <v/>
      </c>
      <c r="AD385" s="25"/>
      <c r="AE385" s="13"/>
      <c r="AF385" s="12"/>
      <c r="AG385" s="14" t="str">
        <f aca="false">IF(OR($B385="",$C385="",$H385=""),"",IF(COUNTIFS($B$5:$B$804,$B385,$C$5:$C$804,$C385,$H$5:$H$804,$H385)&gt;1,"Takror",""))</f>
        <v/>
      </c>
      <c r="AH385" s="28" t="str">
        <f aca="false">IF(AND($B385&lt;&gt;"",$N385="Ha",$H385&lt;&gt;"",$H385&lt;=Boshqaruv!$C$12,OR($AE385="",$AE385&gt;Boshqaruv!$C$12)),MAX($AH$4:$AH384)+1,"")</f>
        <v/>
      </c>
    </row>
    <row r="386" customFormat="false" ht="15" hidden="false" customHeight="false" outlineLevel="0" collapsed="false">
      <c r="A386" s="20" t="n">
        <v>382</v>
      </c>
      <c r="B386" s="12"/>
      <c r="C386" s="13"/>
      <c r="D386" s="24"/>
      <c r="E386" s="12"/>
      <c r="F386" s="25"/>
      <c r="G386" s="27" t="str">
        <f aca="false">IF(OR($B386="",$C386=""),"",$B386&amp;" ("&amp;DAY($C386)&amp;"."&amp;MONTH($C386)&amp;"."&amp;YEAR($C386)&amp;")")</f>
        <v/>
      </c>
      <c r="H386" s="13"/>
      <c r="I386" s="13"/>
      <c r="J386" s="15" t="str">
        <f aca="false">IF($I386="","",$I386+280)</f>
        <v/>
      </c>
      <c r="K386" s="14" t="str">
        <f aca="false">IF(OR($I386="",$AE386&lt;&gt;""),"",INT((Boshqaruv!$C$12-$I386)/7))</f>
        <v/>
      </c>
      <c r="L386" s="14" t="str">
        <f aca="false">IF(OR($C386="",$H386=""),"",INT(($H386-$C386)/365.25))</f>
        <v/>
      </c>
      <c r="M386" s="14" t="str">
        <f aca="false">IF($L386="","",IF($L386&lt;18,"Ha","Yo'q"))</f>
        <v/>
      </c>
      <c r="N386" s="25"/>
      <c r="O386" s="25"/>
      <c r="P386" s="25"/>
      <c r="Q386" s="12"/>
      <c r="R386" s="25"/>
      <c r="S386" s="12"/>
      <c r="T386" s="13"/>
      <c r="U386" s="12"/>
      <c r="V386" s="25"/>
      <c r="W386" s="25"/>
      <c r="X386" s="14" t="str">
        <f aca="false">IF(OR($V386="",$W386=""),"",IF(AND($V386&gt;=Spravochnik!$H$5,$W386&gt;=Spravochnik!$H$6),"Ha","Yo'q"))</f>
        <v/>
      </c>
      <c r="Y386" s="13"/>
      <c r="Z386" s="13"/>
      <c r="AA386" s="13"/>
      <c r="AB386" s="13"/>
      <c r="AC386" s="14" t="str">
        <f aca="false">IF(AND($B386&lt;&gt;"",$AE386="",$AB386&lt;&gt;"",$AB386&lt;Boshqaruv!$C$12),"Ha","")</f>
        <v/>
      </c>
      <c r="AD386" s="25"/>
      <c r="AE386" s="13"/>
      <c r="AF386" s="12"/>
      <c r="AG386" s="14" t="str">
        <f aca="false">IF(OR($B386="",$C386="",$H386=""),"",IF(COUNTIFS($B$5:$B$804,$B386,$C$5:$C$804,$C386,$H$5:$H$804,$H386)&gt;1,"Takror",""))</f>
        <v/>
      </c>
      <c r="AH386" s="28" t="str">
        <f aca="false">IF(AND($B386&lt;&gt;"",$N386="Ha",$H386&lt;&gt;"",$H386&lt;=Boshqaruv!$C$12,OR($AE386="",$AE386&gt;Boshqaruv!$C$12)),MAX($AH$4:$AH385)+1,"")</f>
        <v/>
      </c>
    </row>
    <row r="387" customFormat="false" ht="15" hidden="false" customHeight="false" outlineLevel="0" collapsed="false">
      <c r="A387" s="20" t="n">
        <v>383</v>
      </c>
      <c r="B387" s="12"/>
      <c r="C387" s="13"/>
      <c r="D387" s="24"/>
      <c r="E387" s="12"/>
      <c r="F387" s="25"/>
      <c r="G387" s="27" t="str">
        <f aca="false">IF(OR($B387="",$C387=""),"",$B387&amp;" ("&amp;DAY($C387)&amp;"."&amp;MONTH($C387)&amp;"."&amp;YEAR($C387)&amp;")")</f>
        <v/>
      </c>
      <c r="H387" s="13"/>
      <c r="I387" s="13"/>
      <c r="J387" s="15" t="str">
        <f aca="false">IF($I387="","",$I387+280)</f>
        <v/>
      </c>
      <c r="K387" s="14" t="str">
        <f aca="false">IF(OR($I387="",$AE387&lt;&gt;""),"",INT((Boshqaruv!$C$12-$I387)/7))</f>
        <v/>
      </c>
      <c r="L387" s="14" t="str">
        <f aca="false">IF(OR($C387="",$H387=""),"",INT(($H387-$C387)/365.25))</f>
        <v/>
      </c>
      <c r="M387" s="14" t="str">
        <f aca="false">IF($L387="","",IF($L387&lt;18,"Ha","Yo'q"))</f>
        <v/>
      </c>
      <c r="N387" s="25"/>
      <c r="O387" s="25"/>
      <c r="P387" s="25"/>
      <c r="Q387" s="12"/>
      <c r="R387" s="25"/>
      <c r="S387" s="12"/>
      <c r="T387" s="13"/>
      <c r="U387" s="12"/>
      <c r="V387" s="25"/>
      <c r="W387" s="25"/>
      <c r="X387" s="14" t="str">
        <f aca="false">IF(OR($V387="",$W387=""),"",IF(AND($V387&gt;=Spravochnik!$H$5,$W387&gt;=Spravochnik!$H$6),"Ha","Yo'q"))</f>
        <v/>
      </c>
      <c r="Y387" s="13"/>
      <c r="Z387" s="13"/>
      <c r="AA387" s="13"/>
      <c r="AB387" s="13"/>
      <c r="AC387" s="14" t="str">
        <f aca="false">IF(AND($B387&lt;&gt;"",$AE387="",$AB387&lt;&gt;"",$AB387&lt;Boshqaruv!$C$12),"Ha","")</f>
        <v/>
      </c>
      <c r="AD387" s="25"/>
      <c r="AE387" s="13"/>
      <c r="AF387" s="12"/>
      <c r="AG387" s="14" t="str">
        <f aca="false">IF(OR($B387="",$C387="",$H387=""),"",IF(COUNTIFS($B$5:$B$804,$B387,$C$5:$C$804,$C387,$H$5:$H$804,$H387)&gt;1,"Takror",""))</f>
        <v/>
      </c>
      <c r="AH387" s="28" t="str">
        <f aca="false">IF(AND($B387&lt;&gt;"",$N387="Ha",$H387&lt;&gt;"",$H387&lt;=Boshqaruv!$C$12,OR($AE387="",$AE387&gt;Boshqaruv!$C$12)),MAX($AH$4:$AH386)+1,"")</f>
        <v/>
      </c>
    </row>
    <row r="388" customFormat="false" ht="15" hidden="false" customHeight="false" outlineLevel="0" collapsed="false">
      <c r="A388" s="20" t="n">
        <v>384</v>
      </c>
      <c r="B388" s="12"/>
      <c r="C388" s="13"/>
      <c r="D388" s="24"/>
      <c r="E388" s="12"/>
      <c r="F388" s="25"/>
      <c r="G388" s="27" t="str">
        <f aca="false">IF(OR($B388="",$C388=""),"",$B388&amp;" ("&amp;DAY($C388)&amp;"."&amp;MONTH($C388)&amp;"."&amp;YEAR($C388)&amp;")")</f>
        <v/>
      </c>
      <c r="H388" s="13"/>
      <c r="I388" s="13"/>
      <c r="J388" s="15" t="str">
        <f aca="false">IF($I388="","",$I388+280)</f>
        <v/>
      </c>
      <c r="K388" s="14" t="str">
        <f aca="false">IF(OR($I388="",$AE388&lt;&gt;""),"",INT((Boshqaruv!$C$12-$I388)/7))</f>
        <v/>
      </c>
      <c r="L388" s="14" t="str">
        <f aca="false">IF(OR($C388="",$H388=""),"",INT(($H388-$C388)/365.25))</f>
        <v/>
      </c>
      <c r="M388" s="14" t="str">
        <f aca="false">IF($L388="","",IF($L388&lt;18,"Ha","Yo'q"))</f>
        <v/>
      </c>
      <c r="N388" s="25"/>
      <c r="O388" s="25"/>
      <c r="P388" s="25"/>
      <c r="Q388" s="12"/>
      <c r="R388" s="25"/>
      <c r="S388" s="12"/>
      <c r="T388" s="13"/>
      <c r="U388" s="12"/>
      <c r="V388" s="25"/>
      <c r="W388" s="25"/>
      <c r="X388" s="14" t="str">
        <f aca="false">IF(OR($V388="",$W388=""),"",IF(AND($V388&gt;=Spravochnik!$H$5,$W388&gt;=Spravochnik!$H$6),"Ha","Yo'q"))</f>
        <v/>
      </c>
      <c r="Y388" s="13"/>
      <c r="Z388" s="13"/>
      <c r="AA388" s="13"/>
      <c r="AB388" s="13"/>
      <c r="AC388" s="14" t="str">
        <f aca="false">IF(AND($B388&lt;&gt;"",$AE388="",$AB388&lt;&gt;"",$AB388&lt;Boshqaruv!$C$12),"Ha","")</f>
        <v/>
      </c>
      <c r="AD388" s="25"/>
      <c r="AE388" s="13"/>
      <c r="AF388" s="12"/>
      <c r="AG388" s="14" t="str">
        <f aca="false">IF(OR($B388="",$C388="",$H388=""),"",IF(COUNTIFS($B$5:$B$804,$B388,$C$5:$C$804,$C388,$H$5:$H$804,$H388)&gt;1,"Takror",""))</f>
        <v/>
      </c>
      <c r="AH388" s="28" t="str">
        <f aca="false">IF(AND($B388&lt;&gt;"",$N388="Ha",$H388&lt;&gt;"",$H388&lt;=Boshqaruv!$C$12,OR($AE388="",$AE388&gt;Boshqaruv!$C$12)),MAX($AH$4:$AH387)+1,"")</f>
        <v/>
      </c>
    </row>
    <row r="389" customFormat="false" ht="15" hidden="false" customHeight="false" outlineLevel="0" collapsed="false">
      <c r="A389" s="20" t="n">
        <v>385</v>
      </c>
      <c r="B389" s="12"/>
      <c r="C389" s="13"/>
      <c r="D389" s="24"/>
      <c r="E389" s="12"/>
      <c r="F389" s="25"/>
      <c r="G389" s="27" t="str">
        <f aca="false">IF(OR($B389="",$C389=""),"",$B389&amp;" ("&amp;DAY($C389)&amp;"."&amp;MONTH($C389)&amp;"."&amp;YEAR($C389)&amp;")")</f>
        <v/>
      </c>
      <c r="H389" s="13"/>
      <c r="I389" s="13"/>
      <c r="J389" s="15" t="str">
        <f aca="false">IF($I389="","",$I389+280)</f>
        <v/>
      </c>
      <c r="K389" s="14" t="str">
        <f aca="false">IF(OR($I389="",$AE389&lt;&gt;""),"",INT((Boshqaruv!$C$12-$I389)/7))</f>
        <v/>
      </c>
      <c r="L389" s="14" t="str">
        <f aca="false">IF(OR($C389="",$H389=""),"",INT(($H389-$C389)/365.25))</f>
        <v/>
      </c>
      <c r="M389" s="14" t="str">
        <f aca="false">IF($L389="","",IF($L389&lt;18,"Ha","Yo'q"))</f>
        <v/>
      </c>
      <c r="N389" s="25"/>
      <c r="O389" s="25"/>
      <c r="P389" s="25"/>
      <c r="Q389" s="12"/>
      <c r="R389" s="25"/>
      <c r="S389" s="12"/>
      <c r="T389" s="13"/>
      <c r="U389" s="12"/>
      <c r="V389" s="25"/>
      <c r="W389" s="25"/>
      <c r="X389" s="14" t="str">
        <f aca="false">IF(OR($V389="",$W389=""),"",IF(AND($V389&gt;=Spravochnik!$H$5,$W389&gt;=Spravochnik!$H$6),"Ha","Yo'q"))</f>
        <v/>
      </c>
      <c r="Y389" s="13"/>
      <c r="Z389" s="13"/>
      <c r="AA389" s="13"/>
      <c r="AB389" s="13"/>
      <c r="AC389" s="14" t="str">
        <f aca="false">IF(AND($B389&lt;&gt;"",$AE389="",$AB389&lt;&gt;"",$AB389&lt;Boshqaruv!$C$12),"Ha","")</f>
        <v/>
      </c>
      <c r="AD389" s="25"/>
      <c r="AE389" s="13"/>
      <c r="AF389" s="12"/>
      <c r="AG389" s="14" t="str">
        <f aca="false">IF(OR($B389="",$C389="",$H389=""),"",IF(COUNTIFS($B$5:$B$804,$B389,$C$5:$C$804,$C389,$H$5:$H$804,$H389)&gt;1,"Takror",""))</f>
        <v/>
      </c>
      <c r="AH389" s="28" t="str">
        <f aca="false">IF(AND($B389&lt;&gt;"",$N389="Ha",$H389&lt;&gt;"",$H389&lt;=Boshqaruv!$C$12,OR($AE389="",$AE389&gt;Boshqaruv!$C$12)),MAX($AH$4:$AH388)+1,"")</f>
        <v/>
      </c>
    </row>
    <row r="390" customFormat="false" ht="15" hidden="false" customHeight="false" outlineLevel="0" collapsed="false">
      <c r="A390" s="20" t="n">
        <v>386</v>
      </c>
      <c r="B390" s="12"/>
      <c r="C390" s="13"/>
      <c r="D390" s="24"/>
      <c r="E390" s="12"/>
      <c r="F390" s="25"/>
      <c r="G390" s="27" t="str">
        <f aca="false">IF(OR($B390="",$C390=""),"",$B390&amp;" ("&amp;DAY($C390)&amp;"."&amp;MONTH($C390)&amp;"."&amp;YEAR($C390)&amp;")")</f>
        <v/>
      </c>
      <c r="H390" s="13"/>
      <c r="I390" s="13"/>
      <c r="J390" s="15" t="str">
        <f aca="false">IF($I390="","",$I390+280)</f>
        <v/>
      </c>
      <c r="K390" s="14" t="str">
        <f aca="false">IF(OR($I390="",$AE390&lt;&gt;""),"",INT((Boshqaruv!$C$12-$I390)/7))</f>
        <v/>
      </c>
      <c r="L390" s="14" t="str">
        <f aca="false">IF(OR($C390="",$H390=""),"",INT(($H390-$C390)/365.25))</f>
        <v/>
      </c>
      <c r="M390" s="14" t="str">
        <f aca="false">IF($L390="","",IF($L390&lt;18,"Ha","Yo'q"))</f>
        <v/>
      </c>
      <c r="N390" s="25"/>
      <c r="O390" s="25"/>
      <c r="P390" s="25"/>
      <c r="Q390" s="12"/>
      <c r="R390" s="25"/>
      <c r="S390" s="12"/>
      <c r="T390" s="13"/>
      <c r="U390" s="12"/>
      <c r="V390" s="25"/>
      <c r="W390" s="25"/>
      <c r="X390" s="14" t="str">
        <f aca="false">IF(OR($V390="",$W390=""),"",IF(AND($V390&gt;=Spravochnik!$H$5,$W390&gt;=Spravochnik!$H$6),"Ha","Yo'q"))</f>
        <v/>
      </c>
      <c r="Y390" s="13"/>
      <c r="Z390" s="13"/>
      <c r="AA390" s="13"/>
      <c r="AB390" s="13"/>
      <c r="AC390" s="14" t="str">
        <f aca="false">IF(AND($B390&lt;&gt;"",$AE390="",$AB390&lt;&gt;"",$AB390&lt;Boshqaruv!$C$12),"Ha","")</f>
        <v/>
      </c>
      <c r="AD390" s="25"/>
      <c r="AE390" s="13"/>
      <c r="AF390" s="12"/>
      <c r="AG390" s="14" t="str">
        <f aca="false">IF(OR($B390="",$C390="",$H390=""),"",IF(COUNTIFS($B$5:$B$804,$B390,$C$5:$C$804,$C390,$H$5:$H$804,$H390)&gt;1,"Takror",""))</f>
        <v/>
      </c>
      <c r="AH390" s="28" t="str">
        <f aca="false">IF(AND($B390&lt;&gt;"",$N390="Ha",$H390&lt;&gt;"",$H390&lt;=Boshqaruv!$C$12,OR($AE390="",$AE390&gt;Boshqaruv!$C$12)),MAX($AH$4:$AH389)+1,"")</f>
        <v/>
      </c>
    </row>
    <row r="391" customFormat="false" ht="15" hidden="false" customHeight="false" outlineLevel="0" collapsed="false">
      <c r="A391" s="20" t="n">
        <v>387</v>
      </c>
      <c r="B391" s="12"/>
      <c r="C391" s="13"/>
      <c r="D391" s="24"/>
      <c r="E391" s="12"/>
      <c r="F391" s="25"/>
      <c r="G391" s="27" t="str">
        <f aca="false">IF(OR($B391="",$C391=""),"",$B391&amp;" ("&amp;DAY($C391)&amp;"."&amp;MONTH($C391)&amp;"."&amp;YEAR($C391)&amp;")")</f>
        <v/>
      </c>
      <c r="H391" s="13"/>
      <c r="I391" s="13"/>
      <c r="J391" s="15" t="str">
        <f aca="false">IF($I391="","",$I391+280)</f>
        <v/>
      </c>
      <c r="K391" s="14" t="str">
        <f aca="false">IF(OR($I391="",$AE391&lt;&gt;""),"",INT((Boshqaruv!$C$12-$I391)/7))</f>
        <v/>
      </c>
      <c r="L391" s="14" t="str">
        <f aca="false">IF(OR($C391="",$H391=""),"",INT(($H391-$C391)/365.25))</f>
        <v/>
      </c>
      <c r="M391" s="14" t="str">
        <f aca="false">IF($L391="","",IF($L391&lt;18,"Ha","Yo'q"))</f>
        <v/>
      </c>
      <c r="N391" s="25"/>
      <c r="O391" s="25"/>
      <c r="P391" s="25"/>
      <c r="Q391" s="12"/>
      <c r="R391" s="25"/>
      <c r="S391" s="12"/>
      <c r="T391" s="13"/>
      <c r="U391" s="12"/>
      <c r="V391" s="25"/>
      <c r="W391" s="25"/>
      <c r="X391" s="14" t="str">
        <f aca="false">IF(OR($V391="",$W391=""),"",IF(AND($V391&gt;=Spravochnik!$H$5,$W391&gt;=Spravochnik!$H$6),"Ha","Yo'q"))</f>
        <v/>
      </c>
      <c r="Y391" s="13"/>
      <c r="Z391" s="13"/>
      <c r="AA391" s="13"/>
      <c r="AB391" s="13"/>
      <c r="AC391" s="14" t="str">
        <f aca="false">IF(AND($B391&lt;&gt;"",$AE391="",$AB391&lt;&gt;"",$AB391&lt;Boshqaruv!$C$12),"Ha","")</f>
        <v/>
      </c>
      <c r="AD391" s="25"/>
      <c r="AE391" s="13"/>
      <c r="AF391" s="12"/>
      <c r="AG391" s="14" t="str">
        <f aca="false">IF(OR($B391="",$C391="",$H391=""),"",IF(COUNTIFS($B$5:$B$804,$B391,$C$5:$C$804,$C391,$H$5:$H$804,$H391)&gt;1,"Takror",""))</f>
        <v/>
      </c>
      <c r="AH391" s="28" t="str">
        <f aca="false">IF(AND($B391&lt;&gt;"",$N391="Ha",$H391&lt;&gt;"",$H391&lt;=Boshqaruv!$C$12,OR($AE391="",$AE391&gt;Boshqaruv!$C$12)),MAX($AH$4:$AH390)+1,"")</f>
        <v/>
      </c>
    </row>
    <row r="392" customFormat="false" ht="15" hidden="false" customHeight="false" outlineLevel="0" collapsed="false">
      <c r="A392" s="20" t="n">
        <v>388</v>
      </c>
      <c r="B392" s="12"/>
      <c r="C392" s="13"/>
      <c r="D392" s="24"/>
      <c r="E392" s="12"/>
      <c r="F392" s="25"/>
      <c r="G392" s="27" t="str">
        <f aca="false">IF(OR($B392="",$C392=""),"",$B392&amp;" ("&amp;DAY($C392)&amp;"."&amp;MONTH($C392)&amp;"."&amp;YEAR($C392)&amp;")")</f>
        <v/>
      </c>
      <c r="H392" s="13"/>
      <c r="I392" s="13"/>
      <c r="J392" s="15" t="str">
        <f aca="false">IF($I392="","",$I392+280)</f>
        <v/>
      </c>
      <c r="K392" s="14" t="str">
        <f aca="false">IF(OR($I392="",$AE392&lt;&gt;""),"",INT((Boshqaruv!$C$12-$I392)/7))</f>
        <v/>
      </c>
      <c r="L392" s="14" t="str">
        <f aca="false">IF(OR($C392="",$H392=""),"",INT(($H392-$C392)/365.25))</f>
        <v/>
      </c>
      <c r="M392" s="14" t="str">
        <f aca="false">IF($L392="","",IF($L392&lt;18,"Ha","Yo'q"))</f>
        <v/>
      </c>
      <c r="N392" s="25"/>
      <c r="O392" s="25"/>
      <c r="P392" s="25"/>
      <c r="Q392" s="12"/>
      <c r="R392" s="25"/>
      <c r="S392" s="12"/>
      <c r="T392" s="13"/>
      <c r="U392" s="12"/>
      <c r="V392" s="25"/>
      <c r="W392" s="25"/>
      <c r="X392" s="14" t="str">
        <f aca="false">IF(OR($V392="",$W392=""),"",IF(AND($V392&gt;=Spravochnik!$H$5,$W392&gt;=Spravochnik!$H$6),"Ha","Yo'q"))</f>
        <v/>
      </c>
      <c r="Y392" s="13"/>
      <c r="Z392" s="13"/>
      <c r="AA392" s="13"/>
      <c r="AB392" s="13"/>
      <c r="AC392" s="14" t="str">
        <f aca="false">IF(AND($B392&lt;&gt;"",$AE392="",$AB392&lt;&gt;"",$AB392&lt;Boshqaruv!$C$12),"Ha","")</f>
        <v/>
      </c>
      <c r="AD392" s="25"/>
      <c r="AE392" s="13"/>
      <c r="AF392" s="12"/>
      <c r="AG392" s="14" t="str">
        <f aca="false">IF(OR($B392="",$C392="",$H392=""),"",IF(COUNTIFS($B$5:$B$804,$B392,$C$5:$C$804,$C392,$H$5:$H$804,$H392)&gt;1,"Takror",""))</f>
        <v/>
      </c>
      <c r="AH392" s="28" t="str">
        <f aca="false">IF(AND($B392&lt;&gt;"",$N392="Ha",$H392&lt;&gt;"",$H392&lt;=Boshqaruv!$C$12,OR($AE392="",$AE392&gt;Boshqaruv!$C$12)),MAX($AH$4:$AH391)+1,"")</f>
        <v/>
      </c>
    </row>
    <row r="393" customFormat="false" ht="15" hidden="false" customHeight="false" outlineLevel="0" collapsed="false">
      <c r="A393" s="20" t="n">
        <v>389</v>
      </c>
      <c r="B393" s="12"/>
      <c r="C393" s="13"/>
      <c r="D393" s="24"/>
      <c r="E393" s="12"/>
      <c r="F393" s="25"/>
      <c r="G393" s="27" t="str">
        <f aca="false">IF(OR($B393="",$C393=""),"",$B393&amp;" ("&amp;DAY($C393)&amp;"."&amp;MONTH($C393)&amp;"."&amp;YEAR($C393)&amp;")")</f>
        <v/>
      </c>
      <c r="H393" s="13"/>
      <c r="I393" s="13"/>
      <c r="J393" s="15" t="str">
        <f aca="false">IF($I393="","",$I393+280)</f>
        <v/>
      </c>
      <c r="K393" s="14" t="str">
        <f aca="false">IF(OR($I393="",$AE393&lt;&gt;""),"",INT((Boshqaruv!$C$12-$I393)/7))</f>
        <v/>
      </c>
      <c r="L393" s="14" t="str">
        <f aca="false">IF(OR($C393="",$H393=""),"",INT(($H393-$C393)/365.25))</f>
        <v/>
      </c>
      <c r="M393" s="14" t="str">
        <f aca="false">IF($L393="","",IF($L393&lt;18,"Ha","Yo'q"))</f>
        <v/>
      </c>
      <c r="N393" s="25"/>
      <c r="O393" s="25"/>
      <c r="P393" s="25"/>
      <c r="Q393" s="12"/>
      <c r="R393" s="25"/>
      <c r="S393" s="12"/>
      <c r="T393" s="13"/>
      <c r="U393" s="12"/>
      <c r="V393" s="25"/>
      <c r="W393" s="25"/>
      <c r="X393" s="14" t="str">
        <f aca="false">IF(OR($V393="",$W393=""),"",IF(AND($V393&gt;=Spravochnik!$H$5,$W393&gt;=Spravochnik!$H$6),"Ha","Yo'q"))</f>
        <v/>
      </c>
      <c r="Y393" s="13"/>
      <c r="Z393" s="13"/>
      <c r="AA393" s="13"/>
      <c r="AB393" s="13"/>
      <c r="AC393" s="14" t="str">
        <f aca="false">IF(AND($B393&lt;&gt;"",$AE393="",$AB393&lt;&gt;"",$AB393&lt;Boshqaruv!$C$12),"Ha","")</f>
        <v/>
      </c>
      <c r="AD393" s="25"/>
      <c r="AE393" s="13"/>
      <c r="AF393" s="12"/>
      <c r="AG393" s="14" t="str">
        <f aca="false">IF(OR($B393="",$C393="",$H393=""),"",IF(COUNTIFS($B$5:$B$804,$B393,$C$5:$C$804,$C393,$H$5:$H$804,$H393)&gt;1,"Takror",""))</f>
        <v/>
      </c>
      <c r="AH393" s="28" t="str">
        <f aca="false">IF(AND($B393&lt;&gt;"",$N393="Ha",$H393&lt;&gt;"",$H393&lt;=Boshqaruv!$C$12,OR($AE393="",$AE393&gt;Boshqaruv!$C$12)),MAX($AH$4:$AH392)+1,"")</f>
        <v/>
      </c>
    </row>
    <row r="394" customFormat="false" ht="15" hidden="false" customHeight="false" outlineLevel="0" collapsed="false">
      <c r="A394" s="20" t="n">
        <v>390</v>
      </c>
      <c r="B394" s="12"/>
      <c r="C394" s="13"/>
      <c r="D394" s="24"/>
      <c r="E394" s="12"/>
      <c r="F394" s="25"/>
      <c r="G394" s="27" t="str">
        <f aca="false">IF(OR($B394="",$C394=""),"",$B394&amp;" ("&amp;DAY($C394)&amp;"."&amp;MONTH($C394)&amp;"."&amp;YEAR($C394)&amp;")")</f>
        <v/>
      </c>
      <c r="H394" s="13"/>
      <c r="I394" s="13"/>
      <c r="J394" s="15" t="str">
        <f aca="false">IF($I394="","",$I394+280)</f>
        <v/>
      </c>
      <c r="K394" s="14" t="str">
        <f aca="false">IF(OR($I394="",$AE394&lt;&gt;""),"",INT((Boshqaruv!$C$12-$I394)/7))</f>
        <v/>
      </c>
      <c r="L394" s="14" t="str">
        <f aca="false">IF(OR($C394="",$H394=""),"",INT(($H394-$C394)/365.25))</f>
        <v/>
      </c>
      <c r="M394" s="14" t="str">
        <f aca="false">IF($L394="","",IF($L394&lt;18,"Ha","Yo'q"))</f>
        <v/>
      </c>
      <c r="N394" s="25"/>
      <c r="O394" s="25"/>
      <c r="P394" s="25"/>
      <c r="Q394" s="12"/>
      <c r="R394" s="25"/>
      <c r="S394" s="12"/>
      <c r="T394" s="13"/>
      <c r="U394" s="12"/>
      <c r="V394" s="25"/>
      <c r="W394" s="25"/>
      <c r="X394" s="14" t="str">
        <f aca="false">IF(OR($V394="",$W394=""),"",IF(AND($V394&gt;=Spravochnik!$H$5,$W394&gt;=Spravochnik!$H$6),"Ha","Yo'q"))</f>
        <v/>
      </c>
      <c r="Y394" s="13"/>
      <c r="Z394" s="13"/>
      <c r="AA394" s="13"/>
      <c r="AB394" s="13"/>
      <c r="AC394" s="14" t="str">
        <f aca="false">IF(AND($B394&lt;&gt;"",$AE394="",$AB394&lt;&gt;"",$AB394&lt;Boshqaruv!$C$12),"Ha","")</f>
        <v/>
      </c>
      <c r="AD394" s="25"/>
      <c r="AE394" s="13"/>
      <c r="AF394" s="12"/>
      <c r="AG394" s="14" t="str">
        <f aca="false">IF(OR($B394="",$C394="",$H394=""),"",IF(COUNTIFS($B$5:$B$804,$B394,$C$5:$C$804,$C394,$H$5:$H$804,$H394)&gt;1,"Takror",""))</f>
        <v/>
      </c>
      <c r="AH394" s="28" t="str">
        <f aca="false">IF(AND($B394&lt;&gt;"",$N394="Ha",$H394&lt;&gt;"",$H394&lt;=Boshqaruv!$C$12,OR($AE394="",$AE394&gt;Boshqaruv!$C$12)),MAX($AH$4:$AH393)+1,"")</f>
        <v/>
      </c>
    </row>
    <row r="395" customFormat="false" ht="15" hidden="false" customHeight="false" outlineLevel="0" collapsed="false">
      <c r="A395" s="20" t="n">
        <v>391</v>
      </c>
      <c r="B395" s="12"/>
      <c r="C395" s="13"/>
      <c r="D395" s="24"/>
      <c r="E395" s="12"/>
      <c r="F395" s="25"/>
      <c r="G395" s="27" t="str">
        <f aca="false">IF(OR($B395="",$C395=""),"",$B395&amp;" ("&amp;DAY($C395)&amp;"."&amp;MONTH($C395)&amp;"."&amp;YEAR($C395)&amp;")")</f>
        <v/>
      </c>
      <c r="H395" s="13"/>
      <c r="I395" s="13"/>
      <c r="J395" s="15" t="str">
        <f aca="false">IF($I395="","",$I395+280)</f>
        <v/>
      </c>
      <c r="K395" s="14" t="str">
        <f aca="false">IF(OR($I395="",$AE395&lt;&gt;""),"",INT((Boshqaruv!$C$12-$I395)/7))</f>
        <v/>
      </c>
      <c r="L395" s="14" t="str">
        <f aca="false">IF(OR($C395="",$H395=""),"",INT(($H395-$C395)/365.25))</f>
        <v/>
      </c>
      <c r="M395" s="14" t="str">
        <f aca="false">IF($L395="","",IF($L395&lt;18,"Ha","Yo'q"))</f>
        <v/>
      </c>
      <c r="N395" s="25"/>
      <c r="O395" s="25"/>
      <c r="P395" s="25"/>
      <c r="Q395" s="12"/>
      <c r="R395" s="25"/>
      <c r="S395" s="12"/>
      <c r="T395" s="13"/>
      <c r="U395" s="12"/>
      <c r="V395" s="25"/>
      <c r="W395" s="25"/>
      <c r="X395" s="14" t="str">
        <f aca="false">IF(OR($V395="",$W395=""),"",IF(AND($V395&gt;=Spravochnik!$H$5,$W395&gt;=Spravochnik!$H$6),"Ha","Yo'q"))</f>
        <v/>
      </c>
      <c r="Y395" s="13"/>
      <c r="Z395" s="13"/>
      <c r="AA395" s="13"/>
      <c r="AB395" s="13"/>
      <c r="AC395" s="14" t="str">
        <f aca="false">IF(AND($B395&lt;&gt;"",$AE395="",$AB395&lt;&gt;"",$AB395&lt;Boshqaruv!$C$12),"Ha","")</f>
        <v/>
      </c>
      <c r="AD395" s="25"/>
      <c r="AE395" s="13"/>
      <c r="AF395" s="12"/>
      <c r="AG395" s="14" t="str">
        <f aca="false">IF(OR($B395="",$C395="",$H395=""),"",IF(COUNTIFS($B$5:$B$804,$B395,$C$5:$C$804,$C395,$H$5:$H$804,$H395)&gt;1,"Takror",""))</f>
        <v/>
      </c>
      <c r="AH395" s="28" t="str">
        <f aca="false">IF(AND($B395&lt;&gt;"",$N395="Ha",$H395&lt;&gt;"",$H395&lt;=Boshqaruv!$C$12,OR($AE395="",$AE395&gt;Boshqaruv!$C$12)),MAX($AH$4:$AH394)+1,"")</f>
        <v/>
      </c>
    </row>
    <row r="396" customFormat="false" ht="15" hidden="false" customHeight="false" outlineLevel="0" collapsed="false">
      <c r="A396" s="20" t="n">
        <v>392</v>
      </c>
      <c r="B396" s="12"/>
      <c r="C396" s="13"/>
      <c r="D396" s="24"/>
      <c r="E396" s="12"/>
      <c r="F396" s="25"/>
      <c r="G396" s="27" t="str">
        <f aca="false">IF(OR($B396="",$C396=""),"",$B396&amp;" ("&amp;DAY($C396)&amp;"."&amp;MONTH($C396)&amp;"."&amp;YEAR($C396)&amp;")")</f>
        <v/>
      </c>
      <c r="H396" s="13"/>
      <c r="I396" s="13"/>
      <c r="J396" s="15" t="str">
        <f aca="false">IF($I396="","",$I396+280)</f>
        <v/>
      </c>
      <c r="K396" s="14" t="str">
        <f aca="false">IF(OR($I396="",$AE396&lt;&gt;""),"",INT((Boshqaruv!$C$12-$I396)/7))</f>
        <v/>
      </c>
      <c r="L396" s="14" t="str">
        <f aca="false">IF(OR($C396="",$H396=""),"",INT(($H396-$C396)/365.25))</f>
        <v/>
      </c>
      <c r="M396" s="14" t="str">
        <f aca="false">IF($L396="","",IF($L396&lt;18,"Ha","Yo'q"))</f>
        <v/>
      </c>
      <c r="N396" s="25"/>
      <c r="O396" s="25"/>
      <c r="P396" s="25"/>
      <c r="Q396" s="12"/>
      <c r="R396" s="25"/>
      <c r="S396" s="12"/>
      <c r="T396" s="13"/>
      <c r="U396" s="12"/>
      <c r="V396" s="25"/>
      <c r="W396" s="25"/>
      <c r="X396" s="14" t="str">
        <f aca="false">IF(OR($V396="",$W396=""),"",IF(AND($V396&gt;=Spravochnik!$H$5,$W396&gt;=Spravochnik!$H$6),"Ha","Yo'q"))</f>
        <v/>
      </c>
      <c r="Y396" s="13"/>
      <c r="Z396" s="13"/>
      <c r="AA396" s="13"/>
      <c r="AB396" s="13"/>
      <c r="AC396" s="14" t="str">
        <f aca="false">IF(AND($B396&lt;&gt;"",$AE396="",$AB396&lt;&gt;"",$AB396&lt;Boshqaruv!$C$12),"Ha","")</f>
        <v/>
      </c>
      <c r="AD396" s="25"/>
      <c r="AE396" s="13"/>
      <c r="AF396" s="12"/>
      <c r="AG396" s="14" t="str">
        <f aca="false">IF(OR($B396="",$C396="",$H396=""),"",IF(COUNTIFS($B$5:$B$804,$B396,$C$5:$C$804,$C396,$H$5:$H$804,$H396)&gt;1,"Takror",""))</f>
        <v/>
      </c>
      <c r="AH396" s="28" t="str">
        <f aca="false">IF(AND($B396&lt;&gt;"",$N396="Ha",$H396&lt;&gt;"",$H396&lt;=Boshqaruv!$C$12,OR($AE396="",$AE396&gt;Boshqaruv!$C$12)),MAX($AH$4:$AH395)+1,"")</f>
        <v/>
      </c>
    </row>
    <row r="397" customFormat="false" ht="15" hidden="false" customHeight="false" outlineLevel="0" collapsed="false">
      <c r="A397" s="20" t="n">
        <v>393</v>
      </c>
      <c r="B397" s="12"/>
      <c r="C397" s="13"/>
      <c r="D397" s="24"/>
      <c r="E397" s="12"/>
      <c r="F397" s="25"/>
      <c r="G397" s="27" t="str">
        <f aca="false">IF(OR($B397="",$C397=""),"",$B397&amp;" ("&amp;DAY($C397)&amp;"."&amp;MONTH($C397)&amp;"."&amp;YEAR($C397)&amp;")")</f>
        <v/>
      </c>
      <c r="H397" s="13"/>
      <c r="I397" s="13"/>
      <c r="J397" s="15" t="str">
        <f aca="false">IF($I397="","",$I397+280)</f>
        <v/>
      </c>
      <c r="K397" s="14" t="str">
        <f aca="false">IF(OR($I397="",$AE397&lt;&gt;""),"",INT((Boshqaruv!$C$12-$I397)/7))</f>
        <v/>
      </c>
      <c r="L397" s="14" t="str">
        <f aca="false">IF(OR($C397="",$H397=""),"",INT(($H397-$C397)/365.25))</f>
        <v/>
      </c>
      <c r="M397" s="14" t="str">
        <f aca="false">IF($L397="","",IF($L397&lt;18,"Ha","Yo'q"))</f>
        <v/>
      </c>
      <c r="N397" s="25"/>
      <c r="O397" s="25"/>
      <c r="P397" s="25"/>
      <c r="Q397" s="12"/>
      <c r="R397" s="25"/>
      <c r="S397" s="12"/>
      <c r="T397" s="13"/>
      <c r="U397" s="12"/>
      <c r="V397" s="25"/>
      <c r="W397" s="25"/>
      <c r="X397" s="14" t="str">
        <f aca="false">IF(OR($V397="",$W397=""),"",IF(AND($V397&gt;=Spravochnik!$H$5,$W397&gt;=Spravochnik!$H$6),"Ha","Yo'q"))</f>
        <v/>
      </c>
      <c r="Y397" s="13"/>
      <c r="Z397" s="13"/>
      <c r="AA397" s="13"/>
      <c r="AB397" s="13"/>
      <c r="AC397" s="14" t="str">
        <f aca="false">IF(AND($B397&lt;&gt;"",$AE397="",$AB397&lt;&gt;"",$AB397&lt;Boshqaruv!$C$12),"Ha","")</f>
        <v/>
      </c>
      <c r="AD397" s="25"/>
      <c r="AE397" s="13"/>
      <c r="AF397" s="12"/>
      <c r="AG397" s="14" t="str">
        <f aca="false">IF(OR($B397="",$C397="",$H397=""),"",IF(COUNTIFS($B$5:$B$804,$B397,$C$5:$C$804,$C397,$H$5:$H$804,$H397)&gt;1,"Takror",""))</f>
        <v/>
      </c>
      <c r="AH397" s="28" t="str">
        <f aca="false">IF(AND($B397&lt;&gt;"",$N397="Ha",$H397&lt;&gt;"",$H397&lt;=Boshqaruv!$C$12,OR($AE397="",$AE397&gt;Boshqaruv!$C$12)),MAX($AH$4:$AH396)+1,"")</f>
        <v/>
      </c>
    </row>
    <row r="398" customFormat="false" ht="15" hidden="false" customHeight="false" outlineLevel="0" collapsed="false">
      <c r="A398" s="20" t="n">
        <v>394</v>
      </c>
      <c r="B398" s="12"/>
      <c r="C398" s="13"/>
      <c r="D398" s="24"/>
      <c r="E398" s="12"/>
      <c r="F398" s="25"/>
      <c r="G398" s="27" t="str">
        <f aca="false">IF(OR($B398="",$C398=""),"",$B398&amp;" ("&amp;DAY($C398)&amp;"."&amp;MONTH($C398)&amp;"."&amp;YEAR($C398)&amp;")")</f>
        <v/>
      </c>
      <c r="H398" s="13"/>
      <c r="I398" s="13"/>
      <c r="J398" s="15" t="str">
        <f aca="false">IF($I398="","",$I398+280)</f>
        <v/>
      </c>
      <c r="K398" s="14" t="str">
        <f aca="false">IF(OR($I398="",$AE398&lt;&gt;""),"",INT((Boshqaruv!$C$12-$I398)/7))</f>
        <v/>
      </c>
      <c r="L398" s="14" t="str">
        <f aca="false">IF(OR($C398="",$H398=""),"",INT(($H398-$C398)/365.25))</f>
        <v/>
      </c>
      <c r="M398" s="14" t="str">
        <f aca="false">IF($L398="","",IF($L398&lt;18,"Ha","Yo'q"))</f>
        <v/>
      </c>
      <c r="N398" s="25"/>
      <c r="O398" s="25"/>
      <c r="P398" s="25"/>
      <c r="Q398" s="12"/>
      <c r="R398" s="25"/>
      <c r="S398" s="12"/>
      <c r="T398" s="13"/>
      <c r="U398" s="12"/>
      <c r="V398" s="25"/>
      <c r="W398" s="25"/>
      <c r="X398" s="14" t="str">
        <f aca="false">IF(OR($V398="",$W398=""),"",IF(AND($V398&gt;=Spravochnik!$H$5,$W398&gt;=Spravochnik!$H$6),"Ha","Yo'q"))</f>
        <v/>
      </c>
      <c r="Y398" s="13"/>
      <c r="Z398" s="13"/>
      <c r="AA398" s="13"/>
      <c r="AB398" s="13"/>
      <c r="AC398" s="14" t="str">
        <f aca="false">IF(AND($B398&lt;&gt;"",$AE398="",$AB398&lt;&gt;"",$AB398&lt;Boshqaruv!$C$12),"Ha","")</f>
        <v/>
      </c>
      <c r="AD398" s="25"/>
      <c r="AE398" s="13"/>
      <c r="AF398" s="12"/>
      <c r="AG398" s="14" t="str">
        <f aca="false">IF(OR($B398="",$C398="",$H398=""),"",IF(COUNTIFS($B$5:$B$804,$B398,$C$5:$C$804,$C398,$H$5:$H$804,$H398)&gt;1,"Takror",""))</f>
        <v/>
      </c>
      <c r="AH398" s="28" t="str">
        <f aca="false">IF(AND($B398&lt;&gt;"",$N398="Ha",$H398&lt;&gt;"",$H398&lt;=Boshqaruv!$C$12,OR($AE398="",$AE398&gt;Boshqaruv!$C$12)),MAX($AH$4:$AH397)+1,"")</f>
        <v/>
      </c>
    </row>
    <row r="399" customFormat="false" ht="15" hidden="false" customHeight="false" outlineLevel="0" collapsed="false">
      <c r="A399" s="20" t="n">
        <v>395</v>
      </c>
      <c r="B399" s="12"/>
      <c r="C399" s="13"/>
      <c r="D399" s="24"/>
      <c r="E399" s="12"/>
      <c r="F399" s="25"/>
      <c r="G399" s="27" t="str">
        <f aca="false">IF(OR($B399="",$C399=""),"",$B399&amp;" ("&amp;DAY($C399)&amp;"."&amp;MONTH($C399)&amp;"."&amp;YEAR($C399)&amp;")")</f>
        <v/>
      </c>
      <c r="H399" s="13"/>
      <c r="I399" s="13"/>
      <c r="J399" s="15" t="str">
        <f aca="false">IF($I399="","",$I399+280)</f>
        <v/>
      </c>
      <c r="K399" s="14" t="str">
        <f aca="false">IF(OR($I399="",$AE399&lt;&gt;""),"",INT((Boshqaruv!$C$12-$I399)/7))</f>
        <v/>
      </c>
      <c r="L399" s="14" t="str">
        <f aca="false">IF(OR($C399="",$H399=""),"",INT(($H399-$C399)/365.25))</f>
        <v/>
      </c>
      <c r="M399" s="14" t="str">
        <f aca="false">IF($L399="","",IF($L399&lt;18,"Ha","Yo'q"))</f>
        <v/>
      </c>
      <c r="N399" s="25"/>
      <c r="O399" s="25"/>
      <c r="P399" s="25"/>
      <c r="Q399" s="12"/>
      <c r="R399" s="25"/>
      <c r="S399" s="12"/>
      <c r="T399" s="13"/>
      <c r="U399" s="12"/>
      <c r="V399" s="25"/>
      <c r="W399" s="25"/>
      <c r="X399" s="14" t="str">
        <f aca="false">IF(OR($V399="",$W399=""),"",IF(AND($V399&gt;=Spravochnik!$H$5,$W399&gt;=Spravochnik!$H$6),"Ha","Yo'q"))</f>
        <v/>
      </c>
      <c r="Y399" s="13"/>
      <c r="Z399" s="13"/>
      <c r="AA399" s="13"/>
      <c r="AB399" s="13"/>
      <c r="AC399" s="14" t="str">
        <f aca="false">IF(AND($B399&lt;&gt;"",$AE399="",$AB399&lt;&gt;"",$AB399&lt;Boshqaruv!$C$12),"Ha","")</f>
        <v/>
      </c>
      <c r="AD399" s="25"/>
      <c r="AE399" s="13"/>
      <c r="AF399" s="12"/>
      <c r="AG399" s="14" t="str">
        <f aca="false">IF(OR($B399="",$C399="",$H399=""),"",IF(COUNTIFS($B$5:$B$804,$B399,$C$5:$C$804,$C399,$H$5:$H$804,$H399)&gt;1,"Takror",""))</f>
        <v/>
      </c>
      <c r="AH399" s="28" t="str">
        <f aca="false">IF(AND($B399&lt;&gt;"",$N399="Ha",$H399&lt;&gt;"",$H399&lt;=Boshqaruv!$C$12,OR($AE399="",$AE399&gt;Boshqaruv!$C$12)),MAX($AH$4:$AH398)+1,"")</f>
        <v/>
      </c>
    </row>
    <row r="400" customFormat="false" ht="15" hidden="false" customHeight="false" outlineLevel="0" collapsed="false">
      <c r="A400" s="20" t="n">
        <v>396</v>
      </c>
      <c r="B400" s="12"/>
      <c r="C400" s="13"/>
      <c r="D400" s="24"/>
      <c r="E400" s="12"/>
      <c r="F400" s="25"/>
      <c r="G400" s="27" t="str">
        <f aca="false">IF(OR($B400="",$C400=""),"",$B400&amp;" ("&amp;DAY($C400)&amp;"."&amp;MONTH($C400)&amp;"."&amp;YEAR($C400)&amp;")")</f>
        <v/>
      </c>
      <c r="H400" s="13"/>
      <c r="I400" s="13"/>
      <c r="J400" s="15" t="str">
        <f aca="false">IF($I400="","",$I400+280)</f>
        <v/>
      </c>
      <c r="K400" s="14" t="str">
        <f aca="false">IF(OR($I400="",$AE400&lt;&gt;""),"",INT((Boshqaruv!$C$12-$I400)/7))</f>
        <v/>
      </c>
      <c r="L400" s="14" t="str">
        <f aca="false">IF(OR($C400="",$H400=""),"",INT(($H400-$C400)/365.25))</f>
        <v/>
      </c>
      <c r="M400" s="14" t="str">
        <f aca="false">IF($L400="","",IF($L400&lt;18,"Ha","Yo'q"))</f>
        <v/>
      </c>
      <c r="N400" s="25"/>
      <c r="O400" s="25"/>
      <c r="P400" s="25"/>
      <c r="Q400" s="12"/>
      <c r="R400" s="25"/>
      <c r="S400" s="12"/>
      <c r="T400" s="13"/>
      <c r="U400" s="12"/>
      <c r="V400" s="25"/>
      <c r="W400" s="25"/>
      <c r="X400" s="14" t="str">
        <f aca="false">IF(OR($V400="",$W400=""),"",IF(AND($V400&gt;=Spravochnik!$H$5,$W400&gt;=Spravochnik!$H$6),"Ha","Yo'q"))</f>
        <v/>
      </c>
      <c r="Y400" s="13"/>
      <c r="Z400" s="13"/>
      <c r="AA400" s="13"/>
      <c r="AB400" s="13"/>
      <c r="AC400" s="14" t="str">
        <f aca="false">IF(AND($B400&lt;&gt;"",$AE400="",$AB400&lt;&gt;"",$AB400&lt;Boshqaruv!$C$12),"Ha","")</f>
        <v/>
      </c>
      <c r="AD400" s="25"/>
      <c r="AE400" s="13"/>
      <c r="AF400" s="12"/>
      <c r="AG400" s="14" t="str">
        <f aca="false">IF(OR($B400="",$C400="",$H400=""),"",IF(COUNTIFS($B$5:$B$804,$B400,$C$5:$C$804,$C400,$H$5:$H$804,$H400)&gt;1,"Takror",""))</f>
        <v/>
      </c>
      <c r="AH400" s="28" t="str">
        <f aca="false">IF(AND($B400&lt;&gt;"",$N400="Ha",$H400&lt;&gt;"",$H400&lt;=Boshqaruv!$C$12,OR($AE400="",$AE400&gt;Boshqaruv!$C$12)),MAX($AH$4:$AH399)+1,"")</f>
        <v/>
      </c>
    </row>
    <row r="401" customFormat="false" ht="15" hidden="false" customHeight="false" outlineLevel="0" collapsed="false">
      <c r="A401" s="20" t="n">
        <v>397</v>
      </c>
      <c r="B401" s="12"/>
      <c r="C401" s="13"/>
      <c r="D401" s="24"/>
      <c r="E401" s="12"/>
      <c r="F401" s="25"/>
      <c r="G401" s="27" t="str">
        <f aca="false">IF(OR($B401="",$C401=""),"",$B401&amp;" ("&amp;DAY($C401)&amp;"."&amp;MONTH($C401)&amp;"."&amp;YEAR($C401)&amp;")")</f>
        <v/>
      </c>
      <c r="H401" s="13"/>
      <c r="I401" s="13"/>
      <c r="J401" s="15" t="str">
        <f aca="false">IF($I401="","",$I401+280)</f>
        <v/>
      </c>
      <c r="K401" s="14" t="str">
        <f aca="false">IF(OR($I401="",$AE401&lt;&gt;""),"",INT((Boshqaruv!$C$12-$I401)/7))</f>
        <v/>
      </c>
      <c r="L401" s="14" t="str">
        <f aca="false">IF(OR($C401="",$H401=""),"",INT(($H401-$C401)/365.25))</f>
        <v/>
      </c>
      <c r="M401" s="14" t="str">
        <f aca="false">IF($L401="","",IF($L401&lt;18,"Ha","Yo'q"))</f>
        <v/>
      </c>
      <c r="N401" s="25"/>
      <c r="O401" s="25"/>
      <c r="P401" s="25"/>
      <c r="Q401" s="12"/>
      <c r="R401" s="25"/>
      <c r="S401" s="12"/>
      <c r="T401" s="13"/>
      <c r="U401" s="12"/>
      <c r="V401" s="25"/>
      <c r="W401" s="25"/>
      <c r="X401" s="14" t="str">
        <f aca="false">IF(OR($V401="",$W401=""),"",IF(AND($V401&gt;=Spravochnik!$H$5,$W401&gt;=Spravochnik!$H$6),"Ha","Yo'q"))</f>
        <v/>
      </c>
      <c r="Y401" s="13"/>
      <c r="Z401" s="13"/>
      <c r="AA401" s="13"/>
      <c r="AB401" s="13"/>
      <c r="AC401" s="14" t="str">
        <f aca="false">IF(AND($B401&lt;&gt;"",$AE401="",$AB401&lt;&gt;"",$AB401&lt;Boshqaruv!$C$12),"Ha","")</f>
        <v/>
      </c>
      <c r="AD401" s="25"/>
      <c r="AE401" s="13"/>
      <c r="AF401" s="12"/>
      <c r="AG401" s="14" t="str">
        <f aca="false">IF(OR($B401="",$C401="",$H401=""),"",IF(COUNTIFS($B$5:$B$804,$B401,$C$5:$C$804,$C401,$H$5:$H$804,$H401)&gt;1,"Takror",""))</f>
        <v/>
      </c>
      <c r="AH401" s="28" t="str">
        <f aca="false">IF(AND($B401&lt;&gt;"",$N401="Ha",$H401&lt;&gt;"",$H401&lt;=Boshqaruv!$C$12,OR($AE401="",$AE401&gt;Boshqaruv!$C$12)),MAX($AH$4:$AH400)+1,"")</f>
        <v/>
      </c>
    </row>
    <row r="402" customFormat="false" ht="15" hidden="false" customHeight="false" outlineLevel="0" collapsed="false">
      <c r="A402" s="20" t="n">
        <v>398</v>
      </c>
      <c r="B402" s="12"/>
      <c r="C402" s="13"/>
      <c r="D402" s="24"/>
      <c r="E402" s="12"/>
      <c r="F402" s="25"/>
      <c r="G402" s="27" t="str">
        <f aca="false">IF(OR($B402="",$C402=""),"",$B402&amp;" ("&amp;DAY($C402)&amp;"."&amp;MONTH($C402)&amp;"."&amp;YEAR($C402)&amp;")")</f>
        <v/>
      </c>
      <c r="H402" s="13"/>
      <c r="I402" s="13"/>
      <c r="J402" s="15" t="str">
        <f aca="false">IF($I402="","",$I402+280)</f>
        <v/>
      </c>
      <c r="K402" s="14" t="str">
        <f aca="false">IF(OR($I402="",$AE402&lt;&gt;""),"",INT((Boshqaruv!$C$12-$I402)/7))</f>
        <v/>
      </c>
      <c r="L402" s="14" t="str">
        <f aca="false">IF(OR($C402="",$H402=""),"",INT(($H402-$C402)/365.25))</f>
        <v/>
      </c>
      <c r="M402" s="14" t="str">
        <f aca="false">IF($L402="","",IF($L402&lt;18,"Ha","Yo'q"))</f>
        <v/>
      </c>
      <c r="N402" s="25"/>
      <c r="O402" s="25"/>
      <c r="P402" s="25"/>
      <c r="Q402" s="12"/>
      <c r="R402" s="25"/>
      <c r="S402" s="12"/>
      <c r="T402" s="13"/>
      <c r="U402" s="12"/>
      <c r="V402" s="25"/>
      <c r="W402" s="25"/>
      <c r="X402" s="14" t="str">
        <f aca="false">IF(OR($V402="",$W402=""),"",IF(AND($V402&gt;=Spravochnik!$H$5,$W402&gt;=Spravochnik!$H$6),"Ha","Yo'q"))</f>
        <v/>
      </c>
      <c r="Y402" s="13"/>
      <c r="Z402" s="13"/>
      <c r="AA402" s="13"/>
      <c r="AB402" s="13"/>
      <c r="AC402" s="14" t="str">
        <f aca="false">IF(AND($B402&lt;&gt;"",$AE402="",$AB402&lt;&gt;"",$AB402&lt;Boshqaruv!$C$12),"Ha","")</f>
        <v/>
      </c>
      <c r="AD402" s="25"/>
      <c r="AE402" s="13"/>
      <c r="AF402" s="12"/>
      <c r="AG402" s="14" t="str">
        <f aca="false">IF(OR($B402="",$C402="",$H402=""),"",IF(COUNTIFS($B$5:$B$804,$B402,$C$5:$C$804,$C402,$H$5:$H$804,$H402)&gt;1,"Takror",""))</f>
        <v/>
      </c>
      <c r="AH402" s="28" t="str">
        <f aca="false">IF(AND($B402&lt;&gt;"",$N402="Ha",$H402&lt;&gt;"",$H402&lt;=Boshqaruv!$C$12,OR($AE402="",$AE402&gt;Boshqaruv!$C$12)),MAX($AH$4:$AH401)+1,"")</f>
        <v/>
      </c>
    </row>
    <row r="403" customFormat="false" ht="15" hidden="false" customHeight="false" outlineLevel="0" collapsed="false">
      <c r="A403" s="20" t="n">
        <v>399</v>
      </c>
      <c r="B403" s="12"/>
      <c r="C403" s="13"/>
      <c r="D403" s="24"/>
      <c r="E403" s="12"/>
      <c r="F403" s="25"/>
      <c r="G403" s="27" t="str">
        <f aca="false">IF(OR($B403="",$C403=""),"",$B403&amp;" ("&amp;DAY($C403)&amp;"."&amp;MONTH($C403)&amp;"."&amp;YEAR($C403)&amp;")")</f>
        <v/>
      </c>
      <c r="H403" s="13"/>
      <c r="I403" s="13"/>
      <c r="J403" s="15" t="str">
        <f aca="false">IF($I403="","",$I403+280)</f>
        <v/>
      </c>
      <c r="K403" s="14" t="str">
        <f aca="false">IF(OR($I403="",$AE403&lt;&gt;""),"",INT((Boshqaruv!$C$12-$I403)/7))</f>
        <v/>
      </c>
      <c r="L403" s="14" t="str">
        <f aca="false">IF(OR($C403="",$H403=""),"",INT(($H403-$C403)/365.25))</f>
        <v/>
      </c>
      <c r="M403" s="14" t="str">
        <f aca="false">IF($L403="","",IF($L403&lt;18,"Ha","Yo'q"))</f>
        <v/>
      </c>
      <c r="N403" s="25"/>
      <c r="O403" s="25"/>
      <c r="P403" s="25"/>
      <c r="Q403" s="12"/>
      <c r="R403" s="25"/>
      <c r="S403" s="12"/>
      <c r="T403" s="13"/>
      <c r="U403" s="12"/>
      <c r="V403" s="25"/>
      <c r="W403" s="25"/>
      <c r="X403" s="14" t="str">
        <f aca="false">IF(OR($V403="",$W403=""),"",IF(AND($V403&gt;=Spravochnik!$H$5,$W403&gt;=Spravochnik!$H$6),"Ha","Yo'q"))</f>
        <v/>
      </c>
      <c r="Y403" s="13"/>
      <c r="Z403" s="13"/>
      <c r="AA403" s="13"/>
      <c r="AB403" s="13"/>
      <c r="AC403" s="14" t="str">
        <f aca="false">IF(AND($B403&lt;&gt;"",$AE403="",$AB403&lt;&gt;"",$AB403&lt;Boshqaruv!$C$12),"Ha","")</f>
        <v/>
      </c>
      <c r="AD403" s="25"/>
      <c r="AE403" s="13"/>
      <c r="AF403" s="12"/>
      <c r="AG403" s="14" t="str">
        <f aca="false">IF(OR($B403="",$C403="",$H403=""),"",IF(COUNTIFS($B$5:$B$804,$B403,$C$5:$C$804,$C403,$H$5:$H$804,$H403)&gt;1,"Takror",""))</f>
        <v/>
      </c>
      <c r="AH403" s="28" t="str">
        <f aca="false">IF(AND($B403&lt;&gt;"",$N403="Ha",$H403&lt;&gt;"",$H403&lt;=Boshqaruv!$C$12,OR($AE403="",$AE403&gt;Boshqaruv!$C$12)),MAX($AH$4:$AH402)+1,"")</f>
        <v/>
      </c>
    </row>
    <row r="404" customFormat="false" ht="15" hidden="false" customHeight="false" outlineLevel="0" collapsed="false">
      <c r="A404" s="20" t="n">
        <v>400</v>
      </c>
      <c r="B404" s="12"/>
      <c r="C404" s="13"/>
      <c r="D404" s="24"/>
      <c r="E404" s="12"/>
      <c r="F404" s="25"/>
      <c r="G404" s="27" t="str">
        <f aca="false">IF(OR($B404="",$C404=""),"",$B404&amp;" ("&amp;DAY($C404)&amp;"."&amp;MONTH($C404)&amp;"."&amp;YEAR($C404)&amp;")")</f>
        <v/>
      </c>
      <c r="H404" s="13"/>
      <c r="I404" s="13"/>
      <c r="J404" s="15" t="str">
        <f aca="false">IF($I404="","",$I404+280)</f>
        <v/>
      </c>
      <c r="K404" s="14" t="str">
        <f aca="false">IF(OR($I404="",$AE404&lt;&gt;""),"",INT((Boshqaruv!$C$12-$I404)/7))</f>
        <v/>
      </c>
      <c r="L404" s="14" t="str">
        <f aca="false">IF(OR($C404="",$H404=""),"",INT(($H404-$C404)/365.25))</f>
        <v/>
      </c>
      <c r="M404" s="14" t="str">
        <f aca="false">IF($L404="","",IF($L404&lt;18,"Ha","Yo'q"))</f>
        <v/>
      </c>
      <c r="N404" s="25"/>
      <c r="O404" s="25"/>
      <c r="P404" s="25"/>
      <c r="Q404" s="12"/>
      <c r="R404" s="25"/>
      <c r="S404" s="12"/>
      <c r="T404" s="13"/>
      <c r="U404" s="12"/>
      <c r="V404" s="25"/>
      <c r="W404" s="25"/>
      <c r="X404" s="14" t="str">
        <f aca="false">IF(OR($V404="",$W404=""),"",IF(AND($V404&gt;=Spravochnik!$H$5,$W404&gt;=Spravochnik!$H$6),"Ha","Yo'q"))</f>
        <v/>
      </c>
      <c r="Y404" s="13"/>
      <c r="Z404" s="13"/>
      <c r="AA404" s="13"/>
      <c r="AB404" s="13"/>
      <c r="AC404" s="14" t="str">
        <f aca="false">IF(AND($B404&lt;&gt;"",$AE404="",$AB404&lt;&gt;"",$AB404&lt;Boshqaruv!$C$12),"Ha","")</f>
        <v/>
      </c>
      <c r="AD404" s="25"/>
      <c r="AE404" s="13"/>
      <c r="AF404" s="12"/>
      <c r="AG404" s="14" t="str">
        <f aca="false">IF(OR($B404="",$C404="",$H404=""),"",IF(COUNTIFS($B$5:$B$804,$B404,$C$5:$C$804,$C404,$H$5:$H$804,$H404)&gt;1,"Takror",""))</f>
        <v/>
      </c>
      <c r="AH404" s="28" t="str">
        <f aca="false">IF(AND($B404&lt;&gt;"",$N404="Ha",$H404&lt;&gt;"",$H404&lt;=Boshqaruv!$C$12,OR($AE404="",$AE404&gt;Boshqaruv!$C$12)),MAX($AH$4:$AH403)+1,"")</f>
        <v/>
      </c>
    </row>
    <row r="405" customFormat="false" ht="15" hidden="false" customHeight="false" outlineLevel="0" collapsed="false">
      <c r="A405" s="20" t="n">
        <v>401</v>
      </c>
      <c r="B405" s="12"/>
      <c r="C405" s="13"/>
      <c r="D405" s="24"/>
      <c r="E405" s="12"/>
      <c r="F405" s="25"/>
      <c r="G405" s="27" t="str">
        <f aca="false">IF(OR($B405="",$C405=""),"",$B405&amp;" ("&amp;DAY($C405)&amp;"."&amp;MONTH($C405)&amp;"."&amp;YEAR($C405)&amp;")")</f>
        <v/>
      </c>
      <c r="H405" s="13"/>
      <c r="I405" s="13"/>
      <c r="J405" s="15" t="str">
        <f aca="false">IF($I405="","",$I405+280)</f>
        <v/>
      </c>
      <c r="K405" s="14" t="str">
        <f aca="false">IF(OR($I405="",$AE405&lt;&gt;""),"",INT((Boshqaruv!$C$12-$I405)/7))</f>
        <v/>
      </c>
      <c r="L405" s="14" t="str">
        <f aca="false">IF(OR($C405="",$H405=""),"",INT(($H405-$C405)/365.25))</f>
        <v/>
      </c>
      <c r="M405" s="14" t="str">
        <f aca="false">IF($L405="","",IF($L405&lt;18,"Ha","Yo'q"))</f>
        <v/>
      </c>
      <c r="N405" s="25"/>
      <c r="O405" s="25"/>
      <c r="P405" s="25"/>
      <c r="Q405" s="12"/>
      <c r="R405" s="25"/>
      <c r="S405" s="12"/>
      <c r="T405" s="13"/>
      <c r="U405" s="12"/>
      <c r="V405" s="25"/>
      <c r="W405" s="25"/>
      <c r="X405" s="14" t="str">
        <f aca="false">IF(OR($V405="",$W405=""),"",IF(AND($V405&gt;=Spravochnik!$H$5,$W405&gt;=Spravochnik!$H$6),"Ha","Yo'q"))</f>
        <v/>
      </c>
      <c r="Y405" s="13"/>
      <c r="Z405" s="13"/>
      <c r="AA405" s="13"/>
      <c r="AB405" s="13"/>
      <c r="AC405" s="14" t="str">
        <f aca="false">IF(AND($B405&lt;&gt;"",$AE405="",$AB405&lt;&gt;"",$AB405&lt;Boshqaruv!$C$12),"Ha","")</f>
        <v/>
      </c>
      <c r="AD405" s="25"/>
      <c r="AE405" s="13"/>
      <c r="AF405" s="12"/>
      <c r="AG405" s="14" t="str">
        <f aca="false">IF(OR($B405="",$C405="",$H405=""),"",IF(COUNTIFS($B$5:$B$804,$B405,$C$5:$C$804,$C405,$H$5:$H$804,$H405)&gt;1,"Takror",""))</f>
        <v/>
      </c>
      <c r="AH405" s="28" t="str">
        <f aca="false">IF(AND($B405&lt;&gt;"",$N405="Ha",$H405&lt;&gt;"",$H405&lt;=Boshqaruv!$C$12,OR($AE405="",$AE405&gt;Boshqaruv!$C$12)),MAX($AH$4:$AH404)+1,"")</f>
        <v/>
      </c>
    </row>
    <row r="406" customFormat="false" ht="15" hidden="false" customHeight="false" outlineLevel="0" collapsed="false">
      <c r="A406" s="20" t="n">
        <v>402</v>
      </c>
      <c r="B406" s="12"/>
      <c r="C406" s="13"/>
      <c r="D406" s="24"/>
      <c r="E406" s="12"/>
      <c r="F406" s="25"/>
      <c r="G406" s="27" t="str">
        <f aca="false">IF(OR($B406="",$C406=""),"",$B406&amp;" ("&amp;DAY($C406)&amp;"."&amp;MONTH($C406)&amp;"."&amp;YEAR($C406)&amp;")")</f>
        <v/>
      </c>
      <c r="H406" s="13"/>
      <c r="I406" s="13"/>
      <c r="J406" s="15" t="str">
        <f aca="false">IF($I406="","",$I406+280)</f>
        <v/>
      </c>
      <c r="K406" s="14" t="str">
        <f aca="false">IF(OR($I406="",$AE406&lt;&gt;""),"",INT((Boshqaruv!$C$12-$I406)/7))</f>
        <v/>
      </c>
      <c r="L406" s="14" t="str">
        <f aca="false">IF(OR($C406="",$H406=""),"",INT(($H406-$C406)/365.25))</f>
        <v/>
      </c>
      <c r="M406" s="14" t="str">
        <f aca="false">IF($L406="","",IF($L406&lt;18,"Ha","Yo'q"))</f>
        <v/>
      </c>
      <c r="N406" s="25"/>
      <c r="O406" s="25"/>
      <c r="P406" s="25"/>
      <c r="Q406" s="12"/>
      <c r="R406" s="25"/>
      <c r="S406" s="12"/>
      <c r="T406" s="13"/>
      <c r="U406" s="12"/>
      <c r="V406" s="25"/>
      <c r="W406" s="25"/>
      <c r="X406" s="14" t="str">
        <f aca="false">IF(OR($V406="",$W406=""),"",IF(AND($V406&gt;=Spravochnik!$H$5,$W406&gt;=Spravochnik!$H$6),"Ha","Yo'q"))</f>
        <v/>
      </c>
      <c r="Y406" s="13"/>
      <c r="Z406" s="13"/>
      <c r="AA406" s="13"/>
      <c r="AB406" s="13"/>
      <c r="AC406" s="14" t="str">
        <f aca="false">IF(AND($B406&lt;&gt;"",$AE406="",$AB406&lt;&gt;"",$AB406&lt;Boshqaruv!$C$12),"Ha","")</f>
        <v/>
      </c>
      <c r="AD406" s="25"/>
      <c r="AE406" s="13"/>
      <c r="AF406" s="12"/>
      <c r="AG406" s="14" t="str">
        <f aca="false">IF(OR($B406="",$C406="",$H406=""),"",IF(COUNTIFS($B$5:$B$804,$B406,$C$5:$C$804,$C406,$H$5:$H$804,$H406)&gt;1,"Takror",""))</f>
        <v/>
      </c>
      <c r="AH406" s="28" t="str">
        <f aca="false">IF(AND($B406&lt;&gt;"",$N406="Ha",$H406&lt;&gt;"",$H406&lt;=Boshqaruv!$C$12,OR($AE406="",$AE406&gt;Boshqaruv!$C$12)),MAX($AH$4:$AH405)+1,"")</f>
        <v/>
      </c>
    </row>
    <row r="407" customFormat="false" ht="15" hidden="false" customHeight="false" outlineLevel="0" collapsed="false">
      <c r="A407" s="20" t="n">
        <v>403</v>
      </c>
      <c r="B407" s="12"/>
      <c r="C407" s="13"/>
      <c r="D407" s="24"/>
      <c r="E407" s="12"/>
      <c r="F407" s="25"/>
      <c r="G407" s="27" t="str">
        <f aca="false">IF(OR($B407="",$C407=""),"",$B407&amp;" ("&amp;DAY($C407)&amp;"."&amp;MONTH($C407)&amp;"."&amp;YEAR($C407)&amp;")")</f>
        <v/>
      </c>
      <c r="H407" s="13"/>
      <c r="I407" s="13"/>
      <c r="J407" s="15" t="str">
        <f aca="false">IF($I407="","",$I407+280)</f>
        <v/>
      </c>
      <c r="K407" s="14" t="str">
        <f aca="false">IF(OR($I407="",$AE407&lt;&gt;""),"",INT((Boshqaruv!$C$12-$I407)/7))</f>
        <v/>
      </c>
      <c r="L407" s="14" t="str">
        <f aca="false">IF(OR($C407="",$H407=""),"",INT(($H407-$C407)/365.25))</f>
        <v/>
      </c>
      <c r="M407" s="14" t="str">
        <f aca="false">IF($L407="","",IF($L407&lt;18,"Ha","Yo'q"))</f>
        <v/>
      </c>
      <c r="N407" s="25"/>
      <c r="O407" s="25"/>
      <c r="P407" s="25"/>
      <c r="Q407" s="12"/>
      <c r="R407" s="25"/>
      <c r="S407" s="12"/>
      <c r="T407" s="13"/>
      <c r="U407" s="12"/>
      <c r="V407" s="25"/>
      <c r="W407" s="25"/>
      <c r="X407" s="14" t="str">
        <f aca="false">IF(OR($V407="",$W407=""),"",IF(AND($V407&gt;=Spravochnik!$H$5,$W407&gt;=Spravochnik!$H$6),"Ha","Yo'q"))</f>
        <v/>
      </c>
      <c r="Y407" s="13"/>
      <c r="Z407" s="13"/>
      <c r="AA407" s="13"/>
      <c r="AB407" s="13"/>
      <c r="AC407" s="14" t="str">
        <f aca="false">IF(AND($B407&lt;&gt;"",$AE407="",$AB407&lt;&gt;"",$AB407&lt;Boshqaruv!$C$12),"Ha","")</f>
        <v/>
      </c>
      <c r="AD407" s="25"/>
      <c r="AE407" s="13"/>
      <c r="AF407" s="12"/>
      <c r="AG407" s="14" t="str">
        <f aca="false">IF(OR($B407="",$C407="",$H407=""),"",IF(COUNTIFS($B$5:$B$804,$B407,$C$5:$C$804,$C407,$H$5:$H$804,$H407)&gt;1,"Takror",""))</f>
        <v/>
      </c>
      <c r="AH407" s="28" t="str">
        <f aca="false">IF(AND($B407&lt;&gt;"",$N407="Ha",$H407&lt;&gt;"",$H407&lt;=Boshqaruv!$C$12,OR($AE407="",$AE407&gt;Boshqaruv!$C$12)),MAX($AH$4:$AH406)+1,"")</f>
        <v/>
      </c>
    </row>
    <row r="408" customFormat="false" ht="15" hidden="false" customHeight="false" outlineLevel="0" collapsed="false">
      <c r="A408" s="20" t="n">
        <v>404</v>
      </c>
      <c r="B408" s="12"/>
      <c r="C408" s="13"/>
      <c r="D408" s="24"/>
      <c r="E408" s="12"/>
      <c r="F408" s="25"/>
      <c r="G408" s="27" t="str">
        <f aca="false">IF(OR($B408="",$C408=""),"",$B408&amp;" ("&amp;DAY($C408)&amp;"."&amp;MONTH($C408)&amp;"."&amp;YEAR($C408)&amp;")")</f>
        <v/>
      </c>
      <c r="H408" s="13"/>
      <c r="I408" s="13"/>
      <c r="J408" s="15" t="str">
        <f aca="false">IF($I408="","",$I408+280)</f>
        <v/>
      </c>
      <c r="K408" s="14" t="str">
        <f aca="false">IF(OR($I408="",$AE408&lt;&gt;""),"",INT((Boshqaruv!$C$12-$I408)/7))</f>
        <v/>
      </c>
      <c r="L408" s="14" t="str">
        <f aca="false">IF(OR($C408="",$H408=""),"",INT(($H408-$C408)/365.25))</f>
        <v/>
      </c>
      <c r="M408" s="14" t="str">
        <f aca="false">IF($L408="","",IF($L408&lt;18,"Ha","Yo'q"))</f>
        <v/>
      </c>
      <c r="N408" s="25"/>
      <c r="O408" s="25"/>
      <c r="P408" s="25"/>
      <c r="Q408" s="12"/>
      <c r="R408" s="25"/>
      <c r="S408" s="12"/>
      <c r="T408" s="13"/>
      <c r="U408" s="12"/>
      <c r="V408" s="25"/>
      <c r="W408" s="25"/>
      <c r="X408" s="14" t="str">
        <f aca="false">IF(OR($V408="",$W408=""),"",IF(AND($V408&gt;=Spravochnik!$H$5,$W408&gt;=Spravochnik!$H$6),"Ha","Yo'q"))</f>
        <v/>
      </c>
      <c r="Y408" s="13"/>
      <c r="Z408" s="13"/>
      <c r="AA408" s="13"/>
      <c r="AB408" s="13"/>
      <c r="AC408" s="14" t="str">
        <f aca="false">IF(AND($B408&lt;&gt;"",$AE408="",$AB408&lt;&gt;"",$AB408&lt;Boshqaruv!$C$12),"Ha","")</f>
        <v/>
      </c>
      <c r="AD408" s="25"/>
      <c r="AE408" s="13"/>
      <c r="AF408" s="12"/>
      <c r="AG408" s="14" t="str">
        <f aca="false">IF(OR($B408="",$C408="",$H408=""),"",IF(COUNTIFS($B$5:$B$804,$B408,$C$5:$C$804,$C408,$H$5:$H$804,$H408)&gt;1,"Takror",""))</f>
        <v/>
      </c>
      <c r="AH408" s="28" t="str">
        <f aca="false">IF(AND($B408&lt;&gt;"",$N408="Ha",$H408&lt;&gt;"",$H408&lt;=Boshqaruv!$C$12,OR($AE408="",$AE408&gt;Boshqaruv!$C$12)),MAX($AH$4:$AH407)+1,"")</f>
        <v/>
      </c>
    </row>
    <row r="409" customFormat="false" ht="15" hidden="false" customHeight="false" outlineLevel="0" collapsed="false">
      <c r="A409" s="20" t="n">
        <v>405</v>
      </c>
      <c r="B409" s="12"/>
      <c r="C409" s="13"/>
      <c r="D409" s="24"/>
      <c r="E409" s="12"/>
      <c r="F409" s="25"/>
      <c r="G409" s="27" t="str">
        <f aca="false">IF(OR($B409="",$C409=""),"",$B409&amp;" ("&amp;DAY($C409)&amp;"."&amp;MONTH($C409)&amp;"."&amp;YEAR($C409)&amp;")")</f>
        <v/>
      </c>
      <c r="H409" s="13"/>
      <c r="I409" s="13"/>
      <c r="J409" s="15" t="str">
        <f aca="false">IF($I409="","",$I409+280)</f>
        <v/>
      </c>
      <c r="K409" s="14" t="str">
        <f aca="false">IF(OR($I409="",$AE409&lt;&gt;""),"",INT((Boshqaruv!$C$12-$I409)/7))</f>
        <v/>
      </c>
      <c r="L409" s="14" t="str">
        <f aca="false">IF(OR($C409="",$H409=""),"",INT(($H409-$C409)/365.25))</f>
        <v/>
      </c>
      <c r="M409" s="14" t="str">
        <f aca="false">IF($L409="","",IF($L409&lt;18,"Ha","Yo'q"))</f>
        <v/>
      </c>
      <c r="N409" s="25"/>
      <c r="O409" s="25"/>
      <c r="P409" s="25"/>
      <c r="Q409" s="12"/>
      <c r="R409" s="25"/>
      <c r="S409" s="12"/>
      <c r="T409" s="13"/>
      <c r="U409" s="12"/>
      <c r="V409" s="25"/>
      <c r="W409" s="25"/>
      <c r="X409" s="14" t="str">
        <f aca="false">IF(OR($V409="",$W409=""),"",IF(AND($V409&gt;=Spravochnik!$H$5,$W409&gt;=Spravochnik!$H$6),"Ha","Yo'q"))</f>
        <v/>
      </c>
      <c r="Y409" s="13"/>
      <c r="Z409" s="13"/>
      <c r="AA409" s="13"/>
      <c r="AB409" s="13"/>
      <c r="AC409" s="14" t="str">
        <f aca="false">IF(AND($B409&lt;&gt;"",$AE409="",$AB409&lt;&gt;"",$AB409&lt;Boshqaruv!$C$12),"Ha","")</f>
        <v/>
      </c>
      <c r="AD409" s="25"/>
      <c r="AE409" s="13"/>
      <c r="AF409" s="12"/>
      <c r="AG409" s="14" t="str">
        <f aca="false">IF(OR($B409="",$C409="",$H409=""),"",IF(COUNTIFS($B$5:$B$804,$B409,$C$5:$C$804,$C409,$H$5:$H$804,$H409)&gt;1,"Takror",""))</f>
        <v/>
      </c>
      <c r="AH409" s="28" t="str">
        <f aca="false">IF(AND($B409&lt;&gt;"",$N409="Ha",$H409&lt;&gt;"",$H409&lt;=Boshqaruv!$C$12,OR($AE409="",$AE409&gt;Boshqaruv!$C$12)),MAX($AH$4:$AH408)+1,"")</f>
        <v/>
      </c>
    </row>
    <row r="410" customFormat="false" ht="15" hidden="false" customHeight="false" outlineLevel="0" collapsed="false">
      <c r="A410" s="20" t="n">
        <v>406</v>
      </c>
      <c r="B410" s="12"/>
      <c r="C410" s="13"/>
      <c r="D410" s="24"/>
      <c r="E410" s="12"/>
      <c r="F410" s="25"/>
      <c r="G410" s="27" t="str">
        <f aca="false">IF(OR($B410="",$C410=""),"",$B410&amp;" ("&amp;DAY($C410)&amp;"."&amp;MONTH($C410)&amp;"."&amp;YEAR($C410)&amp;")")</f>
        <v/>
      </c>
      <c r="H410" s="13"/>
      <c r="I410" s="13"/>
      <c r="J410" s="15" t="str">
        <f aca="false">IF($I410="","",$I410+280)</f>
        <v/>
      </c>
      <c r="K410" s="14" t="str">
        <f aca="false">IF(OR($I410="",$AE410&lt;&gt;""),"",INT((Boshqaruv!$C$12-$I410)/7))</f>
        <v/>
      </c>
      <c r="L410" s="14" t="str">
        <f aca="false">IF(OR($C410="",$H410=""),"",INT(($H410-$C410)/365.25))</f>
        <v/>
      </c>
      <c r="M410" s="14" t="str">
        <f aca="false">IF($L410="","",IF($L410&lt;18,"Ha","Yo'q"))</f>
        <v/>
      </c>
      <c r="N410" s="25"/>
      <c r="O410" s="25"/>
      <c r="P410" s="25"/>
      <c r="Q410" s="12"/>
      <c r="R410" s="25"/>
      <c r="S410" s="12"/>
      <c r="T410" s="13"/>
      <c r="U410" s="12"/>
      <c r="V410" s="25"/>
      <c r="W410" s="25"/>
      <c r="X410" s="14" t="str">
        <f aca="false">IF(OR($V410="",$W410=""),"",IF(AND($V410&gt;=Spravochnik!$H$5,$W410&gt;=Spravochnik!$H$6),"Ha","Yo'q"))</f>
        <v/>
      </c>
      <c r="Y410" s="13"/>
      <c r="Z410" s="13"/>
      <c r="AA410" s="13"/>
      <c r="AB410" s="13"/>
      <c r="AC410" s="14" t="str">
        <f aca="false">IF(AND($B410&lt;&gt;"",$AE410="",$AB410&lt;&gt;"",$AB410&lt;Boshqaruv!$C$12),"Ha","")</f>
        <v/>
      </c>
      <c r="AD410" s="25"/>
      <c r="AE410" s="13"/>
      <c r="AF410" s="12"/>
      <c r="AG410" s="14" t="str">
        <f aca="false">IF(OR($B410="",$C410="",$H410=""),"",IF(COUNTIFS($B$5:$B$804,$B410,$C$5:$C$804,$C410,$H$5:$H$804,$H410)&gt;1,"Takror",""))</f>
        <v/>
      </c>
      <c r="AH410" s="28" t="str">
        <f aca="false">IF(AND($B410&lt;&gt;"",$N410="Ha",$H410&lt;&gt;"",$H410&lt;=Boshqaruv!$C$12,OR($AE410="",$AE410&gt;Boshqaruv!$C$12)),MAX($AH$4:$AH409)+1,"")</f>
        <v/>
      </c>
    </row>
    <row r="411" customFormat="false" ht="15" hidden="false" customHeight="false" outlineLevel="0" collapsed="false">
      <c r="A411" s="20" t="n">
        <v>407</v>
      </c>
      <c r="B411" s="12"/>
      <c r="C411" s="13"/>
      <c r="D411" s="24"/>
      <c r="E411" s="12"/>
      <c r="F411" s="25"/>
      <c r="G411" s="27" t="str">
        <f aca="false">IF(OR($B411="",$C411=""),"",$B411&amp;" ("&amp;DAY($C411)&amp;"."&amp;MONTH($C411)&amp;"."&amp;YEAR($C411)&amp;")")</f>
        <v/>
      </c>
      <c r="H411" s="13"/>
      <c r="I411" s="13"/>
      <c r="J411" s="15" t="str">
        <f aca="false">IF($I411="","",$I411+280)</f>
        <v/>
      </c>
      <c r="K411" s="14" t="str">
        <f aca="false">IF(OR($I411="",$AE411&lt;&gt;""),"",INT((Boshqaruv!$C$12-$I411)/7))</f>
        <v/>
      </c>
      <c r="L411" s="14" t="str">
        <f aca="false">IF(OR($C411="",$H411=""),"",INT(($H411-$C411)/365.25))</f>
        <v/>
      </c>
      <c r="M411" s="14" t="str">
        <f aca="false">IF($L411="","",IF($L411&lt;18,"Ha","Yo'q"))</f>
        <v/>
      </c>
      <c r="N411" s="25"/>
      <c r="O411" s="25"/>
      <c r="P411" s="25"/>
      <c r="Q411" s="12"/>
      <c r="R411" s="25"/>
      <c r="S411" s="12"/>
      <c r="T411" s="13"/>
      <c r="U411" s="12"/>
      <c r="V411" s="25"/>
      <c r="W411" s="25"/>
      <c r="X411" s="14" t="str">
        <f aca="false">IF(OR($V411="",$W411=""),"",IF(AND($V411&gt;=Spravochnik!$H$5,$W411&gt;=Spravochnik!$H$6),"Ha","Yo'q"))</f>
        <v/>
      </c>
      <c r="Y411" s="13"/>
      <c r="Z411" s="13"/>
      <c r="AA411" s="13"/>
      <c r="AB411" s="13"/>
      <c r="AC411" s="14" t="str">
        <f aca="false">IF(AND($B411&lt;&gt;"",$AE411="",$AB411&lt;&gt;"",$AB411&lt;Boshqaruv!$C$12),"Ha","")</f>
        <v/>
      </c>
      <c r="AD411" s="25"/>
      <c r="AE411" s="13"/>
      <c r="AF411" s="12"/>
      <c r="AG411" s="14" t="str">
        <f aca="false">IF(OR($B411="",$C411="",$H411=""),"",IF(COUNTIFS($B$5:$B$804,$B411,$C$5:$C$804,$C411,$H$5:$H$804,$H411)&gt;1,"Takror",""))</f>
        <v/>
      </c>
      <c r="AH411" s="28" t="str">
        <f aca="false">IF(AND($B411&lt;&gt;"",$N411="Ha",$H411&lt;&gt;"",$H411&lt;=Boshqaruv!$C$12,OR($AE411="",$AE411&gt;Boshqaruv!$C$12)),MAX($AH$4:$AH410)+1,"")</f>
        <v/>
      </c>
    </row>
    <row r="412" customFormat="false" ht="15" hidden="false" customHeight="false" outlineLevel="0" collapsed="false">
      <c r="A412" s="20" t="n">
        <v>408</v>
      </c>
      <c r="B412" s="12"/>
      <c r="C412" s="13"/>
      <c r="D412" s="24"/>
      <c r="E412" s="12"/>
      <c r="F412" s="25"/>
      <c r="G412" s="27" t="str">
        <f aca="false">IF(OR($B412="",$C412=""),"",$B412&amp;" ("&amp;DAY($C412)&amp;"."&amp;MONTH($C412)&amp;"."&amp;YEAR($C412)&amp;")")</f>
        <v/>
      </c>
      <c r="H412" s="13"/>
      <c r="I412" s="13"/>
      <c r="J412" s="15" t="str">
        <f aca="false">IF($I412="","",$I412+280)</f>
        <v/>
      </c>
      <c r="K412" s="14" t="str">
        <f aca="false">IF(OR($I412="",$AE412&lt;&gt;""),"",INT((Boshqaruv!$C$12-$I412)/7))</f>
        <v/>
      </c>
      <c r="L412" s="14" t="str">
        <f aca="false">IF(OR($C412="",$H412=""),"",INT(($H412-$C412)/365.25))</f>
        <v/>
      </c>
      <c r="M412" s="14" t="str">
        <f aca="false">IF($L412="","",IF($L412&lt;18,"Ha","Yo'q"))</f>
        <v/>
      </c>
      <c r="N412" s="25"/>
      <c r="O412" s="25"/>
      <c r="P412" s="25"/>
      <c r="Q412" s="12"/>
      <c r="R412" s="25"/>
      <c r="S412" s="12"/>
      <c r="T412" s="13"/>
      <c r="U412" s="12"/>
      <c r="V412" s="25"/>
      <c r="W412" s="25"/>
      <c r="X412" s="14" t="str">
        <f aca="false">IF(OR($V412="",$W412=""),"",IF(AND($V412&gt;=Spravochnik!$H$5,$W412&gt;=Spravochnik!$H$6),"Ha","Yo'q"))</f>
        <v/>
      </c>
      <c r="Y412" s="13"/>
      <c r="Z412" s="13"/>
      <c r="AA412" s="13"/>
      <c r="AB412" s="13"/>
      <c r="AC412" s="14" t="str">
        <f aca="false">IF(AND($B412&lt;&gt;"",$AE412="",$AB412&lt;&gt;"",$AB412&lt;Boshqaruv!$C$12),"Ha","")</f>
        <v/>
      </c>
      <c r="AD412" s="25"/>
      <c r="AE412" s="13"/>
      <c r="AF412" s="12"/>
      <c r="AG412" s="14" t="str">
        <f aca="false">IF(OR($B412="",$C412="",$H412=""),"",IF(COUNTIFS($B$5:$B$804,$B412,$C$5:$C$804,$C412,$H$5:$H$804,$H412)&gt;1,"Takror",""))</f>
        <v/>
      </c>
      <c r="AH412" s="28" t="str">
        <f aca="false">IF(AND($B412&lt;&gt;"",$N412="Ha",$H412&lt;&gt;"",$H412&lt;=Boshqaruv!$C$12,OR($AE412="",$AE412&gt;Boshqaruv!$C$12)),MAX($AH$4:$AH411)+1,"")</f>
        <v/>
      </c>
    </row>
    <row r="413" customFormat="false" ht="15" hidden="false" customHeight="false" outlineLevel="0" collapsed="false">
      <c r="A413" s="20" t="n">
        <v>409</v>
      </c>
      <c r="B413" s="12"/>
      <c r="C413" s="13"/>
      <c r="D413" s="24"/>
      <c r="E413" s="12"/>
      <c r="F413" s="25"/>
      <c r="G413" s="27" t="str">
        <f aca="false">IF(OR($B413="",$C413=""),"",$B413&amp;" ("&amp;DAY($C413)&amp;"."&amp;MONTH($C413)&amp;"."&amp;YEAR($C413)&amp;")")</f>
        <v/>
      </c>
      <c r="H413" s="13"/>
      <c r="I413" s="13"/>
      <c r="J413" s="15" t="str">
        <f aca="false">IF($I413="","",$I413+280)</f>
        <v/>
      </c>
      <c r="K413" s="14" t="str">
        <f aca="false">IF(OR($I413="",$AE413&lt;&gt;""),"",INT((Boshqaruv!$C$12-$I413)/7))</f>
        <v/>
      </c>
      <c r="L413" s="14" t="str">
        <f aca="false">IF(OR($C413="",$H413=""),"",INT(($H413-$C413)/365.25))</f>
        <v/>
      </c>
      <c r="M413" s="14" t="str">
        <f aca="false">IF($L413="","",IF($L413&lt;18,"Ha","Yo'q"))</f>
        <v/>
      </c>
      <c r="N413" s="25"/>
      <c r="O413" s="25"/>
      <c r="P413" s="25"/>
      <c r="Q413" s="12"/>
      <c r="R413" s="25"/>
      <c r="S413" s="12"/>
      <c r="T413" s="13"/>
      <c r="U413" s="12"/>
      <c r="V413" s="25"/>
      <c r="W413" s="25"/>
      <c r="X413" s="14" t="str">
        <f aca="false">IF(OR($V413="",$W413=""),"",IF(AND($V413&gt;=Spravochnik!$H$5,$W413&gt;=Spravochnik!$H$6),"Ha","Yo'q"))</f>
        <v/>
      </c>
      <c r="Y413" s="13"/>
      <c r="Z413" s="13"/>
      <c r="AA413" s="13"/>
      <c r="AB413" s="13"/>
      <c r="AC413" s="14" t="str">
        <f aca="false">IF(AND($B413&lt;&gt;"",$AE413="",$AB413&lt;&gt;"",$AB413&lt;Boshqaruv!$C$12),"Ha","")</f>
        <v/>
      </c>
      <c r="AD413" s="25"/>
      <c r="AE413" s="13"/>
      <c r="AF413" s="12"/>
      <c r="AG413" s="14" t="str">
        <f aca="false">IF(OR($B413="",$C413="",$H413=""),"",IF(COUNTIFS($B$5:$B$804,$B413,$C$5:$C$804,$C413,$H$5:$H$804,$H413)&gt;1,"Takror",""))</f>
        <v/>
      </c>
      <c r="AH413" s="28" t="str">
        <f aca="false">IF(AND($B413&lt;&gt;"",$N413="Ha",$H413&lt;&gt;"",$H413&lt;=Boshqaruv!$C$12,OR($AE413="",$AE413&gt;Boshqaruv!$C$12)),MAX($AH$4:$AH412)+1,"")</f>
        <v/>
      </c>
    </row>
    <row r="414" customFormat="false" ht="15" hidden="false" customHeight="false" outlineLevel="0" collapsed="false">
      <c r="A414" s="20" t="n">
        <v>410</v>
      </c>
      <c r="B414" s="12"/>
      <c r="C414" s="13"/>
      <c r="D414" s="24"/>
      <c r="E414" s="12"/>
      <c r="F414" s="25"/>
      <c r="G414" s="27" t="str">
        <f aca="false">IF(OR($B414="",$C414=""),"",$B414&amp;" ("&amp;DAY($C414)&amp;"."&amp;MONTH($C414)&amp;"."&amp;YEAR($C414)&amp;")")</f>
        <v/>
      </c>
      <c r="H414" s="13"/>
      <c r="I414" s="13"/>
      <c r="J414" s="15" t="str">
        <f aca="false">IF($I414="","",$I414+280)</f>
        <v/>
      </c>
      <c r="K414" s="14" t="str">
        <f aca="false">IF(OR($I414="",$AE414&lt;&gt;""),"",INT((Boshqaruv!$C$12-$I414)/7))</f>
        <v/>
      </c>
      <c r="L414" s="14" t="str">
        <f aca="false">IF(OR($C414="",$H414=""),"",INT(($H414-$C414)/365.25))</f>
        <v/>
      </c>
      <c r="M414" s="14" t="str">
        <f aca="false">IF($L414="","",IF($L414&lt;18,"Ha","Yo'q"))</f>
        <v/>
      </c>
      <c r="N414" s="25"/>
      <c r="O414" s="25"/>
      <c r="P414" s="25"/>
      <c r="Q414" s="12"/>
      <c r="R414" s="25"/>
      <c r="S414" s="12"/>
      <c r="T414" s="13"/>
      <c r="U414" s="12"/>
      <c r="V414" s="25"/>
      <c r="W414" s="25"/>
      <c r="X414" s="14" t="str">
        <f aca="false">IF(OR($V414="",$W414=""),"",IF(AND($V414&gt;=Spravochnik!$H$5,$W414&gt;=Spravochnik!$H$6),"Ha","Yo'q"))</f>
        <v/>
      </c>
      <c r="Y414" s="13"/>
      <c r="Z414" s="13"/>
      <c r="AA414" s="13"/>
      <c r="AB414" s="13"/>
      <c r="AC414" s="14" t="str">
        <f aca="false">IF(AND($B414&lt;&gt;"",$AE414="",$AB414&lt;&gt;"",$AB414&lt;Boshqaruv!$C$12),"Ha","")</f>
        <v/>
      </c>
      <c r="AD414" s="25"/>
      <c r="AE414" s="13"/>
      <c r="AF414" s="12"/>
      <c r="AG414" s="14" t="str">
        <f aca="false">IF(OR($B414="",$C414="",$H414=""),"",IF(COUNTIFS($B$5:$B$804,$B414,$C$5:$C$804,$C414,$H$5:$H$804,$H414)&gt;1,"Takror",""))</f>
        <v/>
      </c>
      <c r="AH414" s="28" t="str">
        <f aca="false">IF(AND($B414&lt;&gt;"",$N414="Ha",$H414&lt;&gt;"",$H414&lt;=Boshqaruv!$C$12,OR($AE414="",$AE414&gt;Boshqaruv!$C$12)),MAX($AH$4:$AH413)+1,"")</f>
        <v/>
      </c>
    </row>
    <row r="415" customFormat="false" ht="15" hidden="false" customHeight="false" outlineLevel="0" collapsed="false">
      <c r="A415" s="20" t="n">
        <v>411</v>
      </c>
      <c r="B415" s="12"/>
      <c r="C415" s="13"/>
      <c r="D415" s="24"/>
      <c r="E415" s="12"/>
      <c r="F415" s="25"/>
      <c r="G415" s="27" t="str">
        <f aca="false">IF(OR($B415="",$C415=""),"",$B415&amp;" ("&amp;DAY($C415)&amp;"."&amp;MONTH($C415)&amp;"."&amp;YEAR($C415)&amp;")")</f>
        <v/>
      </c>
      <c r="H415" s="13"/>
      <c r="I415" s="13"/>
      <c r="J415" s="15" t="str">
        <f aca="false">IF($I415="","",$I415+280)</f>
        <v/>
      </c>
      <c r="K415" s="14" t="str">
        <f aca="false">IF(OR($I415="",$AE415&lt;&gt;""),"",INT((Boshqaruv!$C$12-$I415)/7))</f>
        <v/>
      </c>
      <c r="L415" s="14" t="str">
        <f aca="false">IF(OR($C415="",$H415=""),"",INT(($H415-$C415)/365.25))</f>
        <v/>
      </c>
      <c r="M415" s="14" t="str">
        <f aca="false">IF($L415="","",IF($L415&lt;18,"Ha","Yo'q"))</f>
        <v/>
      </c>
      <c r="N415" s="25"/>
      <c r="O415" s="25"/>
      <c r="P415" s="25"/>
      <c r="Q415" s="12"/>
      <c r="R415" s="25"/>
      <c r="S415" s="12"/>
      <c r="T415" s="13"/>
      <c r="U415" s="12"/>
      <c r="V415" s="25"/>
      <c r="W415" s="25"/>
      <c r="X415" s="14" t="str">
        <f aca="false">IF(OR($V415="",$W415=""),"",IF(AND($V415&gt;=Spravochnik!$H$5,$W415&gt;=Spravochnik!$H$6),"Ha","Yo'q"))</f>
        <v/>
      </c>
      <c r="Y415" s="13"/>
      <c r="Z415" s="13"/>
      <c r="AA415" s="13"/>
      <c r="AB415" s="13"/>
      <c r="AC415" s="14" t="str">
        <f aca="false">IF(AND($B415&lt;&gt;"",$AE415="",$AB415&lt;&gt;"",$AB415&lt;Boshqaruv!$C$12),"Ha","")</f>
        <v/>
      </c>
      <c r="AD415" s="25"/>
      <c r="AE415" s="13"/>
      <c r="AF415" s="12"/>
      <c r="AG415" s="14" t="str">
        <f aca="false">IF(OR($B415="",$C415="",$H415=""),"",IF(COUNTIFS($B$5:$B$804,$B415,$C$5:$C$804,$C415,$H$5:$H$804,$H415)&gt;1,"Takror",""))</f>
        <v/>
      </c>
      <c r="AH415" s="28" t="str">
        <f aca="false">IF(AND($B415&lt;&gt;"",$N415="Ha",$H415&lt;&gt;"",$H415&lt;=Boshqaruv!$C$12,OR($AE415="",$AE415&gt;Boshqaruv!$C$12)),MAX($AH$4:$AH414)+1,"")</f>
        <v/>
      </c>
    </row>
    <row r="416" customFormat="false" ht="15" hidden="false" customHeight="false" outlineLevel="0" collapsed="false">
      <c r="A416" s="20" t="n">
        <v>412</v>
      </c>
      <c r="B416" s="12"/>
      <c r="C416" s="13"/>
      <c r="D416" s="24"/>
      <c r="E416" s="12"/>
      <c r="F416" s="25"/>
      <c r="G416" s="27" t="str">
        <f aca="false">IF(OR($B416="",$C416=""),"",$B416&amp;" ("&amp;DAY($C416)&amp;"."&amp;MONTH($C416)&amp;"."&amp;YEAR($C416)&amp;")")</f>
        <v/>
      </c>
      <c r="H416" s="13"/>
      <c r="I416" s="13"/>
      <c r="J416" s="15" t="str">
        <f aca="false">IF($I416="","",$I416+280)</f>
        <v/>
      </c>
      <c r="K416" s="14" t="str">
        <f aca="false">IF(OR($I416="",$AE416&lt;&gt;""),"",INT((Boshqaruv!$C$12-$I416)/7))</f>
        <v/>
      </c>
      <c r="L416" s="14" t="str">
        <f aca="false">IF(OR($C416="",$H416=""),"",INT(($H416-$C416)/365.25))</f>
        <v/>
      </c>
      <c r="M416" s="14" t="str">
        <f aca="false">IF($L416="","",IF($L416&lt;18,"Ha","Yo'q"))</f>
        <v/>
      </c>
      <c r="N416" s="25"/>
      <c r="O416" s="25"/>
      <c r="P416" s="25"/>
      <c r="Q416" s="12"/>
      <c r="R416" s="25"/>
      <c r="S416" s="12"/>
      <c r="T416" s="13"/>
      <c r="U416" s="12"/>
      <c r="V416" s="25"/>
      <c r="W416" s="25"/>
      <c r="X416" s="14" t="str">
        <f aca="false">IF(OR($V416="",$W416=""),"",IF(AND($V416&gt;=Spravochnik!$H$5,$W416&gt;=Spravochnik!$H$6),"Ha","Yo'q"))</f>
        <v/>
      </c>
      <c r="Y416" s="13"/>
      <c r="Z416" s="13"/>
      <c r="AA416" s="13"/>
      <c r="AB416" s="13"/>
      <c r="AC416" s="14" t="str">
        <f aca="false">IF(AND($B416&lt;&gt;"",$AE416="",$AB416&lt;&gt;"",$AB416&lt;Boshqaruv!$C$12),"Ha","")</f>
        <v/>
      </c>
      <c r="AD416" s="25"/>
      <c r="AE416" s="13"/>
      <c r="AF416" s="12"/>
      <c r="AG416" s="14" t="str">
        <f aca="false">IF(OR($B416="",$C416="",$H416=""),"",IF(COUNTIFS($B$5:$B$804,$B416,$C$5:$C$804,$C416,$H$5:$H$804,$H416)&gt;1,"Takror",""))</f>
        <v/>
      </c>
      <c r="AH416" s="28" t="str">
        <f aca="false">IF(AND($B416&lt;&gt;"",$N416="Ha",$H416&lt;&gt;"",$H416&lt;=Boshqaruv!$C$12,OR($AE416="",$AE416&gt;Boshqaruv!$C$12)),MAX($AH$4:$AH415)+1,"")</f>
        <v/>
      </c>
    </row>
    <row r="417" customFormat="false" ht="15" hidden="false" customHeight="false" outlineLevel="0" collapsed="false">
      <c r="A417" s="20" t="n">
        <v>413</v>
      </c>
      <c r="B417" s="12"/>
      <c r="C417" s="13"/>
      <c r="D417" s="24"/>
      <c r="E417" s="12"/>
      <c r="F417" s="25"/>
      <c r="G417" s="27" t="str">
        <f aca="false">IF(OR($B417="",$C417=""),"",$B417&amp;" ("&amp;DAY($C417)&amp;"."&amp;MONTH($C417)&amp;"."&amp;YEAR($C417)&amp;")")</f>
        <v/>
      </c>
      <c r="H417" s="13"/>
      <c r="I417" s="13"/>
      <c r="J417" s="15" t="str">
        <f aca="false">IF($I417="","",$I417+280)</f>
        <v/>
      </c>
      <c r="K417" s="14" t="str">
        <f aca="false">IF(OR($I417="",$AE417&lt;&gt;""),"",INT((Boshqaruv!$C$12-$I417)/7))</f>
        <v/>
      </c>
      <c r="L417" s="14" t="str">
        <f aca="false">IF(OR($C417="",$H417=""),"",INT(($H417-$C417)/365.25))</f>
        <v/>
      </c>
      <c r="M417" s="14" t="str">
        <f aca="false">IF($L417="","",IF($L417&lt;18,"Ha","Yo'q"))</f>
        <v/>
      </c>
      <c r="N417" s="25"/>
      <c r="O417" s="25"/>
      <c r="P417" s="25"/>
      <c r="Q417" s="12"/>
      <c r="R417" s="25"/>
      <c r="S417" s="12"/>
      <c r="T417" s="13"/>
      <c r="U417" s="12"/>
      <c r="V417" s="25"/>
      <c r="W417" s="25"/>
      <c r="X417" s="14" t="str">
        <f aca="false">IF(OR($V417="",$W417=""),"",IF(AND($V417&gt;=Spravochnik!$H$5,$W417&gt;=Spravochnik!$H$6),"Ha","Yo'q"))</f>
        <v/>
      </c>
      <c r="Y417" s="13"/>
      <c r="Z417" s="13"/>
      <c r="AA417" s="13"/>
      <c r="AB417" s="13"/>
      <c r="AC417" s="14" t="str">
        <f aca="false">IF(AND($B417&lt;&gt;"",$AE417="",$AB417&lt;&gt;"",$AB417&lt;Boshqaruv!$C$12),"Ha","")</f>
        <v/>
      </c>
      <c r="AD417" s="25"/>
      <c r="AE417" s="13"/>
      <c r="AF417" s="12"/>
      <c r="AG417" s="14" t="str">
        <f aca="false">IF(OR($B417="",$C417="",$H417=""),"",IF(COUNTIFS($B$5:$B$804,$B417,$C$5:$C$804,$C417,$H$5:$H$804,$H417)&gt;1,"Takror",""))</f>
        <v/>
      </c>
      <c r="AH417" s="28" t="str">
        <f aca="false">IF(AND($B417&lt;&gt;"",$N417="Ha",$H417&lt;&gt;"",$H417&lt;=Boshqaruv!$C$12,OR($AE417="",$AE417&gt;Boshqaruv!$C$12)),MAX($AH$4:$AH416)+1,"")</f>
        <v/>
      </c>
    </row>
    <row r="418" customFormat="false" ht="15" hidden="false" customHeight="false" outlineLevel="0" collapsed="false">
      <c r="A418" s="20" t="n">
        <v>414</v>
      </c>
      <c r="B418" s="12"/>
      <c r="C418" s="13"/>
      <c r="D418" s="24"/>
      <c r="E418" s="12"/>
      <c r="F418" s="25"/>
      <c r="G418" s="27" t="str">
        <f aca="false">IF(OR($B418="",$C418=""),"",$B418&amp;" ("&amp;DAY($C418)&amp;"."&amp;MONTH($C418)&amp;"."&amp;YEAR($C418)&amp;")")</f>
        <v/>
      </c>
      <c r="H418" s="13"/>
      <c r="I418" s="13"/>
      <c r="J418" s="15" t="str">
        <f aca="false">IF($I418="","",$I418+280)</f>
        <v/>
      </c>
      <c r="K418" s="14" t="str">
        <f aca="false">IF(OR($I418="",$AE418&lt;&gt;""),"",INT((Boshqaruv!$C$12-$I418)/7))</f>
        <v/>
      </c>
      <c r="L418" s="14" t="str">
        <f aca="false">IF(OR($C418="",$H418=""),"",INT(($H418-$C418)/365.25))</f>
        <v/>
      </c>
      <c r="M418" s="14" t="str">
        <f aca="false">IF($L418="","",IF($L418&lt;18,"Ha","Yo'q"))</f>
        <v/>
      </c>
      <c r="N418" s="25"/>
      <c r="O418" s="25"/>
      <c r="P418" s="25"/>
      <c r="Q418" s="12"/>
      <c r="R418" s="25"/>
      <c r="S418" s="12"/>
      <c r="T418" s="13"/>
      <c r="U418" s="12"/>
      <c r="V418" s="25"/>
      <c r="W418" s="25"/>
      <c r="X418" s="14" t="str">
        <f aca="false">IF(OR($V418="",$W418=""),"",IF(AND($V418&gt;=Spravochnik!$H$5,$W418&gt;=Spravochnik!$H$6),"Ha","Yo'q"))</f>
        <v/>
      </c>
      <c r="Y418" s="13"/>
      <c r="Z418" s="13"/>
      <c r="AA418" s="13"/>
      <c r="AB418" s="13"/>
      <c r="AC418" s="14" t="str">
        <f aca="false">IF(AND($B418&lt;&gt;"",$AE418="",$AB418&lt;&gt;"",$AB418&lt;Boshqaruv!$C$12),"Ha","")</f>
        <v/>
      </c>
      <c r="AD418" s="25"/>
      <c r="AE418" s="13"/>
      <c r="AF418" s="12"/>
      <c r="AG418" s="14" t="str">
        <f aca="false">IF(OR($B418="",$C418="",$H418=""),"",IF(COUNTIFS($B$5:$B$804,$B418,$C$5:$C$804,$C418,$H$5:$H$804,$H418)&gt;1,"Takror",""))</f>
        <v/>
      </c>
      <c r="AH418" s="28" t="str">
        <f aca="false">IF(AND($B418&lt;&gt;"",$N418="Ha",$H418&lt;&gt;"",$H418&lt;=Boshqaruv!$C$12,OR($AE418="",$AE418&gt;Boshqaruv!$C$12)),MAX($AH$4:$AH417)+1,"")</f>
        <v/>
      </c>
    </row>
    <row r="419" customFormat="false" ht="15" hidden="false" customHeight="false" outlineLevel="0" collapsed="false">
      <c r="A419" s="20" t="n">
        <v>415</v>
      </c>
      <c r="B419" s="12"/>
      <c r="C419" s="13"/>
      <c r="D419" s="24"/>
      <c r="E419" s="12"/>
      <c r="F419" s="25"/>
      <c r="G419" s="27" t="str">
        <f aca="false">IF(OR($B419="",$C419=""),"",$B419&amp;" ("&amp;DAY($C419)&amp;"."&amp;MONTH($C419)&amp;"."&amp;YEAR($C419)&amp;")")</f>
        <v/>
      </c>
      <c r="H419" s="13"/>
      <c r="I419" s="13"/>
      <c r="J419" s="15" t="str">
        <f aca="false">IF($I419="","",$I419+280)</f>
        <v/>
      </c>
      <c r="K419" s="14" t="str">
        <f aca="false">IF(OR($I419="",$AE419&lt;&gt;""),"",INT((Boshqaruv!$C$12-$I419)/7))</f>
        <v/>
      </c>
      <c r="L419" s="14" t="str">
        <f aca="false">IF(OR($C419="",$H419=""),"",INT(($H419-$C419)/365.25))</f>
        <v/>
      </c>
      <c r="M419" s="14" t="str">
        <f aca="false">IF($L419="","",IF($L419&lt;18,"Ha","Yo'q"))</f>
        <v/>
      </c>
      <c r="N419" s="25"/>
      <c r="O419" s="25"/>
      <c r="P419" s="25"/>
      <c r="Q419" s="12"/>
      <c r="R419" s="25"/>
      <c r="S419" s="12"/>
      <c r="T419" s="13"/>
      <c r="U419" s="12"/>
      <c r="V419" s="25"/>
      <c r="W419" s="25"/>
      <c r="X419" s="14" t="str">
        <f aca="false">IF(OR($V419="",$W419=""),"",IF(AND($V419&gt;=Spravochnik!$H$5,$W419&gt;=Spravochnik!$H$6),"Ha","Yo'q"))</f>
        <v/>
      </c>
      <c r="Y419" s="13"/>
      <c r="Z419" s="13"/>
      <c r="AA419" s="13"/>
      <c r="AB419" s="13"/>
      <c r="AC419" s="14" t="str">
        <f aca="false">IF(AND($B419&lt;&gt;"",$AE419="",$AB419&lt;&gt;"",$AB419&lt;Boshqaruv!$C$12),"Ha","")</f>
        <v/>
      </c>
      <c r="AD419" s="25"/>
      <c r="AE419" s="13"/>
      <c r="AF419" s="12"/>
      <c r="AG419" s="14" t="str">
        <f aca="false">IF(OR($B419="",$C419="",$H419=""),"",IF(COUNTIFS($B$5:$B$804,$B419,$C$5:$C$804,$C419,$H$5:$H$804,$H419)&gt;1,"Takror",""))</f>
        <v/>
      </c>
      <c r="AH419" s="28" t="str">
        <f aca="false">IF(AND($B419&lt;&gt;"",$N419="Ha",$H419&lt;&gt;"",$H419&lt;=Boshqaruv!$C$12,OR($AE419="",$AE419&gt;Boshqaruv!$C$12)),MAX($AH$4:$AH418)+1,"")</f>
        <v/>
      </c>
    </row>
    <row r="420" customFormat="false" ht="15" hidden="false" customHeight="false" outlineLevel="0" collapsed="false">
      <c r="A420" s="20" t="n">
        <v>416</v>
      </c>
      <c r="B420" s="12"/>
      <c r="C420" s="13"/>
      <c r="D420" s="24"/>
      <c r="E420" s="12"/>
      <c r="F420" s="25"/>
      <c r="G420" s="27" t="str">
        <f aca="false">IF(OR($B420="",$C420=""),"",$B420&amp;" ("&amp;DAY($C420)&amp;"."&amp;MONTH($C420)&amp;"."&amp;YEAR($C420)&amp;")")</f>
        <v/>
      </c>
      <c r="H420" s="13"/>
      <c r="I420" s="13"/>
      <c r="J420" s="15" t="str">
        <f aca="false">IF($I420="","",$I420+280)</f>
        <v/>
      </c>
      <c r="K420" s="14" t="str">
        <f aca="false">IF(OR($I420="",$AE420&lt;&gt;""),"",INT((Boshqaruv!$C$12-$I420)/7))</f>
        <v/>
      </c>
      <c r="L420" s="14" t="str">
        <f aca="false">IF(OR($C420="",$H420=""),"",INT(($H420-$C420)/365.25))</f>
        <v/>
      </c>
      <c r="M420" s="14" t="str">
        <f aca="false">IF($L420="","",IF($L420&lt;18,"Ha","Yo'q"))</f>
        <v/>
      </c>
      <c r="N420" s="25"/>
      <c r="O420" s="25"/>
      <c r="P420" s="25"/>
      <c r="Q420" s="12"/>
      <c r="R420" s="25"/>
      <c r="S420" s="12"/>
      <c r="T420" s="13"/>
      <c r="U420" s="12"/>
      <c r="V420" s="25"/>
      <c r="W420" s="25"/>
      <c r="X420" s="14" t="str">
        <f aca="false">IF(OR($V420="",$W420=""),"",IF(AND($V420&gt;=Spravochnik!$H$5,$W420&gt;=Spravochnik!$H$6),"Ha","Yo'q"))</f>
        <v/>
      </c>
      <c r="Y420" s="13"/>
      <c r="Z420" s="13"/>
      <c r="AA420" s="13"/>
      <c r="AB420" s="13"/>
      <c r="AC420" s="14" t="str">
        <f aca="false">IF(AND($B420&lt;&gt;"",$AE420="",$AB420&lt;&gt;"",$AB420&lt;Boshqaruv!$C$12),"Ha","")</f>
        <v/>
      </c>
      <c r="AD420" s="25"/>
      <c r="AE420" s="13"/>
      <c r="AF420" s="12"/>
      <c r="AG420" s="14" t="str">
        <f aca="false">IF(OR($B420="",$C420="",$H420=""),"",IF(COUNTIFS($B$5:$B$804,$B420,$C$5:$C$804,$C420,$H$5:$H$804,$H420)&gt;1,"Takror",""))</f>
        <v/>
      </c>
      <c r="AH420" s="28" t="str">
        <f aca="false">IF(AND($B420&lt;&gt;"",$N420="Ha",$H420&lt;&gt;"",$H420&lt;=Boshqaruv!$C$12,OR($AE420="",$AE420&gt;Boshqaruv!$C$12)),MAX($AH$4:$AH419)+1,"")</f>
        <v/>
      </c>
    </row>
    <row r="421" customFormat="false" ht="15" hidden="false" customHeight="false" outlineLevel="0" collapsed="false">
      <c r="A421" s="20" t="n">
        <v>417</v>
      </c>
      <c r="B421" s="12"/>
      <c r="C421" s="13"/>
      <c r="D421" s="24"/>
      <c r="E421" s="12"/>
      <c r="F421" s="25"/>
      <c r="G421" s="27" t="str">
        <f aca="false">IF(OR($B421="",$C421=""),"",$B421&amp;" ("&amp;DAY($C421)&amp;"."&amp;MONTH($C421)&amp;"."&amp;YEAR($C421)&amp;")")</f>
        <v/>
      </c>
      <c r="H421" s="13"/>
      <c r="I421" s="13"/>
      <c r="J421" s="15" t="str">
        <f aca="false">IF($I421="","",$I421+280)</f>
        <v/>
      </c>
      <c r="K421" s="14" t="str">
        <f aca="false">IF(OR($I421="",$AE421&lt;&gt;""),"",INT((Boshqaruv!$C$12-$I421)/7))</f>
        <v/>
      </c>
      <c r="L421" s="14" t="str">
        <f aca="false">IF(OR($C421="",$H421=""),"",INT(($H421-$C421)/365.25))</f>
        <v/>
      </c>
      <c r="M421" s="14" t="str">
        <f aca="false">IF($L421="","",IF($L421&lt;18,"Ha","Yo'q"))</f>
        <v/>
      </c>
      <c r="N421" s="25"/>
      <c r="O421" s="25"/>
      <c r="P421" s="25"/>
      <c r="Q421" s="12"/>
      <c r="R421" s="25"/>
      <c r="S421" s="12"/>
      <c r="T421" s="13"/>
      <c r="U421" s="12"/>
      <c r="V421" s="25"/>
      <c r="W421" s="25"/>
      <c r="X421" s="14" t="str">
        <f aca="false">IF(OR($V421="",$W421=""),"",IF(AND($V421&gt;=Spravochnik!$H$5,$W421&gt;=Spravochnik!$H$6),"Ha","Yo'q"))</f>
        <v/>
      </c>
      <c r="Y421" s="13"/>
      <c r="Z421" s="13"/>
      <c r="AA421" s="13"/>
      <c r="AB421" s="13"/>
      <c r="AC421" s="14" t="str">
        <f aca="false">IF(AND($B421&lt;&gt;"",$AE421="",$AB421&lt;&gt;"",$AB421&lt;Boshqaruv!$C$12),"Ha","")</f>
        <v/>
      </c>
      <c r="AD421" s="25"/>
      <c r="AE421" s="13"/>
      <c r="AF421" s="12"/>
      <c r="AG421" s="14" t="str">
        <f aca="false">IF(OR($B421="",$C421="",$H421=""),"",IF(COUNTIFS($B$5:$B$804,$B421,$C$5:$C$804,$C421,$H$5:$H$804,$H421)&gt;1,"Takror",""))</f>
        <v/>
      </c>
      <c r="AH421" s="28" t="str">
        <f aca="false">IF(AND($B421&lt;&gt;"",$N421="Ha",$H421&lt;&gt;"",$H421&lt;=Boshqaruv!$C$12,OR($AE421="",$AE421&gt;Boshqaruv!$C$12)),MAX($AH$4:$AH420)+1,"")</f>
        <v/>
      </c>
    </row>
    <row r="422" customFormat="false" ht="15" hidden="false" customHeight="false" outlineLevel="0" collapsed="false">
      <c r="A422" s="20" t="n">
        <v>418</v>
      </c>
      <c r="B422" s="12"/>
      <c r="C422" s="13"/>
      <c r="D422" s="24"/>
      <c r="E422" s="12"/>
      <c r="F422" s="25"/>
      <c r="G422" s="27" t="str">
        <f aca="false">IF(OR($B422="",$C422=""),"",$B422&amp;" ("&amp;DAY($C422)&amp;"."&amp;MONTH($C422)&amp;"."&amp;YEAR($C422)&amp;")")</f>
        <v/>
      </c>
      <c r="H422" s="13"/>
      <c r="I422" s="13"/>
      <c r="J422" s="15" t="str">
        <f aca="false">IF($I422="","",$I422+280)</f>
        <v/>
      </c>
      <c r="K422" s="14" t="str">
        <f aca="false">IF(OR($I422="",$AE422&lt;&gt;""),"",INT((Boshqaruv!$C$12-$I422)/7))</f>
        <v/>
      </c>
      <c r="L422" s="14" t="str">
        <f aca="false">IF(OR($C422="",$H422=""),"",INT(($H422-$C422)/365.25))</f>
        <v/>
      </c>
      <c r="M422" s="14" t="str">
        <f aca="false">IF($L422="","",IF($L422&lt;18,"Ha","Yo'q"))</f>
        <v/>
      </c>
      <c r="N422" s="25"/>
      <c r="O422" s="25"/>
      <c r="P422" s="25"/>
      <c r="Q422" s="12"/>
      <c r="R422" s="25"/>
      <c r="S422" s="12"/>
      <c r="T422" s="13"/>
      <c r="U422" s="12"/>
      <c r="V422" s="25"/>
      <c r="W422" s="25"/>
      <c r="X422" s="14" t="str">
        <f aca="false">IF(OR($V422="",$W422=""),"",IF(AND($V422&gt;=Spravochnik!$H$5,$W422&gt;=Spravochnik!$H$6),"Ha","Yo'q"))</f>
        <v/>
      </c>
      <c r="Y422" s="13"/>
      <c r="Z422" s="13"/>
      <c r="AA422" s="13"/>
      <c r="AB422" s="13"/>
      <c r="AC422" s="14" t="str">
        <f aca="false">IF(AND($B422&lt;&gt;"",$AE422="",$AB422&lt;&gt;"",$AB422&lt;Boshqaruv!$C$12),"Ha","")</f>
        <v/>
      </c>
      <c r="AD422" s="25"/>
      <c r="AE422" s="13"/>
      <c r="AF422" s="12"/>
      <c r="AG422" s="14" t="str">
        <f aca="false">IF(OR($B422="",$C422="",$H422=""),"",IF(COUNTIFS($B$5:$B$804,$B422,$C$5:$C$804,$C422,$H$5:$H$804,$H422)&gt;1,"Takror",""))</f>
        <v/>
      </c>
      <c r="AH422" s="28" t="str">
        <f aca="false">IF(AND($B422&lt;&gt;"",$N422="Ha",$H422&lt;&gt;"",$H422&lt;=Boshqaruv!$C$12,OR($AE422="",$AE422&gt;Boshqaruv!$C$12)),MAX($AH$4:$AH421)+1,"")</f>
        <v/>
      </c>
    </row>
    <row r="423" customFormat="false" ht="15" hidden="false" customHeight="false" outlineLevel="0" collapsed="false">
      <c r="A423" s="20" t="n">
        <v>419</v>
      </c>
      <c r="B423" s="12"/>
      <c r="C423" s="13"/>
      <c r="D423" s="24"/>
      <c r="E423" s="12"/>
      <c r="F423" s="25"/>
      <c r="G423" s="27" t="str">
        <f aca="false">IF(OR($B423="",$C423=""),"",$B423&amp;" ("&amp;DAY($C423)&amp;"."&amp;MONTH($C423)&amp;"."&amp;YEAR($C423)&amp;")")</f>
        <v/>
      </c>
      <c r="H423" s="13"/>
      <c r="I423" s="13"/>
      <c r="J423" s="15" t="str">
        <f aca="false">IF($I423="","",$I423+280)</f>
        <v/>
      </c>
      <c r="K423" s="14" t="str">
        <f aca="false">IF(OR($I423="",$AE423&lt;&gt;""),"",INT((Boshqaruv!$C$12-$I423)/7))</f>
        <v/>
      </c>
      <c r="L423" s="14" t="str">
        <f aca="false">IF(OR($C423="",$H423=""),"",INT(($H423-$C423)/365.25))</f>
        <v/>
      </c>
      <c r="M423" s="14" t="str">
        <f aca="false">IF($L423="","",IF($L423&lt;18,"Ha","Yo'q"))</f>
        <v/>
      </c>
      <c r="N423" s="25"/>
      <c r="O423" s="25"/>
      <c r="P423" s="25"/>
      <c r="Q423" s="12"/>
      <c r="R423" s="25"/>
      <c r="S423" s="12"/>
      <c r="T423" s="13"/>
      <c r="U423" s="12"/>
      <c r="V423" s="25"/>
      <c r="W423" s="25"/>
      <c r="X423" s="14" t="str">
        <f aca="false">IF(OR($V423="",$W423=""),"",IF(AND($V423&gt;=Spravochnik!$H$5,$W423&gt;=Spravochnik!$H$6),"Ha","Yo'q"))</f>
        <v/>
      </c>
      <c r="Y423" s="13"/>
      <c r="Z423" s="13"/>
      <c r="AA423" s="13"/>
      <c r="AB423" s="13"/>
      <c r="AC423" s="14" t="str">
        <f aca="false">IF(AND($B423&lt;&gt;"",$AE423="",$AB423&lt;&gt;"",$AB423&lt;Boshqaruv!$C$12),"Ha","")</f>
        <v/>
      </c>
      <c r="AD423" s="25"/>
      <c r="AE423" s="13"/>
      <c r="AF423" s="12"/>
      <c r="AG423" s="14" t="str">
        <f aca="false">IF(OR($B423="",$C423="",$H423=""),"",IF(COUNTIFS($B$5:$B$804,$B423,$C$5:$C$804,$C423,$H$5:$H$804,$H423)&gt;1,"Takror",""))</f>
        <v/>
      </c>
      <c r="AH423" s="28" t="str">
        <f aca="false">IF(AND($B423&lt;&gt;"",$N423="Ha",$H423&lt;&gt;"",$H423&lt;=Boshqaruv!$C$12,OR($AE423="",$AE423&gt;Boshqaruv!$C$12)),MAX($AH$4:$AH422)+1,"")</f>
        <v/>
      </c>
    </row>
    <row r="424" customFormat="false" ht="15" hidden="false" customHeight="false" outlineLevel="0" collapsed="false">
      <c r="A424" s="20" t="n">
        <v>420</v>
      </c>
      <c r="B424" s="12"/>
      <c r="C424" s="13"/>
      <c r="D424" s="24"/>
      <c r="E424" s="12"/>
      <c r="F424" s="25"/>
      <c r="G424" s="27" t="str">
        <f aca="false">IF(OR($B424="",$C424=""),"",$B424&amp;" ("&amp;DAY($C424)&amp;"."&amp;MONTH($C424)&amp;"."&amp;YEAR($C424)&amp;")")</f>
        <v/>
      </c>
      <c r="H424" s="13"/>
      <c r="I424" s="13"/>
      <c r="J424" s="15" t="str">
        <f aca="false">IF($I424="","",$I424+280)</f>
        <v/>
      </c>
      <c r="K424" s="14" t="str">
        <f aca="false">IF(OR($I424="",$AE424&lt;&gt;""),"",INT((Boshqaruv!$C$12-$I424)/7))</f>
        <v/>
      </c>
      <c r="L424" s="14" t="str">
        <f aca="false">IF(OR($C424="",$H424=""),"",INT(($H424-$C424)/365.25))</f>
        <v/>
      </c>
      <c r="M424" s="14" t="str">
        <f aca="false">IF($L424="","",IF($L424&lt;18,"Ha","Yo'q"))</f>
        <v/>
      </c>
      <c r="N424" s="25"/>
      <c r="O424" s="25"/>
      <c r="P424" s="25"/>
      <c r="Q424" s="12"/>
      <c r="R424" s="25"/>
      <c r="S424" s="12"/>
      <c r="T424" s="13"/>
      <c r="U424" s="12"/>
      <c r="V424" s="25"/>
      <c r="W424" s="25"/>
      <c r="X424" s="14" t="str">
        <f aca="false">IF(OR($V424="",$W424=""),"",IF(AND($V424&gt;=Spravochnik!$H$5,$W424&gt;=Spravochnik!$H$6),"Ha","Yo'q"))</f>
        <v/>
      </c>
      <c r="Y424" s="13"/>
      <c r="Z424" s="13"/>
      <c r="AA424" s="13"/>
      <c r="AB424" s="13"/>
      <c r="AC424" s="14" t="str">
        <f aca="false">IF(AND($B424&lt;&gt;"",$AE424="",$AB424&lt;&gt;"",$AB424&lt;Boshqaruv!$C$12),"Ha","")</f>
        <v/>
      </c>
      <c r="AD424" s="25"/>
      <c r="AE424" s="13"/>
      <c r="AF424" s="12"/>
      <c r="AG424" s="14" t="str">
        <f aca="false">IF(OR($B424="",$C424="",$H424=""),"",IF(COUNTIFS($B$5:$B$804,$B424,$C$5:$C$804,$C424,$H$5:$H$804,$H424)&gt;1,"Takror",""))</f>
        <v/>
      </c>
      <c r="AH424" s="28" t="str">
        <f aca="false">IF(AND($B424&lt;&gt;"",$N424="Ha",$H424&lt;&gt;"",$H424&lt;=Boshqaruv!$C$12,OR($AE424="",$AE424&gt;Boshqaruv!$C$12)),MAX($AH$4:$AH423)+1,"")</f>
        <v/>
      </c>
    </row>
    <row r="425" customFormat="false" ht="15" hidden="false" customHeight="false" outlineLevel="0" collapsed="false">
      <c r="A425" s="20" t="n">
        <v>421</v>
      </c>
      <c r="B425" s="12"/>
      <c r="C425" s="13"/>
      <c r="D425" s="24"/>
      <c r="E425" s="12"/>
      <c r="F425" s="25"/>
      <c r="G425" s="27" t="str">
        <f aca="false">IF(OR($B425="",$C425=""),"",$B425&amp;" ("&amp;DAY($C425)&amp;"."&amp;MONTH($C425)&amp;"."&amp;YEAR($C425)&amp;")")</f>
        <v/>
      </c>
      <c r="H425" s="13"/>
      <c r="I425" s="13"/>
      <c r="J425" s="15" t="str">
        <f aca="false">IF($I425="","",$I425+280)</f>
        <v/>
      </c>
      <c r="K425" s="14" t="str">
        <f aca="false">IF(OR($I425="",$AE425&lt;&gt;""),"",INT((Boshqaruv!$C$12-$I425)/7))</f>
        <v/>
      </c>
      <c r="L425" s="14" t="str">
        <f aca="false">IF(OR($C425="",$H425=""),"",INT(($H425-$C425)/365.25))</f>
        <v/>
      </c>
      <c r="M425" s="14" t="str">
        <f aca="false">IF($L425="","",IF($L425&lt;18,"Ha","Yo'q"))</f>
        <v/>
      </c>
      <c r="N425" s="25"/>
      <c r="O425" s="25"/>
      <c r="P425" s="25"/>
      <c r="Q425" s="12"/>
      <c r="R425" s="25"/>
      <c r="S425" s="12"/>
      <c r="T425" s="13"/>
      <c r="U425" s="12"/>
      <c r="V425" s="25"/>
      <c r="W425" s="25"/>
      <c r="X425" s="14" t="str">
        <f aca="false">IF(OR($V425="",$W425=""),"",IF(AND($V425&gt;=Spravochnik!$H$5,$W425&gt;=Spravochnik!$H$6),"Ha","Yo'q"))</f>
        <v/>
      </c>
      <c r="Y425" s="13"/>
      <c r="Z425" s="13"/>
      <c r="AA425" s="13"/>
      <c r="AB425" s="13"/>
      <c r="AC425" s="14" t="str">
        <f aca="false">IF(AND($B425&lt;&gt;"",$AE425="",$AB425&lt;&gt;"",$AB425&lt;Boshqaruv!$C$12),"Ha","")</f>
        <v/>
      </c>
      <c r="AD425" s="25"/>
      <c r="AE425" s="13"/>
      <c r="AF425" s="12"/>
      <c r="AG425" s="14" t="str">
        <f aca="false">IF(OR($B425="",$C425="",$H425=""),"",IF(COUNTIFS($B$5:$B$804,$B425,$C$5:$C$804,$C425,$H$5:$H$804,$H425)&gt;1,"Takror",""))</f>
        <v/>
      </c>
      <c r="AH425" s="28" t="str">
        <f aca="false">IF(AND($B425&lt;&gt;"",$N425="Ha",$H425&lt;&gt;"",$H425&lt;=Boshqaruv!$C$12,OR($AE425="",$AE425&gt;Boshqaruv!$C$12)),MAX($AH$4:$AH424)+1,"")</f>
        <v/>
      </c>
    </row>
    <row r="426" customFormat="false" ht="15" hidden="false" customHeight="false" outlineLevel="0" collapsed="false">
      <c r="A426" s="20" t="n">
        <v>422</v>
      </c>
      <c r="B426" s="12"/>
      <c r="C426" s="13"/>
      <c r="D426" s="24"/>
      <c r="E426" s="12"/>
      <c r="F426" s="25"/>
      <c r="G426" s="27" t="str">
        <f aca="false">IF(OR($B426="",$C426=""),"",$B426&amp;" ("&amp;DAY($C426)&amp;"."&amp;MONTH($C426)&amp;"."&amp;YEAR($C426)&amp;")")</f>
        <v/>
      </c>
      <c r="H426" s="13"/>
      <c r="I426" s="13"/>
      <c r="J426" s="15" t="str">
        <f aca="false">IF($I426="","",$I426+280)</f>
        <v/>
      </c>
      <c r="K426" s="14" t="str">
        <f aca="false">IF(OR($I426="",$AE426&lt;&gt;""),"",INT((Boshqaruv!$C$12-$I426)/7))</f>
        <v/>
      </c>
      <c r="L426" s="14" t="str">
        <f aca="false">IF(OR($C426="",$H426=""),"",INT(($H426-$C426)/365.25))</f>
        <v/>
      </c>
      <c r="M426" s="14" t="str">
        <f aca="false">IF($L426="","",IF($L426&lt;18,"Ha","Yo'q"))</f>
        <v/>
      </c>
      <c r="N426" s="25"/>
      <c r="O426" s="25"/>
      <c r="P426" s="25"/>
      <c r="Q426" s="12"/>
      <c r="R426" s="25"/>
      <c r="S426" s="12"/>
      <c r="T426" s="13"/>
      <c r="U426" s="12"/>
      <c r="V426" s="25"/>
      <c r="W426" s="25"/>
      <c r="X426" s="14" t="str">
        <f aca="false">IF(OR($V426="",$W426=""),"",IF(AND($V426&gt;=Spravochnik!$H$5,$W426&gt;=Spravochnik!$H$6),"Ha","Yo'q"))</f>
        <v/>
      </c>
      <c r="Y426" s="13"/>
      <c r="Z426" s="13"/>
      <c r="AA426" s="13"/>
      <c r="AB426" s="13"/>
      <c r="AC426" s="14" t="str">
        <f aca="false">IF(AND($B426&lt;&gt;"",$AE426="",$AB426&lt;&gt;"",$AB426&lt;Boshqaruv!$C$12),"Ha","")</f>
        <v/>
      </c>
      <c r="AD426" s="25"/>
      <c r="AE426" s="13"/>
      <c r="AF426" s="12"/>
      <c r="AG426" s="14" t="str">
        <f aca="false">IF(OR($B426="",$C426="",$H426=""),"",IF(COUNTIFS($B$5:$B$804,$B426,$C$5:$C$804,$C426,$H$5:$H$804,$H426)&gt;1,"Takror",""))</f>
        <v/>
      </c>
      <c r="AH426" s="28" t="str">
        <f aca="false">IF(AND($B426&lt;&gt;"",$N426="Ha",$H426&lt;&gt;"",$H426&lt;=Boshqaruv!$C$12,OR($AE426="",$AE426&gt;Boshqaruv!$C$12)),MAX($AH$4:$AH425)+1,"")</f>
        <v/>
      </c>
    </row>
    <row r="427" customFormat="false" ht="15" hidden="false" customHeight="false" outlineLevel="0" collapsed="false">
      <c r="A427" s="20" t="n">
        <v>423</v>
      </c>
      <c r="B427" s="12"/>
      <c r="C427" s="13"/>
      <c r="D427" s="24"/>
      <c r="E427" s="12"/>
      <c r="F427" s="25"/>
      <c r="G427" s="27" t="str">
        <f aca="false">IF(OR($B427="",$C427=""),"",$B427&amp;" ("&amp;DAY($C427)&amp;"."&amp;MONTH($C427)&amp;"."&amp;YEAR($C427)&amp;")")</f>
        <v/>
      </c>
      <c r="H427" s="13"/>
      <c r="I427" s="13"/>
      <c r="J427" s="15" t="str">
        <f aca="false">IF($I427="","",$I427+280)</f>
        <v/>
      </c>
      <c r="K427" s="14" t="str">
        <f aca="false">IF(OR($I427="",$AE427&lt;&gt;""),"",INT((Boshqaruv!$C$12-$I427)/7))</f>
        <v/>
      </c>
      <c r="L427" s="14" t="str">
        <f aca="false">IF(OR($C427="",$H427=""),"",INT(($H427-$C427)/365.25))</f>
        <v/>
      </c>
      <c r="M427" s="14" t="str">
        <f aca="false">IF($L427="","",IF($L427&lt;18,"Ha","Yo'q"))</f>
        <v/>
      </c>
      <c r="N427" s="25"/>
      <c r="O427" s="25"/>
      <c r="P427" s="25"/>
      <c r="Q427" s="12"/>
      <c r="R427" s="25"/>
      <c r="S427" s="12"/>
      <c r="T427" s="13"/>
      <c r="U427" s="12"/>
      <c r="V427" s="25"/>
      <c r="W427" s="25"/>
      <c r="X427" s="14" t="str">
        <f aca="false">IF(OR($V427="",$W427=""),"",IF(AND($V427&gt;=Spravochnik!$H$5,$W427&gt;=Spravochnik!$H$6),"Ha","Yo'q"))</f>
        <v/>
      </c>
      <c r="Y427" s="13"/>
      <c r="Z427" s="13"/>
      <c r="AA427" s="13"/>
      <c r="AB427" s="13"/>
      <c r="AC427" s="14" t="str">
        <f aca="false">IF(AND($B427&lt;&gt;"",$AE427="",$AB427&lt;&gt;"",$AB427&lt;Boshqaruv!$C$12),"Ha","")</f>
        <v/>
      </c>
      <c r="AD427" s="25"/>
      <c r="AE427" s="13"/>
      <c r="AF427" s="12"/>
      <c r="AG427" s="14" t="str">
        <f aca="false">IF(OR($B427="",$C427="",$H427=""),"",IF(COUNTIFS($B$5:$B$804,$B427,$C$5:$C$804,$C427,$H$5:$H$804,$H427)&gt;1,"Takror",""))</f>
        <v/>
      </c>
      <c r="AH427" s="28" t="str">
        <f aca="false">IF(AND($B427&lt;&gt;"",$N427="Ha",$H427&lt;&gt;"",$H427&lt;=Boshqaruv!$C$12,OR($AE427="",$AE427&gt;Boshqaruv!$C$12)),MAX($AH$4:$AH426)+1,"")</f>
        <v/>
      </c>
    </row>
    <row r="428" customFormat="false" ht="15" hidden="false" customHeight="false" outlineLevel="0" collapsed="false">
      <c r="A428" s="20" t="n">
        <v>424</v>
      </c>
      <c r="B428" s="12"/>
      <c r="C428" s="13"/>
      <c r="D428" s="24"/>
      <c r="E428" s="12"/>
      <c r="F428" s="25"/>
      <c r="G428" s="27" t="str">
        <f aca="false">IF(OR($B428="",$C428=""),"",$B428&amp;" ("&amp;DAY($C428)&amp;"."&amp;MONTH($C428)&amp;"."&amp;YEAR($C428)&amp;")")</f>
        <v/>
      </c>
      <c r="H428" s="13"/>
      <c r="I428" s="13"/>
      <c r="J428" s="15" t="str">
        <f aca="false">IF($I428="","",$I428+280)</f>
        <v/>
      </c>
      <c r="K428" s="14" t="str">
        <f aca="false">IF(OR($I428="",$AE428&lt;&gt;""),"",INT((Boshqaruv!$C$12-$I428)/7))</f>
        <v/>
      </c>
      <c r="L428" s="14" t="str">
        <f aca="false">IF(OR($C428="",$H428=""),"",INT(($H428-$C428)/365.25))</f>
        <v/>
      </c>
      <c r="M428" s="14" t="str">
        <f aca="false">IF($L428="","",IF($L428&lt;18,"Ha","Yo'q"))</f>
        <v/>
      </c>
      <c r="N428" s="25"/>
      <c r="O428" s="25"/>
      <c r="P428" s="25"/>
      <c r="Q428" s="12"/>
      <c r="R428" s="25"/>
      <c r="S428" s="12"/>
      <c r="T428" s="13"/>
      <c r="U428" s="12"/>
      <c r="V428" s="25"/>
      <c r="W428" s="25"/>
      <c r="X428" s="14" t="str">
        <f aca="false">IF(OR($V428="",$W428=""),"",IF(AND($V428&gt;=Spravochnik!$H$5,$W428&gt;=Spravochnik!$H$6),"Ha","Yo'q"))</f>
        <v/>
      </c>
      <c r="Y428" s="13"/>
      <c r="Z428" s="13"/>
      <c r="AA428" s="13"/>
      <c r="AB428" s="13"/>
      <c r="AC428" s="14" t="str">
        <f aca="false">IF(AND($B428&lt;&gt;"",$AE428="",$AB428&lt;&gt;"",$AB428&lt;Boshqaruv!$C$12),"Ha","")</f>
        <v/>
      </c>
      <c r="AD428" s="25"/>
      <c r="AE428" s="13"/>
      <c r="AF428" s="12"/>
      <c r="AG428" s="14" t="str">
        <f aca="false">IF(OR($B428="",$C428="",$H428=""),"",IF(COUNTIFS($B$5:$B$804,$B428,$C$5:$C$804,$C428,$H$5:$H$804,$H428)&gt;1,"Takror",""))</f>
        <v/>
      </c>
      <c r="AH428" s="28" t="str">
        <f aca="false">IF(AND($B428&lt;&gt;"",$N428="Ha",$H428&lt;&gt;"",$H428&lt;=Boshqaruv!$C$12,OR($AE428="",$AE428&gt;Boshqaruv!$C$12)),MAX($AH$4:$AH427)+1,"")</f>
        <v/>
      </c>
    </row>
    <row r="429" customFormat="false" ht="15" hidden="false" customHeight="false" outlineLevel="0" collapsed="false">
      <c r="A429" s="20" t="n">
        <v>425</v>
      </c>
      <c r="B429" s="12"/>
      <c r="C429" s="13"/>
      <c r="D429" s="24"/>
      <c r="E429" s="12"/>
      <c r="F429" s="25"/>
      <c r="G429" s="27" t="str">
        <f aca="false">IF(OR($B429="",$C429=""),"",$B429&amp;" ("&amp;DAY($C429)&amp;"."&amp;MONTH($C429)&amp;"."&amp;YEAR($C429)&amp;")")</f>
        <v/>
      </c>
      <c r="H429" s="13"/>
      <c r="I429" s="13"/>
      <c r="J429" s="15" t="str">
        <f aca="false">IF($I429="","",$I429+280)</f>
        <v/>
      </c>
      <c r="K429" s="14" t="str">
        <f aca="false">IF(OR($I429="",$AE429&lt;&gt;""),"",INT((Boshqaruv!$C$12-$I429)/7))</f>
        <v/>
      </c>
      <c r="L429" s="14" t="str">
        <f aca="false">IF(OR($C429="",$H429=""),"",INT(($H429-$C429)/365.25))</f>
        <v/>
      </c>
      <c r="M429" s="14" t="str">
        <f aca="false">IF($L429="","",IF($L429&lt;18,"Ha","Yo'q"))</f>
        <v/>
      </c>
      <c r="N429" s="25"/>
      <c r="O429" s="25"/>
      <c r="P429" s="25"/>
      <c r="Q429" s="12"/>
      <c r="R429" s="25"/>
      <c r="S429" s="12"/>
      <c r="T429" s="13"/>
      <c r="U429" s="12"/>
      <c r="V429" s="25"/>
      <c r="W429" s="25"/>
      <c r="X429" s="14" t="str">
        <f aca="false">IF(OR($V429="",$W429=""),"",IF(AND($V429&gt;=Spravochnik!$H$5,$W429&gt;=Spravochnik!$H$6),"Ha","Yo'q"))</f>
        <v/>
      </c>
      <c r="Y429" s="13"/>
      <c r="Z429" s="13"/>
      <c r="AA429" s="13"/>
      <c r="AB429" s="13"/>
      <c r="AC429" s="14" t="str">
        <f aca="false">IF(AND($B429&lt;&gt;"",$AE429="",$AB429&lt;&gt;"",$AB429&lt;Boshqaruv!$C$12),"Ha","")</f>
        <v/>
      </c>
      <c r="AD429" s="25"/>
      <c r="AE429" s="13"/>
      <c r="AF429" s="12"/>
      <c r="AG429" s="14" t="str">
        <f aca="false">IF(OR($B429="",$C429="",$H429=""),"",IF(COUNTIFS($B$5:$B$804,$B429,$C$5:$C$804,$C429,$H$5:$H$804,$H429)&gt;1,"Takror",""))</f>
        <v/>
      </c>
      <c r="AH429" s="28" t="str">
        <f aca="false">IF(AND($B429&lt;&gt;"",$N429="Ha",$H429&lt;&gt;"",$H429&lt;=Boshqaruv!$C$12,OR($AE429="",$AE429&gt;Boshqaruv!$C$12)),MAX($AH$4:$AH428)+1,"")</f>
        <v/>
      </c>
    </row>
    <row r="430" customFormat="false" ht="15" hidden="false" customHeight="false" outlineLevel="0" collapsed="false">
      <c r="A430" s="20" t="n">
        <v>426</v>
      </c>
      <c r="B430" s="12"/>
      <c r="C430" s="13"/>
      <c r="D430" s="24"/>
      <c r="E430" s="12"/>
      <c r="F430" s="25"/>
      <c r="G430" s="27" t="str">
        <f aca="false">IF(OR($B430="",$C430=""),"",$B430&amp;" ("&amp;DAY($C430)&amp;"."&amp;MONTH($C430)&amp;"."&amp;YEAR($C430)&amp;")")</f>
        <v/>
      </c>
      <c r="H430" s="13"/>
      <c r="I430" s="13"/>
      <c r="J430" s="15" t="str">
        <f aca="false">IF($I430="","",$I430+280)</f>
        <v/>
      </c>
      <c r="K430" s="14" t="str">
        <f aca="false">IF(OR($I430="",$AE430&lt;&gt;""),"",INT((Boshqaruv!$C$12-$I430)/7))</f>
        <v/>
      </c>
      <c r="L430" s="14" t="str">
        <f aca="false">IF(OR($C430="",$H430=""),"",INT(($H430-$C430)/365.25))</f>
        <v/>
      </c>
      <c r="M430" s="14" t="str">
        <f aca="false">IF($L430="","",IF($L430&lt;18,"Ha","Yo'q"))</f>
        <v/>
      </c>
      <c r="N430" s="25"/>
      <c r="O430" s="25"/>
      <c r="P430" s="25"/>
      <c r="Q430" s="12"/>
      <c r="R430" s="25"/>
      <c r="S430" s="12"/>
      <c r="T430" s="13"/>
      <c r="U430" s="12"/>
      <c r="V430" s="25"/>
      <c r="W430" s="25"/>
      <c r="X430" s="14" t="str">
        <f aca="false">IF(OR($V430="",$W430=""),"",IF(AND($V430&gt;=Spravochnik!$H$5,$W430&gt;=Spravochnik!$H$6),"Ha","Yo'q"))</f>
        <v/>
      </c>
      <c r="Y430" s="13"/>
      <c r="Z430" s="13"/>
      <c r="AA430" s="13"/>
      <c r="AB430" s="13"/>
      <c r="AC430" s="14" t="str">
        <f aca="false">IF(AND($B430&lt;&gt;"",$AE430="",$AB430&lt;&gt;"",$AB430&lt;Boshqaruv!$C$12),"Ha","")</f>
        <v/>
      </c>
      <c r="AD430" s="25"/>
      <c r="AE430" s="13"/>
      <c r="AF430" s="12"/>
      <c r="AG430" s="14" t="str">
        <f aca="false">IF(OR($B430="",$C430="",$H430=""),"",IF(COUNTIFS($B$5:$B$804,$B430,$C$5:$C$804,$C430,$H$5:$H$804,$H430)&gt;1,"Takror",""))</f>
        <v/>
      </c>
      <c r="AH430" s="28" t="str">
        <f aca="false">IF(AND($B430&lt;&gt;"",$N430="Ha",$H430&lt;&gt;"",$H430&lt;=Boshqaruv!$C$12,OR($AE430="",$AE430&gt;Boshqaruv!$C$12)),MAX($AH$4:$AH429)+1,"")</f>
        <v/>
      </c>
    </row>
    <row r="431" customFormat="false" ht="15" hidden="false" customHeight="false" outlineLevel="0" collapsed="false">
      <c r="A431" s="20" t="n">
        <v>427</v>
      </c>
      <c r="B431" s="12"/>
      <c r="C431" s="13"/>
      <c r="D431" s="24"/>
      <c r="E431" s="12"/>
      <c r="F431" s="25"/>
      <c r="G431" s="27" t="str">
        <f aca="false">IF(OR($B431="",$C431=""),"",$B431&amp;" ("&amp;DAY($C431)&amp;"."&amp;MONTH($C431)&amp;"."&amp;YEAR($C431)&amp;")")</f>
        <v/>
      </c>
      <c r="H431" s="13"/>
      <c r="I431" s="13"/>
      <c r="J431" s="15" t="str">
        <f aca="false">IF($I431="","",$I431+280)</f>
        <v/>
      </c>
      <c r="K431" s="14" t="str">
        <f aca="false">IF(OR($I431="",$AE431&lt;&gt;""),"",INT((Boshqaruv!$C$12-$I431)/7))</f>
        <v/>
      </c>
      <c r="L431" s="14" t="str">
        <f aca="false">IF(OR($C431="",$H431=""),"",INT(($H431-$C431)/365.25))</f>
        <v/>
      </c>
      <c r="M431" s="14" t="str">
        <f aca="false">IF($L431="","",IF($L431&lt;18,"Ha","Yo'q"))</f>
        <v/>
      </c>
      <c r="N431" s="25"/>
      <c r="O431" s="25"/>
      <c r="P431" s="25"/>
      <c r="Q431" s="12"/>
      <c r="R431" s="25"/>
      <c r="S431" s="12"/>
      <c r="T431" s="13"/>
      <c r="U431" s="12"/>
      <c r="V431" s="25"/>
      <c r="W431" s="25"/>
      <c r="X431" s="14" t="str">
        <f aca="false">IF(OR($V431="",$W431=""),"",IF(AND($V431&gt;=Spravochnik!$H$5,$W431&gt;=Spravochnik!$H$6),"Ha","Yo'q"))</f>
        <v/>
      </c>
      <c r="Y431" s="13"/>
      <c r="Z431" s="13"/>
      <c r="AA431" s="13"/>
      <c r="AB431" s="13"/>
      <c r="AC431" s="14" t="str">
        <f aca="false">IF(AND($B431&lt;&gt;"",$AE431="",$AB431&lt;&gt;"",$AB431&lt;Boshqaruv!$C$12),"Ha","")</f>
        <v/>
      </c>
      <c r="AD431" s="25"/>
      <c r="AE431" s="13"/>
      <c r="AF431" s="12"/>
      <c r="AG431" s="14" t="str">
        <f aca="false">IF(OR($B431="",$C431="",$H431=""),"",IF(COUNTIFS($B$5:$B$804,$B431,$C$5:$C$804,$C431,$H$5:$H$804,$H431)&gt;1,"Takror",""))</f>
        <v/>
      </c>
      <c r="AH431" s="28" t="str">
        <f aca="false">IF(AND($B431&lt;&gt;"",$N431="Ha",$H431&lt;&gt;"",$H431&lt;=Boshqaruv!$C$12,OR($AE431="",$AE431&gt;Boshqaruv!$C$12)),MAX($AH$4:$AH430)+1,"")</f>
        <v/>
      </c>
    </row>
    <row r="432" customFormat="false" ht="15" hidden="false" customHeight="false" outlineLevel="0" collapsed="false">
      <c r="A432" s="20" t="n">
        <v>428</v>
      </c>
      <c r="B432" s="12"/>
      <c r="C432" s="13"/>
      <c r="D432" s="24"/>
      <c r="E432" s="12"/>
      <c r="F432" s="25"/>
      <c r="G432" s="27" t="str">
        <f aca="false">IF(OR($B432="",$C432=""),"",$B432&amp;" ("&amp;DAY($C432)&amp;"."&amp;MONTH($C432)&amp;"."&amp;YEAR($C432)&amp;")")</f>
        <v/>
      </c>
      <c r="H432" s="13"/>
      <c r="I432" s="13"/>
      <c r="J432" s="15" t="str">
        <f aca="false">IF($I432="","",$I432+280)</f>
        <v/>
      </c>
      <c r="K432" s="14" t="str">
        <f aca="false">IF(OR($I432="",$AE432&lt;&gt;""),"",INT((Boshqaruv!$C$12-$I432)/7))</f>
        <v/>
      </c>
      <c r="L432" s="14" t="str">
        <f aca="false">IF(OR($C432="",$H432=""),"",INT(($H432-$C432)/365.25))</f>
        <v/>
      </c>
      <c r="M432" s="14" t="str">
        <f aca="false">IF($L432="","",IF($L432&lt;18,"Ha","Yo'q"))</f>
        <v/>
      </c>
      <c r="N432" s="25"/>
      <c r="O432" s="25"/>
      <c r="P432" s="25"/>
      <c r="Q432" s="12"/>
      <c r="R432" s="25"/>
      <c r="S432" s="12"/>
      <c r="T432" s="13"/>
      <c r="U432" s="12"/>
      <c r="V432" s="25"/>
      <c r="W432" s="25"/>
      <c r="X432" s="14" t="str">
        <f aca="false">IF(OR($V432="",$W432=""),"",IF(AND($V432&gt;=Spravochnik!$H$5,$W432&gt;=Spravochnik!$H$6),"Ha","Yo'q"))</f>
        <v/>
      </c>
      <c r="Y432" s="13"/>
      <c r="Z432" s="13"/>
      <c r="AA432" s="13"/>
      <c r="AB432" s="13"/>
      <c r="AC432" s="14" t="str">
        <f aca="false">IF(AND($B432&lt;&gt;"",$AE432="",$AB432&lt;&gt;"",$AB432&lt;Boshqaruv!$C$12),"Ha","")</f>
        <v/>
      </c>
      <c r="AD432" s="25"/>
      <c r="AE432" s="13"/>
      <c r="AF432" s="12"/>
      <c r="AG432" s="14" t="str">
        <f aca="false">IF(OR($B432="",$C432="",$H432=""),"",IF(COUNTIFS($B$5:$B$804,$B432,$C$5:$C$804,$C432,$H$5:$H$804,$H432)&gt;1,"Takror",""))</f>
        <v/>
      </c>
      <c r="AH432" s="28" t="str">
        <f aca="false">IF(AND($B432&lt;&gt;"",$N432="Ha",$H432&lt;&gt;"",$H432&lt;=Boshqaruv!$C$12,OR($AE432="",$AE432&gt;Boshqaruv!$C$12)),MAX($AH$4:$AH431)+1,"")</f>
        <v/>
      </c>
    </row>
    <row r="433" customFormat="false" ht="15" hidden="false" customHeight="false" outlineLevel="0" collapsed="false">
      <c r="A433" s="20" t="n">
        <v>429</v>
      </c>
      <c r="B433" s="12"/>
      <c r="C433" s="13"/>
      <c r="D433" s="24"/>
      <c r="E433" s="12"/>
      <c r="F433" s="25"/>
      <c r="G433" s="27" t="str">
        <f aca="false">IF(OR($B433="",$C433=""),"",$B433&amp;" ("&amp;DAY($C433)&amp;"."&amp;MONTH($C433)&amp;"."&amp;YEAR($C433)&amp;")")</f>
        <v/>
      </c>
      <c r="H433" s="13"/>
      <c r="I433" s="13"/>
      <c r="J433" s="15" t="str">
        <f aca="false">IF($I433="","",$I433+280)</f>
        <v/>
      </c>
      <c r="K433" s="14" t="str">
        <f aca="false">IF(OR($I433="",$AE433&lt;&gt;""),"",INT((Boshqaruv!$C$12-$I433)/7))</f>
        <v/>
      </c>
      <c r="L433" s="14" t="str">
        <f aca="false">IF(OR($C433="",$H433=""),"",INT(($H433-$C433)/365.25))</f>
        <v/>
      </c>
      <c r="M433" s="14" t="str">
        <f aca="false">IF($L433="","",IF($L433&lt;18,"Ha","Yo'q"))</f>
        <v/>
      </c>
      <c r="N433" s="25"/>
      <c r="O433" s="25"/>
      <c r="P433" s="25"/>
      <c r="Q433" s="12"/>
      <c r="R433" s="25"/>
      <c r="S433" s="12"/>
      <c r="T433" s="13"/>
      <c r="U433" s="12"/>
      <c r="V433" s="25"/>
      <c r="W433" s="25"/>
      <c r="X433" s="14" t="str">
        <f aca="false">IF(OR($V433="",$W433=""),"",IF(AND($V433&gt;=Spravochnik!$H$5,$W433&gt;=Spravochnik!$H$6),"Ha","Yo'q"))</f>
        <v/>
      </c>
      <c r="Y433" s="13"/>
      <c r="Z433" s="13"/>
      <c r="AA433" s="13"/>
      <c r="AB433" s="13"/>
      <c r="AC433" s="14" t="str">
        <f aca="false">IF(AND($B433&lt;&gt;"",$AE433="",$AB433&lt;&gt;"",$AB433&lt;Boshqaruv!$C$12),"Ha","")</f>
        <v/>
      </c>
      <c r="AD433" s="25"/>
      <c r="AE433" s="13"/>
      <c r="AF433" s="12"/>
      <c r="AG433" s="14" t="str">
        <f aca="false">IF(OR($B433="",$C433="",$H433=""),"",IF(COUNTIFS($B$5:$B$804,$B433,$C$5:$C$804,$C433,$H$5:$H$804,$H433)&gt;1,"Takror",""))</f>
        <v/>
      </c>
      <c r="AH433" s="28" t="str">
        <f aca="false">IF(AND($B433&lt;&gt;"",$N433="Ha",$H433&lt;&gt;"",$H433&lt;=Boshqaruv!$C$12,OR($AE433="",$AE433&gt;Boshqaruv!$C$12)),MAX($AH$4:$AH432)+1,"")</f>
        <v/>
      </c>
    </row>
    <row r="434" customFormat="false" ht="15" hidden="false" customHeight="false" outlineLevel="0" collapsed="false">
      <c r="A434" s="20" t="n">
        <v>430</v>
      </c>
      <c r="B434" s="12"/>
      <c r="C434" s="13"/>
      <c r="D434" s="24"/>
      <c r="E434" s="12"/>
      <c r="F434" s="25"/>
      <c r="G434" s="27" t="str">
        <f aca="false">IF(OR($B434="",$C434=""),"",$B434&amp;" ("&amp;DAY($C434)&amp;"."&amp;MONTH($C434)&amp;"."&amp;YEAR($C434)&amp;")")</f>
        <v/>
      </c>
      <c r="H434" s="13"/>
      <c r="I434" s="13"/>
      <c r="J434" s="15" t="str">
        <f aca="false">IF($I434="","",$I434+280)</f>
        <v/>
      </c>
      <c r="K434" s="14" t="str">
        <f aca="false">IF(OR($I434="",$AE434&lt;&gt;""),"",INT((Boshqaruv!$C$12-$I434)/7))</f>
        <v/>
      </c>
      <c r="L434" s="14" t="str">
        <f aca="false">IF(OR($C434="",$H434=""),"",INT(($H434-$C434)/365.25))</f>
        <v/>
      </c>
      <c r="M434" s="14" t="str">
        <f aca="false">IF($L434="","",IF($L434&lt;18,"Ha","Yo'q"))</f>
        <v/>
      </c>
      <c r="N434" s="25"/>
      <c r="O434" s="25"/>
      <c r="P434" s="25"/>
      <c r="Q434" s="12"/>
      <c r="R434" s="25"/>
      <c r="S434" s="12"/>
      <c r="T434" s="13"/>
      <c r="U434" s="12"/>
      <c r="V434" s="25"/>
      <c r="W434" s="25"/>
      <c r="X434" s="14" t="str">
        <f aca="false">IF(OR($V434="",$W434=""),"",IF(AND($V434&gt;=Spravochnik!$H$5,$W434&gt;=Spravochnik!$H$6),"Ha","Yo'q"))</f>
        <v/>
      </c>
      <c r="Y434" s="13"/>
      <c r="Z434" s="13"/>
      <c r="AA434" s="13"/>
      <c r="AB434" s="13"/>
      <c r="AC434" s="14" t="str">
        <f aca="false">IF(AND($B434&lt;&gt;"",$AE434="",$AB434&lt;&gt;"",$AB434&lt;Boshqaruv!$C$12),"Ha","")</f>
        <v/>
      </c>
      <c r="AD434" s="25"/>
      <c r="AE434" s="13"/>
      <c r="AF434" s="12"/>
      <c r="AG434" s="14" t="str">
        <f aca="false">IF(OR($B434="",$C434="",$H434=""),"",IF(COUNTIFS($B$5:$B$804,$B434,$C$5:$C$804,$C434,$H$5:$H$804,$H434)&gt;1,"Takror",""))</f>
        <v/>
      </c>
      <c r="AH434" s="28" t="str">
        <f aca="false">IF(AND($B434&lt;&gt;"",$N434="Ha",$H434&lt;&gt;"",$H434&lt;=Boshqaruv!$C$12,OR($AE434="",$AE434&gt;Boshqaruv!$C$12)),MAX($AH$4:$AH433)+1,"")</f>
        <v/>
      </c>
    </row>
    <row r="435" customFormat="false" ht="15" hidden="false" customHeight="false" outlineLevel="0" collapsed="false">
      <c r="A435" s="20" t="n">
        <v>431</v>
      </c>
      <c r="B435" s="12"/>
      <c r="C435" s="13"/>
      <c r="D435" s="24"/>
      <c r="E435" s="12"/>
      <c r="F435" s="25"/>
      <c r="G435" s="27" t="str">
        <f aca="false">IF(OR($B435="",$C435=""),"",$B435&amp;" ("&amp;DAY($C435)&amp;"."&amp;MONTH($C435)&amp;"."&amp;YEAR($C435)&amp;")")</f>
        <v/>
      </c>
      <c r="H435" s="13"/>
      <c r="I435" s="13"/>
      <c r="J435" s="15" t="str">
        <f aca="false">IF($I435="","",$I435+280)</f>
        <v/>
      </c>
      <c r="K435" s="14" t="str">
        <f aca="false">IF(OR($I435="",$AE435&lt;&gt;""),"",INT((Boshqaruv!$C$12-$I435)/7))</f>
        <v/>
      </c>
      <c r="L435" s="14" t="str">
        <f aca="false">IF(OR($C435="",$H435=""),"",INT(($H435-$C435)/365.25))</f>
        <v/>
      </c>
      <c r="M435" s="14" t="str">
        <f aca="false">IF($L435="","",IF($L435&lt;18,"Ha","Yo'q"))</f>
        <v/>
      </c>
      <c r="N435" s="25"/>
      <c r="O435" s="25"/>
      <c r="P435" s="25"/>
      <c r="Q435" s="12"/>
      <c r="R435" s="25"/>
      <c r="S435" s="12"/>
      <c r="T435" s="13"/>
      <c r="U435" s="12"/>
      <c r="V435" s="25"/>
      <c r="W435" s="25"/>
      <c r="X435" s="14" t="str">
        <f aca="false">IF(OR($V435="",$W435=""),"",IF(AND($V435&gt;=Spravochnik!$H$5,$W435&gt;=Spravochnik!$H$6),"Ha","Yo'q"))</f>
        <v/>
      </c>
      <c r="Y435" s="13"/>
      <c r="Z435" s="13"/>
      <c r="AA435" s="13"/>
      <c r="AB435" s="13"/>
      <c r="AC435" s="14" t="str">
        <f aca="false">IF(AND($B435&lt;&gt;"",$AE435="",$AB435&lt;&gt;"",$AB435&lt;Boshqaruv!$C$12),"Ha","")</f>
        <v/>
      </c>
      <c r="AD435" s="25"/>
      <c r="AE435" s="13"/>
      <c r="AF435" s="12"/>
      <c r="AG435" s="14" t="str">
        <f aca="false">IF(OR($B435="",$C435="",$H435=""),"",IF(COUNTIFS($B$5:$B$804,$B435,$C$5:$C$804,$C435,$H$5:$H$804,$H435)&gt;1,"Takror",""))</f>
        <v/>
      </c>
      <c r="AH435" s="28" t="str">
        <f aca="false">IF(AND($B435&lt;&gt;"",$N435="Ha",$H435&lt;&gt;"",$H435&lt;=Boshqaruv!$C$12,OR($AE435="",$AE435&gt;Boshqaruv!$C$12)),MAX($AH$4:$AH434)+1,"")</f>
        <v/>
      </c>
    </row>
    <row r="436" customFormat="false" ht="15" hidden="false" customHeight="false" outlineLevel="0" collapsed="false">
      <c r="A436" s="20" t="n">
        <v>432</v>
      </c>
      <c r="B436" s="12"/>
      <c r="C436" s="13"/>
      <c r="D436" s="24"/>
      <c r="E436" s="12"/>
      <c r="F436" s="25"/>
      <c r="G436" s="27" t="str">
        <f aca="false">IF(OR($B436="",$C436=""),"",$B436&amp;" ("&amp;DAY($C436)&amp;"."&amp;MONTH($C436)&amp;"."&amp;YEAR($C436)&amp;")")</f>
        <v/>
      </c>
      <c r="H436" s="13"/>
      <c r="I436" s="13"/>
      <c r="J436" s="15" t="str">
        <f aca="false">IF($I436="","",$I436+280)</f>
        <v/>
      </c>
      <c r="K436" s="14" t="str">
        <f aca="false">IF(OR($I436="",$AE436&lt;&gt;""),"",INT((Boshqaruv!$C$12-$I436)/7))</f>
        <v/>
      </c>
      <c r="L436" s="14" t="str">
        <f aca="false">IF(OR($C436="",$H436=""),"",INT(($H436-$C436)/365.25))</f>
        <v/>
      </c>
      <c r="M436" s="14" t="str">
        <f aca="false">IF($L436="","",IF($L436&lt;18,"Ha","Yo'q"))</f>
        <v/>
      </c>
      <c r="N436" s="25"/>
      <c r="O436" s="25"/>
      <c r="P436" s="25"/>
      <c r="Q436" s="12"/>
      <c r="R436" s="25"/>
      <c r="S436" s="12"/>
      <c r="T436" s="13"/>
      <c r="U436" s="12"/>
      <c r="V436" s="25"/>
      <c r="W436" s="25"/>
      <c r="X436" s="14" t="str">
        <f aca="false">IF(OR($V436="",$W436=""),"",IF(AND($V436&gt;=Spravochnik!$H$5,$W436&gt;=Spravochnik!$H$6),"Ha","Yo'q"))</f>
        <v/>
      </c>
      <c r="Y436" s="13"/>
      <c r="Z436" s="13"/>
      <c r="AA436" s="13"/>
      <c r="AB436" s="13"/>
      <c r="AC436" s="14" t="str">
        <f aca="false">IF(AND($B436&lt;&gt;"",$AE436="",$AB436&lt;&gt;"",$AB436&lt;Boshqaruv!$C$12),"Ha","")</f>
        <v/>
      </c>
      <c r="AD436" s="25"/>
      <c r="AE436" s="13"/>
      <c r="AF436" s="12"/>
      <c r="AG436" s="14" t="str">
        <f aca="false">IF(OR($B436="",$C436="",$H436=""),"",IF(COUNTIFS($B$5:$B$804,$B436,$C$5:$C$804,$C436,$H$5:$H$804,$H436)&gt;1,"Takror",""))</f>
        <v/>
      </c>
      <c r="AH436" s="28" t="str">
        <f aca="false">IF(AND($B436&lt;&gt;"",$N436="Ha",$H436&lt;&gt;"",$H436&lt;=Boshqaruv!$C$12,OR($AE436="",$AE436&gt;Boshqaruv!$C$12)),MAX($AH$4:$AH435)+1,"")</f>
        <v/>
      </c>
    </row>
    <row r="437" customFormat="false" ht="15" hidden="false" customHeight="false" outlineLevel="0" collapsed="false">
      <c r="A437" s="20" t="n">
        <v>433</v>
      </c>
      <c r="B437" s="12"/>
      <c r="C437" s="13"/>
      <c r="D437" s="24"/>
      <c r="E437" s="12"/>
      <c r="F437" s="25"/>
      <c r="G437" s="27" t="str">
        <f aca="false">IF(OR($B437="",$C437=""),"",$B437&amp;" ("&amp;DAY($C437)&amp;"."&amp;MONTH($C437)&amp;"."&amp;YEAR($C437)&amp;")")</f>
        <v/>
      </c>
      <c r="H437" s="13"/>
      <c r="I437" s="13"/>
      <c r="J437" s="15" t="str">
        <f aca="false">IF($I437="","",$I437+280)</f>
        <v/>
      </c>
      <c r="K437" s="14" t="str">
        <f aca="false">IF(OR($I437="",$AE437&lt;&gt;""),"",INT((Boshqaruv!$C$12-$I437)/7))</f>
        <v/>
      </c>
      <c r="L437" s="14" t="str">
        <f aca="false">IF(OR($C437="",$H437=""),"",INT(($H437-$C437)/365.25))</f>
        <v/>
      </c>
      <c r="M437" s="14" t="str">
        <f aca="false">IF($L437="","",IF($L437&lt;18,"Ha","Yo'q"))</f>
        <v/>
      </c>
      <c r="N437" s="25"/>
      <c r="O437" s="25"/>
      <c r="P437" s="25"/>
      <c r="Q437" s="12"/>
      <c r="R437" s="25"/>
      <c r="S437" s="12"/>
      <c r="T437" s="13"/>
      <c r="U437" s="12"/>
      <c r="V437" s="25"/>
      <c r="W437" s="25"/>
      <c r="X437" s="14" t="str">
        <f aca="false">IF(OR($V437="",$W437=""),"",IF(AND($V437&gt;=Spravochnik!$H$5,$W437&gt;=Spravochnik!$H$6),"Ha","Yo'q"))</f>
        <v/>
      </c>
      <c r="Y437" s="13"/>
      <c r="Z437" s="13"/>
      <c r="AA437" s="13"/>
      <c r="AB437" s="13"/>
      <c r="AC437" s="14" t="str">
        <f aca="false">IF(AND($B437&lt;&gt;"",$AE437="",$AB437&lt;&gt;"",$AB437&lt;Boshqaruv!$C$12),"Ha","")</f>
        <v/>
      </c>
      <c r="AD437" s="25"/>
      <c r="AE437" s="13"/>
      <c r="AF437" s="12"/>
      <c r="AG437" s="14" t="str">
        <f aca="false">IF(OR($B437="",$C437="",$H437=""),"",IF(COUNTIFS($B$5:$B$804,$B437,$C$5:$C$804,$C437,$H$5:$H$804,$H437)&gt;1,"Takror",""))</f>
        <v/>
      </c>
      <c r="AH437" s="28" t="str">
        <f aca="false">IF(AND($B437&lt;&gt;"",$N437="Ha",$H437&lt;&gt;"",$H437&lt;=Boshqaruv!$C$12,OR($AE437="",$AE437&gt;Boshqaruv!$C$12)),MAX($AH$4:$AH436)+1,"")</f>
        <v/>
      </c>
    </row>
    <row r="438" customFormat="false" ht="15" hidden="false" customHeight="false" outlineLevel="0" collapsed="false">
      <c r="A438" s="20" t="n">
        <v>434</v>
      </c>
      <c r="B438" s="12"/>
      <c r="C438" s="13"/>
      <c r="D438" s="24"/>
      <c r="E438" s="12"/>
      <c r="F438" s="25"/>
      <c r="G438" s="27" t="str">
        <f aca="false">IF(OR($B438="",$C438=""),"",$B438&amp;" ("&amp;DAY($C438)&amp;"."&amp;MONTH($C438)&amp;"."&amp;YEAR($C438)&amp;")")</f>
        <v/>
      </c>
      <c r="H438" s="13"/>
      <c r="I438" s="13"/>
      <c r="J438" s="15" t="str">
        <f aca="false">IF($I438="","",$I438+280)</f>
        <v/>
      </c>
      <c r="K438" s="14" t="str">
        <f aca="false">IF(OR($I438="",$AE438&lt;&gt;""),"",INT((Boshqaruv!$C$12-$I438)/7))</f>
        <v/>
      </c>
      <c r="L438" s="14" t="str">
        <f aca="false">IF(OR($C438="",$H438=""),"",INT(($H438-$C438)/365.25))</f>
        <v/>
      </c>
      <c r="M438" s="14" t="str">
        <f aca="false">IF($L438="","",IF($L438&lt;18,"Ha","Yo'q"))</f>
        <v/>
      </c>
      <c r="N438" s="25"/>
      <c r="O438" s="25"/>
      <c r="P438" s="25"/>
      <c r="Q438" s="12"/>
      <c r="R438" s="25"/>
      <c r="S438" s="12"/>
      <c r="T438" s="13"/>
      <c r="U438" s="12"/>
      <c r="V438" s="25"/>
      <c r="W438" s="25"/>
      <c r="X438" s="14" t="str">
        <f aca="false">IF(OR($V438="",$W438=""),"",IF(AND($V438&gt;=Spravochnik!$H$5,$W438&gt;=Spravochnik!$H$6),"Ha","Yo'q"))</f>
        <v/>
      </c>
      <c r="Y438" s="13"/>
      <c r="Z438" s="13"/>
      <c r="AA438" s="13"/>
      <c r="AB438" s="13"/>
      <c r="AC438" s="14" t="str">
        <f aca="false">IF(AND($B438&lt;&gt;"",$AE438="",$AB438&lt;&gt;"",$AB438&lt;Boshqaruv!$C$12),"Ha","")</f>
        <v/>
      </c>
      <c r="AD438" s="25"/>
      <c r="AE438" s="13"/>
      <c r="AF438" s="12"/>
      <c r="AG438" s="14" t="str">
        <f aca="false">IF(OR($B438="",$C438="",$H438=""),"",IF(COUNTIFS($B$5:$B$804,$B438,$C$5:$C$804,$C438,$H$5:$H$804,$H438)&gt;1,"Takror",""))</f>
        <v/>
      </c>
      <c r="AH438" s="28" t="str">
        <f aca="false">IF(AND($B438&lt;&gt;"",$N438="Ha",$H438&lt;&gt;"",$H438&lt;=Boshqaruv!$C$12,OR($AE438="",$AE438&gt;Boshqaruv!$C$12)),MAX($AH$4:$AH437)+1,"")</f>
        <v/>
      </c>
    </row>
    <row r="439" customFormat="false" ht="15" hidden="false" customHeight="false" outlineLevel="0" collapsed="false">
      <c r="A439" s="20" t="n">
        <v>435</v>
      </c>
      <c r="B439" s="12"/>
      <c r="C439" s="13"/>
      <c r="D439" s="24"/>
      <c r="E439" s="12"/>
      <c r="F439" s="25"/>
      <c r="G439" s="27" t="str">
        <f aca="false">IF(OR($B439="",$C439=""),"",$B439&amp;" ("&amp;DAY($C439)&amp;"."&amp;MONTH($C439)&amp;"."&amp;YEAR($C439)&amp;")")</f>
        <v/>
      </c>
      <c r="H439" s="13"/>
      <c r="I439" s="13"/>
      <c r="J439" s="15" t="str">
        <f aca="false">IF($I439="","",$I439+280)</f>
        <v/>
      </c>
      <c r="K439" s="14" t="str">
        <f aca="false">IF(OR($I439="",$AE439&lt;&gt;""),"",INT((Boshqaruv!$C$12-$I439)/7))</f>
        <v/>
      </c>
      <c r="L439" s="14" t="str">
        <f aca="false">IF(OR($C439="",$H439=""),"",INT(($H439-$C439)/365.25))</f>
        <v/>
      </c>
      <c r="M439" s="14" t="str">
        <f aca="false">IF($L439="","",IF($L439&lt;18,"Ha","Yo'q"))</f>
        <v/>
      </c>
      <c r="N439" s="25"/>
      <c r="O439" s="25"/>
      <c r="P439" s="25"/>
      <c r="Q439" s="12"/>
      <c r="R439" s="25"/>
      <c r="S439" s="12"/>
      <c r="T439" s="13"/>
      <c r="U439" s="12"/>
      <c r="V439" s="25"/>
      <c r="W439" s="25"/>
      <c r="X439" s="14" t="str">
        <f aca="false">IF(OR($V439="",$W439=""),"",IF(AND($V439&gt;=Spravochnik!$H$5,$W439&gt;=Spravochnik!$H$6),"Ha","Yo'q"))</f>
        <v/>
      </c>
      <c r="Y439" s="13"/>
      <c r="Z439" s="13"/>
      <c r="AA439" s="13"/>
      <c r="AB439" s="13"/>
      <c r="AC439" s="14" t="str">
        <f aca="false">IF(AND($B439&lt;&gt;"",$AE439="",$AB439&lt;&gt;"",$AB439&lt;Boshqaruv!$C$12),"Ha","")</f>
        <v/>
      </c>
      <c r="AD439" s="25"/>
      <c r="AE439" s="13"/>
      <c r="AF439" s="12"/>
      <c r="AG439" s="14" t="str">
        <f aca="false">IF(OR($B439="",$C439="",$H439=""),"",IF(COUNTIFS($B$5:$B$804,$B439,$C$5:$C$804,$C439,$H$5:$H$804,$H439)&gt;1,"Takror",""))</f>
        <v/>
      </c>
      <c r="AH439" s="28" t="str">
        <f aca="false">IF(AND($B439&lt;&gt;"",$N439="Ha",$H439&lt;&gt;"",$H439&lt;=Boshqaruv!$C$12,OR($AE439="",$AE439&gt;Boshqaruv!$C$12)),MAX($AH$4:$AH438)+1,"")</f>
        <v/>
      </c>
    </row>
    <row r="440" customFormat="false" ht="15" hidden="false" customHeight="false" outlineLevel="0" collapsed="false">
      <c r="A440" s="20" t="n">
        <v>436</v>
      </c>
      <c r="B440" s="12"/>
      <c r="C440" s="13"/>
      <c r="D440" s="24"/>
      <c r="E440" s="12"/>
      <c r="F440" s="25"/>
      <c r="G440" s="27" t="str">
        <f aca="false">IF(OR($B440="",$C440=""),"",$B440&amp;" ("&amp;DAY($C440)&amp;"."&amp;MONTH($C440)&amp;"."&amp;YEAR($C440)&amp;")")</f>
        <v/>
      </c>
      <c r="H440" s="13"/>
      <c r="I440" s="13"/>
      <c r="J440" s="15" t="str">
        <f aca="false">IF($I440="","",$I440+280)</f>
        <v/>
      </c>
      <c r="K440" s="14" t="str">
        <f aca="false">IF(OR($I440="",$AE440&lt;&gt;""),"",INT((Boshqaruv!$C$12-$I440)/7))</f>
        <v/>
      </c>
      <c r="L440" s="14" t="str">
        <f aca="false">IF(OR($C440="",$H440=""),"",INT(($H440-$C440)/365.25))</f>
        <v/>
      </c>
      <c r="M440" s="14" t="str">
        <f aca="false">IF($L440="","",IF($L440&lt;18,"Ha","Yo'q"))</f>
        <v/>
      </c>
      <c r="N440" s="25"/>
      <c r="O440" s="25"/>
      <c r="P440" s="25"/>
      <c r="Q440" s="12"/>
      <c r="R440" s="25"/>
      <c r="S440" s="12"/>
      <c r="T440" s="13"/>
      <c r="U440" s="12"/>
      <c r="V440" s="25"/>
      <c r="W440" s="25"/>
      <c r="X440" s="14" t="str">
        <f aca="false">IF(OR($V440="",$W440=""),"",IF(AND($V440&gt;=Spravochnik!$H$5,$W440&gt;=Spravochnik!$H$6),"Ha","Yo'q"))</f>
        <v/>
      </c>
      <c r="Y440" s="13"/>
      <c r="Z440" s="13"/>
      <c r="AA440" s="13"/>
      <c r="AB440" s="13"/>
      <c r="AC440" s="14" t="str">
        <f aca="false">IF(AND($B440&lt;&gt;"",$AE440="",$AB440&lt;&gt;"",$AB440&lt;Boshqaruv!$C$12),"Ha","")</f>
        <v/>
      </c>
      <c r="AD440" s="25"/>
      <c r="AE440" s="13"/>
      <c r="AF440" s="12"/>
      <c r="AG440" s="14" t="str">
        <f aca="false">IF(OR($B440="",$C440="",$H440=""),"",IF(COUNTIFS($B$5:$B$804,$B440,$C$5:$C$804,$C440,$H$5:$H$804,$H440)&gt;1,"Takror",""))</f>
        <v/>
      </c>
      <c r="AH440" s="28" t="str">
        <f aca="false">IF(AND($B440&lt;&gt;"",$N440="Ha",$H440&lt;&gt;"",$H440&lt;=Boshqaruv!$C$12,OR($AE440="",$AE440&gt;Boshqaruv!$C$12)),MAX($AH$4:$AH439)+1,"")</f>
        <v/>
      </c>
    </row>
    <row r="441" customFormat="false" ht="15" hidden="false" customHeight="false" outlineLevel="0" collapsed="false">
      <c r="A441" s="20" t="n">
        <v>437</v>
      </c>
      <c r="B441" s="12"/>
      <c r="C441" s="13"/>
      <c r="D441" s="24"/>
      <c r="E441" s="12"/>
      <c r="F441" s="25"/>
      <c r="G441" s="27" t="str">
        <f aca="false">IF(OR($B441="",$C441=""),"",$B441&amp;" ("&amp;DAY($C441)&amp;"."&amp;MONTH($C441)&amp;"."&amp;YEAR($C441)&amp;")")</f>
        <v/>
      </c>
      <c r="H441" s="13"/>
      <c r="I441" s="13"/>
      <c r="J441" s="15" t="str">
        <f aca="false">IF($I441="","",$I441+280)</f>
        <v/>
      </c>
      <c r="K441" s="14" t="str">
        <f aca="false">IF(OR($I441="",$AE441&lt;&gt;""),"",INT((Boshqaruv!$C$12-$I441)/7))</f>
        <v/>
      </c>
      <c r="L441" s="14" t="str">
        <f aca="false">IF(OR($C441="",$H441=""),"",INT(($H441-$C441)/365.25))</f>
        <v/>
      </c>
      <c r="M441" s="14" t="str">
        <f aca="false">IF($L441="","",IF($L441&lt;18,"Ha","Yo'q"))</f>
        <v/>
      </c>
      <c r="N441" s="25"/>
      <c r="O441" s="25"/>
      <c r="P441" s="25"/>
      <c r="Q441" s="12"/>
      <c r="R441" s="25"/>
      <c r="S441" s="12"/>
      <c r="T441" s="13"/>
      <c r="U441" s="12"/>
      <c r="V441" s="25"/>
      <c r="W441" s="25"/>
      <c r="X441" s="14" t="str">
        <f aca="false">IF(OR($V441="",$W441=""),"",IF(AND($V441&gt;=Spravochnik!$H$5,$W441&gt;=Spravochnik!$H$6),"Ha","Yo'q"))</f>
        <v/>
      </c>
      <c r="Y441" s="13"/>
      <c r="Z441" s="13"/>
      <c r="AA441" s="13"/>
      <c r="AB441" s="13"/>
      <c r="AC441" s="14" t="str">
        <f aca="false">IF(AND($B441&lt;&gt;"",$AE441="",$AB441&lt;&gt;"",$AB441&lt;Boshqaruv!$C$12),"Ha","")</f>
        <v/>
      </c>
      <c r="AD441" s="25"/>
      <c r="AE441" s="13"/>
      <c r="AF441" s="12"/>
      <c r="AG441" s="14" t="str">
        <f aca="false">IF(OR($B441="",$C441="",$H441=""),"",IF(COUNTIFS($B$5:$B$804,$B441,$C$5:$C$804,$C441,$H$5:$H$804,$H441)&gt;1,"Takror",""))</f>
        <v/>
      </c>
      <c r="AH441" s="28" t="str">
        <f aca="false">IF(AND($B441&lt;&gt;"",$N441="Ha",$H441&lt;&gt;"",$H441&lt;=Boshqaruv!$C$12,OR($AE441="",$AE441&gt;Boshqaruv!$C$12)),MAX($AH$4:$AH440)+1,"")</f>
        <v/>
      </c>
    </row>
    <row r="442" customFormat="false" ht="15" hidden="false" customHeight="false" outlineLevel="0" collapsed="false">
      <c r="A442" s="20" t="n">
        <v>438</v>
      </c>
      <c r="B442" s="12"/>
      <c r="C442" s="13"/>
      <c r="D442" s="24"/>
      <c r="E442" s="12"/>
      <c r="F442" s="25"/>
      <c r="G442" s="27" t="str">
        <f aca="false">IF(OR($B442="",$C442=""),"",$B442&amp;" ("&amp;DAY($C442)&amp;"."&amp;MONTH($C442)&amp;"."&amp;YEAR($C442)&amp;")")</f>
        <v/>
      </c>
      <c r="H442" s="13"/>
      <c r="I442" s="13"/>
      <c r="J442" s="15" t="str">
        <f aca="false">IF($I442="","",$I442+280)</f>
        <v/>
      </c>
      <c r="K442" s="14" t="str">
        <f aca="false">IF(OR($I442="",$AE442&lt;&gt;""),"",INT((Boshqaruv!$C$12-$I442)/7))</f>
        <v/>
      </c>
      <c r="L442" s="14" t="str">
        <f aca="false">IF(OR($C442="",$H442=""),"",INT(($H442-$C442)/365.25))</f>
        <v/>
      </c>
      <c r="M442" s="14" t="str">
        <f aca="false">IF($L442="","",IF($L442&lt;18,"Ha","Yo'q"))</f>
        <v/>
      </c>
      <c r="N442" s="25"/>
      <c r="O442" s="25"/>
      <c r="P442" s="25"/>
      <c r="Q442" s="12"/>
      <c r="R442" s="25"/>
      <c r="S442" s="12"/>
      <c r="T442" s="13"/>
      <c r="U442" s="12"/>
      <c r="V442" s="25"/>
      <c r="W442" s="25"/>
      <c r="X442" s="14" t="str">
        <f aca="false">IF(OR($V442="",$W442=""),"",IF(AND($V442&gt;=Spravochnik!$H$5,$W442&gt;=Spravochnik!$H$6),"Ha","Yo'q"))</f>
        <v/>
      </c>
      <c r="Y442" s="13"/>
      <c r="Z442" s="13"/>
      <c r="AA442" s="13"/>
      <c r="AB442" s="13"/>
      <c r="AC442" s="14" t="str">
        <f aca="false">IF(AND($B442&lt;&gt;"",$AE442="",$AB442&lt;&gt;"",$AB442&lt;Boshqaruv!$C$12),"Ha","")</f>
        <v/>
      </c>
      <c r="AD442" s="25"/>
      <c r="AE442" s="13"/>
      <c r="AF442" s="12"/>
      <c r="AG442" s="14" t="str">
        <f aca="false">IF(OR($B442="",$C442="",$H442=""),"",IF(COUNTIFS($B$5:$B$804,$B442,$C$5:$C$804,$C442,$H$5:$H$804,$H442)&gt;1,"Takror",""))</f>
        <v/>
      </c>
      <c r="AH442" s="28" t="str">
        <f aca="false">IF(AND($B442&lt;&gt;"",$N442="Ha",$H442&lt;&gt;"",$H442&lt;=Boshqaruv!$C$12,OR($AE442="",$AE442&gt;Boshqaruv!$C$12)),MAX($AH$4:$AH441)+1,"")</f>
        <v/>
      </c>
    </row>
    <row r="443" customFormat="false" ht="15" hidden="false" customHeight="false" outlineLevel="0" collapsed="false">
      <c r="A443" s="20" t="n">
        <v>439</v>
      </c>
      <c r="B443" s="12"/>
      <c r="C443" s="13"/>
      <c r="D443" s="24"/>
      <c r="E443" s="12"/>
      <c r="F443" s="25"/>
      <c r="G443" s="27" t="str">
        <f aca="false">IF(OR($B443="",$C443=""),"",$B443&amp;" ("&amp;DAY($C443)&amp;"."&amp;MONTH($C443)&amp;"."&amp;YEAR($C443)&amp;")")</f>
        <v/>
      </c>
      <c r="H443" s="13"/>
      <c r="I443" s="13"/>
      <c r="J443" s="15" t="str">
        <f aca="false">IF($I443="","",$I443+280)</f>
        <v/>
      </c>
      <c r="K443" s="14" t="str">
        <f aca="false">IF(OR($I443="",$AE443&lt;&gt;""),"",INT((Boshqaruv!$C$12-$I443)/7))</f>
        <v/>
      </c>
      <c r="L443" s="14" t="str">
        <f aca="false">IF(OR($C443="",$H443=""),"",INT(($H443-$C443)/365.25))</f>
        <v/>
      </c>
      <c r="M443" s="14" t="str">
        <f aca="false">IF($L443="","",IF($L443&lt;18,"Ha","Yo'q"))</f>
        <v/>
      </c>
      <c r="N443" s="25"/>
      <c r="O443" s="25"/>
      <c r="P443" s="25"/>
      <c r="Q443" s="12"/>
      <c r="R443" s="25"/>
      <c r="S443" s="12"/>
      <c r="T443" s="13"/>
      <c r="U443" s="12"/>
      <c r="V443" s="25"/>
      <c r="W443" s="25"/>
      <c r="X443" s="14" t="str">
        <f aca="false">IF(OR($V443="",$W443=""),"",IF(AND($V443&gt;=Spravochnik!$H$5,$W443&gt;=Spravochnik!$H$6),"Ha","Yo'q"))</f>
        <v/>
      </c>
      <c r="Y443" s="13"/>
      <c r="Z443" s="13"/>
      <c r="AA443" s="13"/>
      <c r="AB443" s="13"/>
      <c r="AC443" s="14" t="str">
        <f aca="false">IF(AND($B443&lt;&gt;"",$AE443="",$AB443&lt;&gt;"",$AB443&lt;Boshqaruv!$C$12),"Ha","")</f>
        <v/>
      </c>
      <c r="AD443" s="25"/>
      <c r="AE443" s="13"/>
      <c r="AF443" s="12"/>
      <c r="AG443" s="14" t="str">
        <f aca="false">IF(OR($B443="",$C443="",$H443=""),"",IF(COUNTIFS($B$5:$B$804,$B443,$C$5:$C$804,$C443,$H$5:$H$804,$H443)&gt;1,"Takror",""))</f>
        <v/>
      </c>
      <c r="AH443" s="28" t="str">
        <f aca="false">IF(AND($B443&lt;&gt;"",$N443="Ha",$H443&lt;&gt;"",$H443&lt;=Boshqaruv!$C$12,OR($AE443="",$AE443&gt;Boshqaruv!$C$12)),MAX($AH$4:$AH442)+1,"")</f>
        <v/>
      </c>
    </row>
    <row r="444" customFormat="false" ht="15" hidden="false" customHeight="false" outlineLevel="0" collapsed="false">
      <c r="A444" s="20" t="n">
        <v>440</v>
      </c>
      <c r="B444" s="12"/>
      <c r="C444" s="13"/>
      <c r="D444" s="24"/>
      <c r="E444" s="12"/>
      <c r="F444" s="25"/>
      <c r="G444" s="27" t="str">
        <f aca="false">IF(OR($B444="",$C444=""),"",$B444&amp;" ("&amp;DAY($C444)&amp;"."&amp;MONTH($C444)&amp;"."&amp;YEAR($C444)&amp;")")</f>
        <v/>
      </c>
      <c r="H444" s="13"/>
      <c r="I444" s="13"/>
      <c r="J444" s="15" t="str">
        <f aca="false">IF($I444="","",$I444+280)</f>
        <v/>
      </c>
      <c r="K444" s="14" t="str">
        <f aca="false">IF(OR($I444="",$AE444&lt;&gt;""),"",INT((Boshqaruv!$C$12-$I444)/7))</f>
        <v/>
      </c>
      <c r="L444" s="14" t="str">
        <f aca="false">IF(OR($C444="",$H444=""),"",INT(($H444-$C444)/365.25))</f>
        <v/>
      </c>
      <c r="M444" s="14" t="str">
        <f aca="false">IF($L444="","",IF($L444&lt;18,"Ha","Yo'q"))</f>
        <v/>
      </c>
      <c r="N444" s="25"/>
      <c r="O444" s="25"/>
      <c r="P444" s="25"/>
      <c r="Q444" s="12"/>
      <c r="R444" s="25"/>
      <c r="S444" s="12"/>
      <c r="T444" s="13"/>
      <c r="U444" s="12"/>
      <c r="V444" s="25"/>
      <c r="W444" s="25"/>
      <c r="X444" s="14" t="str">
        <f aca="false">IF(OR($V444="",$W444=""),"",IF(AND($V444&gt;=Spravochnik!$H$5,$W444&gt;=Spravochnik!$H$6),"Ha","Yo'q"))</f>
        <v/>
      </c>
      <c r="Y444" s="13"/>
      <c r="Z444" s="13"/>
      <c r="AA444" s="13"/>
      <c r="AB444" s="13"/>
      <c r="AC444" s="14" t="str">
        <f aca="false">IF(AND($B444&lt;&gt;"",$AE444="",$AB444&lt;&gt;"",$AB444&lt;Boshqaruv!$C$12),"Ha","")</f>
        <v/>
      </c>
      <c r="AD444" s="25"/>
      <c r="AE444" s="13"/>
      <c r="AF444" s="12"/>
      <c r="AG444" s="14" t="str">
        <f aca="false">IF(OR($B444="",$C444="",$H444=""),"",IF(COUNTIFS($B$5:$B$804,$B444,$C$5:$C$804,$C444,$H$5:$H$804,$H444)&gt;1,"Takror",""))</f>
        <v/>
      </c>
      <c r="AH444" s="28" t="str">
        <f aca="false">IF(AND($B444&lt;&gt;"",$N444="Ha",$H444&lt;&gt;"",$H444&lt;=Boshqaruv!$C$12,OR($AE444="",$AE444&gt;Boshqaruv!$C$12)),MAX($AH$4:$AH443)+1,"")</f>
        <v/>
      </c>
    </row>
    <row r="445" customFormat="false" ht="15" hidden="false" customHeight="false" outlineLevel="0" collapsed="false">
      <c r="A445" s="20" t="n">
        <v>441</v>
      </c>
      <c r="B445" s="12"/>
      <c r="C445" s="13"/>
      <c r="D445" s="24"/>
      <c r="E445" s="12"/>
      <c r="F445" s="25"/>
      <c r="G445" s="27" t="str">
        <f aca="false">IF(OR($B445="",$C445=""),"",$B445&amp;" ("&amp;DAY($C445)&amp;"."&amp;MONTH($C445)&amp;"."&amp;YEAR($C445)&amp;")")</f>
        <v/>
      </c>
      <c r="H445" s="13"/>
      <c r="I445" s="13"/>
      <c r="J445" s="15" t="str">
        <f aca="false">IF($I445="","",$I445+280)</f>
        <v/>
      </c>
      <c r="K445" s="14" t="str">
        <f aca="false">IF(OR($I445="",$AE445&lt;&gt;""),"",INT((Boshqaruv!$C$12-$I445)/7))</f>
        <v/>
      </c>
      <c r="L445" s="14" t="str">
        <f aca="false">IF(OR($C445="",$H445=""),"",INT(($H445-$C445)/365.25))</f>
        <v/>
      </c>
      <c r="M445" s="14" t="str">
        <f aca="false">IF($L445="","",IF($L445&lt;18,"Ha","Yo'q"))</f>
        <v/>
      </c>
      <c r="N445" s="25"/>
      <c r="O445" s="25"/>
      <c r="P445" s="25"/>
      <c r="Q445" s="12"/>
      <c r="R445" s="25"/>
      <c r="S445" s="12"/>
      <c r="T445" s="13"/>
      <c r="U445" s="12"/>
      <c r="V445" s="25"/>
      <c r="W445" s="25"/>
      <c r="X445" s="14" t="str">
        <f aca="false">IF(OR($V445="",$W445=""),"",IF(AND($V445&gt;=Spravochnik!$H$5,$W445&gt;=Spravochnik!$H$6),"Ha","Yo'q"))</f>
        <v/>
      </c>
      <c r="Y445" s="13"/>
      <c r="Z445" s="13"/>
      <c r="AA445" s="13"/>
      <c r="AB445" s="13"/>
      <c r="AC445" s="14" t="str">
        <f aca="false">IF(AND($B445&lt;&gt;"",$AE445="",$AB445&lt;&gt;"",$AB445&lt;Boshqaruv!$C$12),"Ha","")</f>
        <v/>
      </c>
      <c r="AD445" s="25"/>
      <c r="AE445" s="13"/>
      <c r="AF445" s="12"/>
      <c r="AG445" s="14" t="str">
        <f aca="false">IF(OR($B445="",$C445="",$H445=""),"",IF(COUNTIFS($B$5:$B$804,$B445,$C$5:$C$804,$C445,$H$5:$H$804,$H445)&gt;1,"Takror",""))</f>
        <v/>
      </c>
      <c r="AH445" s="28" t="str">
        <f aca="false">IF(AND($B445&lt;&gt;"",$N445="Ha",$H445&lt;&gt;"",$H445&lt;=Boshqaruv!$C$12,OR($AE445="",$AE445&gt;Boshqaruv!$C$12)),MAX($AH$4:$AH444)+1,"")</f>
        <v/>
      </c>
    </row>
    <row r="446" customFormat="false" ht="15" hidden="false" customHeight="false" outlineLevel="0" collapsed="false">
      <c r="A446" s="20" t="n">
        <v>442</v>
      </c>
      <c r="B446" s="12"/>
      <c r="C446" s="13"/>
      <c r="D446" s="24"/>
      <c r="E446" s="12"/>
      <c r="F446" s="25"/>
      <c r="G446" s="27" t="str">
        <f aca="false">IF(OR($B446="",$C446=""),"",$B446&amp;" ("&amp;DAY($C446)&amp;"."&amp;MONTH($C446)&amp;"."&amp;YEAR($C446)&amp;")")</f>
        <v/>
      </c>
      <c r="H446" s="13"/>
      <c r="I446" s="13"/>
      <c r="J446" s="15" t="str">
        <f aca="false">IF($I446="","",$I446+280)</f>
        <v/>
      </c>
      <c r="K446" s="14" t="str">
        <f aca="false">IF(OR($I446="",$AE446&lt;&gt;""),"",INT((Boshqaruv!$C$12-$I446)/7))</f>
        <v/>
      </c>
      <c r="L446" s="14" t="str">
        <f aca="false">IF(OR($C446="",$H446=""),"",INT(($H446-$C446)/365.25))</f>
        <v/>
      </c>
      <c r="M446" s="14" t="str">
        <f aca="false">IF($L446="","",IF($L446&lt;18,"Ha","Yo'q"))</f>
        <v/>
      </c>
      <c r="N446" s="25"/>
      <c r="O446" s="25"/>
      <c r="P446" s="25"/>
      <c r="Q446" s="12"/>
      <c r="R446" s="25"/>
      <c r="S446" s="12"/>
      <c r="T446" s="13"/>
      <c r="U446" s="12"/>
      <c r="V446" s="25"/>
      <c r="W446" s="25"/>
      <c r="X446" s="14" t="str">
        <f aca="false">IF(OR($V446="",$W446=""),"",IF(AND($V446&gt;=Spravochnik!$H$5,$W446&gt;=Spravochnik!$H$6),"Ha","Yo'q"))</f>
        <v/>
      </c>
      <c r="Y446" s="13"/>
      <c r="Z446" s="13"/>
      <c r="AA446" s="13"/>
      <c r="AB446" s="13"/>
      <c r="AC446" s="14" t="str">
        <f aca="false">IF(AND($B446&lt;&gt;"",$AE446="",$AB446&lt;&gt;"",$AB446&lt;Boshqaruv!$C$12),"Ha","")</f>
        <v/>
      </c>
      <c r="AD446" s="25"/>
      <c r="AE446" s="13"/>
      <c r="AF446" s="12"/>
      <c r="AG446" s="14" t="str">
        <f aca="false">IF(OR($B446="",$C446="",$H446=""),"",IF(COUNTIFS($B$5:$B$804,$B446,$C$5:$C$804,$C446,$H$5:$H$804,$H446)&gt;1,"Takror",""))</f>
        <v/>
      </c>
      <c r="AH446" s="28" t="str">
        <f aca="false">IF(AND($B446&lt;&gt;"",$N446="Ha",$H446&lt;&gt;"",$H446&lt;=Boshqaruv!$C$12,OR($AE446="",$AE446&gt;Boshqaruv!$C$12)),MAX($AH$4:$AH445)+1,"")</f>
        <v/>
      </c>
    </row>
    <row r="447" customFormat="false" ht="15" hidden="false" customHeight="false" outlineLevel="0" collapsed="false">
      <c r="A447" s="20" t="n">
        <v>443</v>
      </c>
      <c r="B447" s="12"/>
      <c r="C447" s="13"/>
      <c r="D447" s="24"/>
      <c r="E447" s="12"/>
      <c r="F447" s="25"/>
      <c r="G447" s="27" t="str">
        <f aca="false">IF(OR($B447="",$C447=""),"",$B447&amp;" ("&amp;DAY($C447)&amp;"."&amp;MONTH($C447)&amp;"."&amp;YEAR($C447)&amp;")")</f>
        <v/>
      </c>
      <c r="H447" s="13"/>
      <c r="I447" s="13"/>
      <c r="J447" s="15" t="str">
        <f aca="false">IF($I447="","",$I447+280)</f>
        <v/>
      </c>
      <c r="K447" s="14" t="str">
        <f aca="false">IF(OR($I447="",$AE447&lt;&gt;""),"",INT((Boshqaruv!$C$12-$I447)/7))</f>
        <v/>
      </c>
      <c r="L447" s="14" t="str">
        <f aca="false">IF(OR($C447="",$H447=""),"",INT(($H447-$C447)/365.25))</f>
        <v/>
      </c>
      <c r="M447" s="14" t="str">
        <f aca="false">IF($L447="","",IF($L447&lt;18,"Ha","Yo'q"))</f>
        <v/>
      </c>
      <c r="N447" s="25"/>
      <c r="O447" s="25"/>
      <c r="P447" s="25"/>
      <c r="Q447" s="12"/>
      <c r="R447" s="25"/>
      <c r="S447" s="12"/>
      <c r="T447" s="13"/>
      <c r="U447" s="12"/>
      <c r="V447" s="25"/>
      <c r="W447" s="25"/>
      <c r="X447" s="14" t="str">
        <f aca="false">IF(OR($V447="",$W447=""),"",IF(AND($V447&gt;=Spravochnik!$H$5,$W447&gt;=Spravochnik!$H$6),"Ha","Yo'q"))</f>
        <v/>
      </c>
      <c r="Y447" s="13"/>
      <c r="Z447" s="13"/>
      <c r="AA447" s="13"/>
      <c r="AB447" s="13"/>
      <c r="AC447" s="14" t="str">
        <f aca="false">IF(AND($B447&lt;&gt;"",$AE447="",$AB447&lt;&gt;"",$AB447&lt;Boshqaruv!$C$12),"Ha","")</f>
        <v/>
      </c>
      <c r="AD447" s="25"/>
      <c r="AE447" s="13"/>
      <c r="AF447" s="12"/>
      <c r="AG447" s="14" t="str">
        <f aca="false">IF(OR($B447="",$C447="",$H447=""),"",IF(COUNTIFS($B$5:$B$804,$B447,$C$5:$C$804,$C447,$H$5:$H$804,$H447)&gt;1,"Takror",""))</f>
        <v/>
      </c>
      <c r="AH447" s="28" t="str">
        <f aca="false">IF(AND($B447&lt;&gt;"",$N447="Ha",$H447&lt;&gt;"",$H447&lt;=Boshqaruv!$C$12,OR($AE447="",$AE447&gt;Boshqaruv!$C$12)),MAX($AH$4:$AH446)+1,"")</f>
        <v/>
      </c>
    </row>
    <row r="448" customFormat="false" ht="15" hidden="false" customHeight="false" outlineLevel="0" collapsed="false">
      <c r="A448" s="20" t="n">
        <v>444</v>
      </c>
      <c r="B448" s="12"/>
      <c r="C448" s="13"/>
      <c r="D448" s="24"/>
      <c r="E448" s="12"/>
      <c r="F448" s="25"/>
      <c r="G448" s="27" t="str">
        <f aca="false">IF(OR($B448="",$C448=""),"",$B448&amp;" ("&amp;DAY($C448)&amp;"."&amp;MONTH($C448)&amp;"."&amp;YEAR($C448)&amp;")")</f>
        <v/>
      </c>
      <c r="H448" s="13"/>
      <c r="I448" s="13"/>
      <c r="J448" s="15" t="str">
        <f aca="false">IF($I448="","",$I448+280)</f>
        <v/>
      </c>
      <c r="K448" s="14" t="str">
        <f aca="false">IF(OR($I448="",$AE448&lt;&gt;""),"",INT((Boshqaruv!$C$12-$I448)/7))</f>
        <v/>
      </c>
      <c r="L448" s="14" t="str">
        <f aca="false">IF(OR($C448="",$H448=""),"",INT(($H448-$C448)/365.25))</f>
        <v/>
      </c>
      <c r="M448" s="14" t="str">
        <f aca="false">IF($L448="","",IF($L448&lt;18,"Ha","Yo'q"))</f>
        <v/>
      </c>
      <c r="N448" s="25"/>
      <c r="O448" s="25"/>
      <c r="P448" s="25"/>
      <c r="Q448" s="12"/>
      <c r="R448" s="25"/>
      <c r="S448" s="12"/>
      <c r="T448" s="13"/>
      <c r="U448" s="12"/>
      <c r="V448" s="25"/>
      <c r="W448" s="25"/>
      <c r="X448" s="14" t="str">
        <f aca="false">IF(OR($V448="",$W448=""),"",IF(AND($V448&gt;=Spravochnik!$H$5,$W448&gt;=Spravochnik!$H$6),"Ha","Yo'q"))</f>
        <v/>
      </c>
      <c r="Y448" s="13"/>
      <c r="Z448" s="13"/>
      <c r="AA448" s="13"/>
      <c r="AB448" s="13"/>
      <c r="AC448" s="14" t="str">
        <f aca="false">IF(AND($B448&lt;&gt;"",$AE448="",$AB448&lt;&gt;"",$AB448&lt;Boshqaruv!$C$12),"Ha","")</f>
        <v/>
      </c>
      <c r="AD448" s="25"/>
      <c r="AE448" s="13"/>
      <c r="AF448" s="12"/>
      <c r="AG448" s="14" t="str">
        <f aca="false">IF(OR($B448="",$C448="",$H448=""),"",IF(COUNTIFS($B$5:$B$804,$B448,$C$5:$C$804,$C448,$H$5:$H$804,$H448)&gt;1,"Takror",""))</f>
        <v/>
      </c>
      <c r="AH448" s="28" t="str">
        <f aca="false">IF(AND($B448&lt;&gt;"",$N448="Ha",$H448&lt;&gt;"",$H448&lt;=Boshqaruv!$C$12,OR($AE448="",$AE448&gt;Boshqaruv!$C$12)),MAX($AH$4:$AH447)+1,"")</f>
        <v/>
      </c>
    </row>
    <row r="449" customFormat="false" ht="15" hidden="false" customHeight="false" outlineLevel="0" collapsed="false">
      <c r="A449" s="20" t="n">
        <v>445</v>
      </c>
      <c r="B449" s="12"/>
      <c r="C449" s="13"/>
      <c r="D449" s="24"/>
      <c r="E449" s="12"/>
      <c r="F449" s="25"/>
      <c r="G449" s="27" t="str">
        <f aca="false">IF(OR($B449="",$C449=""),"",$B449&amp;" ("&amp;DAY($C449)&amp;"."&amp;MONTH($C449)&amp;"."&amp;YEAR($C449)&amp;")")</f>
        <v/>
      </c>
      <c r="H449" s="13"/>
      <c r="I449" s="13"/>
      <c r="J449" s="15" t="str">
        <f aca="false">IF($I449="","",$I449+280)</f>
        <v/>
      </c>
      <c r="K449" s="14" t="str">
        <f aca="false">IF(OR($I449="",$AE449&lt;&gt;""),"",INT((Boshqaruv!$C$12-$I449)/7))</f>
        <v/>
      </c>
      <c r="L449" s="14" t="str">
        <f aca="false">IF(OR($C449="",$H449=""),"",INT(($H449-$C449)/365.25))</f>
        <v/>
      </c>
      <c r="M449" s="14" t="str">
        <f aca="false">IF($L449="","",IF($L449&lt;18,"Ha","Yo'q"))</f>
        <v/>
      </c>
      <c r="N449" s="25"/>
      <c r="O449" s="25"/>
      <c r="P449" s="25"/>
      <c r="Q449" s="12"/>
      <c r="R449" s="25"/>
      <c r="S449" s="12"/>
      <c r="T449" s="13"/>
      <c r="U449" s="12"/>
      <c r="V449" s="25"/>
      <c r="W449" s="25"/>
      <c r="X449" s="14" t="str">
        <f aca="false">IF(OR($V449="",$W449=""),"",IF(AND($V449&gt;=Spravochnik!$H$5,$W449&gt;=Spravochnik!$H$6),"Ha","Yo'q"))</f>
        <v/>
      </c>
      <c r="Y449" s="13"/>
      <c r="Z449" s="13"/>
      <c r="AA449" s="13"/>
      <c r="AB449" s="13"/>
      <c r="AC449" s="14" t="str">
        <f aca="false">IF(AND($B449&lt;&gt;"",$AE449="",$AB449&lt;&gt;"",$AB449&lt;Boshqaruv!$C$12),"Ha","")</f>
        <v/>
      </c>
      <c r="AD449" s="25"/>
      <c r="AE449" s="13"/>
      <c r="AF449" s="12"/>
      <c r="AG449" s="14" t="str">
        <f aca="false">IF(OR($B449="",$C449="",$H449=""),"",IF(COUNTIFS($B$5:$B$804,$B449,$C$5:$C$804,$C449,$H$5:$H$804,$H449)&gt;1,"Takror",""))</f>
        <v/>
      </c>
      <c r="AH449" s="28" t="str">
        <f aca="false">IF(AND($B449&lt;&gt;"",$N449="Ha",$H449&lt;&gt;"",$H449&lt;=Boshqaruv!$C$12,OR($AE449="",$AE449&gt;Boshqaruv!$C$12)),MAX($AH$4:$AH448)+1,"")</f>
        <v/>
      </c>
    </row>
    <row r="450" customFormat="false" ht="15" hidden="false" customHeight="false" outlineLevel="0" collapsed="false">
      <c r="A450" s="20" t="n">
        <v>446</v>
      </c>
      <c r="B450" s="12"/>
      <c r="C450" s="13"/>
      <c r="D450" s="24"/>
      <c r="E450" s="12"/>
      <c r="F450" s="25"/>
      <c r="G450" s="27" t="str">
        <f aca="false">IF(OR($B450="",$C450=""),"",$B450&amp;" ("&amp;DAY($C450)&amp;"."&amp;MONTH($C450)&amp;"."&amp;YEAR($C450)&amp;")")</f>
        <v/>
      </c>
      <c r="H450" s="13"/>
      <c r="I450" s="13"/>
      <c r="J450" s="15" t="str">
        <f aca="false">IF($I450="","",$I450+280)</f>
        <v/>
      </c>
      <c r="K450" s="14" t="str">
        <f aca="false">IF(OR($I450="",$AE450&lt;&gt;""),"",INT((Boshqaruv!$C$12-$I450)/7))</f>
        <v/>
      </c>
      <c r="L450" s="14" t="str">
        <f aca="false">IF(OR($C450="",$H450=""),"",INT(($H450-$C450)/365.25))</f>
        <v/>
      </c>
      <c r="M450" s="14" t="str">
        <f aca="false">IF($L450="","",IF($L450&lt;18,"Ha","Yo'q"))</f>
        <v/>
      </c>
      <c r="N450" s="25"/>
      <c r="O450" s="25"/>
      <c r="P450" s="25"/>
      <c r="Q450" s="12"/>
      <c r="R450" s="25"/>
      <c r="S450" s="12"/>
      <c r="T450" s="13"/>
      <c r="U450" s="12"/>
      <c r="V450" s="25"/>
      <c r="W450" s="25"/>
      <c r="X450" s="14" t="str">
        <f aca="false">IF(OR($V450="",$W450=""),"",IF(AND($V450&gt;=Spravochnik!$H$5,$W450&gt;=Spravochnik!$H$6),"Ha","Yo'q"))</f>
        <v/>
      </c>
      <c r="Y450" s="13"/>
      <c r="Z450" s="13"/>
      <c r="AA450" s="13"/>
      <c r="AB450" s="13"/>
      <c r="AC450" s="14" t="str">
        <f aca="false">IF(AND($B450&lt;&gt;"",$AE450="",$AB450&lt;&gt;"",$AB450&lt;Boshqaruv!$C$12),"Ha","")</f>
        <v/>
      </c>
      <c r="AD450" s="25"/>
      <c r="AE450" s="13"/>
      <c r="AF450" s="12"/>
      <c r="AG450" s="14" t="str">
        <f aca="false">IF(OR($B450="",$C450="",$H450=""),"",IF(COUNTIFS($B$5:$B$804,$B450,$C$5:$C$804,$C450,$H$5:$H$804,$H450)&gt;1,"Takror",""))</f>
        <v/>
      </c>
      <c r="AH450" s="28" t="str">
        <f aca="false">IF(AND($B450&lt;&gt;"",$N450="Ha",$H450&lt;&gt;"",$H450&lt;=Boshqaruv!$C$12,OR($AE450="",$AE450&gt;Boshqaruv!$C$12)),MAX($AH$4:$AH449)+1,"")</f>
        <v/>
      </c>
    </row>
    <row r="451" customFormat="false" ht="15" hidden="false" customHeight="false" outlineLevel="0" collapsed="false">
      <c r="A451" s="20" t="n">
        <v>447</v>
      </c>
      <c r="B451" s="12"/>
      <c r="C451" s="13"/>
      <c r="D451" s="24"/>
      <c r="E451" s="12"/>
      <c r="F451" s="25"/>
      <c r="G451" s="27" t="str">
        <f aca="false">IF(OR($B451="",$C451=""),"",$B451&amp;" ("&amp;DAY($C451)&amp;"."&amp;MONTH($C451)&amp;"."&amp;YEAR($C451)&amp;")")</f>
        <v/>
      </c>
      <c r="H451" s="13"/>
      <c r="I451" s="13"/>
      <c r="J451" s="15" t="str">
        <f aca="false">IF($I451="","",$I451+280)</f>
        <v/>
      </c>
      <c r="K451" s="14" t="str">
        <f aca="false">IF(OR($I451="",$AE451&lt;&gt;""),"",INT((Boshqaruv!$C$12-$I451)/7))</f>
        <v/>
      </c>
      <c r="L451" s="14" t="str">
        <f aca="false">IF(OR($C451="",$H451=""),"",INT(($H451-$C451)/365.25))</f>
        <v/>
      </c>
      <c r="M451" s="14" t="str">
        <f aca="false">IF($L451="","",IF($L451&lt;18,"Ha","Yo'q"))</f>
        <v/>
      </c>
      <c r="N451" s="25"/>
      <c r="O451" s="25"/>
      <c r="P451" s="25"/>
      <c r="Q451" s="12"/>
      <c r="R451" s="25"/>
      <c r="S451" s="12"/>
      <c r="T451" s="13"/>
      <c r="U451" s="12"/>
      <c r="V451" s="25"/>
      <c r="W451" s="25"/>
      <c r="X451" s="14" t="str">
        <f aca="false">IF(OR($V451="",$W451=""),"",IF(AND($V451&gt;=Spravochnik!$H$5,$W451&gt;=Spravochnik!$H$6),"Ha","Yo'q"))</f>
        <v/>
      </c>
      <c r="Y451" s="13"/>
      <c r="Z451" s="13"/>
      <c r="AA451" s="13"/>
      <c r="AB451" s="13"/>
      <c r="AC451" s="14" t="str">
        <f aca="false">IF(AND($B451&lt;&gt;"",$AE451="",$AB451&lt;&gt;"",$AB451&lt;Boshqaruv!$C$12),"Ha","")</f>
        <v/>
      </c>
      <c r="AD451" s="25"/>
      <c r="AE451" s="13"/>
      <c r="AF451" s="12"/>
      <c r="AG451" s="14" t="str">
        <f aca="false">IF(OR($B451="",$C451="",$H451=""),"",IF(COUNTIFS($B$5:$B$804,$B451,$C$5:$C$804,$C451,$H$5:$H$804,$H451)&gt;1,"Takror",""))</f>
        <v/>
      </c>
      <c r="AH451" s="28" t="str">
        <f aca="false">IF(AND($B451&lt;&gt;"",$N451="Ha",$H451&lt;&gt;"",$H451&lt;=Boshqaruv!$C$12,OR($AE451="",$AE451&gt;Boshqaruv!$C$12)),MAX($AH$4:$AH450)+1,"")</f>
        <v/>
      </c>
    </row>
    <row r="452" customFormat="false" ht="15" hidden="false" customHeight="false" outlineLevel="0" collapsed="false">
      <c r="A452" s="20" t="n">
        <v>448</v>
      </c>
      <c r="B452" s="12"/>
      <c r="C452" s="13"/>
      <c r="D452" s="24"/>
      <c r="E452" s="12"/>
      <c r="F452" s="25"/>
      <c r="G452" s="27" t="str">
        <f aca="false">IF(OR($B452="",$C452=""),"",$B452&amp;" ("&amp;DAY($C452)&amp;"."&amp;MONTH($C452)&amp;"."&amp;YEAR($C452)&amp;")")</f>
        <v/>
      </c>
      <c r="H452" s="13"/>
      <c r="I452" s="13"/>
      <c r="J452" s="15" t="str">
        <f aca="false">IF($I452="","",$I452+280)</f>
        <v/>
      </c>
      <c r="K452" s="14" t="str">
        <f aca="false">IF(OR($I452="",$AE452&lt;&gt;""),"",INT((Boshqaruv!$C$12-$I452)/7))</f>
        <v/>
      </c>
      <c r="L452" s="14" t="str">
        <f aca="false">IF(OR($C452="",$H452=""),"",INT(($H452-$C452)/365.25))</f>
        <v/>
      </c>
      <c r="M452" s="14" t="str">
        <f aca="false">IF($L452="","",IF($L452&lt;18,"Ha","Yo'q"))</f>
        <v/>
      </c>
      <c r="N452" s="25"/>
      <c r="O452" s="25"/>
      <c r="P452" s="25"/>
      <c r="Q452" s="12"/>
      <c r="R452" s="25"/>
      <c r="S452" s="12"/>
      <c r="T452" s="13"/>
      <c r="U452" s="12"/>
      <c r="V452" s="25"/>
      <c r="W452" s="25"/>
      <c r="X452" s="14" t="str">
        <f aca="false">IF(OR($V452="",$W452=""),"",IF(AND($V452&gt;=Spravochnik!$H$5,$W452&gt;=Spravochnik!$H$6),"Ha","Yo'q"))</f>
        <v/>
      </c>
      <c r="Y452" s="13"/>
      <c r="Z452" s="13"/>
      <c r="AA452" s="13"/>
      <c r="AB452" s="13"/>
      <c r="AC452" s="14" t="str">
        <f aca="false">IF(AND($B452&lt;&gt;"",$AE452="",$AB452&lt;&gt;"",$AB452&lt;Boshqaruv!$C$12),"Ha","")</f>
        <v/>
      </c>
      <c r="AD452" s="25"/>
      <c r="AE452" s="13"/>
      <c r="AF452" s="12"/>
      <c r="AG452" s="14" t="str">
        <f aca="false">IF(OR($B452="",$C452="",$H452=""),"",IF(COUNTIFS($B$5:$B$804,$B452,$C$5:$C$804,$C452,$H$5:$H$804,$H452)&gt;1,"Takror",""))</f>
        <v/>
      </c>
      <c r="AH452" s="28" t="str">
        <f aca="false">IF(AND($B452&lt;&gt;"",$N452="Ha",$H452&lt;&gt;"",$H452&lt;=Boshqaruv!$C$12,OR($AE452="",$AE452&gt;Boshqaruv!$C$12)),MAX($AH$4:$AH451)+1,"")</f>
        <v/>
      </c>
    </row>
    <row r="453" customFormat="false" ht="15" hidden="false" customHeight="false" outlineLevel="0" collapsed="false">
      <c r="A453" s="20" t="n">
        <v>449</v>
      </c>
      <c r="B453" s="12"/>
      <c r="C453" s="13"/>
      <c r="D453" s="24"/>
      <c r="E453" s="12"/>
      <c r="F453" s="25"/>
      <c r="G453" s="27" t="str">
        <f aca="false">IF(OR($B453="",$C453=""),"",$B453&amp;" ("&amp;DAY($C453)&amp;"."&amp;MONTH($C453)&amp;"."&amp;YEAR($C453)&amp;")")</f>
        <v/>
      </c>
      <c r="H453" s="13"/>
      <c r="I453" s="13"/>
      <c r="J453" s="15" t="str">
        <f aca="false">IF($I453="","",$I453+280)</f>
        <v/>
      </c>
      <c r="K453" s="14" t="str">
        <f aca="false">IF(OR($I453="",$AE453&lt;&gt;""),"",INT((Boshqaruv!$C$12-$I453)/7))</f>
        <v/>
      </c>
      <c r="L453" s="14" t="str">
        <f aca="false">IF(OR($C453="",$H453=""),"",INT(($H453-$C453)/365.25))</f>
        <v/>
      </c>
      <c r="M453" s="14" t="str">
        <f aca="false">IF($L453="","",IF($L453&lt;18,"Ha","Yo'q"))</f>
        <v/>
      </c>
      <c r="N453" s="25"/>
      <c r="O453" s="25"/>
      <c r="P453" s="25"/>
      <c r="Q453" s="12"/>
      <c r="R453" s="25"/>
      <c r="S453" s="12"/>
      <c r="T453" s="13"/>
      <c r="U453" s="12"/>
      <c r="V453" s="25"/>
      <c r="W453" s="25"/>
      <c r="X453" s="14" t="str">
        <f aca="false">IF(OR($V453="",$W453=""),"",IF(AND($V453&gt;=Spravochnik!$H$5,$W453&gt;=Spravochnik!$H$6),"Ha","Yo'q"))</f>
        <v/>
      </c>
      <c r="Y453" s="13"/>
      <c r="Z453" s="13"/>
      <c r="AA453" s="13"/>
      <c r="AB453" s="13"/>
      <c r="AC453" s="14" t="str">
        <f aca="false">IF(AND($B453&lt;&gt;"",$AE453="",$AB453&lt;&gt;"",$AB453&lt;Boshqaruv!$C$12),"Ha","")</f>
        <v/>
      </c>
      <c r="AD453" s="25"/>
      <c r="AE453" s="13"/>
      <c r="AF453" s="12"/>
      <c r="AG453" s="14" t="str">
        <f aca="false">IF(OR($B453="",$C453="",$H453=""),"",IF(COUNTIFS($B$5:$B$804,$B453,$C$5:$C$804,$C453,$H$5:$H$804,$H453)&gt;1,"Takror",""))</f>
        <v/>
      </c>
      <c r="AH453" s="28" t="str">
        <f aca="false">IF(AND($B453&lt;&gt;"",$N453="Ha",$H453&lt;&gt;"",$H453&lt;=Boshqaruv!$C$12,OR($AE453="",$AE453&gt;Boshqaruv!$C$12)),MAX($AH$4:$AH452)+1,"")</f>
        <v/>
      </c>
    </row>
    <row r="454" customFormat="false" ht="15" hidden="false" customHeight="false" outlineLevel="0" collapsed="false">
      <c r="A454" s="20" t="n">
        <v>450</v>
      </c>
      <c r="B454" s="12"/>
      <c r="C454" s="13"/>
      <c r="D454" s="24"/>
      <c r="E454" s="12"/>
      <c r="F454" s="25"/>
      <c r="G454" s="27" t="str">
        <f aca="false">IF(OR($B454="",$C454=""),"",$B454&amp;" ("&amp;DAY($C454)&amp;"."&amp;MONTH($C454)&amp;"."&amp;YEAR($C454)&amp;")")</f>
        <v/>
      </c>
      <c r="H454" s="13"/>
      <c r="I454" s="13"/>
      <c r="J454" s="15" t="str">
        <f aca="false">IF($I454="","",$I454+280)</f>
        <v/>
      </c>
      <c r="K454" s="14" t="str">
        <f aca="false">IF(OR($I454="",$AE454&lt;&gt;""),"",INT((Boshqaruv!$C$12-$I454)/7))</f>
        <v/>
      </c>
      <c r="L454" s="14" t="str">
        <f aca="false">IF(OR($C454="",$H454=""),"",INT(($H454-$C454)/365.25))</f>
        <v/>
      </c>
      <c r="M454" s="14" t="str">
        <f aca="false">IF($L454="","",IF($L454&lt;18,"Ha","Yo'q"))</f>
        <v/>
      </c>
      <c r="N454" s="25"/>
      <c r="O454" s="25"/>
      <c r="P454" s="25"/>
      <c r="Q454" s="12"/>
      <c r="R454" s="25"/>
      <c r="S454" s="12"/>
      <c r="T454" s="13"/>
      <c r="U454" s="12"/>
      <c r="V454" s="25"/>
      <c r="W454" s="25"/>
      <c r="X454" s="14" t="str">
        <f aca="false">IF(OR($V454="",$W454=""),"",IF(AND($V454&gt;=Spravochnik!$H$5,$W454&gt;=Spravochnik!$H$6),"Ha","Yo'q"))</f>
        <v/>
      </c>
      <c r="Y454" s="13"/>
      <c r="Z454" s="13"/>
      <c r="AA454" s="13"/>
      <c r="AB454" s="13"/>
      <c r="AC454" s="14" t="str">
        <f aca="false">IF(AND($B454&lt;&gt;"",$AE454="",$AB454&lt;&gt;"",$AB454&lt;Boshqaruv!$C$12),"Ha","")</f>
        <v/>
      </c>
      <c r="AD454" s="25"/>
      <c r="AE454" s="13"/>
      <c r="AF454" s="12"/>
      <c r="AG454" s="14" t="str">
        <f aca="false">IF(OR($B454="",$C454="",$H454=""),"",IF(COUNTIFS($B$5:$B$804,$B454,$C$5:$C$804,$C454,$H$5:$H$804,$H454)&gt;1,"Takror",""))</f>
        <v/>
      </c>
      <c r="AH454" s="28" t="str">
        <f aca="false">IF(AND($B454&lt;&gt;"",$N454="Ha",$H454&lt;&gt;"",$H454&lt;=Boshqaruv!$C$12,OR($AE454="",$AE454&gt;Boshqaruv!$C$12)),MAX($AH$4:$AH453)+1,"")</f>
        <v/>
      </c>
    </row>
    <row r="455" customFormat="false" ht="15" hidden="false" customHeight="false" outlineLevel="0" collapsed="false">
      <c r="A455" s="20" t="n">
        <v>451</v>
      </c>
      <c r="B455" s="12"/>
      <c r="C455" s="13"/>
      <c r="D455" s="24"/>
      <c r="E455" s="12"/>
      <c r="F455" s="25"/>
      <c r="G455" s="27" t="str">
        <f aca="false">IF(OR($B455="",$C455=""),"",$B455&amp;" ("&amp;DAY($C455)&amp;"."&amp;MONTH($C455)&amp;"."&amp;YEAR($C455)&amp;")")</f>
        <v/>
      </c>
      <c r="H455" s="13"/>
      <c r="I455" s="13"/>
      <c r="J455" s="15" t="str">
        <f aca="false">IF($I455="","",$I455+280)</f>
        <v/>
      </c>
      <c r="K455" s="14" t="str">
        <f aca="false">IF(OR($I455="",$AE455&lt;&gt;""),"",INT((Boshqaruv!$C$12-$I455)/7))</f>
        <v/>
      </c>
      <c r="L455" s="14" t="str">
        <f aca="false">IF(OR($C455="",$H455=""),"",INT(($H455-$C455)/365.25))</f>
        <v/>
      </c>
      <c r="M455" s="14" t="str">
        <f aca="false">IF($L455="","",IF($L455&lt;18,"Ha","Yo'q"))</f>
        <v/>
      </c>
      <c r="N455" s="25"/>
      <c r="O455" s="25"/>
      <c r="P455" s="25"/>
      <c r="Q455" s="12"/>
      <c r="R455" s="25"/>
      <c r="S455" s="12"/>
      <c r="T455" s="13"/>
      <c r="U455" s="12"/>
      <c r="V455" s="25"/>
      <c r="W455" s="25"/>
      <c r="X455" s="14" t="str">
        <f aca="false">IF(OR($V455="",$W455=""),"",IF(AND($V455&gt;=Spravochnik!$H$5,$W455&gt;=Spravochnik!$H$6),"Ha","Yo'q"))</f>
        <v/>
      </c>
      <c r="Y455" s="13"/>
      <c r="Z455" s="13"/>
      <c r="AA455" s="13"/>
      <c r="AB455" s="13"/>
      <c r="AC455" s="14" t="str">
        <f aca="false">IF(AND($B455&lt;&gt;"",$AE455="",$AB455&lt;&gt;"",$AB455&lt;Boshqaruv!$C$12),"Ha","")</f>
        <v/>
      </c>
      <c r="AD455" s="25"/>
      <c r="AE455" s="13"/>
      <c r="AF455" s="12"/>
      <c r="AG455" s="14" t="str">
        <f aca="false">IF(OR($B455="",$C455="",$H455=""),"",IF(COUNTIFS($B$5:$B$804,$B455,$C$5:$C$804,$C455,$H$5:$H$804,$H455)&gt;1,"Takror",""))</f>
        <v/>
      </c>
      <c r="AH455" s="28" t="str">
        <f aca="false">IF(AND($B455&lt;&gt;"",$N455="Ha",$H455&lt;&gt;"",$H455&lt;=Boshqaruv!$C$12,OR($AE455="",$AE455&gt;Boshqaruv!$C$12)),MAX($AH$4:$AH454)+1,"")</f>
        <v/>
      </c>
    </row>
    <row r="456" customFormat="false" ht="15" hidden="false" customHeight="false" outlineLevel="0" collapsed="false">
      <c r="A456" s="20" t="n">
        <v>452</v>
      </c>
      <c r="B456" s="12"/>
      <c r="C456" s="13"/>
      <c r="D456" s="24"/>
      <c r="E456" s="12"/>
      <c r="F456" s="25"/>
      <c r="G456" s="27" t="str">
        <f aca="false">IF(OR($B456="",$C456=""),"",$B456&amp;" ("&amp;DAY($C456)&amp;"."&amp;MONTH($C456)&amp;"."&amp;YEAR($C456)&amp;")")</f>
        <v/>
      </c>
      <c r="H456" s="13"/>
      <c r="I456" s="13"/>
      <c r="J456" s="15" t="str">
        <f aca="false">IF($I456="","",$I456+280)</f>
        <v/>
      </c>
      <c r="K456" s="14" t="str">
        <f aca="false">IF(OR($I456="",$AE456&lt;&gt;""),"",INT((Boshqaruv!$C$12-$I456)/7))</f>
        <v/>
      </c>
      <c r="L456" s="14" t="str">
        <f aca="false">IF(OR($C456="",$H456=""),"",INT(($H456-$C456)/365.25))</f>
        <v/>
      </c>
      <c r="M456" s="14" t="str">
        <f aca="false">IF($L456="","",IF($L456&lt;18,"Ha","Yo'q"))</f>
        <v/>
      </c>
      <c r="N456" s="25"/>
      <c r="O456" s="25"/>
      <c r="P456" s="25"/>
      <c r="Q456" s="12"/>
      <c r="R456" s="25"/>
      <c r="S456" s="12"/>
      <c r="T456" s="13"/>
      <c r="U456" s="12"/>
      <c r="V456" s="25"/>
      <c r="W456" s="25"/>
      <c r="X456" s="14" t="str">
        <f aca="false">IF(OR($V456="",$W456=""),"",IF(AND($V456&gt;=Spravochnik!$H$5,$W456&gt;=Spravochnik!$H$6),"Ha","Yo'q"))</f>
        <v/>
      </c>
      <c r="Y456" s="13"/>
      <c r="Z456" s="13"/>
      <c r="AA456" s="13"/>
      <c r="AB456" s="13"/>
      <c r="AC456" s="14" t="str">
        <f aca="false">IF(AND($B456&lt;&gt;"",$AE456="",$AB456&lt;&gt;"",$AB456&lt;Boshqaruv!$C$12),"Ha","")</f>
        <v/>
      </c>
      <c r="AD456" s="25"/>
      <c r="AE456" s="13"/>
      <c r="AF456" s="12"/>
      <c r="AG456" s="14" t="str">
        <f aca="false">IF(OR($B456="",$C456="",$H456=""),"",IF(COUNTIFS($B$5:$B$804,$B456,$C$5:$C$804,$C456,$H$5:$H$804,$H456)&gt;1,"Takror",""))</f>
        <v/>
      </c>
      <c r="AH456" s="28" t="str">
        <f aca="false">IF(AND($B456&lt;&gt;"",$N456="Ha",$H456&lt;&gt;"",$H456&lt;=Boshqaruv!$C$12,OR($AE456="",$AE456&gt;Boshqaruv!$C$12)),MAX($AH$4:$AH455)+1,"")</f>
        <v/>
      </c>
    </row>
    <row r="457" customFormat="false" ht="15" hidden="false" customHeight="false" outlineLevel="0" collapsed="false">
      <c r="A457" s="20" t="n">
        <v>453</v>
      </c>
      <c r="B457" s="12"/>
      <c r="C457" s="13"/>
      <c r="D457" s="24"/>
      <c r="E457" s="12"/>
      <c r="F457" s="25"/>
      <c r="G457" s="27" t="str">
        <f aca="false">IF(OR($B457="",$C457=""),"",$B457&amp;" ("&amp;DAY($C457)&amp;"."&amp;MONTH($C457)&amp;"."&amp;YEAR($C457)&amp;")")</f>
        <v/>
      </c>
      <c r="H457" s="13"/>
      <c r="I457" s="13"/>
      <c r="J457" s="15" t="str">
        <f aca="false">IF($I457="","",$I457+280)</f>
        <v/>
      </c>
      <c r="K457" s="14" t="str">
        <f aca="false">IF(OR($I457="",$AE457&lt;&gt;""),"",INT((Boshqaruv!$C$12-$I457)/7))</f>
        <v/>
      </c>
      <c r="L457" s="14" t="str">
        <f aca="false">IF(OR($C457="",$H457=""),"",INT(($H457-$C457)/365.25))</f>
        <v/>
      </c>
      <c r="M457" s="14" t="str">
        <f aca="false">IF($L457="","",IF($L457&lt;18,"Ha","Yo'q"))</f>
        <v/>
      </c>
      <c r="N457" s="25"/>
      <c r="O457" s="25"/>
      <c r="P457" s="25"/>
      <c r="Q457" s="12"/>
      <c r="R457" s="25"/>
      <c r="S457" s="12"/>
      <c r="T457" s="13"/>
      <c r="U457" s="12"/>
      <c r="V457" s="25"/>
      <c r="W457" s="25"/>
      <c r="X457" s="14" t="str">
        <f aca="false">IF(OR($V457="",$W457=""),"",IF(AND($V457&gt;=Spravochnik!$H$5,$W457&gt;=Spravochnik!$H$6),"Ha","Yo'q"))</f>
        <v/>
      </c>
      <c r="Y457" s="13"/>
      <c r="Z457" s="13"/>
      <c r="AA457" s="13"/>
      <c r="AB457" s="13"/>
      <c r="AC457" s="14" t="str">
        <f aca="false">IF(AND($B457&lt;&gt;"",$AE457="",$AB457&lt;&gt;"",$AB457&lt;Boshqaruv!$C$12),"Ha","")</f>
        <v/>
      </c>
      <c r="AD457" s="25"/>
      <c r="AE457" s="13"/>
      <c r="AF457" s="12"/>
      <c r="AG457" s="14" t="str">
        <f aca="false">IF(OR($B457="",$C457="",$H457=""),"",IF(COUNTIFS($B$5:$B$804,$B457,$C$5:$C$804,$C457,$H$5:$H$804,$H457)&gt;1,"Takror",""))</f>
        <v/>
      </c>
      <c r="AH457" s="28" t="str">
        <f aca="false">IF(AND($B457&lt;&gt;"",$N457="Ha",$H457&lt;&gt;"",$H457&lt;=Boshqaruv!$C$12,OR($AE457="",$AE457&gt;Boshqaruv!$C$12)),MAX($AH$4:$AH456)+1,"")</f>
        <v/>
      </c>
    </row>
    <row r="458" customFormat="false" ht="15" hidden="false" customHeight="false" outlineLevel="0" collapsed="false">
      <c r="A458" s="20" t="n">
        <v>454</v>
      </c>
      <c r="B458" s="12"/>
      <c r="C458" s="13"/>
      <c r="D458" s="24"/>
      <c r="E458" s="12"/>
      <c r="F458" s="25"/>
      <c r="G458" s="27" t="str">
        <f aca="false">IF(OR($B458="",$C458=""),"",$B458&amp;" ("&amp;DAY($C458)&amp;"."&amp;MONTH($C458)&amp;"."&amp;YEAR($C458)&amp;")")</f>
        <v/>
      </c>
      <c r="H458" s="13"/>
      <c r="I458" s="13"/>
      <c r="J458" s="15" t="str">
        <f aca="false">IF($I458="","",$I458+280)</f>
        <v/>
      </c>
      <c r="K458" s="14" t="str">
        <f aca="false">IF(OR($I458="",$AE458&lt;&gt;""),"",INT((Boshqaruv!$C$12-$I458)/7))</f>
        <v/>
      </c>
      <c r="L458" s="14" t="str">
        <f aca="false">IF(OR($C458="",$H458=""),"",INT(($H458-$C458)/365.25))</f>
        <v/>
      </c>
      <c r="M458" s="14" t="str">
        <f aca="false">IF($L458="","",IF($L458&lt;18,"Ha","Yo'q"))</f>
        <v/>
      </c>
      <c r="N458" s="25"/>
      <c r="O458" s="25"/>
      <c r="P458" s="25"/>
      <c r="Q458" s="12"/>
      <c r="R458" s="25"/>
      <c r="S458" s="12"/>
      <c r="T458" s="13"/>
      <c r="U458" s="12"/>
      <c r="V458" s="25"/>
      <c r="W458" s="25"/>
      <c r="X458" s="14" t="str">
        <f aca="false">IF(OR($V458="",$W458=""),"",IF(AND($V458&gt;=Spravochnik!$H$5,$W458&gt;=Spravochnik!$H$6),"Ha","Yo'q"))</f>
        <v/>
      </c>
      <c r="Y458" s="13"/>
      <c r="Z458" s="13"/>
      <c r="AA458" s="13"/>
      <c r="AB458" s="13"/>
      <c r="AC458" s="14" t="str">
        <f aca="false">IF(AND($B458&lt;&gt;"",$AE458="",$AB458&lt;&gt;"",$AB458&lt;Boshqaruv!$C$12),"Ha","")</f>
        <v/>
      </c>
      <c r="AD458" s="25"/>
      <c r="AE458" s="13"/>
      <c r="AF458" s="12"/>
      <c r="AG458" s="14" t="str">
        <f aca="false">IF(OR($B458="",$C458="",$H458=""),"",IF(COUNTIFS($B$5:$B$804,$B458,$C$5:$C$804,$C458,$H$5:$H$804,$H458)&gt;1,"Takror",""))</f>
        <v/>
      </c>
      <c r="AH458" s="28" t="str">
        <f aca="false">IF(AND($B458&lt;&gt;"",$N458="Ha",$H458&lt;&gt;"",$H458&lt;=Boshqaruv!$C$12,OR($AE458="",$AE458&gt;Boshqaruv!$C$12)),MAX($AH$4:$AH457)+1,"")</f>
        <v/>
      </c>
    </row>
    <row r="459" customFormat="false" ht="15" hidden="false" customHeight="false" outlineLevel="0" collapsed="false">
      <c r="A459" s="20" t="n">
        <v>455</v>
      </c>
      <c r="B459" s="12"/>
      <c r="C459" s="13"/>
      <c r="D459" s="24"/>
      <c r="E459" s="12"/>
      <c r="F459" s="25"/>
      <c r="G459" s="27" t="str">
        <f aca="false">IF(OR($B459="",$C459=""),"",$B459&amp;" ("&amp;DAY($C459)&amp;"."&amp;MONTH($C459)&amp;"."&amp;YEAR($C459)&amp;")")</f>
        <v/>
      </c>
      <c r="H459" s="13"/>
      <c r="I459" s="13"/>
      <c r="J459" s="15" t="str">
        <f aca="false">IF($I459="","",$I459+280)</f>
        <v/>
      </c>
      <c r="K459" s="14" t="str">
        <f aca="false">IF(OR($I459="",$AE459&lt;&gt;""),"",INT((Boshqaruv!$C$12-$I459)/7))</f>
        <v/>
      </c>
      <c r="L459" s="14" t="str">
        <f aca="false">IF(OR($C459="",$H459=""),"",INT(($H459-$C459)/365.25))</f>
        <v/>
      </c>
      <c r="M459" s="14" t="str">
        <f aca="false">IF($L459="","",IF($L459&lt;18,"Ha","Yo'q"))</f>
        <v/>
      </c>
      <c r="N459" s="25"/>
      <c r="O459" s="25"/>
      <c r="P459" s="25"/>
      <c r="Q459" s="12"/>
      <c r="R459" s="25"/>
      <c r="S459" s="12"/>
      <c r="T459" s="13"/>
      <c r="U459" s="12"/>
      <c r="V459" s="25"/>
      <c r="W459" s="25"/>
      <c r="X459" s="14" t="str">
        <f aca="false">IF(OR($V459="",$W459=""),"",IF(AND($V459&gt;=Spravochnik!$H$5,$W459&gt;=Spravochnik!$H$6),"Ha","Yo'q"))</f>
        <v/>
      </c>
      <c r="Y459" s="13"/>
      <c r="Z459" s="13"/>
      <c r="AA459" s="13"/>
      <c r="AB459" s="13"/>
      <c r="AC459" s="14" t="str">
        <f aca="false">IF(AND($B459&lt;&gt;"",$AE459="",$AB459&lt;&gt;"",$AB459&lt;Boshqaruv!$C$12),"Ha","")</f>
        <v/>
      </c>
      <c r="AD459" s="25"/>
      <c r="AE459" s="13"/>
      <c r="AF459" s="12"/>
      <c r="AG459" s="14" t="str">
        <f aca="false">IF(OR($B459="",$C459="",$H459=""),"",IF(COUNTIFS($B$5:$B$804,$B459,$C$5:$C$804,$C459,$H$5:$H$804,$H459)&gt;1,"Takror",""))</f>
        <v/>
      </c>
      <c r="AH459" s="28" t="str">
        <f aca="false">IF(AND($B459&lt;&gt;"",$N459="Ha",$H459&lt;&gt;"",$H459&lt;=Boshqaruv!$C$12,OR($AE459="",$AE459&gt;Boshqaruv!$C$12)),MAX($AH$4:$AH458)+1,"")</f>
        <v/>
      </c>
    </row>
    <row r="460" customFormat="false" ht="15" hidden="false" customHeight="false" outlineLevel="0" collapsed="false">
      <c r="A460" s="20" t="n">
        <v>456</v>
      </c>
      <c r="B460" s="12"/>
      <c r="C460" s="13"/>
      <c r="D460" s="24"/>
      <c r="E460" s="12"/>
      <c r="F460" s="25"/>
      <c r="G460" s="27" t="str">
        <f aca="false">IF(OR($B460="",$C460=""),"",$B460&amp;" ("&amp;DAY($C460)&amp;"."&amp;MONTH($C460)&amp;"."&amp;YEAR($C460)&amp;")")</f>
        <v/>
      </c>
      <c r="H460" s="13"/>
      <c r="I460" s="13"/>
      <c r="J460" s="15" t="str">
        <f aca="false">IF($I460="","",$I460+280)</f>
        <v/>
      </c>
      <c r="K460" s="14" t="str">
        <f aca="false">IF(OR($I460="",$AE460&lt;&gt;""),"",INT((Boshqaruv!$C$12-$I460)/7))</f>
        <v/>
      </c>
      <c r="L460" s="14" t="str">
        <f aca="false">IF(OR($C460="",$H460=""),"",INT(($H460-$C460)/365.25))</f>
        <v/>
      </c>
      <c r="M460" s="14" t="str">
        <f aca="false">IF($L460="","",IF($L460&lt;18,"Ha","Yo'q"))</f>
        <v/>
      </c>
      <c r="N460" s="25"/>
      <c r="O460" s="25"/>
      <c r="P460" s="25"/>
      <c r="Q460" s="12"/>
      <c r="R460" s="25"/>
      <c r="S460" s="12"/>
      <c r="T460" s="13"/>
      <c r="U460" s="12"/>
      <c r="V460" s="25"/>
      <c r="W460" s="25"/>
      <c r="X460" s="14" t="str">
        <f aca="false">IF(OR($V460="",$W460=""),"",IF(AND($V460&gt;=Spravochnik!$H$5,$W460&gt;=Spravochnik!$H$6),"Ha","Yo'q"))</f>
        <v/>
      </c>
      <c r="Y460" s="13"/>
      <c r="Z460" s="13"/>
      <c r="AA460" s="13"/>
      <c r="AB460" s="13"/>
      <c r="AC460" s="14" t="str">
        <f aca="false">IF(AND($B460&lt;&gt;"",$AE460="",$AB460&lt;&gt;"",$AB460&lt;Boshqaruv!$C$12),"Ha","")</f>
        <v/>
      </c>
      <c r="AD460" s="25"/>
      <c r="AE460" s="13"/>
      <c r="AF460" s="12"/>
      <c r="AG460" s="14" t="str">
        <f aca="false">IF(OR($B460="",$C460="",$H460=""),"",IF(COUNTIFS($B$5:$B$804,$B460,$C$5:$C$804,$C460,$H$5:$H$804,$H460)&gt;1,"Takror",""))</f>
        <v/>
      </c>
      <c r="AH460" s="28" t="str">
        <f aca="false">IF(AND($B460&lt;&gt;"",$N460="Ha",$H460&lt;&gt;"",$H460&lt;=Boshqaruv!$C$12,OR($AE460="",$AE460&gt;Boshqaruv!$C$12)),MAX($AH$4:$AH459)+1,"")</f>
        <v/>
      </c>
    </row>
    <row r="461" customFormat="false" ht="15" hidden="false" customHeight="false" outlineLevel="0" collapsed="false">
      <c r="A461" s="20" t="n">
        <v>457</v>
      </c>
      <c r="B461" s="12"/>
      <c r="C461" s="13"/>
      <c r="D461" s="24"/>
      <c r="E461" s="12"/>
      <c r="F461" s="25"/>
      <c r="G461" s="27" t="str">
        <f aca="false">IF(OR($B461="",$C461=""),"",$B461&amp;" ("&amp;DAY($C461)&amp;"."&amp;MONTH($C461)&amp;"."&amp;YEAR($C461)&amp;")")</f>
        <v/>
      </c>
      <c r="H461" s="13"/>
      <c r="I461" s="13"/>
      <c r="J461" s="15" t="str">
        <f aca="false">IF($I461="","",$I461+280)</f>
        <v/>
      </c>
      <c r="K461" s="14" t="str">
        <f aca="false">IF(OR($I461="",$AE461&lt;&gt;""),"",INT((Boshqaruv!$C$12-$I461)/7))</f>
        <v/>
      </c>
      <c r="L461" s="14" t="str">
        <f aca="false">IF(OR($C461="",$H461=""),"",INT(($H461-$C461)/365.25))</f>
        <v/>
      </c>
      <c r="M461" s="14" t="str">
        <f aca="false">IF($L461="","",IF($L461&lt;18,"Ha","Yo'q"))</f>
        <v/>
      </c>
      <c r="N461" s="25"/>
      <c r="O461" s="25"/>
      <c r="P461" s="25"/>
      <c r="Q461" s="12"/>
      <c r="R461" s="25"/>
      <c r="S461" s="12"/>
      <c r="T461" s="13"/>
      <c r="U461" s="12"/>
      <c r="V461" s="25"/>
      <c r="W461" s="25"/>
      <c r="X461" s="14" t="str">
        <f aca="false">IF(OR($V461="",$W461=""),"",IF(AND($V461&gt;=Spravochnik!$H$5,$W461&gt;=Spravochnik!$H$6),"Ha","Yo'q"))</f>
        <v/>
      </c>
      <c r="Y461" s="13"/>
      <c r="Z461" s="13"/>
      <c r="AA461" s="13"/>
      <c r="AB461" s="13"/>
      <c r="AC461" s="14" t="str">
        <f aca="false">IF(AND($B461&lt;&gt;"",$AE461="",$AB461&lt;&gt;"",$AB461&lt;Boshqaruv!$C$12),"Ha","")</f>
        <v/>
      </c>
      <c r="AD461" s="25"/>
      <c r="AE461" s="13"/>
      <c r="AF461" s="12"/>
      <c r="AG461" s="14" t="str">
        <f aca="false">IF(OR($B461="",$C461="",$H461=""),"",IF(COUNTIFS($B$5:$B$804,$B461,$C$5:$C$804,$C461,$H$5:$H$804,$H461)&gt;1,"Takror",""))</f>
        <v/>
      </c>
      <c r="AH461" s="28" t="str">
        <f aca="false">IF(AND($B461&lt;&gt;"",$N461="Ha",$H461&lt;&gt;"",$H461&lt;=Boshqaruv!$C$12,OR($AE461="",$AE461&gt;Boshqaruv!$C$12)),MAX($AH$4:$AH460)+1,"")</f>
        <v/>
      </c>
    </row>
    <row r="462" customFormat="false" ht="15" hidden="false" customHeight="false" outlineLevel="0" collapsed="false">
      <c r="A462" s="20" t="n">
        <v>458</v>
      </c>
      <c r="B462" s="12"/>
      <c r="C462" s="13"/>
      <c r="D462" s="24"/>
      <c r="E462" s="12"/>
      <c r="F462" s="25"/>
      <c r="G462" s="27" t="str">
        <f aca="false">IF(OR($B462="",$C462=""),"",$B462&amp;" ("&amp;DAY($C462)&amp;"."&amp;MONTH($C462)&amp;"."&amp;YEAR($C462)&amp;")")</f>
        <v/>
      </c>
      <c r="H462" s="13"/>
      <c r="I462" s="13"/>
      <c r="J462" s="15" t="str">
        <f aca="false">IF($I462="","",$I462+280)</f>
        <v/>
      </c>
      <c r="K462" s="14" t="str">
        <f aca="false">IF(OR($I462="",$AE462&lt;&gt;""),"",INT((Boshqaruv!$C$12-$I462)/7))</f>
        <v/>
      </c>
      <c r="L462" s="14" t="str">
        <f aca="false">IF(OR($C462="",$H462=""),"",INT(($H462-$C462)/365.25))</f>
        <v/>
      </c>
      <c r="M462" s="14" t="str">
        <f aca="false">IF($L462="","",IF($L462&lt;18,"Ha","Yo'q"))</f>
        <v/>
      </c>
      <c r="N462" s="25"/>
      <c r="O462" s="25"/>
      <c r="P462" s="25"/>
      <c r="Q462" s="12"/>
      <c r="R462" s="25"/>
      <c r="S462" s="12"/>
      <c r="T462" s="13"/>
      <c r="U462" s="12"/>
      <c r="V462" s="25"/>
      <c r="W462" s="25"/>
      <c r="X462" s="14" t="str">
        <f aca="false">IF(OR($V462="",$W462=""),"",IF(AND($V462&gt;=Spravochnik!$H$5,$W462&gt;=Spravochnik!$H$6),"Ha","Yo'q"))</f>
        <v/>
      </c>
      <c r="Y462" s="13"/>
      <c r="Z462" s="13"/>
      <c r="AA462" s="13"/>
      <c r="AB462" s="13"/>
      <c r="AC462" s="14" t="str">
        <f aca="false">IF(AND($B462&lt;&gt;"",$AE462="",$AB462&lt;&gt;"",$AB462&lt;Boshqaruv!$C$12),"Ha","")</f>
        <v/>
      </c>
      <c r="AD462" s="25"/>
      <c r="AE462" s="13"/>
      <c r="AF462" s="12"/>
      <c r="AG462" s="14" t="str">
        <f aca="false">IF(OR($B462="",$C462="",$H462=""),"",IF(COUNTIFS($B$5:$B$804,$B462,$C$5:$C$804,$C462,$H$5:$H$804,$H462)&gt;1,"Takror",""))</f>
        <v/>
      </c>
      <c r="AH462" s="28" t="str">
        <f aca="false">IF(AND($B462&lt;&gt;"",$N462="Ha",$H462&lt;&gt;"",$H462&lt;=Boshqaruv!$C$12,OR($AE462="",$AE462&gt;Boshqaruv!$C$12)),MAX($AH$4:$AH461)+1,"")</f>
        <v/>
      </c>
    </row>
    <row r="463" customFormat="false" ht="15" hidden="false" customHeight="false" outlineLevel="0" collapsed="false">
      <c r="A463" s="20" t="n">
        <v>459</v>
      </c>
      <c r="B463" s="12"/>
      <c r="C463" s="13"/>
      <c r="D463" s="24"/>
      <c r="E463" s="12"/>
      <c r="F463" s="25"/>
      <c r="G463" s="27" t="str">
        <f aca="false">IF(OR($B463="",$C463=""),"",$B463&amp;" ("&amp;DAY($C463)&amp;"."&amp;MONTH($C463)&amp;"."&amp;YEAR($C463)&amp;")")</f>
        <v/>
      </c>
      <c r="H463" s="13"/>
      <c r="I463" s="13"/>
      <c r="J463" s="15" t="str">
        <f aca="false">IF($I463="","",$I463+280)</f>
        <v/>
      </c>
      <c r="K463" s="14" t="str">
        <f aca="false">IF(OR($I463="",$AE463&lt;&gt;""),"",INT((Boshqaruv!$C$12-$I463)/7))</f>
        <v/>
      </c>
      <c r="L463" s="14" t="str">
        <f aca="false">IF(OR($C463="",$H463=""),"",INT(($H463-$C463)/365.25))</f>
        <v/>
      </c>
      <c r="M463" s="14" t="str">
        <f aca="false">IF($L463="","",IF($L463&lt;18,"Ha","Yo'q"))</f>
        <v/>
      </c>
      <c r="N463" s="25"/>
      <c r="O463" s="25"/>
      <c r="P463" s="25"/>
      <c r="Q463" s="12"/>
      <c r="R463" s="25"/>
      <c r="S463" s="12"/>
      <c r="T463" s="13"/>
      <c r="U463" s="12"/>
      <c r="V463" s="25"/>
      <c r="W463" s="25"/>
      <c r="X463" s="14" t="str">
        <f aca="false">IF(OR($V463="",$W463=""),"",IF(AND($V463&gt;=Spravochnik!$H$5,$W463&gt;=Spravochnik!$H$6),"Ha","Yo'q"))</f>
        <v/>
      </c>
      <c r="Y463" s="13"/>
      <c r="Z463" s="13"/>
      <c r="AA463" s="13"/>
      <c r="AB463" s="13"/>
      <c r="AC463" s="14" t="str">
        <f aca="false">IF(AND($B463&lt;&gt;"",$AE463="",$AB463&lt;&gt;"",$AB463&lt;Boshqaruv!$C$12),"Ha","")</f>
        <v/>
      </c>
      <c r="AD463" s="25"/>
      <c r="AE463" s="13"/>
      <c r="AF463" s="12"/>
      <c r="AG463" s="14" t="str">
        <f aca="false">IF(OR($B463="",$C463="",$H463=""),"",IF(COUNTIFS($B$5:$B$804,$B463,$C$5:$C$804,$C463,$H$5:$H$804,$H463)&gt;1,"Takror",""))</f>
        <v/>
      </c>
      <c r="AH463" s="28" t="str">
        <f aca="false">IF(AND($B463&lt;&gt;"",$N463="Ha",$H463&lt;&gt;"",$H463&lt;=Boshqaruv!$C$12,OR($AE463="",$AE463&gt;Boshqaruv!$C$12)),MAX($AH$4:$AH462)+1,"")</f>
        <v/>
      </c>
    </row>
    <row r="464" customFormat="false" ht="15" hidden="false" customHeight="false" outlineLevel="0" collapsed="false">
      <c r="A464" s="20" t="n">
        <v>460</v>
      </c>
      <c r="B464" s="12"/>
      <c r="C464" s="13"/>
      <c r="D464" s="24"/>
      <c r="E464" s="12"/>
      <c r="F464" s="25"/>
      <c r="G464" s="27" t="str">
        <f aca="false">IF(OR($B464="",$C464=""),"",$B464&amp;" ("&amp;DAY($C464)&amp;"."&amp;MONTH($C464)&amp;"."&amp;YEAR($C464)&amp;")")</f>
        <v/>
      </c>
      <c r="H464" s="13"/>
      <c r="I464" s="13"/>
      <c r="J464" s="15" t="str">
        <f aca="false">IF($I464="","",$I464+280)</f>
        <v/>
      </c>
      <c r="K464" s="14" t="str">
        <f aca="false">IF(OR($I464="",$AE464&lt;&gt;""),"",INT((Boshqaruv!$C$12-$I464)/7))</f>
        <v/>
      </c>
      <c r="L464" s="14" t="str">
        <f aca="false">IF(OR($C464="",$H464=""),"",INT(($H464-$C464)/365.25))</f>
        <v/>
      </c>
      <c r="M464" s="14" t="str">
        <f aca="false">IF($L464="","",IF($L464&lt;18,"Ha","Yo'q"))</f>
        <v/>
      </c>
      <c r="N464" s="25"/>
      <c r="O464" s="25"/>
      <c r="P464" s="25"/>
      <c r="Q464" s="12"/>
      <c r="R464" s="25"/>
      <c r="S464" s="12"/>
      <c r="T464" s="13"/>
      <c r="U464" s="12"/>
      <c r="V464" s="25"/>
      <c r="W464" s="25"/>
      <c r="X464" s="14" t="str">
        <f aca="false">IF(OR($V464="",$W464=""),"",IF(AND($V464&gt;=Spravochnik!$H$5,$W464&gt;=Spravochnik!$H$6),"Ha","Yo'q"))</f>
        <v/>
      </c>
      <c r="Y464" s="13"/>
      <c r="Z464" s="13"/>
      <c r="AA464" s="13"/>
      <c r="AB464" s="13"/>
      <c r="AC464" s="14" t="str">
        <f aca="false">IF(AND($B464&lt;&gt;"",$AE464="",$AB464&lt;&gt;"",$AB464&lt;Boshqaruv!$C$12),"Ha","")</f>
        <v/>
      </c>
      <c r="AD464" s="25"/>
      <c r="AE464" s="13"/>
      <c r="AF464" s="12"/>
      <c r="AG464" s="14" t="str">
        <f aca="false">IF(OR($B464="",$C464="",$H464=""),"",IF(COUNTIFS($B$5:$B$804,$B464,$C$5:$C$804,$C464,$H$5:$H$804,$H464)&gt;1,"Takror",""))</f>
        <v/>
      </c>
      <c r="AH464" s="28" t="str">
        <f aca="false">IF(AND($B464&lt;&gt;"",$N464="Ha",$H464&lt;&gt;"",$H464&lt;=Boshqaruv!$C$12,OR($AE464="",$AE464&gt;Boshqaruv!$C$12)),MAX($AH$4:$AH463)+1,"")</f>
        <v/>
      </c>
    </row>
    <row r="465" customFormat="false" ht="15" hidden="false" customHeight="false" outlineLevel="0" collapsed="false">
      <c r="A465" s="20" t="n">
        <v>461</v>
      </c>
      <c r="B465" s="12"/>
      <c r="C465" s="13"/>
      <c r="D465" s="24"/>
      <c r="E465" s="12"/>
      <c r="F465" s="25"/>
      <c r="G465" s="27" t="str">
        <f aca="false">IF(OR($B465="",$C465=""),"",$B465&amp;" ("&amp;DAY($C465)&amp;"."&amp;MONTH($C465)&amp;"."&amp;YEAR($C465)&amp;")")</f>
        <v/>
      </c>
      <c r="H465" s="13"/>
      <c r="I465" s="13"/>
      <c r="J465" s="15" t="str">
        <f aca="false">IF($I465="","",$I465+280)</f>
        <v/>
      </c>
      <c r="K465" s="14" t="str">
        <f aca="false">IF(OR($I465="",$AE465&lt;&gt;""),"",INT((Boshqaruv!$C$12-$I465)/7))</f>
        <v/>
      </c>
      <c r="L465" s="14" t="str">
        <f aca="false">IF(OR($C465="",$H465=""),"",INT(($H465-$C465)/365.25))</f>
        <v/>
      </c>
      <c r="M465" s="14" t="str">
        <f aca="false">IF($L465="","",IF($L465&lt;18,"Ha","Yo'q"))</f>
        <v/>
      </c>
      <c r="N465" s="25"/>
      <c r="O465" s="25"/>
      <c r="P465" s="25"/>
      <c r="Q465" s="12"/>
      <c r="R465" s="25"/>
      <c r="S465" s="12"/>
      <c r="T465" s="13"/>
      <c r="U465" s="12"/>
      <c r="V465" s="25"/>
      <c r="W465" s="25"/>
      <c r="X465" s="14" t="str">
        <f aca="false">IF(OR($V465="",$W465=""),"",IF(AND($V465&gt;=Spravochnik!$H$5,$W465&gt;=Spravochnik!$H$6),"Ha","Yo'q"))</f>
        <v/>
      </c>
      <c r="Y465" s="13"/>
      <c r="Z465" s="13"/>
      <c r="AA465" s="13"/>
      <c r="AB465" s="13"/>
      <c r="AC465" s="14" t="str">
        <f aca="false">IF(AND($B465&lt;&gt;"",$AE465="",$AB465&lt;&gt;"",$AB465&lt;Boshqaruv!$C$12),"Ha","")</f>
        <v/>
      </c>
      <c r="AD465" s="25"/>
      <c r="AE465" s="13"/>
      <c r="AF465" s="12"/>
      <c r="AG465" s="14" t="str">
        <f aca="false">IF(OR($B465="",$C465="",$H465=""),"",IF(COUNTIFS($B$5:$B$804,$B465,$C$5:$C$804,$C465,$H$5:$H$804,$H465)&gt;1,"Takror",""))</f>
        <v/>
      </c>
      <c r="AH465" s="28" t="str">
        <f aca="false">IF(AND($B465&lt;&gt;"",$N465="Ha",$H465&lt;&gt;"",$H465&lt;=Boshqaruv!$C$12,OR($AE465="",$AE465&gt;Boshqaruv!$C$12)),MAX($AH$4:$AH464)+1,"")</f>
        <v/>
      </c>
    </row>
    <row r="466" customFormat="false" ht="15" hidden="false" customHeight="false" outlineLevel="0" collapsed="false">
      <c r="A466" s="20" t="n">
        <v>462</v>
      </c>
      <c r="B466" s="12"/>
      <c r="C466" s="13"/>
      <c r="D466" s="24"/>
      <c r="E466" s="12"/>
      <c r="F466" s="25"/>
      <c r="G466" s="27" t="str">
        <f aca="false">IF(OR($B466="",$C466=""),"",$B466&amp;" ("&amp;DAY($C466)&amp;"."&amp;MONTH($C466)&amp;"."&amp;YEAR($C466)&amp;")")</f>
        <v/>
      </c>
      <c r="H466" s="13"/>
      <c r="I466" s="13"/>
      <c r="J466" s="15" t="str">
        <f aca="false">IF($I466="","",$I466+280)</f>
        <v/>
      </c>
      <c r="K466" s="14" t="str">
        <f aca="false">IF(OR($I466="",$AE466&lt;&gt;""),"",INT((Boshqaruv!$C$12-$I466)/7))</f>
        <v/>
      </c>
      <c r="L466" s="14" t="str">
        <f aca="false">IF(OR($C466="",$H466=""),"",INT(($H466-$C466)/365.25))</f>
        <v/>
      </c>
      <c r="M466" s="14" t="str">
        <f aca="false">IF($L466="","",IF($L466&lt;18,"Ha","Yo'q"))</f>
        <v/>
      </c>
      <c r="N466" s="25"/>
      <c r="O466" s="25"/>
      <c r="P466" s="25"/>
      <c r="Q466" s="12"/>
      <c r="R466" s="25"/>
      <c r="S466" s="12"/>
      <c r="T466" s="13"/>
      <c r="U466" s="12"/>
      <c r="V466" s="25"/>
      <c r="W466" s="25"/>
      <c r="X466" s="14" t="str">
        <f aca="false">IF(OR($V466="",$W466=""),"",IF(AND($V466&gt;=Spravochnik!$H$5,$W466&gt;=Spravochnik!$H$6),"Ha","Yo'q"))</f>
        <v/>
      </c>
      <c r="Y466" s="13"/>
      <c r="Z466" s="13"/>
      <c r="AA466" s="13"/>
      <c r="AB466" s="13"/>
      <c r="AC466" s="14" t="str">
        <f aca="false">IF(AND($B466&lt;&gt;"",$AE466="",$AB466&lt;&gt;"",$AB466&lt;Boshqaruv!$C$12),"Ha","")</f>
        <v/>
      </c>
      <c r="AD466" s="25"/>
      <c r="AE466" s="13"/>
      <c r="AF466" s="12"/>
      <c r="AG466" s="14" t="str">
        <f aca="false">IF(OR($B466="",$C466="",$H466=""),"",IF(COUNTIFS($B$5:$B$804,$B466,$C$5:$C$804,$C466,$H$5:$H$804,$H466)&gt;1,"Takror",""))</f>
        <v/>
      </c>
      <c r="AH466" s="28" t="str">
        <f aca="false">IF(AND($B466&lt;&gt;"",$N466="Ha",$H466&lt;&gt;"",$H466&lt;=Boshqaruv!$C$12,OR($AE466="",$AE466&gt;Boshqaruv!$C$12)),MAX($AH$4:$AH465)+1,"")</f>
        <v/>
      </c>
    </row>
    <row r="467" customFormat="false" ht="15" hidden="false" customHeight="false" outlineLevel="0" collapsed="false">
      <c r="A467" s="20" t="n">
        <v>463</v>
      </c>
      <c r="B467" s="12"/>
      <c r="C467" s="13"/>
      <c r="D467" s="24"/>
      <c r="E467" s="12"/>
      <c r="F467" s="25"/>
      <c r="G467" s="27" t="str">
        <f aca="false">IF(OR($B467="",$C467=""),"",$B467&amp;" ("&amp;DAY($C467)&amp;"."&amp;MONTH($C467)&amp;"."&amp;YEAR($C467)&amp;")")</f>
        <v/>
      </c>
      <c r="H467" s="13"/>
      <c r="I467" s="13"/>
      <c r="J467" s="15" t="str">
        <f aca="false">IF($I467="","",$I467+280)</f>
        <v/>
      </c>
      <c r="K467" s="14" t="str">
        <f aca="false">IF(OR($I467="",$AE467&lt;&gt;""),"",INT((Boshqaruv!$C$12-$I467)/7))</f>
        <v/>
      </c>
      <c r="L467" s="14" t="str">
        <f aca="false">IF(OR($C467="",$H467=""),"",INT(($H467-$C467)/365.25))</f>
        <v/>
      </c>
      <c r="M467" s="14" t="str">
        <f aca="false">IF($L467="","",IF($L467&lt;18,"Ha","Yo'q"))</f>
        <v/>
      </c>
      <c r="N467" s="25"/>
      <c r="O467" s="25"/>
      <c r="P467" s="25"/>
      <c r="Q467" s="12"/>
      <c r="R467" s="25"/>
      <c r="S467" s="12"/>
      <c r="T467" s="13"/>
      <c r="U467" s="12"/>
      <c r="V467" s="25"/>
      <c r="W467" s="25"/>
      <c r="X467" s="14" t="str">
        <f aca="false">IF(OR($V467="",$W467=""),"",IF(AND($V467&gt;=Spravochnik!$H$5,$W467&gt;=Spravochnik!$H$6),"Ha","Yo'q"))</f>
        <v/>
      </c>
      <c r="Y467" s="13"/>
      <c r="Z467" s="13"/>
      <c r="AA467" s="13"/>
      <c r="AB467" s="13"/>
      <c r="AC467" s="14" t="str">
        <f aca="false">IF(AND($B467&lt;&gt;"",$AE467="",$AB467&lt;&gt;"",$AB467&lt;Boshqaruv!$C$12),"Ha","")</f>
        <v/>
      </c>
      <c r="AD467" s="25"/>
      <c r="AE467" s="13"/>
      <c r="AF467" s="12"/>
      <c r="AG467" s="14" t="str">
        <f aca="false">IF(OR($B467="",$C467="",$H467=""),"",IF(COUNTIFS($B$5:$B$804,$B467,$C$5:$C$804,$C467,$H$5:$H$804,$H467)&gt;1,"Takror",""))</f>
        <v/>
      </c>
      <c r="AH467" s="28" t="str">
        <f aca="false">IF(AND($B467&lt;&gt;"",$N467="Ha",$H467&lt;&gt;"",$H467&lt;=Boshqaruv!$C$12,OR($AE467="",$AE467&gt;Boshqaruv!$C$12)),MAX($AH$4:$AH466)+1,"")</f>
        <v/>
      </c>
    </row>
    <row r="468" customFormat="false" ht="15" hidden="false" customHeight="false" outlineLevel="0" collapsed="false">
      <c r="A468" s="20" t="n">
        <v>464</v>
      </c>
      <c r="B468" s="12"/>
      <c r="C468" s="13"/>
      <c r="D468" s="24"/>
      <c r="E468" s="12"/>
      <c r="F468" s="25"/>
      <c r="G468" s="27" t="str">
        <f aca="false">IF(OR($B468="",$C468=""),"",$B468&amp;" ("&amp;DAY($C468)&amp;"."&amp;MONTH($C468)&amp;"."&amp;YEAR($C468)&amp;")")</f>
        <v/>
      </c>
      <c r="H468" s="13"/>
      <c r="I468" s="13"/>
      <c r="J468" s="15" t="str">
        <f aca="false">IF($I468="","",$I468+280)</f>
        <v/>
      </c>
      <c r="K468" s="14" t="str">
        <f aca="false">IF(OR($I468="",$AE468&lt;&gt;""),"",INT((Boshqaruv!$C$12-$I468)/7))</f>
        <v/>
      </c>
      <c r="L468" s="14" t="str">
        <f aca="false">IF(OR($C468="",$H468=""),"",INT(($H468-$C468)/365.25))</f>
        <v/>
      </c>
      <c r="M468" s="14" t="str">
        <f aca="false">IF($L468="","",IF($L468&lt;18,"Ha","Yo'q"))</f>
        <v/>
      </c>
      <c r="N468" s="25"/>
      <c r="O468" s="25"/>
      <c r="P468" s="25"/>
      <c r="Q468" s="12"/>
      <c r="R468" s="25"/>
      <c r="S468" s="12"/>
      <c r="T468" s="13"/>
      <c r="U468" s="12"/>
      <c r="V468" s="25"/>
      <c r="W468" s="25"/>
      <c r="X468" s="14" t="str">
        <f aca="false">IF(OR($V468="",$W468=""),"",IF(AND($V468&gt;=Spravochnik!$H$5,$W468&gt;=Spravochnik!$H$6),"Ha","Yo'q"))</f>
        <v/>
      </c>
      <c r="Y468" s="13"/>
      <c r="Z468" s="13"/>
      <c r="AA468" s="13"/>
      <c r="AB468" s="13"/>
      <c r="AC468" s="14" t="str">
        <f aca="false">IF(AND($B468&lt;&gt;"",$AE468="",$AB468&lt;&gt;"",$AB468&lt;Boshqaruv!$C$12),"Ha","")</f>
        <v/>
      </c>
      <c r="AD468" s="25"/>
      <c r="AE468" s="13"/>
      <c r="AF468" s="12"/>
      <c r="AG468" s="14" t="str">
        <f aca="false">IF(OR($B468="",$C468="",$H468=""),"",IF(COUNTIFS($B$5:$B$804,$B468,$C$5:$C$804,$C468,$H$5:$H$804,$H468)&gt;1,"Takror",""))</f>
        <v/>
      </c>
      <c r="AH468" s="28" t="str">
        <f aca="false">IF(AND($B468&lt;&gt;"",$N468="Ha",$H468&lt;&gt;"",$H468&lt;=Boshqaruv!$C$12,OR($AE468="",$AE468&gt;Boshqaruv!$C$12)),MAX($AH$4:$AH467)+1,"")</f>
        <v/>
      </c>
    </row>
    <row r="469" customFormat="false" ht="15" hidden="false" customHeight="false" outlineLevel="0" collapsed="false">
      <c r="A469" s="20" t="n">
        <v>465</v>
      </c>
      <c r="B469" s="12"/>
      <c r="C469" s="13"/>
      <c r="D469" s="24"/>
      <c r="E469" s="12"/>
      <c r="F469" s="25"/>
      <c r="G469" s="27" t="str">
        <f aca="false">IF(OR($B469="",$C469=""),"",$B469&amp;" ("&amp;DAY($C469)&amp;"."&amp;MONTH($C469)&amp;"."&amp;YEAR($C469)&amp;")")</f>
        <v/>
      </c>
      <c r="H469" s="13"/>
      <c r="I469" s="13"/>
      <c r="J469" s="15" t="str">
        <f aca="false">IF($I469="","",$I469+280)</f>
        <v/>
      </c>
      <c r="K469" s="14" t="str">
        <f aca="false">IF(OR($I469="",$AE469&lt;&gt;""),"",INT((Boshqaruv!$C$12-$I469)/7))</f>
        <v/>
      </c>
      <c r="L469" s="14" t="str">
        <f aca="false">IF(OR($C469="",$H469=""),"",INT(($H469-$C469)/365.25))</f>
        <v/>
      </c>
      <c r="M469" s="14" t="str">
        <f aca="false">IF($L469="","",IF($L469&lt;18,"Ha","Yo'q"))</f>
        <v/>
      </c>
      <c r="N469" s="25"/>
      <c r="O469" s="25"/>
      <c r="P469" s="25"/>
      <c r="Q469" s="12"/>
      <c r="R469" s="25"/>
      <c r="S469" s="12"/>
      <c r="T469" s="13"/>
      <c r="U469" s="12"/>
      <c r="V469" s="25"/>
      <c r="W469" s="25"/>
      <c r="X469" s="14" t="str">
        <f aca="false">IF(OR($V469="",$W469=""),"",IF(AND($V469&gt;=Spravochnik!$H$5,$W469&gt;=Spravochnik!$H$6),"Ha","Yo'q"))</f>
        <v/>
      </c>
      <c r="Y469" s="13"/>
      <c r="Z469" s="13"/>
      <c r="AA469" s="13"/>
      <c r="AB469" s="13"/>
      <c r="AC469" s="14" t="str">
        <f aca="false">IF(AND($B469&lt;&gt;"",$AE469="",$AB469&lt;&gt;"",$AB469&lt;Boshqaruv!$C$12),"Ha","")</f>
        <v/>
      </c>
      <c r="AD469" s="25"/>
      <c r="AE469" s="13"/>
      <c r="AF469" s="12"/>
      <c r="AG469" s="14" t="str">
        <f aca="false">IF(OR($B469="",$C469="",$H469=""),"",IF(COUNTIFS($B$5:$B$804,$B469,$C$5:$C$804,$C469,$H$5:$H$804,$H469)&gt;1,"Takror",""))</f>
        <v/>
      </c>
      <c r="AH469" s="28" t="str">
        <f aca="false">IF(AND($B469&lt;&gt;"",$N469="Ha",$H469&lt;&gt;"",$H469&lt;=Boshqaruv!$C$12,OR($AE469="",$AE469&gt;Boshqaruv!$C$12)),MAX($AH$4:$AH468)+1,"")</f>
        <v/>
      </c>
    </row>
    <row r="470" customFormat="false" ht="15" hidden="false" customHeight="false" outlineLevel="0" collapsed="false">
      <c r="A470" s="20" t="n">
        <v>466</v>
      </c>
      <c r="B470" s="12"/>
      <c r="C470" s="13"/>
      <c r="D470" s="24"/>
      <c r="E470" s="12"/>
      <c r="F470" s="25"/>
      <c r="G470" s="27" t="str">
        <f aca="false">IF(OR($B470="",$C470=""),"",$B470&amp;" ("&amp;DAY($C470)&amp;"."&amp;MONTH($C470)&amp;"."&amp;YEAR($C470)&amp;")")</f>
        <v/>
      </c>
      <c r="H470" s="13"/>
      <c r="I470" s="13"/>
      <c r="J470" s="15" t="str">
        <f aca="false">IF($I470="","",$I470+280)</f>
        <v/>
      </c>
      <c r="K470" s="14" t="str">
        <f aca="false">IF(OR($I470="",$AE470&lt;&gt;""),"",INT((Boshqaruv!$C$12-$I470)/7))</f>
        <v/>
      </c>
      <c r="L470" s="14" t="str">
        <f aca="false">IF(OR($C470="",$H470=""),"",INT(($H470-$C470)/365.25))</f>
        <v/>
      </c>
      <c r="M470" s="14" t="str">
        <f aca="false">IF($L470="","",IF($L470&lt;18,"Ha","Yo'q"))</f>
        <v/>
      </c>
      <c r="N470" s="25"/>
      <c r="O470" s="25"/>
      <c r="P470" s="25"/>
      <c r="Q470" s="12"/>
      <c r="R470" s="25"/>
      <c r="S470" s="12"/>
      <c r="T470" s="13"/>
      <c r="U470" s="12"/>
      <c r="V470" s="25"/>
      <c r="W470" s="25"/>
      <c r="X470" s="14" t="str">
        <f aca="false">IF(OR($V470="",$W470=""),"",IF(AND($V470&gt;=Spravochnik!$H$5,$W470&gt;=Spravochnik!$H$6),"Ha","Yo'q"))</f>
        <v/>
      </c>
      <c r="Y470" s="13"/>
      <c r="Z470" s="13"/>
      <c r="AA470" s="13"/>
      <c r="AB470" s="13"/>
      <c r="AC470" s="14" t="str">
        <f aca="false">IF(AND($B470&lt;&gt;"",$AE470="",$AB470&lt;&gt;"",$AB470&lt;Boshqaruv!$C$12),"Ha","")</f>
        <v/>
      </c>
      <c r="AD470" s="25"/>
      <c r="AE470" s="13"/>
      <c r="AF470" s="12"/>
      <c r="AG470" s="14" t="str">
        <f aca="false">IF(OR($B470="",$C470="",$H470=""),"",IF(COUNTIFS($B$5:$B$804,$B470,$C$5:$C$804,$C470,$H$5:$H$804,$H470)&gt;1,"Takror",""))</f>
        <v/>
      </c>
      <c r="AH470" s="28" t="str">
        <f aca="false">IF(AND($B470&lt;&gt;"",$N470="Ha",$H470&lt;&gt;"",$H470&lt;=Boshqaruv!$C$12,OR($AE470="",$AE470&gt;Boshqaruv!$C$12)),MAX($AH$4:$AH469)+1,"")</f>
        <v/>
      </c>
    </row>
    <row r="471" customFormat="false" ht="15" hidden="false" customHeight="false" outlineLevel="0" collapsed="false">
      <c r="A471" s="20" t="n">
        <v>467</v>
      </c>
      <c r="B471" s="12"/>
      <c r="C471" s="13"/>
      <c r="D471" s="24"/>
      <c r="E471" s="12"/>
      <c r="F471" s="25"/>
      <c r="G471" s="27" t="str">
        <f aca="false">IF(OR($B471="",$C471=""),"",$B471&amp;" ("&amp;DAY($C471)&amp;"."&amp;MONTH($C471)&amp;"."&amp;YEAR($C471)&amp;")")</f>
        <v/>
      </c>
      <c r="H471" s="13"/>
      <c r="I471" s="13"/>
      <c r="J471" s="15" t="str">
        <f aca="false">IF($I471="","",$I471+280)</f>
        <v/>
      </c>
      <c r="K471" s="14" t="str">
        <f aca="false">IF(OR($I471="",$AE471&lt;&gt;""),"",INT((Boshqaruv!$C$12-$I471)/7))</f>
        <v/>
      </c>
      <c r="L471" s="14" t="str">
        <f aca="false">IF(OR($C471="",$H471=""),"",INT(($H471-$C471)/365.25))</f>
        <v/>
      </c>
      <c r="M471" s="14" t="str">
        <f aca="false">IF($L471="","",IF($L471&lt;18,"Ha","Yo'q"))</f>
        <v/>
      </c>
      <c r="N471" s="25"/>
      <c r="O471" s="25"/>
      <c r="P471" s="25"/>
      <c r="Q471" s="12"/>
      <c r="R471" s="25"/>
      <c r="S471" s="12"/>
      <c r="T471" s="13"/>
      <c r="U471" s="12"/>
      <c r="V471" s="25"/>
      <c r="W471" s="25"/>
      <c r="X471" s="14" t="str">
        <f aca="false">IF(OR($V471="",$W471=""),"",IF(AND($V471&gt;=Spravochnik!$H$5,$W471&gt;=Spravochnik!$H$6),"Ha","Yo'q"))</f>
        <v/>
      </c>
      <c r="Y471" s="13"/>
      <c r="Z471" s="13"/>
      <c r="AA471" s="13"/>
      <c r="AB471" s="13"/>
      <c r="AC471" s="14" t="str">
        <f aca="false">IF(AND($B471&lt;&gt;"",$AE471="",$AB471&lt;&gt;"",$AB471&lt;Boshqaruv!$C$12),"Ha","")</f>
        <v/>
      </c>
      <c r="AD471" s="25"/>
      <c r="AE471" s="13"/>
      <c r="AF471" s="12"/>
      <c r="AG471" s="14" t="str">
        <f aca="false">IF(OR($B471="",$C471="",$H471=""),"",IF(COUNTIFS($B$5:$B$804,$B471,$C$5:$C$804,$C471,$H$5:$H$804,$H471)&gt;1,"Takror",""))</f>
        <v/>
      </c>
      <c r="AH471" s="28" t="str">
        <f aca="false">IF(AND($B471&lt;&gt;"",$N471="Ha",$H471&lt;&gt;"",$H471&lt;=Boshqaruv!$C$12,OR($AE471="",$AE471&gt;Boshqaruv!$C$12)),MAX($AH$4:$AH470)+1,"")</f>
        <v/>
      </c>
    </row>
    <row r="472" customFormat="false" ht="15" hidden="false" customHeight="false" outlineLevel="0" collapsed="false">
      <c r="A472" s="20" t="n">
        <v>468</v>
      </c>
      <c r="B472" s="12"/>
      <c r="C472" s="13"/>
      <c r="D472" s="24"/>
      <c r="E472" s="12"/>
      <c r="F472" s="25"/>
      <c r="G472" s="27" t="str">
        <f aca="false">IF(OR($B472="",$C472=""),"",$B472&amp;" ("&amp;DAY($C472)&amp;"."&amp;MONTH($C472)&amp;"."&amp;YEAR($C472)&amp;")")</f>
        <v/>
      </c>
      <c r="H472" s="13"/>
      <c r="I472" s="13"/>
      <c r="J472" s="15" t="str">
        <f aca="false">IF($I472="","",$I472+280)</f>
        <v/>
      </c>
      <c r="K472" s="14" t="str">
        <f aca="false">IF(OR($I472="",$AE472&lt;&gt;""),"",INT((Boshqaruv!$C$12-$I472)/7))</f>
        <v/>
      </c>
      <c r="L472" s="14" t="str">
        <f aca="false">IF(OR($C472="",$H472=""),"",INT(($H472-$C472)/365.25))</f>
        <v/>
      </c>
      <c r="M472" s="14" t="str">
        <f aca="false">IF($L472="","",IF($L472&lt;18,"Ha","Yo'q"))</f>
        <v/>
      </c>
      <c r="N472" s="25"/>
      <c r="O472" s="25"/>
      <c r="P472" s="25"/>
      <c r="Q472" s="12"/>
      <c r="R472" s="25"/>
      <c r="S472" s="12"/>
      <c r="T472" s="13"/>
      <c r="U472" s="12"/>
      <c r="V472" s="25"/>
      <c r="W472" s="25"/>
      <c r="X472" s="14" t="str">
        <f aca="false">IF(OR($V472="",$W472=""),"",IF(AND($V472&gt;=Spravochnik!$H$5,$W472&gt;=Spravochnik!$H$6),"Ha","Yo'q"))</f>
        <v/>
      </c>
      <c r="Y472" s="13"/>
      <c r="Z472" s="13"/>
      <c r="AA472" s="13"/>
      <c r="AB472" s="13"/>
      <c r="AC472" s="14" t="str">
        <f aca="false">IF(AND($B472&lt;&gt;"",$AE472="",$AB472&lt;&gt;"",$AB472&lt;Boshqaruv!$C$12),"Ha","")</f>
        <v/>
      </c>
      <c r="AD472" s="25"/>
      <c r="AE472" s="13"/>
      <c r="AF472" s="12"/>
      <c r="AG472" s="14" t="str">
        <f aca="false">IF(OR($B472="",$C472="",$H472=""),"",IF(COUNTIFS($B$5:$B$804,$B472,$C$5:$C$804,$C472,$H$5:$H$804,$H472)&gt;1,"Takror",""))</f>
        <v/>
      </c>
      <c r="AH472" s="28" t="str">
        <f aca="false">IF(AND($B472&lt;&gt;"",$N472="Ha",$H472&lt;&gt;"",$H472&lt;=Boshqaruv!$C$12,OR($AE472="",$AE472&gt;Boshqaruv!$C$12)),MAX($AH$4:$AH471)+1,"")</f>
        <v/>
      </c>
    </row>
    <row r="473" customFormat="false" ht="15" hidden="false" customHeight="false" outlineLevel="0" collapsed="false">
      <c r="A473" s="20" t="n">
        <v>469</v>
      </c>
      <c r="B473" s="12"/>
      <c r="C473" s="13"/>
      <c r="D473" s="24"/>
      <c r="E473" s="12"/>
      <c r="F473" s="25"/>
      <c r="G473" s="27" t="str">
        <f aca="false">IF(OR($B473="",$C473=""),"",$B473&amp;" ("&amp;DAY($C473)&amp;"."&amp;MONTH($C473)&amp;"."&amp;YEAR($C473)&amp;")")</f>
        <v/>
      </c>
      <c r="H473" s="13"/>
      <c r="I473" s="13"/>
      <c r="J473" s="15" t="str">
        <f aca="false">IF($I473="","",$I473+280)</f>
        <v/>
      </c>
      <c r="K473" s="14" t="str">
        <f aca="false">IF(OR($I473="",$AE473&lt;&gt;""),"",INT((Boshqaruv!$C$12-$I473)/7))</f>
        <v/>
      </c>
      <c r="L473" s="14" t="str">
        <f aca="false">IF(OR($C473="",$H473=""),"",INT(($H473-$C473)/365.25))</f>
        <v/>
      </c>
      <c r="M473" s="14" t="str">
        <f aca="false">IF($L473="","",IF($L473&lt;18,"Ha","Yo'q"))</f>
        <v/>
      </c>
      <c r="N473" s="25"/>
      <c r="O473" s="25"/>
      <c r="P473" s="25"/>
      <c r="Q473" s="12"/>
      <c r="R473" s="25"/>
      <c r="S473" s="12"/>
      <c r="T473" s="13"/>
      <c r="U473" s="12"/>
      <c r="V473" s="25"/>
      <c r="W473" s="25"/>
      <c r="X473" s="14" t="str">
        <f aca="false">IF(OR($V473="",$W473=""),"",IF(AND($V473&gt;=Spravochnik!$H$5,$W473&gt;=Spravochnik!$H$6),"Ha","Yo'q"))</f>
        <v/>
      </c>
      <c r="Y473" s="13"/>
      <c r="Z473" s="13"/>
      <c r="AA473" s="13"/>
      <c r="AB473" s="13"/>
      <c r="AC473" s="14" t="str">
        <f aca="false">IF(AND($B473&lt;&gt;"",$AE473="",$AB473&lt;&gt;"",$AB473&lt;Boshqaruv!$C$12),"Ha","")</f>
        <v/>
      </c>
      <c r="AD473" s="25"/>
      <c r="AE473" s="13"/>
      <c r="AF473" s="12"/>
      <c r="AG473" s="14" t="str">
        <f aca="false">IF(OR($B473="",$C473="",$H473=""),"",IF(COUNTIFS($B$5:$B$804,$B473,$C$5:$C$804,$C473,$H$5:$H$804,$H473)&gt;1,"Takror",""))</f>
        <v/>
      </c>
      <c r="AH473" s="28" t="str">
        <f aca="false">IF(AND($B473&lt;&gt;"",$N473="Ha",$H473&lt;&gt;"",$H473&lt;=Boshqaruv!$C$12,OR($AE473="",$AE473&gt;Boshqaruv!$C$12)),MAX($AH$4:$AH472)+1,"")</f>
        <v/>
      </c>
    </row>
    <row r="474" customFormat="false" ht="15" hidden="false" customHeight="false" outlineLevel="0" collapsed="false">
      <c r="A474" s="20" t="n">
        <v>470</v>
      </c>
      <c r="B474" s="12"/>
      <c r="C474" s="13"/>
      <c r="D474" s="24"/>
      <c r="E474" s="12"/>
      <c r="F474" s="25"/>
      <c r="G474" s="27" t="str">
        <f aca="false">IF(OR($B474="",$C474=""),"",$B474&amp;" ("&amp;DAY($C474)&amp;"."&amp;MONTH($C474)&amp;"."&amp;YEAR($C474)&amp;")")</f>
        <v/>
      </c>
      <c r="H474" s="13"/>
      <c r="I474" s="13"/>
      <c r="J474" s="15" t="str">
        <f aca="false">IF($I474="","",$I474+280)</f>
        <v/>
      </c>
      <c r="K474" s="14" t="str">
        <f aca="false">IF(OR($I474="",$AE474&lt;&gt;""),"",INT((Boshqaruv!$C$12-$I474)/7))</f>
        <v/>
      </c>
      <c r="L474" s="14" t="str">
        <f aca="false">IF(OR($C474="",$H474=""),"",INT(($H474-$C474)/365.25))</f>
        <v/>
      </c>
      <c r="M474" s="14" t="str">
        <f aca="false">IF($L474="","",IF($L474&lt;18,"Ha","Yo'q"))</f>
        <v/>
      </c>
      <c r="N474" s="25"/>
      <c r="O474" s="25"/>
      <c r="P474" s="25"/>
      <c r="Q474" s="12"/>
      <c r="R474" s="25"/>
      <c r="S474" s="12"/>
      <c r="T474" s="13"/>
      <c r="U474" s="12"/>
      <c r="V474" s="25"/>
      <c r="W474" s="25"/>
      <c r="X474" s="14" t="str">
        <f aca="false">IF(OR($V474="",$W474=""),"",IF(AND($V474&gt;=Spravochnik!$H$5,$W474&gt;=Spravochnik!$H$6),"Ha","Yo'q"))</f>
        <v/>
      </c>
      <c r="Y474" s="13"/>
      <c r="Z474" s="13"/>
      <c r="AA474" s="13"/>
      <c r="AB474" s="13"/>
      <c r="AC474" s="14" t="str">
        <f aca="false">IF(AND($B474&lt;&gt;"",$AE474="",$AB474&lt;&gt;"",$AB474&lt;Boshqaruv!$C$12),"Ha","")</f>
        <v/>
      </c>
      <c r="AD474" s="25"/>
      <c r="AE474" s="13"/>
      <c r="AF474" s="12"/>
      <c r="AG474" s="14" t="str">
        <f aca="false">IF(OR($B474="",$C474="",$H474=""),"",IF(COUNTIFS($B$5:$B$804,$B474,$C$5:$C$804,$C474,$H$5:$H$804,$H474)&gt;1,"Takror",""))</f>
        <v/>
      </c>
      <c r="AH474" s="28" t="str">
        <f aca="false">IF(AND($B474&lt;&gt;"",$N474="Ha",$H474&lt;&gt;"",$H474&lt;=Boshqaruv!$C$12,OR($AE474="",$AE474&gt;Boshqaruv!$C$12)),MAX($AH$4:$AH473)+1,"")</f>
        <v/>
      </c>
    </row>
    <row r="475" customFormat="false" ht="15" hidden="false" customHeight="false" outlineLevel="0" collapsed="false">
      <c r="A475" s="20" t="n">
        <v>471</v>
      </c>
      <c r="B475" s="12"/>
      <c r="C475" s="13"/>
      <c r="D475" s="24"/>
      <c r="E475" s="12"/>
      <c r="F475" s="25"/>
      <c r="G475" s="27" t="str">
        <f aca="false">IF(OR($B475="",$C475=""),"",$B475&amp;" ("&amp;DAY($C475)&amp;"."&amp;MONTH($C475)&amp;"."&amp;YEAR($C475)&amp;")")</f>
        <v/>
      </c>
      <c r="H475" s="13"/>
      <c r="I475" s="13"/>
      <c r="J475" s="15" t="str">
        <f aca="false">IF($I475="","",$I475+280)</f>
        <v/>
      </c>
      <c r="K475" s="14" t="str">
        <f aca="false">IF(OR($I475="",$AE475&lt;&gt;""),"",INT((Boshqaruv!$C$12-$I475)/7))</f>
        <v/>
      </c>
      <c r="L475" s="14" t="str">
        <f aca="false">IF(OR($C475="",$H475=""),"",INT(($H475-$C475)/365.25))</f>
        <v/>
      </c>
      <c r="M475" s="14" t="str">
        <f aca="false">IF($L475="","",IF($L475&lt;18,"Ha","Yo'q"))</f>
        <v/>
      </c>
      <c r="N475" s="25"/>
      <c r="O475" s="25"/>
      <c r="P475" s="25"/>
      <c r="Q475" s="12"/>
      <c r="R475" s="25"/>
      <c r="S475" s="12"/>
      <c r="T475" s="13"/>
      <c r="U475" s="12"/>
      <c r="V475" s="25"/>
      <c r="W475" s="25"/>
      <c r="X475" s="14" t="str">
        <f aca="false">IF(OR($V475="",$W475=""),"",IF(AND($V475&gt;=Spravochnik!$H$5,$W475&gt;=Spravochnik!$H$6),"Ha","Yo'q"))</f>
        <v/>
      </c>
      <c r="Y475" s="13"/>
      <c r="Z475" s="13"/>
      <c r="AA475" s="13"/>
      <c r="AB475" s="13"/>
      <c r="AC475" s="14" t="str">
        <f aca="false">IF(AND($B475&lt;&gt;"",$AE475="",$AB475&lt;&gt;"",$AB475&lt;Boshqaruv!$C$12),"Ha","")</f>
        <v/>
      </c>
      <c r="AD475" s="25"/>
      <c r="AE475" s="13"/>
      <c r="AF475" s="12"/>
      <c r="AG475" s="14" t="str">
        <f aca="false">IF(OR($B475="",$C475="",$H475=""),"",IF(COUNTIFS($B$5:$B$804,$B475,$C$5:$C$804,$C475,$H$5:$H$804,$H475)&gt;1,"Takror",""))</f>
        <v/>
      </c>
      <c r="AH475" s="28" t="str">
        <f aca="false">IF(AND($B475&lt;&gt;"",$N475="Ha",$H475&lt;&gt;"",$H475&lt;=Boshqaruv!$C$12,OR($AE475="",$AE475&gt;Boshqaruv!$C$12)),MAX($AH$4:$AH474)+1,"")</f>
        <v/>
      </c>
    </row>
    <row r="476" customFormat="false" ht="15" hidden="false" customHeight="false" outlineLevel="0" collapsed="false">
      <c r="A476" s="20" t="n">
        <v>472</v>
      </c>
      <c r="B476" s="12"/>
      <c r="C476" s="13"/>
      <c r="D476" s="24"/>
      <c r="E476" s="12"/>
      <c r="F476" s="25"/>
      <c r="G476" s="27" t="str">
        <f aca="false">IF(OR($B476="",$C476=""),"",$B476&amp;" ("&amp;DAY($C476)&amp;"."&amp;MONTH($C476)&amp;"."&amp;YEAR($C476)&amp;")")</f>
        <v/>
      </c>
      <c r="H476" s="13"/>
      <c r="I476" s="13"/>
      <c r="J476" s="15" t="str">
        <f aca="false">IF($I476="","",$I476+280)</f>
        <v/>
      </c>
      <c r="K476" s="14" t="str">
        <f aca="false">IF(OR($I476="",$AE476&lt;&gt;""),"",INT((Boshqaruv!$C$12-$I476)/7))</f>
        <v/>
      </c>
      <c r="L476" s="14" t="str">
        <f aca="false">IF(OR($C476="",$H476=""),"",INT(($H476-$C476)/365.25))</f>
        <v/>
      </c>
      <c r="M476" s="14" t="str">
        <f aca="false">IF($L476="","",IF($L476&lt;18,"Ha","Yo'q"))</f>
        <v/>
      </c>
      <c r="N476" s="25"/>
      <c r="O476" s="25"/>
      <c r="P476" s="25"/>
      <c r="Q476" s="12"/>
      <c r="R476" s="25"/>
      <c r="S476" s="12"/>
      <c r="T476" s="13"/>
      <c r="U476" s="12"/>
      <c r="V476" s="25"/>
      <c r="W476" s="25"/>
      <c r="X476" s="14" t="str">
        <f aca="false">IF(OR($V476="",$W476=""),"",IF(AND($V476&gt;=Spravochnik!$H$5,$W476&gt;=Spravochnik!$H$6),"Ha","Yo'q"))</f>
        <v/>
      </c>
      <c r="Y476" s="13"/>
      <c r="Z476" s="13"/>
      <c r="AA476" s="13"/>
      <c r="AB476" s="13"/>
      <c r="AC476" s="14" t="str">
        <f aca="false">IF(AND($B476&lt;&gt;"",$AE476="",$AB476&lt;&gt;"",$AB476&lt;Boshqaruv!$C$12),"Ha","")</f>
        <v/>
      </c>
      <c r="AD476" s="25"/>
      <c r="AE476" s="13"/>
      <c r="AF476" s="12"/>
      <c r="AG476" s="14" t="str">
        <f aca="false">IF(OR($B476="",$C476="",$H476=""),"",IF(COUNTIFS($B$5:$B$804,$B476,$C$5:$C$804,$C476,$H$5:$H$804,$H476)&gt;1,"Takror",""))</f>
        <v/>
      </c>
      <c r="AH476" s="28" t="str">
        <f aca="false">IF(AND($B476&lt;&gt;"",$N476="Ha",$H476&lt;&gt;"",$H476&lt;=Boshqaruv!$C$12,OR($AE476="",$AE476&gt;Boshqaruv!$C$12)),MAX($AH$4:$AH475)+1,"")</f>
        <v/>
      </c>
    </row>
    <row r="477" customFormat="false" ht="15" hidden="false" customHeight="false" outlineLevel="0" collapsed="false">
      <c r="A477" s="20" t="n">
        <v>473</v>
      </c>
      <c r="B477" s="12"/>
      <c r="C477" s="13"/>
      <c r="D477" s="24"/>
      <c r="E477" s="12"/>
      <c r="F477" s="25"/>
      <c r="G477" s="27" t="str">
        <f aca="false">IF(OR($B477="",$C477=""),"",$B477&amp;" ("&amp;DAY($C477)&amp;"."&amp;MONTH($C477)&amp;"."&amp;YEAR($C477)&amp;")")</f>
        <v/>
      </c>
      <c r="H477" s="13"/>
      <c r="I477" s="13"/>
      <c r="J477" s="15" t="str">
        <f aca="false">IF($I477="","",$I477+280)</f>
        <v/>
      </c>
      <c r="K477" s="14" t="str">
        <f aca="false">IF(OR($I477="",$AE477&lt;&gt;""),"",INT((Boshqaruv!$C$12-$I477)/7))</f>
        <v/>
      </c>
      <c r="L477" s="14" t="str">
        <f aca="false">IF(OR($C477="",$H477=""),"",INT(($H477-$C477)/365.25))</f>
        <v/>
      </c>
      <c r="M477" s="14" t="str">
        <f aca="false">IF($L477="","",IF($L477&lt;18,"Ha","Yo'q"))</f>
        <v/>
      </c>
      <c r="N477" s="25"/>
      <c r="O477" s="25"/>
      <c r="P477" s="25"/>
      <c r="Q477" s="12"/>
      <c r="R477" s="25"/>
      <c r="S477" s="12"/>
      <c r="T477" s="13"/>
      <c r="U477" s="12"/>
      <c r="V477" s="25"/>
      <c r="W477" s="25"/>
      <c r="X477" s="14" t="str">
        <f aca="false">IF(OR($V477="",$W477=""),"",IF(AND($V477&gt;=Spravochnik!$H$5,$W477&gt;=Spravochnik!$H$6),"Ha","Yo'q"))</f>
        <v/>
      </c>
      <c r="Y477" s="13"/>
      <c r="Z477" s="13"/>
      <c r="AA477" s="13"/>
      <c r="AB477" s="13"/>
      <c r="AC477" s="14" t="str">
        <f aca="false">IF(AND($B477&lt;&gt;"",$AE477="",$AB477&lt;&gt;"",$AB477&lt;Boshqaruv!$C$12),"Ha","")</f>
        <v/>
      </c>
      <c r="AD477" s="25"/>
      <c r="AE477" s="13"/>
      <c r="AF477" s="12"/>
      <c r="AG477" s="14" t="str">
        <f aca="false">IF(OR($B477="",$C477="",$H477=""),"",IF(COUNTIFS($B$5:$B$804,$B477,$C$5:$C$804,$C477,$H$5:$H$804,$H477)&gt;1,"Takror",""))</f>
        <v/>
      </c>
      <c r="AH477" s="28" t="str">
        <f aca="false">IF(AND($B477&lt;&gt;"",$N477="Ha",$H477&lt;&gt;"",$H477&lt;=Boshqaruv!$C$12,OR($AE477="",$AE477&gt;Boshqaruv!$C$12)),MAX($AH$4:$AH476)+1,"")</f>
        <v/>
      </c>
    </row>
    <row r="478" customFormat="false" ht="15" hidden="false" customHeight="false" outlineLevel="0" collapsed="false">
      <c r="A478" s="20" t="n">
        <v>474</v>
      </c>
      <c r="B478" s="12"/>
      <c r="C478" s="13"/>
      <c r="D478" s="24"/>
      <c r="E478" s="12"/>
      <c r="F478" s="25"/>
      <c r="G478" s="27" t="str">
        <f aca="false">IF(OR($B478="",$C478=""),"",$B478&amp;" ("&amp;DAY($C478)&amp;"."&amp;MONTH($C478)&amp;"."&amp;YEAR($C478)&amp;")")</f>
        <v/>
      </c>
      <c r="H478" s="13"/>
      <c r="I478" s="13"/>
      <c r="J478" s="15" t="str">
        <f aca="false">IF($I478="","",$I478+280)</f>
        <v/>
      </c>
      <c r="K478" s="14" t="str">
        <f aca="false">IF(OR($I478="",$AE478&lt;&gt;""),"",INT((Boshqaruv!$C$12-$I478)/7))</f>
        <v/>
      </c>
      <c r="L478" s="14" t="str">
        <f aca="false">IF(OR($C478="",$H478=""),"",INT(($H478-$C478)/365.25))</f>
        <v/>
      </c>
      <c r="M478" s="14" t="str">
        <f aca="false">IF($L478="","",IF($L478&lt;18,"Ha","Yo'q"))</f>
        <v/>
      </c>
      <c r="N478" s="25"/>
      <c r="O478" s="25"/>
      <c r="P478" s="25"/>
      <c r="Q478" s="12"/>
      <c r="R478" s="25"/>
      <c r="S478" s="12"/>
      <c r="T478" s="13"/>
      <c r="U478" s="12"/>
      <c r="V478" s="25"/>
      <c r="W478" s="25"/>
      <c r="X478" s="14" t="str">
        <f aca="false">IF(OR($V478="",$W478=""),"",IF(AND($V478&gt;=Spravochnik!$H$5,$W478&gt;=Spravochnik!$H$6),"Ha","Yo'q"))</f>
        <v/>
      </c>
      <c r="Y478" s="13"/>
      <c r="Z478" s="13"/>
      <c r="AA478" s="13"/>
      <c r="AB478" s="13"/>
      <c r="AC478" s="14" t="str">
        <f aca="false">IF(AND($B478&lt;&gt;"",$AE478="",$AB478&lt;&gt;"",$AB478&lt;Boshqaruv!$C$12),"Ha","")</f>
        <v/>
      </c>
      <c r="AD478" s="25"/>
      <c r="AE478" s="13"/>
      <c r="AF478" s="12"/>
      <c r="AG478" s="14" t="str">
        <f aca="false">IF(OR($B478="",$C478="",$H478=""),"",IF(COUNTIFS($B$5:$B$804,$B478,$C$5:$C$804,$C478,$H$5:$H$804,$H478)&gt;1,"Takror",""))</f>
        <v/>
      </c>
      <c r="AH478" s="28" t="str">
        <f aca="false">IF(AND($B478&lt;&gt;"",$N478="Ha",$H478&lt;&gt;"",$H478&lt;=Boshqaruv!$C$12,OR($AE478="",$AE478&gt;Boshqaruv!$C$12)),MAX($AH$4:$AH477)+1,"")</f>
        <v/>
      </c>
    </row>
    <row r="479" customFormat="false" ht="15" hidden="false" customHeight="false" outlineLevel="0" collapsed="false">
      <c r="A479" s="20" t="n">
        <v>475</v>
      </c>
      <c r="B479" s="12"/>
      <c r="C479" s="13"/>
      <c r="D479" s="24"/>
      <c r="E479" s="12"/>
      <c r="F479" s="25"/>
      <c r="G479" s="27" t="str">
        <f aca="false">IF(OR($B479="",$C479=""),"",$B479&amp;" ("&amp;DAY($C479)&amp;"."&amp;MONTH($C479)&amp;"."&amp;YEAR($C479)&amp;")")</f>
        <v/>
      </c>
      <c r="H479" s="13"/>
      <c r="I479" s="13"/>
      <c r="J479" s="15" t="str">
        <f aca="false">IF($I479="","",$I479+280)</f>
        <v/>
      </c>
      <c r="K479" s="14" t="str">
        <f aca="false">IF(OR($I479="",$AE479&lt;&gt;""),"",INT((Boshqaruv!$C$12-$I479)/7))</f>
        <v/>
      </c>
      <c r="L479" s="14" t="str">
        <f aca="false">IF(OR($C479="",$H479=""),"",INT(($H479-$C479)/365.25))</f>
        <v/>
      </c>
      <c r="M479" s="14" t="str">
        <f aca="false">IF($L479="","",IF($L479&lt;18,"Ha","Yo'q"))</f>
        <v/>
      </c>
      <c r="N479" s="25"/>
      <c r="O479" s="25"/>
      <c r="P479" s="25"/>
      <c r="Q479" s="12"/>
      <c r="R479" s="25"/>
      <c r="S479" s="12"/>
      <c r="T479" s="13"/>
      <c r="U479" s="12"/>
      <c r="V479" s="25"/>
      <c r="W479" s="25"/>
      <c r="X479" s="14" t="str">
        <f aca="false">IF(OR($V479="",$W479=""),"",IF(AND($V479&gt;=Spravochnik!$H$5,$W479&gt;=Spravochnik!$H$6),"Ha","Yo'q"))</f>
        <v/>
      </c>
      <c r="Y479" s="13"/>
      <c r="Z479" s="13"/>
      <c r="AA479" s="13"/>
      <c r="AB479" s="13"/>
      <c r="AC479" s="14" t="str">
        <f aca="false">IF(AND($B479&lt;&gt;"",$AE479="",$AB479&lt;&gt;"",$AB479&lt;Boshqaruv!$C$12),"Ha","")</f>
        <v/>
      </c>
      <c r="AD479" s="25"/>
      <c r="AE479" s="13"/>
      <c r="AF479" s="12"/>
      <c r="AG479" s="14" t="str">
        <f aca="false">IF(OR($B479="",$C479="",$H479=""),"",IF(COUNTIFS($B$5:$B$804,$B479,$C$5:$C$804,$C479,$H$5:$H$804,$H479)&gt;1,"Takror",""))</f>
        <v/>
      </c>
      <c r="AH479" s="28" t="str">
        <f aca="false">IF(AND($B479&lt;&gt;"",$N479="Ha",$H479&lt;&gt;"",$H479&lt;=Boshqaruv!$C$12,OR($AE479="",$AE479&gt;Boshqaruv!$C$12)),MAX($AH$4:$AH478)+1,"")</f>
        <v/>
      </c>
    </row>
    <row r="480" customFormat="false" ht="15" hidden="false" customHeight="false" outlineLevel="0" collapsed="false">
      <c r="A480" s="20" t="n">
        <v>476</v>
      </c>
      <c r="B480" s="12"/>
      <c r="C480" s="13"/>
      <c r="D480" s="24"/>
      <c r="E480" s="12"/>
      <c r="F480" s="25"/>
      <c r="G480" s="27" t="str">
        <f aca="false">IF(OR($B480="",$C480=""),"",$B480&amp;" ("&amp;DAY($C480)&amp;"."&amp;MONTH($C480)&amp;"."&amp;YEAR($C480)&amp;")")</f>
        <v/>
      </c>
      <c r="H480" s="13"/>
      <c r="I480" s="13"/>
      <c r="J480" s="15" t="str">
        <f aca="false">IF($I480="","",$I480+280)</f>
        <v/>
      </c>
      <c r="K480" s="14" t="str">
        <f aca="false">IF(OR($I480="",$AE480&lt;&gt;""),"",INT((Boshqaruv!$C$12-$I480)/7))</f>
        <v/>
      </c>
      <c r="L480" s="14" t="str">
        <f aca="false">IF(OR($C480="",$H480=""),"",INT(($H480-$C480)/365.25))</f>
        <v/>
      </c>
      <c r="M480" s="14" t="str">
        <f aca="false">IF($L480="","",IF($L480&lt;18,"Ha","Yo'q"))</f>
        <v/>
      </c>
      <c r="N480" s="25"/>
      <c r="O480" s="25"/>
      <c r="P480" s="25"/>
      <c r="Q480" s="12"/>
      <c r="R480" s="25"/>
      <c r="S480" s="12"/>
      <c r="T480" s="13"/>
      <c r="U480" s="12"/>
      <c r="V480" s="25"/>
      <c r="W480" s="25"/>
      <c r="X480" s="14" t="str">
        <f aca="false">IF(OR($V480="",$W480=""),"",IF(AND($V480&gt;=Spravochnik!$H$5,$W480&gt;=Spravochnik!$H$6),"Ha","Yo'q"))</f>
        <v/>
      </c>
      <c r="Y480" s="13"/>
      <c r="Z480" s="13"/>
      <c r="AA480" s="13"/>
      <c r="AB480" s="13"/>
      <c r="AC480" s="14" t="str">
        <f aca="false">IF(AND($B480&lt;&gt;"",$AE480="",$AB480&lt;&gt;"",$AB480&lt;Boshqaruv!$C$12),"Ha","")</f>
        <v/>
      </c>
      <c r="AD480" s="25"/>
      <c r="AE480" s="13"/>
      <c r="AF480" s="12"/>
      <c r="AG480" s="14" t="str">
        <f aca="false">IF(OR($B480="",$C480="",$H480=""),"",IF(COUNTIFS($B$5:$B$804,$B480,$C$5:$C$804,$C480,$H$5:$H$804,$H480)&gt;1,"Takror",""))</f>
        <v/>
      </c>
      <c r="AH480" s="28" t="str">
        <f aca="false">IF(AND($B480&lt;&gt;"",$N480="Ha",$H480&lt;&gt;"",$H480&lt;=Boshqaruv!$C$12,OR($AE480="",$AE480&gt;Boshqaruv!$C$12)),MAX($AH$4:$AH479)+1,"")</f>
        <v/>
      </c>
    </row>
    <row r="481" customFormat="false" ht="15" hidden="false" customHeight="false" outlineLevel="0" collapsed="false">
      <c r="A481" s="20" t="n">
        <v>477</v>
      </c>
      <c r="B481" s="12"/>
      <c r="C481" s="13"/>
      <c r="D481" s="24"/>
      <c r="E481" s="12"/>
      <c r="F481" s="25"/>
      <c r="G481" s="27" t="str">
        <f aca="false">IF(OR($B481="",$C481=""),"",$B481&amp;" ("&amp;DAY($C481)&amp;"."&amp;MONTH($C481)&amp;"."&amp;YEAR($C481)&amp;")")</f>
        <v/>
      </c>
      <c r="H481" s="13"/>
      <c r="I481" s="13"/>
      <c r="J481" s="15" t="str">
        <f aca="false">IF($I481="","",$I481+280)</f>
        <v/>
      </c>
      <c r="K481" s="14" t="str">
        <f aca="false">IF(OR($I481="",$AE481&lt;&gt;""),"",INT((Boshqaruv!$C$12-$I481)/7))</f>
        <v/>
      </c>
      <c r="L481" s="14" t="str">
        <f aca="false">IF(OR($C481="",$H481=""),"",INT(($H481-$C481)/365.25))</f>
        <v/>
      </c>
      <c r="M481" s="14" t="str">
        <f aca="false">IF($L481="","",IF($L481&lt;18,"Ha","Yo'q"))</f>
        <v/>
      </c>
      <c r="N481" s="25"/>
      <c r="O481" s="25"/>
      <c r="P481" s="25"/>
      <c r="Q481" s="12"/>
      <c r="R481" s="25"/>
      <c r="S481" s="12"/>
      <c r="T481" s="13"/>
      <c r="U481" s="12"/>
      <c r="V481" s="25"/>
      <c r="W481" s="25"/>
      <c r="X481" s="14" t="str">
        <f aca="false">IF(OR($V481="",$W481=""),"",IF(AND($V481&gt;=Spravochnik!$H$5,$W481&gt;=Spravochnik!$H$6),"Ha","Yo'q"))</f>
        <v/>
      </c>
      <c r="Y481" s="13"/>
      <c r="Z481" s="13"/>
      <c r="AA481" s="13"/>
      <c r="AB481" s="13"/>
      <c r="AC481" s="14" t="str">
        <f aca="false">IF(AND($B481&lt;&gt;"",$AE481="",$AB481&lt;&gt;"",$AB481&lt;Boshqaruv!$C$12),"Ha","")</f>
        <v/>
      </c>
      <c r="AD481" s="25"/>
      <c r="AE481" s="13"/>
      <c r="AF481" s="12"/>
      <c r="AG481" s="14" t="str">
        <f aca="false">IF(OR($B481="",$C481="",$H481=""),"",IF(COUNTIFS($B$5:$B$804,$B481,$C$5:$C$804,$C481,$H$5:$H$804,$H481)&gt;1,"Takror",""))</f>
        <v/>
      </c>
      <c r="AH481" s="28" t="str">
        <f aca="false">IF(AND($B481&lt;&gt;"",$N481="Ha",$H481&lt;&gt;"",$H481&lt;=Boshqaruv!$C$12,OR($AE481="",$AE481&gt;Boshqaruv!$C$12)),MAX($AH$4:$AH480)+1,"")</f>
        <v/>
      </c>
    </row>
    <row r="482" customFormat="false" ht="15" hidden="false" customHeight="false" outlineLevel="0" collapsed="false">
      <c r="A482" s="20" t="n">
        <v>478</v>
      </c>
      <c r="B482" s="12"/>
      <c r="C482" s="13"/>
      <c r="D482" s="24"/>
      <c r="E482" s="12"/>
      <c r="F482" s="25"/>
      <c r="G482" s="27" t="str">
        <f aca="false">IF(OR($B482="",$C482=""),"",$B482&amp;" ("&amp;DAY($C482)&amp;"."&amp;MONTH($C482)&amp;"."&amp;YEAR($C482)&amp;")")</f>
        <v/>
      </c>
      <c r="H482" s="13"/>
      <c r="I482" s="13"/>
      <c r="J482" s="15" t="str">
        <f aca="false">IF($I482="","",$I482+280)</f>
        <v/>
      </c>
      <c r="K482" s="14" t="str">
        <f aca="false">IF(OR($I482="",$AE482&lt;&gt;""),"",INT((Boshqaruv!$C$12-$I482)/7))</f>
        <v/>
      </c>
      <c r="L482" s="14" t="str">
        <f aca="false">IF(OR($C482="",$H482=""),"",INT(($H482-$C482)/365.25))</f>
        <v/>
      </c>
      <c r="M482" s="14" t="str">
        <f aca="false">IF($L482="","",IF($L482&lt;18,"Ha","Yo'q"))</f>
        <v/>
      </c>
      <c r="N482" s="25"/>
      <c r="O482" s="25"/>
      <c r="P482" s="25"/>
      <c r="Q482" s="12"/>
      <c r="R482" s="25"/>
      <c r="S482" s="12"/>
      <c r="T482" s="13"/>
      <c r="U482" s="12"/>
      <c r="V482" s="25"/>
      <c r="W482" s="25"/>
      <c r="X482" s="14" t="str">
        <f aca="false">IF(OR($V482="",$W482=""),"",IF(AND($V482&gt;=Spravochnik!$H$5,$W482&gt;=Spravochnik!$H$6),"Ha","Yo'q"))</f>
        <v/>
      </c>
      <c r="Y482" s="13"/>
      <c r="Z482" s="13"/>
      <c r="AA482" s="13"/>
      <c r="AB482" s="13"/>
      <c r="AC482" s="14" t="str">
        <f aca="false">IF(AND($B482&lt;&gt;"",$AE482="",$AB482&lt;&gt;"",$AB482&lt;Boshqaruv!$C$12),"Ha","")</f>
        <v/>
      </c>
      <c r="AD482" s="25"/>
      <c r="AE482" s="13"/>
      <c r="AF482" s="12"/>
      <c r="AG482" s="14" t="str">
        <f aca="false">IF(OR($B482="",$C482="",$H482=""),"",IF(COUNTIFS($B$5:$B$804,$B482,$C$5:$C$804,$C482,$H$5:$H$804,$H482)&gt;1,"Takror",""))</f>
        <v/>
      </c>
      <c r="AH482" s="28" t="str">
        <f aca="false">IF(AND($B482&lt;&gt;"",$N482="Ha",$H482&lt;&gt;"",$H482&lt;=Boshqaruv!$C$12,OR($AE482="",$AE482&gt;Boshqaruv!$C$12)),MAX($AH$4:$AH481)+1,"")</f>
        <v/>
      </c>
    </row>
    <row r="483" customFormat="false" ht="15" hidden="false" customHeight="false" outlineLevel="0" collapsed="false">
      <c r="A483" s="20" t="n">
        <v>479</v>
      </c>
      <c r="B483" s="12"/>
      <c r="C483" s="13"/>
      <c r="D483" s="24"/>
      <c r="E483" s="12"/>
      <c r="F483" s="25"/>
      <c r="G483" s="27" t="str">
        <f aca="false">IF(OR($B483="",$C483=""),"",$B483&amp;" ("&amp;DAY($C483)&amp;"."&amp;MONTH($C483)&amp;"."&amp;YEAR($C483)&amp;")")</f>
        <v/>
      </c>
      <c r="H483" s="13"/>
      <c r="I483" s="13"/>
      <c r="J483" s="15" t="str">
        <f aca="false">IF($I483="","",$I483+280)</f>
        <v/>
      </c>
      <c r="K483" s="14" t="str">
        <f aca="false">IF(OR($I483="",$AE483&lt;&gt;""),"",INT((Boshqaruv!$C$12-$I483)/7))</f>
        <v/>
      </c>
      <c r="L483" s="14" t="str">
        <f aca="false">IF(OR($C483="",$H483=""),"",INT(($H483-$C483)/365.25))</f>
        <v/>
      </c>
      <c r="M483" s="14" t="str">
        <f aca="false">IF($L483="","",IF($L483&lt;18,"Ha","Yo'q"))</f>
        <v/>
      </c>
      <c r="N483" s="25"/>
      <c r="O483" s="25"/>
      <c r="P483" s="25"/>
      <c r="Q483" s="12"/>
      <c r="R483" s="25"/>
      <c r="S483" s="12"/>
      <c r="T483" s="13"/>
      <c r="U483" s="12"/>
      <c r="V483" s="25"/>
      <c r="W483" s="25"/>
      <c r="X483" s="14" t="str">
        <f aca="false">IF(OR($V483="",$W483=""),"",IF(AND($V483&gt;=Spravochnik!$H$5,$W483&gt;=Spravochnik!$H$6),"Ha","Yo'q"))</f>
        <v/>
      </c>
      <c r="Y483" s="13"/>
      <c r="Z483" s="13"/>
      <c r="AA483" s="13"/>
      <c r="AB483" s="13"/>
      <c r="AC483" s="14" t="str">
        <f aca="false">IF(AND($B483&lt;&gt;"",$AE483="",$AB483&lt;&gt;"",$AB483&lt;Boshqaruv!$C$12),"Ha","")</f>
        <v/>
      </c>
      <c r="AD483" s="25"/>
      <c r="AE483" s="13"/>
      <c r="AF483" s="12"/>
      <c r="AG483" s="14" t="str">
        <f aca="false">IF(OR($B483="",$C483="",$H483=""),"",IF(COUNTIFS($B$5:$B$804,$B483,$C$5:$C$804,$C483,$H$5:$H$804,$H483)&gt;1,"Takror",""))</f>
        <v/>
      </c>
      <c r="AH483" s="28" t="str">
        <f aca="false">IF(AND($B483&lt;&gt;"",$N483="Ha",$H483&lt;&gt;"",$H483&lt;=Boshqaruv!$C$12,OR($AE483="",$AE483&gt;Boshqaruv!$C$12)),MAX($AH$4:$AH482)+1,"")</f>
        <v/>
      </c>
    </row>
    <row r="484" customFormat="false" ht="15" hidden="false" customHeight="false" outlineLevel="0" collapsed="false">
      <c r="A484" s="20" t="n">
        <v>480</v>
      </c>
      <c r="B484" s="12"/>
      <c r="C484" s="13"/>
      <c r="D484" s="24"/>
      <c r="E484" s="12"/>
      <c r="F484" s="25"/>
      <c r="G484" s="27" t="str">
        <f aca="false">IF(OR($B484="",$C484=""),"",$B484&amp;" ("&amp;DAY($C484)&amp;"."&amp;MONTH($C484)&amp;"."&amp;YEAR($C484)&amp;")")</f>
        <v/>
      </c>
      <c r="H484" s="13"/>
      <c r="I484" s="13"/>
      <c r="J484" s="15" t="str">
        <f aca="false">IF($I484="","",$I484+280)</f>
        <v/>
      </c>
      <c r="K484" s="14" t="str">
        <f aca="false">IF(OR($I484="",$AE484&lt;&gt;""),"",INT((Boshqaruv!$C$12-$I484)/7))</f>
        <v/>
      </c>
      <c r="L484" s="14" t="str">
        <f aca="false">IF(OR($C484="",$H484=""),"",INT(($H484-$C484)/365.25))</f>
        <v/>
      </c>
      <c r="M484" s="14" t="str">
        <f aca="false">IF($L484="","",IF($L484&lt;18,"Ha","Yo'q"))</f>
        <v/>
      </c>
      <c r="N484" s="25"/>
      <c r="O484" s="25"/>
      <c r="P484" s="25"/>
      <c r="Q484" s="12"/>
      <c r="R484" s="25"/>
      <c r="S484" s="12"/>
      <c r="T484" s="13"/>
      <c r="U484" s="12"/>
      <c r="V484" s="25"/>
      <c r="W484" s="25"/>
      <c r="X484" s="14" t="str">
        <f aca="false">IF(OR($V484="",$W484=""),"",IF(AND($V484&gt;=Spravochnik!$H$5,$W484&gt;=Spravochnik!$H$6),"Ha","Yo'q"))</f>
        <v/>
      </c>
      <c r="Y484" s="13"/>
      <c r="Z484" s="13"/>
      <c r="AA484" s="13"/>
      <c r="AB484" s="13"/>
      <c r="AC484" s="14" t="str">
        <f aca="false">IF(AND($B484&lt;&gt;"",$AE484="",$AB484&lt;&gt;"",$AB484&lt;Boshqaruv!$C$12),"Ha","")</f>
        <v/>
      </c>
      <c r="AD484" s="25"/>
      <c r="AE484" s="13"/>
      <c r="AF484" s="12"/>
      <c r="AG484" s="14" t="str">
        <f aca="false">IF(OR($B484="",$C484="",$H484=""),"",IF(COUNTIFS($B$5:$B$804,$B484,$C$5:$C$804,$C484,$H$5:$H$804,$H484)&gt;1,"Takror",""))</f>
        <v/>
      </c>
      <c r="AH484" s="28" t="str">
        <f aca="false">IF(AND($B484&lt;&gt;"",$N484="Ha",$H484&lt;&gt;"",$H484&lt;=Boshqaruv!$C$12,OR($AE484="",$AE484&gt;Boshqaruv!$C$12)),MAX($AH$4:$AH483)+1,"")</f>
        <v/>
      </c>
    </row>
    <row r="485" customFormat="false" ht="15" hidden="false" customHeight="false" outlineLevel="0" collapsed="false">
      <c r="A485" s="20" t="n">
        <v>481</v>
      </c>
      <c r="B485" s="12"/>
      <c r="C485" s="13"/>
      <c r="D485" s="24"/>
      <c r="E485" s="12"/>
      <c r="F485" s="25"/>
      <c r="G485" s="27" t="str">
        <f aca="false">IF(OR($B485="",$C485=""),"",$B485&amp;" ("&amp;DAY($C485)&amp;"."&amp;MONTH($C485)&amp;"."&amp;YEAR($C485)&amp;")")</f>
        <v/>
      </c>
      <c r="H485" s="13"/>
      <c r="I485" s="13"/>
      <c r="J485" s="15" t="str">
        <f aca="false">IF($I485="","",$I485+280)</f>
        <v/>
      </c>
      <c r="K485" s="14" t="str">
        <f aca="false">IF(OR($I485="",$AE485&lt;&gt;""),"",INT((Boshqaruv!$C$12-$I485)/7))</f>
        <v/>
      </c>
      <c r="L485" s="14" t="str">
        <f aca="false">IF(OR($C485="",$H485=""),"",INT(($H485-$C485)/365.25))</f>
        <v/>
      </c>
      <c r="M485" s="14" t="str">
        <f aca="false">IF($L485="","",IF($L485&lt;18,"Ha","Yo'q"))</f>
        <v/>
      </c>
      <c r="N485" s="25"/>
      <c r="O485" s="25"/>
      <c r="P485" s="25"/>
      <c r="Q485" s="12"/>
      <c r="R485" s="25"/>
      <c r="S485" s="12"/>
      <c r="T485" s="13"/>
      <c r="U485" s="12"/>
      <c r="V485" s="25"/>
      <c r="W485" s="25"/>
      <c r="X485" s="14" t="str">
        <f aca="false">IF(OR($V485="",$W485=""),"",IF(AND($V485&gt;=Spravochnik!$H$5,$W485&gt;=Spravochnik!$H$6),"Ha","Yo'q"))</f>
        <v/>
      </c>
      <c r="Y485" s="13"/>
      <c r="Z485" s="13"/>
      <c r="AA485" s="13"/>
      <c r="AB485" s="13"/>
      <c r="AC485" s="14" t="str">
        <f aca="false">IF(AND($B485&lt;&gt;"",$AE485="",$AB485&lt;&gt;"",$AB485&lt;Boshqaruv!$C$12),"Ha","")</f>
        <v/>
      </c>
      <c r="AD485" s="25"/>
      <c r="AE485" s="13"/>
      <c r="AF485" s="12"/>
      <c r="AG485" s="14" t="str">
        <f aca="false">IF(OR($B485="",$C485="",$H485=""),"",IF(COUNTIFS($B$5:$B$804,$B485,$C$5:$C$804,$C485,$H$5:$H$804,$H485)&gt;1,"Takror",""))</f>
        <v/>
      </c>
      <c r="AH485" s="28" t="str">
        <f aca="false">IF(AND($B485&lt;&gt;"",$N485="Ha",$H485&lt;&gt;"",$H485&lt;=Boshqaruv!$C$12,OR($AE485="",$AE485&gt;Boshqaruv!$C$12)),MAX($AH$4:$AH484)+1,"")</f>
        <v/>
      </c>
    </row>
    <row r="486" customFormat="false" ht="15" hidden="false" customHeight="false" outlineLevel="0" collapsed="false">
      <c r="A486" s="20" t="n">
        <v>482</v>
      </c>
      <c r="B486" s="12"/>
      <c r="C486" s="13"/>
      <c r="D486" s="24"/>
      <c r="E486" s="12"/>
      <c r="F486" s="25"/>
      <c r="G486" s="27" t="str">
        <f aca="false">IF(OR($B486="",$C486=""),"",$B486&amp;" ("&amp;DAY($C486)&amp;"."&amp;MONTH($C486)&amp;"."&amp;YEAR($C486)&amp;")")</f>
        <v/>
      </c>
      <c r="H486" s="13"/>
      <c r="I486" s="13"/>
      <c r="J486" s="15" t="str">
        <f aca="false">IF($I486="","",$I486+280)</f>
        <v/>
      </c>
      <c r="K486" s="14" t="str">
        <f aca="false">IF(OR($I486="",$AE486&lt;&gt;""),"",INT((Boshqaruv!$C$12-$I486)/7))</f>
        <v/>
      </c>
      <c r="L486" s="14" t="str">
        <f aca="false">IF(OR($C486="",$H486=""),"",INT(($H486-$C486)/365.25))</f>
        <v/>
      </c>
      <c r="M486" s="14" t="str">
        <f aca="false">IF($L486="","",IF($L486&lt;18,"Ha","Yo'q"))</f>
        <v/>
      </c>
      <c r="N486" s="25"/>
      <c r="O486" s="25"/>
      <c r="P486" s="25"/>
      <c r="Q486" s="12"/>
      <c r="R486" s="25"/>
      <c r="S486" s="12"/>
      <c r="T486" s="13"/>
      <c r="U486" s="12"/>
      <c r="V486" s="25"/>
      <c r="W486" s="25"/>
      <c r="X486" s="14" t="str">
        <f aca="false">IF(OR($V486="",$W486=""),"",IF(AND($V486&gt;=Spravochnik!$H$5,$W486&gt;=Spravochnik!$H$6),"Ha","Yo'q"))</f>
        <v/>
      </c>
      <c r="Y486" s="13"/>
      <c r="Z486" s="13"/>
      <c r="AA486" s="13"/>
      <c r="AB486" s="13"/>
      <c r="AC486" s="14" t="str">
        <f aca="false">IF(AND($B486&lt;&gt;"",$AE486="",$AB486&lt;&gt;"",$AB486&lt;Boshqaruv!$C$12),"Ha","")</f>
        <v/>
      </c>
      <c r="AD486" s="25"/>
      <c r="AE486" s="13"/>
      <c r="AF486" s="12"/>
      <c r="AG486" s="14" t="str">
        <f aca="false">IF(OR($B486="",$C486="",$H486=""),"",IF(COUNTIFS($B$5:$B$804,$B486,$C$5:$C$804,$C486,$H$5:$H$804,$H486)&gt;1,"Takror",""))</f>
        <v/>
      </c>
      <c r="AH486" s="28" t="str">
        <f aca="false">IF(AND($B486&lt;&gt;"",$N486="Ha",$H486&lt;&gt;"",$H486&lt;=Boshqaruv!$C$12,OR($AE486="",$AE486&gt;Boshqaruv!$C$12)),MAX($AH$4:$AH485)+1,"")</f>
        <v/>
      </c>
    </row>
    <row r="487" customFormat="false" ht="15" hidden="false" customHeight="false" outlineLevel="0" collapsed="false">
      <c r="A487" s="20" t="n">
        <v>483</v>
      </c>
      <c r="B487" s="12"/>
      <c r="C487" s="13"/>
      <c r="D487" s="24"/>
      <c r="E487" s="12"/>
      <c r="F487" s="25"/>
      <c r="G487" s="27" t="str">
        <f aca="false">IF(OR($B487="",$C487=""),"",$B487&amp;" ("&amp;DAY($C487)&amp;"."&amp;MONTH($C487)&amp;"."&amp;YEAR($C487)&amp;")")</f>
        <v/>
      </c>
      <c r="H487" s="13"/>
      <c r="I487" s="13"/>
      <c r="J487" s="15" t="str">
        <f aca="false">IF($I487="","",$I487+280)</f>
        <v/>
      </c>
      <c r="K487" s="14" t="str">
        <f aca="false">IF(OR($I487="",$AE487&lt;&gt;""),"",INT((Boshqaruv!$C$12-$I487)/7))</f>
        <v/>
      </c>
      <c r="L487" s="14" t="str">
        <f aca="false">IF(OR($C487="",$H487=""),"",INT(($H487-$C487)/365.25))</f>
        <v/>
      </c>
      <c r="M487" s="14" t="str">
        <f aca="false">IF($L487="","",IF($L487&lt;18,"Ha","Yo'q"))</f>
        <v/>
      </c>
      <c r="N487" s="25"/>
      <c r="O487" s="25"/>
      <c r="P487" s="25"/>
      <c r="Q487" s="12"/>
      <c r="R487" s="25"/>
      <c r="S487" s="12"/>
      <c r="T487" s="13"/>
      <c r="U487" s="12"/>
      <c r="V487" s="25"/>
      <c r="W487" s="25"/>
      <c r="X487" s="14" t="str">
        <f aca="false">IF(OR($V487="",$W487=""),"",IF(AND($V487&gt;=Spravochnik!$H$5,$W487&gt;=Spravochnik!$H$6),"Ha","Yo'q"))</f>
        <v/>
      </c>
      <c r="Y487" s="13"/>
      <c r="Z487" s="13"/>
      <c r="AA487" s="13"/>
      <c r="AB487" s="13"/>
      <c r="AC487" s="14" t="str">
        <f aca="false">IF(AND($B487&lt;&gt;"",$AE487="",$AB487&lt;&gt;"",$AB487&lt;Boshqaruv!$C$12),"Ha","")</f>
        <v/>
      </c>
      <c r="AD487" s="25"/>
      <c r="AE487" s="13"/>
      <c r="AF487" s="12"/>
      <c r="AG487" s="14" t="str">
        <f aca="false">IF(OR($B487="",$C487="",$H487=""),"",IF(COUNTIFS($B$5:$B$804,$B487,$C$5:$C$804,$C487,$H$5:$H$804,$H487)&gt;1,"Takror",""))</f>
        <v/>
      </c>
      <c r="AH487" s="28" t="str">
        <f aca="false">IF(AND($B487&lt;&gt;"",$N487="Ha",$H487&lt;&gt;"",$H487&lt;=Boshqaruv!$C$12,OR($AE487="",$AE487&gt;Boshqaruv!$C$12)),MAX($AH$4:$AH486)+1,"")</f>
        <v/>
      </c>
    </row>
    <row r="488" customFormat="false" ht="15" hidden="false" customHeight="false" outlineLevel="0" collapsed="false">
      <c r="A488" s="20" t="n">
        <v>484</v>
      </c>
      <c r="B488" s="12"/>
      <c r="C488" s="13"/>
      <c r="D488" s="24"/>
      <c r="E488" s="12"/>
      <c r="F488" s="25"/>
      <c r="G488" s="27" t="str">
        <f aca="false">IF(OR($B488="",$C488=""),"",$B488&amp;" ("&amp;DAY($C488)&amp;"."&amp;MONTH($C488)&amp;"."&amp;YEAR($C488)&amp;")")</f>
        <v/>
      </c>
      <c r="H488" s="13"/>
      <c r="I488" s="13"/>
      <c r="J488" s="15" t="str">
        <f aca="false">IF($I488="","",$I488+280)</f>
        <v/>
      </c>
      <c r="K488" s="14" t="str">
        <f aca="false">IF(OR($I488="",$AE488&lt;&gt;""),"",INT((Boshqaruv!$C$12-$I488)/7))</f>
        <v/>
      </c>
      <c r="L488" s="14" t="str">
        <f aca="false">IF(OR($C488="",$H488=""),"",INT(($H488-$C488)/365.25))</f>
        <v/>
      </c>
      <c r="M488" s="14" t="str">
        <f aca="false">IF($L488="","",IF($L488&lt;18,"Ha","Yo'q"))</f>
        <v/>
      </c>
      <c r="N488" s="25"/>
      <c r="O488" s="25"/>
      <c r="P488" s="25"/>
      <c r="Q488" s="12"/>
      <c r="R488" s="25"/>
      <c r="S488" s="12"/>
      <c r="T488" s="13"/>
      <c r="U488" s="12"/>
      <c r="V488" s="25"/>
      <c r="W488" s="25"/>
      <c r="X488" s="14" t="str">
        <f aca="false">IF(OR($V488="",$W488=""),"",IF(AND($V488&gt;=Spravochnik!$H$5,$W488&gt;=Spravochnik!$H$6),"Ha","Yo'q"))</f>
        <v/>
      </c>
      <c r="Y488" s="13"/>
      <c r="Z488" s="13"/>
      <c r="AA488" s="13"/>
      <c r="AB488" s="13"/>
      <c r="AC488" s="14" t="str">
        <f aca="false">IF(AND($B488&lt;&gt;"",$AE488="",$AB488&lt;&gt;"",$AB488&lt;Boshqaruv!$C$12),"Ha","")</f>
        <v/>
      </c>
      <c r="AD488" s="25"/>
      <c r="AE488" s="13"/>
      <c r="AF488" s="12"/>
      <c r="AG488" s="14" t="str">
        <f aca="false">IF(OR($B488="",$C488="",$H488=""),"",IF(COUNTIFS($B$5:$B$804,$B488,$C$5:$C$804,$C488,$H$5:$H$804,$H488)&gt;1,"Takror",""))</f>
        <v/>
      </c>
      <c r="AH488" s="28" t="str">
        <f aca="false">IF(AND($B488&lt;&gt;"",$N488="Ha",$H488&lt;&gt;"",$H488&lt;=Boshqaruv!$C$12,OR($AE488="",$AE488&gt;Boshqaruv!$C$12)),MAX($AH$4:$AH487)+1,"")</f>
        <v/>
      </c>
    </row>
    <row r="489" customFormat="false" ht="15" hidden="false" customHeight="false" outlineLevel="0" collapsed="false">
      <c r="A489" s="20" t="n">
        <v>485</v>
      </c>
      <c r="B489" s="12"/>
      <c r="C489" s="13"/>
      <c r="D489" s="24"/>
      <c r="E489" s="12"/>
      <c r="F489" s="25"/>
      <c r="G489" s="27" t="str">
        <f aca="false">IF(OR($B489="",$C489=""),"",$B489&amp;" ("&amp;DAY($C489)&amp;"."&amp;MONTH($C489)&amp;"."&amp;YEAR($C489)&amp;")")</f>
        <v/>
      </c>
      <c r="H489" s="13"/>
      <c r="I489" s="13"/>
      <c r="J489" s="15" t="str">
        <f aca="false">IF($I489="","",$I489+280)</f>
        <v/>
      </c>
      <c r="K489" s="14" t="str">
        <f aca="false">IF(OR($I489="",$AE489&lt;&gt;""),"",INT((Boshqaruv!$C$12-$I489)/7))</f>
        <v/>
      </c>
      <c r="L489" s="14" t="str">
        <f aca="false">IF(OR($C489="",$H489=""),"",INT(($H489-$C489)/365.25))</f>
        <v/>
      </c>
      <c r="M489" s="14" t="str">
        <f aca="false">IF($L489="","",IF($L489&lt;18,"Ha","Yo'q"))</f>
        <v/>
      </c>
      <c r="N489" s="25"/>
      <c r="O489" s="25"/>
      <c r="P489" s="25"/>
      <c r="Q489" s="12"/>
      <c r="R489" s="25"/>
      <c r="S489" s="12"/>
      <c r="T489" s="13"/>
      <c r="U489" s="12"/>
      <c r="V489" s="25"/>
      <c r="W489" s="25"/>
      <c r="X489" s="14" t="str">
        <f aca="false">IF(OR($V489="",$W489=""),"",IF(AND($V489&gt;=Spravochnik!$H$5,$W489&gt;=Spravochnik!$H$6),"Ha","Yo'q"))</f>
        <v/>
      </c>
      <c r="Y489" s="13"/>
      <c r="Z489" s="13"/>
      <c r="AA489" s="13"/>
      <c r="AB489" s="13"/>
      <c r="AC489" s="14" t="str">
        <f aca="false">IF(AND($B489&lt;&gt;"",$AE489="",$AB489&lt;&gt;"",$AB489&lt;Boshqaruv!$C$12),"Ha","")</f>
        <v/>
      </c>
      <c r="AD489" s="25"/>
      <c r="AE489" s="13"/>
      <c r="AF489" s="12"/>
      <c r="AG489" s="14" t="str">
        <f aca="false">IF(OR($B489="",$C489="",$H489=""),"",IF(COUNTIFS($B$5:$B$804,$B489,$C$5:$C$804,$C489,$H$5:$H$804,$H489)&gt;1,"Takror",""))</f>
        <v/>
      </c>
      <c r="AH489" s="28" t="str">
        <f aca="false">IF(AND($B489&lt;&gt;"",$N489="Ha",$H489&lt;&gt;"",$H489&lt;=Boshqaruv!$C$12,OR($AE489="",$AE489&gt;Boshqaruv!$C$12)),MAX($AH$4:$AH488)+1,"")</f>
        <v/>
      </c>
    </row>
    <row r="490" customFormat="false" ht="15" hidden="false" customHeight="false" outlineLevel="0" collapsed="false">
      <c r="A490" s="20" t="n">
        <v>486</v>
      </c>
      <c r="B490" s="12"/>
      <c r="C490" s="13"/>
      <c r="D490" s="24"/>
      <c r="E490" s="12"/>
      <c r="F490" s="25"/>
      <c r="G490" s="27" t="str">
        <f aca="false">IF(OR($B490="",$C490=""),"",$B490&amp;" ("&amp;DAY($C490)&amp;"."&amp;MONTH($C490)&amp;"."&amp;YEAR($C490)&amp;")")</f>
        <v/>
      </c>
      <c r="H490" s="13"/>
      <c r="I490" s="13"/>
      <c r="J490" s="15" t="str">
        <f aca="false">IF($I490="","",$I490+280)</f>
        <v/>
      </c>
      <c r="K490" s="14" t="str">
        <f aca="false">IF(OR($I490="",$AE490&lt;&gt;""),"",INT((Boshqaruv!$C$12-$I490)/7))</f>
        <v/>
      </c>
      <c r="L490" s="14" t="str">
        <f aca="false">IF(OR($C490="",$H490=""),"",INT(($H490-$C490)/365.25))</f>
        <v/>
      </c>
      <c r="M490" s="14" t="str">
        <f aca="false">IF($L490="","",IF($L490&lt;18,"Ha","Yo'q"))</f>
        <v/>
      </c>
      <c r="N490" s="25"/>
      <c r="O490" s="25"/>
      <c r="P490" s="25"/>
      <c r="Q490" s="12"/>
      <c r="R490" s="25"/>
      <c r="S490" s="12"/>
      <c r="T490" s="13"/>
      <c r="U490" s="12"/>
      <c r="V490" s="25"/>
      <c r="W490" s="25"/>
      <c r="X490" s="14" t="str">
        <f aca="false">IF(OR($V490="",$W490=""),"",IF(AND($V490&gt;=Spravochnik!$H$5,$W490&gt;=Spravochnik!$H$6),"Ha","Yo'q"))</f>
        <v/>
      </c>
      <c r="Y490" s="13"/>
      <c r="Z490" s="13"/>
      <c r="AA490" s="13"/>
      <c r="AB490" s="13"/>
      <c r="AC490" s="14" t="str">
        <f aca="false">IF(AND($B490&lt;&gt;"",$AE490="",$AB490&lt;&gt;"",$AB490&lt;Boshqaruv!$C$12),"Ha","")</f>
        <v/>
      </c>
      <c r="AD490" s="25"/>
      <c r="AE490" s="13"/>
      <c r="AF490" s="12"/>
      <c r="AG490" s="14" t="str">
        <f aca="false">IF(OR($B490="",$C490="",$H490=""),"",IF(COUNTIFS($B$5:$B$804,$B490,$C$5:$C$804,$C490,$H$5:$H$804,$H490)&gt;1,"Takror",""))</f>
        <v/>
      </c>
      <c r="AH490" s="28" t="str">
        <f aca="false">IF(AND($B490&lt;&gt;"",$N490="Ha",$H490&lt;&gt;"",$H490&lt;=Boshqaruv!$C$12,OR($AE490="",$AE490&gt;Boshqaruv!$C$12)),MAX($AH$4:$AH489)+1,"")</f>
        <v/>
      </c>
    </row>
    <row r="491" customFormat="false" ht="15" hidden="false" customHeight="false" outlineLevel="0" collapsed="false">
      <c r="A491" s="20" t="n">
        <v>487</v>
      </c>
      <c r="B491" s="12"/>
      <c r="C491" s="13"/>
      <c r="D491" s="24"/>
      <c r="E491" s="12"/>
      <c r="F491" s="25"/>
      <c r="G491" s="27" t="str">
        <f aca="false">IF(OR($B491="",$C491=""),"",$B491&amp;" ("&amp;DAY($C491)&amp;"."&amp;MONTH($C491)&amp;"."&amp;YEAR($C491)&amp;")")</f>
        <v/>
      </c>
      <c r="H491" s="13"/>
      <c r="I491" s="13"/>
      <c r="J491" s="15" t="str">
        <f aca="false">IF($I491="","",$I491+280)</f>
        <v/>
      </c>
      <c r="K491" s="14" t="str">
        <f aca="false">IF(OR($I491="",$AE491&lt;&gt;""),"",INT((Boshqaruv!$C$12-$I491)/7))</f>
        <v/>
      </c>
      <c r="L491" s="14" t="str">
        <f aca="false">IF(OR($C491="",$H491=""),"",INT(($H491-$C491)/365.25))</f>
        <v/>
      </c>
      <c r="M491" s="14" t="str">
        <f aca="false">IF($L491="","",IF($L491&lt;18,"Ha","Yo'q"))</f>
        <v/>
      </c>
      <c r="N491" s="25"/>
      <c r="O491" s="25"/>
      <c r="P491" s="25"/>
      <c r="Q491" s="12"/>
      <c r="R491" s="25"/>
      <c r="S491" s="12"/>
      <c r="T491" s="13"/>
      <c r="U491" s="12"/>
      <c r="V491" s="25"/>
      <c r="W491" s="25"/>
      <c r="X491" s="14" t="str">
        <f aca="false">IF(OR($V491="",$W491=""),"",IF(AND($V491&gt;=Spravochnik!$H$5,$W491&gt;=Spravochnik!$H$6),"Ha","Yo'q"))</f>
        <v/>
      </c>
      <c r="Y491" s="13"/>
      <c r="Z491" s="13"/>
      <c r="AA491" s="13"/>
      <c r="AB491" s="13"/>
      <c r="AC491" s="14" t="str">
        <f aca="false">IF(AND($B491&lt;&gt;"",$AE491="",$AB491&lt;&gt;"",$AB491&lt;Boshqaruv!$C$12),"Ha","")</f>
        <v/>
      </c>
      <c r="AD491" s="25"/>
      <c r="AE491" s="13"/>
      <c r="AF491" s="12"/>
      <c r="AG491" s="14" t="str">
        <f aca="false">IF(OR($B491="",$C491="",$H491=""),"",IF(COUNTIFS($B$5:$B$804,$B491,$C$5:$C$804,$C491,$H$5:$H$804,$H491)&gt;1,"Takror",""))</f>
        <v/>
      </c>
      <c r="AH491" s="28" t="str">
        <f aca="false">IF(AND($B491&lt;&gt;"",$N491="Ha",$H491&lt;&gt;"",$H491&lt;=Boshqaruv!$C$12,OR($AE491="",$AE491&gt;Boshqaruv!$C$12)),MAX($AH$4:$AH490)+1,"")</f>
        <v/>
      </c>
    </row>
    <row r="492" customFormat="false" ht="15" hidden="false" customHeight="false" outlineLevel="0" collapsed="false">
      <c r="A492" s="20" t="n">
        <v>488</v>
      </c>
      <c r="B492" s="12"/>
      <c r="C492" s="13"/>
      <c r="D492" s="24"/>
      <c r="E492" s="12"/>
      <c r="F492" s="25"/>
      <c r="G492" s="27" t="str">
        <f aca="false">IF(OR($B492="",$C492=""),"",$B492&amp;" ("&amp;DAY($C492)&amp;"."&amp;MONTH($C492)&amp;"."&amp;YEAR($C492)&amp;")")</f>
        <v/>
      </c>
      <c r="H492" s="13"/>
      <c r="I492" s="13"/>
      <c r="J492" s="15" t="str">
        <f aca="false">IF($I492="","",$I492+280)</f>
        <v/>
      </c>
      <c r="K492" s="14" t="str">
        <f aca="false">IF(OR($I492="",$AE492&lt;&gt;""),"",INT((Boshqaruv!$C$12-$I492)/7))</f>
        <v/>
      </c>
      <c r="L492" s="14" t="str">
        <f aca="false">IF(OR($C492="",$H492=""),"",INT(($H492-$C492)/365.25))</f>
        <v/>
      </c>
      <c r="M492" s="14" t="str">
        <f aca="false">IF($L492="","",IF($L492&lt;18,"Ha","Yo'q"))</f>
        <v/>
      </c>
      <c r="N492" s="25"/>
      <c r="O492" s="25"/>
      <c r="P492" s="25"/>
      <c r="Q492" s="12"/>
      <c r="R492" s="25"/>
      <c r="S492" s="12"/>
      <c r="T492" s="13"/>
      <c r="U492" s="12"/>
      <c r="V492" s="25"/>
      <c r="W492" s="25"/>
      <c r="X492" s="14" t="str">
        <f aca="false">IF(OR($V492="",$W492=""),"",IF(AND($V492&gt;=Spravochnik!$H$5,$W492&gt;=Spravochnik!$H$6),"Ha","Yo'q"))</f>
        <v/>
      </c>
      <c r="Y492" s="13"/>
      <c r="Z492" s="13"/>
      <c r="AA492" s="13"/>
      <c r="AB492" s="13"/>
      <c r="AC492" s="14" t="str">
        <f aca="false">IF(AND($B492&lt;&gt;"",$AE492="",$AB492&lt;&gt;"",$AB492&lt;Boshqaruv!$C$12),"Ha","")</f>
        <v/>
      </c>
      <c r="AD492" s="25"/>
      <c r="AE492" s="13"/>
      <c r="AF492" s="12"/>
      <c r="AG492" s="14" t="str">
        <f aca="false">IF(OR($B492="",$C492="",$H492=""),"",IF(COUNTIFS($B$5:$B$804,$B492,$C$5:$C$804,$C492,$H$5:$H$804,$H492)&gt;1,"Takror",""))</f>
        <v/>
      </c>
      <c r="AH492" s="28" t="str">
        <f aca="false">IF(AND($B492&lt;&gt;"",$N492="Ha",$H492&lt;&gt;"",$H492&lt;=Boshqaruv!$C$12,OR($AE492="",$AE492&gt;Boshqaruv!$C$12)),MAX($AH$4:$AH491)+1,"")</f>
        <v/>
      </c>
    </row>
    <row r="493" customFormat="false" ht="15" hidden="false" customHeight="false" outlineLevel="0" collapsed="false">
      <c r="A493" s="20" t="n">
        <v>489</v>
      </c>
      <c r="B493" s="12"/>
      <c r="C493" s="13"/>
      <c r="D493" s="24"/>
      <c r="E493" s="12"/>
      <c r="F493" s="25"/>
      <c r="G493" s="27" t="str">
        <f aca="false">IF(OR($B493="",$C493=""),"",$B493&amp;" ("&amp;DAY($C493)&amp;"."&amp;MONTH($C493)&amp;"."&amp;YEAR($C493)&amp;")")</f>
        <v/>
      </c>
      <c r="H493" s="13"/>
      <c r="I493" s="13"/>
      <c r="J493" s="15" t="str">
        <f aca="false">IF($I493="","",$I493+280)</f>
        <v/>
      </c>
      <c r="K493" s="14" t="str">
        <f aca="false">IF(OR($I493="",$AE493&lt;&gt;""),"",INT((Boshqaruv!$C$12-$I493)/7))</f>
        <v/>
      </c>
      <c r="L493" s="14" t="str">
        <f aca="false">IF(OR($C493="",$H493=""),"",INT(($H493-$C493)/365.25))</f>
        <v/>
      </c>
      <c r="M493" s="14" t="str">
        <f aca="false">IF($L493="","",IF($L493&lt;18,"Ha","Yo'q"))</f>
        <v/>
      </c>
      <c r="N493" s="25"/>
      <c r="O493" s="25"/>
      <c r="P493" s="25"/>
      <c r="Q493" s="12"/>
      <c r="R493" s="25"/>
      <c r="S493" s="12"/>
      <c r="T493" s="13"/>
      <c r="U493" s="12"/>
      <c r="V493" s="25"/>
      <c r="W493" s="25"/>
      <c r="X493" s="14" t="str">
        <f aca="false">IF(OR($V493="",$W493=""),"",IF(AND($V493&gt;=Spravochnik!$H$5,$W493&gt;=Spravochnik!$H$6),"Ha","Yo'q"))</f>
        <v/>
      </c>
      <c r="Y493" s="13"/>
      <c r="Z493" s="13"/>
      <c r="AA493" s="13"/>
      <c r="AB493" s="13"/>
      <c r="AC493" s="14" t="str">
        <f aca="false">IF(AND($B493&lt;&gt;"",$AE493="",$AB493&lt;&gt;"",$AB493&lt;Boshqaruv!$C$12),"Ha","")</f>
        <v/>
      </c>
      <c r="AD493" s="25"/>
      <c r="AE493" s="13"/>
      <c r="AF493" s="12"/>
      <c r="AG493" s="14" t="str">
        <f aca="false">IF(OR($B493="",$C493="",$H493=""),"",IF(COUNTIFS($B$5:$B$804,$B493,$C$5:$C$804,$C493,$H$5:$H$804,$H493)&gt;1,"Takror",""))</f>
        <v/>
      </c>
      <c r="AH493" s="28" t="str">
        <f aca="false">IF(AND($B493&lt;&gt;"",$N493="Ha",$H493&lt;&gt;"",$H493&lt;=Boshqaruv!$C$12,OR($AE493="",$AE493&gt;Boshqaruv!$C$12)),MAX($AH$4:$AH492)+1,"")</f>
        <v/>
      </c>
    </row>
    <row r="494" customFormat="false" ht="15" hidden="false" customHeight="false" outlineLevel="0" collapsed="false">
      <c r="A494" s="20" t="n">
        <v>490</v>
      </c>
      <c r="B494" s="12"/>
      <c r="C494" s="13"/>
      <c r="D494" s="24"/>
      <c r="E494" s="12"/>
      <c r="F494" s="25"/>
      <c r="G494" s="27" t="str">
        <f aca="false">IF(OR($B494="",$C494=""),"",$B494&amp;" ("&amp;DAY($C494)&amp;"."&amp;MONTH($C494)&amp;"."&amp;YEAR($C494)&amp;")")</f>
        <v/>
      </c>
      <c r="H494" s="13"/>
      <c r="I494" s="13"/>
      <c r="J494" s="15" t="str">
        <f aca="false">IF($I494="","",$I494+280)</f>
        <v/>
      </c>
      <c r="K494" s="14" t="str">
        <f aca="false">IF(OR($I494="",$AE494&lt;&gt;""),"",INT((Boshqaruv!$C$12-$I494)/7))</f>
        <v/>
      </c>
      <c r="L494" s="14" t="str">
        <f aca="false">IF(OR($C494="",$H494=""),"",INT(($H494-$C494)/365.25))</f>
        <v/>
      </c>
      <c r="M494" s="14" t="str">
        <f aca="false">IF($L494="","",IF($L494&lt;18,"Ha","Yo'q"))</f>
        <v/>
      </c>
      <c r="N494" s="25"/>
      <c r="O494" s="25"/>
      <c r="P494" s="25"/>
      <c r="Q494" s="12"/>
      <c r="R494" s="25"/>
      <c r="S494" s="12"/>
      <c r="T494" s="13"/>
      <c r="U494" s="12"/>
      <c r="V494" s="25"/>
      <c r="W494" s="25"/>
      <c r="X494" s="14" t="str">
        <f aca="false">IF(OR($V494="",$W494=""),"",IF(AND($V494&gt;=Spravochnik!$H$5,$W494&gt;=Spravochnik!$H$6),"Ha","Yo'q"))</f>
        <v/>
      </c>
      <c r="Y494" s="13"/>
      <c r="Z494" s="13"/>
      <c r="AA494" s="13"/>
      <c r="AB494" s="13"/>
      <c r="AC494" s="14" t="str">
        <f aca="false">IF(AND($B494&lt;&gt;"",$AE494="",$AB494&lt;&gt;"",$AB494&lt;Boshqaruv!$C$12),"Ha","")</f>
        <v/>
      </c>
      <c r="AD494" s="25"/>
      <c r="AE494" s="13"/>
      <c r="AF494" s="12"/>
      <c r="AG494" s="14" t="str">
        <f aca="false">IF(OR($B494="",$C494="",$H494=""),"",IF(COUNTIFS($B$5:$B$804,$B494,$C$5:$C$804,$C494,$H$5:$H$804,$H494)&gt;1,"Takror",""))</f>
        <v/>
      </c>
      <c r="AH494" s="28" t="str">
        <f aca="false">IF(AND($B494&lt;&gt;"",$N494="Ha",$H494&lt;&gt;"",$H494&lt;=Boshqaruv!$C$12,OR($AE494="",$AE494&gt;Boshqaruv!$C$12)),MAX($AH$4:$AH493)+1,"")</f>
        <v/>
      </c>
    </row>
    <row r="495" customFormat="false" ht="15" hidden="false" customHeight="false" outlineLevel="0" collapsed="false">
      <c r="A495" s="20" t="n">
        <v>491</v>
      </c>
      <c r="B495" s="12"/>
      <c r="C495" s="13"/>
      <c r="D495" s="24"/>
      <c r="E495" s="12"/>
      <c r="F495" s="25"/>
      <c r="G495" s="27" t="str">
        <f aca="false">IF(OR($B495="",$C495=""),"",$B495&amp;" ("&amp;DAY($C495)&amp;"."&amp;MONTH($C495)&amp;"."&amp;YEAR($C495)&amp;")")</f>
        <v/>
      </c>
      <c r="H495" s="13"/>
      <c r="I495" s="13"/>
      <c r="J495" s="15" t="str">
        <f aca="false">IF($I495="","",$I495+280)</f>
        <v/>
      </c>
      <c r="K495" s="14" t="str">
        <f aca="false">IF(OR($I495="",$AE495&lt;&gt;""),"",INT((Boshqaruv!$C$12-$I495)/7))</f>
        <v/>
      </c>
      <c r="L495" s="14" t="str">
        <f aca="false">IF(OR($C495="",$H495=""),"",INT(($H495-$C495)/365.25))</f>
        <v/>
      </c>
      <c r="M495" s="14" t="str">
        <f aca="false">IF($L495="","",IF($L495&lt;18,"Ha","Yo'q"))</f>
        <v/>
      </c>
      <c r="N495" s="25"/>
      <c r="O495" s="25"/>
      <c r="P495" s="25"/>
      <c r="Q495" s="12"/>
      <c r="R495" s="25"/>
      <c r="S495" s="12"/>
      <c r="T495" s="13"/>
      <c r="U495" s="12"/>
      <c r="V495" s="25"/>
      <c r="W495" s="25"/>
      <c r="X495" s="14" t="str">
        <f aca="false">IF(OR($V495="",$W495=""),"",IF(AND($V495&gt;=Spravochnik!$H$5,$W495&gt;=Spravochnik!$H$6),"Ha","Yo'q"))</f>
        <v/>
      </c>
      <c r="Y495" s="13"/>
      <c r="Z495" s="13"/>
      <c r="AA495" s="13"/>
      <c r="AB495" s="13"/>
      <c r="AC495" s="14" t="str">
        <f aca="false">IF(AND($B495&lt;&gt;"",$AE495="",$AB495&lt;&gt;"",$AB495&lt;Boshqaruv!$C$12),"Ha","")</f>
        <v/>
      </c>
      <c r="AD495" s="25"/>
      <c r="AE495" s="13"/>
      <c r="AF495" s="12"/>
      <c r="AG495" s="14" t="str">
        <f aca="false">IF(OR($B495="",$C495="",$H495=""),"",IF(COUNTIFS($B$5:$B$804,$B495,$C$5:$C$804,$C495,$H$5:$H$804,$H495)&gt;1,"Takror",""))</f>
        <v/>
      </c>
      <c r="AH495" s="28" t="str">
        <f aca="false">IF(AND($B495&lt;&gt;"",$N495="Ha",$H495&lt;&gt;"",$H495&lt;=Boshqaruv!$C$12,OR($AE495="",$AE495&gt;Boshqaruv!$C$12)),MAX($AH$4:$AH494)+1,"")</f>
        <v/>
      </c>
    </row>
    <row r="496" customFormat="false" ht="15" hidden="false" customHeight="false" outlineLevel="0" collapsed="false">
      <c r="A496" s="20" t="n">
        <v>492</v>
      </c>
      <c r="B496" s="12"/>
      <c r="C496" s="13"/>
      <c r="D496" s="24"/>
      <c r="E496" s="12"/>
      <c r="F496" s="25"/>
      <c r="G496" s="27" t="str">
        <f aca="false">IF(OR($B496="",$C496=""),"",$B496&amp;" ("&amp;DAY($C496)&amp;"."&amp;MONTH($C496)&amp;"."&amp;YEAR($C496)&amp;")")</f>
        <v/>
      </c>
      <c r="H496" s="13"/>
      <c r="I496" s="13"/>
      <c r="J496" s="15" t="str">
        <f aca="false">IF($I496="","",$I496+280)</f>
        <v/>
      </c>
      <c r="K496" s="14" t="str">
        <f aca="false">IF(OR($I496="",$AE496&lt;&gt;""),"",INT((Boshqaruv!$C$12-$I496)/7))</f>
        <v/>
      </c>
      <c r="L496" s="14" t="str">
        <f aca="false">IF(OR($C496="",$H496=""),"",INT(($H496-$C496)/365.25))</f>
        <v/>
      </c>
      <c r="M496" s="14" t="str">
        <f aca="false">IF($L496="","",IF($L496&lt;18,"Ha","Yo'q"))</f>
        <v/>
      </c>
      <c r="N496" s="25"/>
      <c r="O496" s="25"/>
      <c r="P496" s="25"/>
      <c r="Q496" s="12"/>
      <c r="R496" s="25"/>
      <c r="S496" s="12"/>
      <c r="T496" s="13"/>
      <c r="U496" s="12"/>
      <c r="V496" s="25"/>
      <c r="W496" s="25"/>
      <c r="X496" s="14" t="str">
        <f aca="false">IF(OR($V496="",$W496=""),"",IF(AND($V496&gt;=Spravochnik!$H$5,$W496&gt;=Spravochnik!$H$6),"Ha","Yo'q"))</f>
        <v/>
      </c>
      <c r="Y496" s="13"/>
      <c r="Z496" s="13"/>
      <c r="AA496" s="13"/>
      <c r="AB496" s="13"/>
      <c r="AC496" s="14" t="str">
        <f aca="false">IF(AND($B496&lt;&gt;"",$AE496="",$AB496&lt;&gt;"",$AB496&lt;Boshqaruv!$C$12),"Ha","")</f>
        <v/>
      </c>
      <c r="AD496" s="25"/>
      <c r="AE496" s="13"/>
      <c r="AF496" s="12"/>
      <c r="AG496" s="14" t="str">
        <f aca="false">IF(OR($B496="",$C496="",$H496=""),"",IF(COUNTIFS($B$5:$B$804,$B496,$C$5:$C$804,$C496,$H$5:$H$804,$H496)&gt;1,"Takror",""))</f>
        <v/>
      </c>
      <c r="AH496" s="28" t="str">
        <f aca="false">IF(AND($B496&lt;&gt;"",$N496="Ha",$H496&lt;&gt;"",$H496&lt;=Boshqaruv!$C$12,OR($AE496="",$AE496&gt;Boshqaruv!$C$12)),MAX($AH$4:$AH495)+1,"")</f>
        <v/>
      </c>
    </row>
    <row r="497" customFormat="false" ht="15" hidden="false" customHeight="false" outlineLevel="0" collapsed="false">
      <c r="A497" s="20" t="n">
        <v>493</v>
      </c>
      <c r="B497" s="12"/>
      <c r="C497" s="13"/>
      <c r="D497" s="24"/>
      <c r="E497" s="12"/>
      <c r="F497" s="25"/>
      <c r="G497" s="27" t="str">
        <f aca="false">IF(OR($B497="",$C497=""),"",$B497&amp;" ("&amp;DAY($C497)&amp;"."&amp;MONTH($C497)&amp;"."&amp;YEAR($C497)&amp;")")</f>
        <v/>
      </c>
      <c r="H497" s="13"/>
      <c r="I497" s="13"/>
      <c r="J497" s="15" t="str">
        <f aca="false">IF($I497="","",$I497+280)</f>
        <v/>
      </c>
      <c r="K497" s="14" t="str">
        <f aca="false">IF(OR($I497="",$AE497&lt;&gt;""),"",INT((Boshqaruv!$C$12-$I497)/7))</f>
        <v/>
      </c>
      <c r="L497" s="14" t="str">
        <f aca="false">IF(OR($C497="",$H497=""),"",INT(($H497-$C497)/365.25))</f>
        <v/>
      </c>
      <c r="M497" s="14" t="str">
        <f aca="false">IF($L497="","",IF($L497&lt;18,"Ha","Yo'q"))</f>
        <v/>
      </c>
      <c r="N497" s="25"/>
      <c r="O497" s="25"/>
      <c r="P497" s="25"/>
      <c r="Q497" s="12"/>
      <c r="R497" s="25"/>
      <c r="S497" s="12"/>
      <c r="T497" s="13"/>
      <c r="U497" s="12"/>
      <c r="V497" s="25"/>
      <c r="W497" s="25"/>
      <c r="X497" s="14" t="str">
        <f aca="false">IF(OR($V497="",$W497=""),"",IF(AND($V497&gt;=Spravochnik!$H$5,$W497&gt;=Spravochnik!$H$6),"Ha","Yo'q"))</f>
        <v/>
      </c>
      <c r="Y497" s="13"/>
      <c r="Z497" s="13"/>
      <c r="AA497" s="13"/>
      <c r="AB497" s="13"/>
      <c r="AC497" s="14" t="str">
        <f aca="false">IF(AND($B497&lt;&gt;"",$AE497="",$AB497&lt;&gt;"",$AB497&lt;Boshqaruv!$C$12),"Ha","")</f>
        <v/>
      </c>
      <c r="AD497" s="25"/>
      <c r="AE497" s="13"/>
      <c r="AF497" s="12"/>
      <c r="AG497" s="14" t="str">
        <f aca="false">IF(OR($B497="",$C497="",$H497=""),"",IF(COUNTIFS($B$5:$B$804,$B497,$C$5:$C$804,$C497,$H$5:$H$804,$H497)&gt;1,"Takror",""))</f>
        <v/>
      </c>
      <c r="AH497" s="28" t="str">
        <f aca="false">IF(AND($B497&lt;&gt;"",$N497="Ha",$H497&lt;&gt;"",$H497&lt;=Boshqaruv!$C$12,OR($AE497="",$AE497&gt;Boshqaruv!$C$12)),MAX($AH$4:$AH496)+1,"")</f>
        <v/>
      </c>
    </row>
    <row r="498" customFormat="false" ht="15" hidden="false" customHeight="false" outlineLevel="0" collapsed="false">
      <c r="A498" s="20" t="n">
        <v>494</v>
      </c>
      <c r="B498" s="12"/>
      <c r="C498" s="13"/>
      <c r="D498" s="24"/>
      <c r="E498" s="12"/>
      <c r="F498" s="25"/>
      <c r="G498" s="27" t="str">
        <f aca="false">IF(OR($B498="",$C498=""),"",$B498&amp;" ("&amp;DAY($C498)&amp;"."&amp;MONTH($C498)&amp;"."&amp;YEAR($C498)&amp;")")</f>
        <v/>
      </c>
      <c r="H498" s="13"/>
      <c r="I498" s="13"/>
      <c r="J498" s="15" t="str">
        <f aca="false">IF($I498="","",$I498+280)</f>
        <v/>
      </c>
      <c r="K498" s="14" t="str">
        <f aca="false">IF(OR($I498="",$AE498&lt;&gt;""),"",INT((Boshqaruv!$C$12-$I498)/7))</f>
        <v/>
      </c>
      <c r="L498" s="14" t="str">
        <f aca="false">IF(OR($C498="",$H498=""),"",INT(($H498-$C498)/365.25))</f>
        <v/>
      </c>
      <c r="M498" s="14" t="str">
        <f aca="false">IF($L498="","",IF($L498&lt;18,"Ha","Yo'q"))</f>
        <v/>
      </c>
      <c r="N498" s="25"/>
      <c r="O498" s="25"/>
      <c r="P498" s="25"/>
      <c r="Q498" s="12"/>
      <c r="R498" s="25"/>
      <c r="S498" s="12"/>
      <c r="T498" s="13"/>
      <c r="U498" s="12"/>
      <c r="V498" s="25"/>
      <c r="W498" s="25"/>
      <c r="X498" s="14" t="str">
        <f aca="false">IF(OR($V498="",$W498=""),"",IF(AND($V498&gt;=Spravochnik!$H$5,$W498&gt;=Spravochnik!$H$6),"Ha","Yo'q"))</f>
        <v/>
      </c>
      <c r="Y498" s="13"/>
      <c r="Z498" s="13"/>
      <c r="AA498" s="13"/>
      <c r="AB498" s="13"/>
      <c r="AC498" s="14" t="str">
        <f aca="false">IF(AND($B498&lt;&gt;"",$AE498="",$AB498&lt;&gt;"",$AB498&lt;Boshqaruv!$C$12),"Ha","")</f>
        <v/>
      </c>
      <c r="AD498" s="25"/>
      <c r="AE498" s="13"/>
      <c r="AF498" s="12"/>
      <c r="AG498" s="14" t="str">
        <f aca="false">IF(OR($B498="",$C498="",$H498=""),"",IF(COUNTIFS($B$5:$B$804,$B498,$C$5:$C$804,$C498,$H$5:$H$804,$H498)&gt;1,"Takror",""))</f>
        <v/>
      </c>
      <c r="AH498" s="28" t="str">
        <f aca="false">IF(AND($B498&lt;&gt;"",$N498="Ha",$H498&lt;&gt;"",$H498&lt;=Boshqaruv!$C$12,OR($AE498="",$AE498&gt;Boshqaruv!$C$12)),MAX($AH$4:$AH497)+1,"")</f>
        <v/>
      </c>
    </row>
    <row r="499" customFormat="false" ht="15" hidden="false" customHeight="false" outlineLevel="0" collapsed="false">
      <c r="A499" s="20" t="n">
        <v>495</v>
      </c>
      <c r="B499" s="12"/>
      <c r="C499" s="13"/>
      <c r="D499" s="24"/>
      <c r="E499" s="12"/>
      <c r="F499" s="25"/>
      <c r="G499" s="27" t="str">
        <f aca="false">IF(OR($B499="",$C499=""),"",$B499&amp;" ("&amp;DAY($C499)&amp;"."&amp;MONTH($C499)&amp;"."&amp;YEAR($C499)&amp;")")</f>
        <v/>
      </c>
      <c r="H499" s="13"/>
      <c r="I499" s="13"/>
      <c r="J499" s="15" t="str">
        <f aca="false">IF($I499="","",$I499+280)</f>
        <v/>
      </c>
      <c r="K499" s="14" t="str">
        <f aca="false">IF(OR($I499="",$AE499&lt;&gt;""),"",INT((Boshqaruv!$C$12-$I499)/7))</f>
        <v/>
      </c>
      <c r="L499" s="14" t="str">
        <f aca="false">IF(OR($C499="",$H499=""),"",INT(($H499-$C499)/365.25))</f>
        <v/>
      </c>
      <c r="M499" s="14" t="str">
        <f aca="false">IF($L499="","",IF($L499&lt;18,"Ha","Yo'q"))</f>
        <v/>
      </c>
      <c r="N499" s="25"/>
      <c r="O499" s="25"/>
      <c r="P499" s="25"/>
      <c r="Q499" s="12"/>
      <c r="R499" s="25"/>
      <c r="S499" s="12"/>
      <c r="T499" s="13"/>
      <c r="U499" s="12"/>
      <c r="V499" s="25"/>
      <c r="W499" s="25"/>
      <c r="X499" s="14" t="str">
        <f aca="false">IF(OR($V499="",$W499=""),"",IF(AND($V499&gt;=Spravochnik!$H$5,$W499&gt;=Spravochnik!$H$6),"Ha","Yo'q"))</f>
        <v/>
      </c>
      <c r="Y499" s="13"/>
      <c r="Z499" s="13"/>
      <c r="AA499" s="13"/>
      <c r="AB499" s="13"/>
      <c r="AC499" s="14" t="str">
        <f aca="false">IF(AND($B499&lt;&gt;"",$AE499="",$AB499&lt;&gt;"",$AB499&lt;Boshqaruv!$C$12),"Ha","")</f>
        <v/>
      </c>
      <c r="AD499" s="25"/>
      <c r="AE499" s="13"/>
      <c r="AF499" s="12"/>
      <c r="AG499" s="14" t="str">
        <f aca="false">IF(OR($B499="",$C499="",$H499=""),"",IF(COUNTIFS($B$5:$B$804,$B499,$C$5:$C$804,$C499,$H$5:$H$804,$H499)&gt;1,"Takror",""))</f>
        <v/>
      </c>
      <c r="AH499" s="28" t="str">
        <f aca="false">IF(AND($B499&lt;&gt;"",$N499="Ha",$H499&lt;&gt;"",$H499&lt;=Boshqaruv!$C$12,OR($AE499="",$AE499&gt;Boshqaruv!$C$12)),MAX($AH$4:$AH498)+1,"")</f>
        <v/>
      </c>
    </row>
    <row r="500" customFormat="false" ht="15" hidden="false" customHeight="false" outlineLevel="0" collapsed="false">
      <c r="A500" s="20" t="n">
        <v>496</v>
      </c>
      <c r="B500" s="12"/>
      <c r="C500" s="13"/>
      <c r="D500" s="24"/>
      <c r="E500" s="12"/>
      <c r="F500" s="25"/>
      <c r="G500" s="27" t="str">
        <f aca="false">IF(OR($B500="",$C500=""),"",$B500&amp;" ("&amp;DAY($C500)&amp;"."&amp;MONTH($C500)&amp;"."&amp;YEAR($C500)&amp;")")</f>
        <v/>
      </c>
      <c r="H500" s="13"/>
      <c r="I500" s="13"/>
      <c r="J500" s="15" t="str">
        <f aca="false">IF($I500="","",$I500+280)</f>
        <v/>
      </c>
      <c r="K500" s="14" t="str">
        <f aca="false">IF(OR($I500="",$AE500&lt;&gt;""),"",INT((Boshqaruv!$C$12-$I500)/7))</f>
        <v/>
      </c>
      <c r="L500" s="14" t="str">
        <f aca="false">IF(OR($C500="",$H500=""),"",INT(($H500-$C500)/365.25))</f>
        <v/>
      </c>
      <c r="M500" s="14" t="str">
        <f aca="false">IF($L500="","",IF($L500&lt;18,"Ha","Yo'q"))</f>
        <v/>
      </c>
      <c r="N500" s="25"/>
      <c r="O500" s="25"/>
      <c r="P500" s="25"/>
      <c r="Q500" s="12"/>
      <c r="R500" s="25"/>
      <c r="S500" s="12"/>
      <c r="T500" s="13"/>
      <c r="U500" s="12"/>
      <c r="V500" s="25"/>
      <c r="W500" s="25"/>
      <c r="X500" s="14" t="str">
        <f aca="false">IF(OR($V500="",$W500=""),"",IF(AND($V500&gt;=Spravochnik!$H$5,$W500&gt;=Spravochnik!$H$6),"Ha","Yo'q"))</f>
        <v/>
      </c>
      <c r="Y500" s="13"/>
      <c r="Z500" s="13"/>
      <c r="AA500" s="13"/>
      <c r="AB500" s="13"/>
      <c r="AC500" s="14" t="str">
        <f aca="false">IF(AND($B500&lt;&gt;"",$AE500="",$AB500&lt;&gt;"",$AB500&lt;Boshqaruv!$C$12),"Ha","")</f>
        <v/>
      </c>
      <c r="AD500" s="25"/>
      <c r="AE500" s="13"/>
      <c r="AF500" s="12"/>
      <c r="AG500" s="14" t="str">
        <f aca="false">IF(OR($B500="",$C500="",$H500=""),"",IF(COUNTIFS($B$5:$B$804,$B500,$C$5:$C$804,$C500,$H$5:$H$804,$H500)&gt;1,"Takror",""))</f>
        <v/>
      </c>
      <c r="AH500" s="28" t="str">
        <f aca="false">IF(AND($B500&lt;&gt;"",$N500="Ha",$H500&lt;&gt;"",$H500&lt;=Boshqaruv!$C$12,OR($AE500="",$AE500&gt;Boshqaruv!$C$12)),MAX($AH$4:$AH499)+1,"")</f>
        <v/>
      </c>
    </row>
    <row r="501" customFormat="false" ht="15" hidden="false" customHeight="false" outlineLevel="0" collapsed="false">
      <c r="A501" s="20" t="n">
        <v>497</v>
      </c>
      <c r="B501" s="12"/>
      <c r="C501" s="13"/>
      <c r="D501" s="24"/>
      <c r="E501" s="12"/>
      <c r="F501" s="25"/>
      <c r="G501" s="27" t="str">
        <f aca="false">IF(OR($B501="",$C501=""),"",$B501&amp;" ("&amp;DAY($C501)&amp;"."&amp;MONTH($C501)&amp;"."&amp;YEAR($C501)&amp;")")</f>
        <v/>
      </c>
      <c r="H501" s="13"/>
      <c r="I501" s="13"/>
      <c r="J501" s="15" t="str">
        <f aca="false">IF($I501="","",$I501+280)</f>
        <v/>
      </c>
      <c r="K501" s="14" t="str">
        <f aca="false">IF(OR($I501="",$AE501&lt;&gt;""),"",INT((Boshqaruv!$C$12-$I501)/7))</f>
        <v/>
      </c>
      <c r="L501" s="14" t="str">
        <f aca="false">IF(OR($C501="",$H501=""),"",INT(($H501-$C501)/365.25))</f>
        <v/>
      </c>
      <c r="M501" s="14" t="str">
        <f aca="false">IF($L501="","",IF($L501&lt;18,"Ha","Yo'q"))</f>
        <v/>
      </c>
      <c r="N501" s="25"/>
      <c r="O501" s="25"/>
      <c r="P501" s="25"/>
      <c r="Q501" s="12"/>
      <c r="R501" s="25"/>
      <c r="S501" s="12"/>
      <c r="T501" s="13"/>
      <c r="U501" s="12"/>
      <c r="V501" s="25"/>
      <c r="W501" s="25"/>
      <c r="X501" s="14" t="str">
        <f aca="false">IF(OR($V501="",$W501=""),"",IF(AND($V501&gt;=Spravochnik!$H$5,$W501&gt;=Spravochnik!$H$6),"Ha","Yo'q"))</f>
        <v/>
      </c>
      <c r="Y501" s="13"/>
      <c r="Z501" s="13"/>
      <c r="AA501" s="13"/>
      <c r="AB501" s="13"/>
      <c r="AC501" s="14" t="str">
        <f aca="false">IF(AND($B501&lt;&gt;"",$AE501="",$AB501&lt;&gt;"",$AB501&lt;Boshqaruv!$C$12),"Ha","")</f>
        <v/>
      </c>
      <c r="AD501" s="25"/>
      <c r="AE501" s="13"/>
      <c r="AF501" s="12"/>
      <c r="AG501" s="14" t="str">
        <f aca="false">IF(OR($B501="",$C501="",$H501=""),"",IF(COUNTIFS($B$5:$B$804,$B501,$C$5:$C$804,$C501,$H$5:$H$804,$H501)&gt;1,"Takror",""))</f>
        <v/>
      </c>
      <c r="AH501" s="28" t="str">
        <f aca="false">IF(AND($B501&lt;&gt;"",$N501="Ha",$H501&lt;&gt;"",$H501&lt;=Boshqaruv!$C$12,OR($AE501="",$AE501&gt;Boshqaruv!$C$12)),MAX($AH$4:$AH500)+1,"")</f>
        <v/>
      </c>
    </row>
    <row r="502" customFormat="false" ht="15" hidden="false" customHeight="false" outlineLevel="0" collapsed="false">
      <c r="A502" s="20" t="n">
        <v>498</v>
      </c>
      <c r="B502" s="12"/>
      <c r="C502" s="13"/>
      <c r="D502" s="24"/>
      <c r="E502" s="12"/>
      <c r="F502" s="25"/>
      <c r="G502" s="27" t="str">
        <f aca="false">IF(OR($B502="",$C502=""),"",$B502&amp;" ("&amp;DAY($C502)&amp;"."&amp;MONTH($C502)&amp;"."&amp;YEAR($C502)&amp;")")</f>
        <v/>
      </c>
      <c r="H502" s="13"/>
      <c r="I502" s="13"/>
      <c r="J502" s="15" t="str">
        <f aca="false">IF($I502="","",$I502+280)</f>
        <v/>
      </c>
      <c r="K502" s="14" t="str">
        <f aca="false">IF(OR($I502="",$AE502&lt;&gt;""),"",INT((Boshqaruv!$C$12-$I502)/7))</f>
        <v/>
      </c>
      <c r="L502" s="14" t="str">
        <f aca="false">IF(OR($C502="",$H502=""),"",INT(($H502-$C502)/365.25))</f>
        <v/>
      </c>
      <c r="M502" s="14" t="str">
        <f aca="false">IF($L502="","",IF($L502&lt;18,"Ha","Yo'q"))</f>
        <v/>
      </c>
      <c r="N502" s="25"/>
      <c r="O502" s="25"/>
      <c r="P502" s="25"/>
      <c r="Q502" s="12"/>
      <c r="R502" s="25"/>
      <c r="S502" s="12"/>
      <c r="T502" s="13"/>
      <c r="U502" s="12"/>
      <c r="V502" s="25"/>
      <c r="W502" s="25"/>
      <c r="X502" s="14" t="str">
        <f aca="false">IF(OR($V502="",$W502=""),"",IF(AND($V502&gt;=Spravochnik!$H$5,$W502&gt;=Spravochnik!$H$6),"Ha","Yo'q"))</f>
        <v/>
      </c>
      <c r="Y502" s="13"/>
      <c r="Z502" s="13"/>
      <c r="AA502" s="13"/>
      <c r="AB502" s="13"/>
      <c r="AC502" s="14" t="str">
        <f aca="false">IF(AND($B502&lt;&gt;"",$AE502="",$AB502&lt;&gt;"",$AB502&lt;Boshqaruv!$C$12),"Ha","")</f>
        <v/>
      </c>
      <c r="AD502" s="25"/>
      <c r="AE502" s="13"/>
      <c r="AF502" s="12"/>
      <c r="AG502" s="14" t="str">
        <f aca="false">IF(OR($B502="",$C502="",$H502=""),"",IF(COUNTIFS($B$5:$B$804,$B502,$C$5:$C$804,$C502,$H$5:$H$804,$H502)&gt;1,"Takror",""))</f>
        <v/>
      </c>
      <c r="AH502" s="28" t="str">
        <f aca="false">IF(AND($B502&lt;&gt;"",$N502="Ha",$H502&lt;&gt;"",$H502&lt;=Boshqaruv!$C$12,OR($AE502="",$AE502&gt;Boshqaruv!$C$12)),MAX($AH$4:$AH501)+1,"")</f>
        <v/>
      </c>
    </row>
    <row r="503" customFormat="false" ht="15" hidden="false" customHeight="false" outlineLevel="0" collapsed="false">
      <c r="A503" s="20" t="n">
        <v>499</v>
      </c>
      <c r="B503" s="12"/>
      <c r="C503" s="13"/>
      <c r="D503" s="24"/>
      <c r="E503" s="12"/>
      <c r="F503" s="25"/>
      <c r="G503" s="27" t="str">
        <f aca="false">IF(OR($B503="",$C503=""),"",$B503&amp;" ("&amp;DAY($C503)&amp;"."&amp;MONTH($C503)&amp;"."&amp;YEAR($C503)&amp;")")</f>
        <v/>
      </c>
      <c r="H503" s="13"/>
      <c r="I503" s="13"/>
      <c r="J503" s="15" t="str">
        <f aca="false">IF($I503="","",$I503+280)</f>
        <v/>
      </c>
      <c r="K503" s="14" t="str">
        <f aca="false">IF(OR($I503="",$AE503&lt;&gt;""),"",INT((Boshqaruv!$C$12-$I503)/7))</f>
        <v/>
      </c>
      <c r="L503" s="14" t="str">
        <f aca="false">IF(OR($C503="",$H503=""),"",INT(($H503-$C503)/365.25))</f>
        <v/>
      </c>
      <c r="M503" s="14" t="str">
        <f aca="false">IF($L503="","",IF($L503&lt;18,"Ha","Yo'q"))</f>
        <v/>
      </c>
      <c r="N503" s="25"/>
      <c r="O503" s="25"/>
      <c r="P503" s="25"/>
      <c r="Q503" s="12"/>
      <c r="R503" s="25"/>
      <c r="S503" s="12"/>
      <c r="T503" s="13"/>
      <c r="U503" s="12"/>
      <c r="V503" s="25"/>
      <c r="W503" s="25"/>
      <c r="X503" s="14" t="str">
        <f aca="false">IF(OR($V503="",$W503=""),"",IF(AND($V503&gt;=Spravochnik!$H$5,$W503&gt;=Spravochnik!$H$6),"Ha","Yo'q"))</f>
        <v/>
      </c>
      <c r="Y503" s="13"/>
      <c r="Z503" s="13"/>
      <c r="AA503" s="13"/>
      <c r="AB503" s="13"/>
      <c r="AC503" s="14" t="str">
        <f aca="false">IF(AND($B503&lt;&gt;"",$AE503="",$AB503&lt;&gt;"",$AB503&lt;Boshqaruv!$C$12),"Ha","")</f>
        <v/>
      </c>
      <c r="AD503" s="25"/>
      <c r="AE503" s="13"/>
      <c r="AF503" s="12"/>
      <c r="AG503" s="14" t="str">
        <f aca="false">IF(OR($B503="",$C503="",$H503=""),"",IF(COUNTIFS($B$5:$B$804,$B503,$C$5:$C$804,$C503,$H$5:$H$804,$H503)&gt;1,"Takror",""))</f>
        <v/>
      </c>
      <c r="AH503" s="28" t="str">
        <f aca="false">IF(AND($B503&lt;&gt;"",$N503="Ha",$H503&lt;&gt;"",$H503&lt;=Boshqaruv!$C$12,OR($AE503="",$AE503&gt;Boshqaruv!$C$12)),MAX($AH$4:$AH502)+1,"")</f>
        <v/>
      </c>
    </row>
    <row r="504" customFormat="false" ht="15" hidden="false" customHeight="false" outlineLevel="0" collapsed="false">
      <c r="A504" s="20" t="n">
        <v>500</v>
      </c>
      <c r="B504" s="12"/>
      <c r="C504" s="13"/>
      <c r="D504" s="24"/>
      <c r="E504" s="12"/>
      <c r="F504" s="25"/>
      <c r="G504" s="27" t="str">
        <f aca="false">IF(OR($B504="",$C504=""),"",$B504&amp;" ("&amp;DAY($C504)&amp;"."&amp;MONTH($C504)&amp;"."&amp;YEAR($C504)&amp;")")</f>
        <v/>
      </c>
      <c r="H504" s="13"/>
      <c r="I504" s="13"/>
      <c r="J504" s="15" t="str">
        <f aca="false">IF($I504="","",$I504+280)</f>
        <v/>
      </c>
      <c r="K504" s="14" t="str">
        <f aca="false">IF(OR($I504="",$AE504&lt;&gt;""),"",INT((Boshqaruv!$C$12-$I504)/7))</f>
        <v/>
      </c>
      <c r="L504" s="14" t="str">
        <f aca="false">IF(OR($C504="",$H504=""),"",INT(($H504-$C504)/365.25))</f>
        <v/>
      </c>
      <c r="M504" s="14" t="str">
        <f aca="false">IF($L504="","",IF($L504&lt;18,"Ha","Yo'q"))</f>
        <v/>
      </c>
      <c r="N504" s="25"/>
      <c r="O504" s="25"/>
      <c r="P504" s="25"/>
      <c r="Q504" s="12"/>
      <c r="R504" s="25"/>
      <c r="S504" s="12"/>
      <c r="T504" s="13"/>
      <c r="U504" s="12"/>
      <c r="V504" s="25"/>
      <c r="W504" s="25"/>
      <c r="X504" s="14" t="str">
        <f aca="false">IF(OR($V504="",$W504=""),"",IF(AND($V504&gt;=Spravochnik!$H$5,$W504&gt;=Spravochnik!$H$6),"Ha","Yo'q"))</f>
        <v/>
      </c>
      <c r="Y504" s="13"/>
      <c r="Z504" s="13"/>
      <c r="AA504" s="13"/>
      <c r="AB504" s="13"/>
      <c r="AC504" s="14" t="str">
        <f aca="false">IF(AND($B504&lt;&gt;"",$AE504="",$AB504&lt;&gt;"",$AB504&lt;Boshqaruv!$C$12),"Ha","")</f>
        <v/>
      </c>
      <c r="AD504" s="25"/>
      <c r="AE504" s="13"/>
      <c r="AF504" s="12"/>
      <c r="AG504" s="14" t="str">
        <f aca="false">IF(OR($B504="",$C504="",$H504=""),"",IF(COUNTIFS($B$5:$B$804,$B504,$C$5:$C$804,$C504,$H$5:$H$804,$H504)&gt;1,"Takror",""))</f>
        <v/>
      </c>
      <c r="AH504" s="28" t="str">
        <f aca="false">IF(AND($B504&lt;&gt;"",$N504="Ha",$H504&lt;&gt;"",$H504&lt;=Boshqaruv!$C$12,OR($AE504="",$AE504&gt;Boshqaruv!$C$12)),MAX($AH$4:$AH503)+1,"")</f>
        <v/>
      </c>
    </row>
    <row r="505" customFormat="false" ht="15" hidden="false" customHeight="false" outlineLevel="0" collapsed="false">
      <c r="A505" s="20" t="n">
        <v>501</v>
      </c>
      <c r="B505" s="12"/>
      <c r="C505" s="13"/>
      <c r="D505" s="24"/>
      <c r="E505" s="12"/>
      <c r="F505" s="25"/>
      <c r="G505" s="27" t="str">
        <f aca="false">IF(OR($B505="",$C505=""),"",$B505&amp;" ("&amp;DAY($C505)&amp;"."&amp;MONTH($C505)&amp;"."&amp;YEAR($C505)&amp;")")</f>
        <v/>
      </c>
      <c r="H505" s="13"/>
      <c r="I505" s="13"/>
      <c r="J505" s="15" t="str">
        <f aca="false">IF($I505="","",$I505+280)</f>
        <v/>
      </c>
      <c r="K505" s="14" t="str">
        <f aca="false">IF(OR($I505="",$AE505&lt;&gt;""),"",INT((Boshqaruv!$C$12-$I505)/7))</f>
        <v/>
      </c>
      <c r="L505" s="14" t="str">
        <f aca="false">IF(OR($C505="",$H505=""),"",INT(($H505-$C505)/365.25))</f>
        <v/>
      </c>
      <c r="M505" s="14" t="str">
        <f aca="false">IF($L505="","",IF($L505&lt;18,"Ha","Yo'q"))</f>
        <v/>
      </c>
      <c r="N505" s="25"/>
      <c r="O505" s="25"/>
      <c r="P505" s="25"/>
      <c r="Q505" s="12"/>
      <c r="R505" s="25"/>
      <c r="S505" s="12"/>
      <c r="T505" s="13"/>
      <c r="U505" s="12"/>
      <c r="V505" s="25"/>
      <c r="W505" s="25"/>
      <c r="X505" s="14" t="str">
        <f aca="false">IF(OR($V505="",$W505=""),"",IF(AND($V505&gt;=Spravochnik!$H$5,$W505&gt;=Spravochnik!$H$6),"Ha","Yo'q"))</f>
        <v/>
      </c>
      <c r="Y505" s="13"/>
      <c r="Z505" s="13"/>
      <c r="AA505" s="13"/>
      <c r="AB505" s="13"/>
      <c r="AC505" s="14" t="str">
        <f aca="false">IF(AND($B505&lt;&gt;"",$AE505="",$AB505&lt;&gt;"",$AB505&lt;Boshqaruv!$C$12),"Ha","")</f>
        <v/>
      </c>
      <c r="AD505" s="25"/>
      <c r="AE505" s="13"/>
      <c r="AF505" s="12"/>
      <c r="AG505" s="14" t="str">
        <f aca="false">IF(OR($B505="",$C505="",$H505=""),"",IF(COUNTIFS($B$5:$B$804,$B505,$C$5:$C$804,$C505,$H$5:$H$804,$H505)&gt;1,"Takror",""))</f>
        <v/>
      </c>
      <c r="AH505" s="28" t="str">
        <f aca="false">IF(AND($B505&lt;&gt;"",$N505="Ha",$H505&lt;&gt;"",$H505&lt;=Boshqaruv!$C$12,OR($AE505="",$AE505&gt;Boshqaruv!$C$12)),MAX($AH$4:$AH504)+1,"")</f>
        <v/>
      </c>
    </row>
    <row r="506" customFormat="false" ht="15" hidden="false" customHeight="false" outlineLevel="0" collapsed="false">
      <c r="A506" s="20" t="n">
        <v>502</v>
      </c>
      <c r="B506" s="12"/>
      <c r="C506" s="13"/>
      <c r="D506" s="24"/>
      <c r="E506" s="12"/>
      <c r="F506" s="25"/>
      <c r="G506" s="27" t="str">
        <f aca="false">IF(OR($B506="",$C506=""),"",$B506&amp;" ("&amp;DAY($C506)&amp;"."&amp;MONTH($C506)&amp;"."&amp;YEAR($C506)&amp;")")</f>
        <v/>
      </c>
      <c r="H506" s="13"/>
      <c r="I506" s="13"/>
      <c r="J506" s="15" t="str">
        <f aca="false">IF($I506="","",$I506+280)</f>
        <v/>
      </c>
      <c r="K506" s="14" t="str">
        <f aca="false">IF(OR($I506="",$AE506&lt;&gt;""),"",INT((Boshqaruv!$C$12-$I506)/7))</f>
        <v/>
      </c>
      <c r="L506" s="14" t="str">
        <f aca="false">IF(OR($C506="",$H506=""),"",INT(($H506-$C506)/365.25))</f>
        <v/>
      </c>
      <c r="M506" s="14" t="str">
        <f aca="false">IF($L506="","",IF($L506&lt;18,"Ha","Yo'q"))</f>
        <v/>
      </c>
      <c r="N506" s="25"/>
      <c r="O506" s="25"/>
      <c r="P506" s="25"/>
      <c r="Q506" s="12"/>
      <c r="R506" s="25"/>
      <c r="S506" s="12"/>
      <c r="T506" s="13"/>
      <c r="U506" s="12"/>
      <c r="V506" s="25"/>
      <c r="W506" s="25"/>
      <c r="X506" s="14" t="str">
        <f aca="false">IF(OR($V506="",$W506=""),"",IF(AND($V506&gt;=Spravochnik!$H$5,$W506&gt;=Spravochnik!$H$6),"Ha","Yo'q"))</f>
        <v/>
      </c>
      <c r="Y506" s="13"/>
      <c r="Z506" s="13"/>
      <c r="AA506" s="13"/>
      <c r="AB506" s="13"/>
      <c r="AC506" s="14" t="str">
        <f aca="false">IF(AND($B506&lt;&gt;"",$AE506="",$AB506&lt;&gt;"",$AB506&lt;Boshqaruv!$C$12),"Ha","")</f>
        <v/>
      </c>
      <c r="AD506" s="25"/>
      <c r="AE506" s="13"/>
      <c r="AF506" s="12"/>
      <c r="AG506" s="14" t="str">
        <f aca="false">IF(OR($B506="",$C506="",$H506=""),"",IF(COUNTIFS($B$5:$B$804,$B506,$C$5:$C$804,$C506,$H$5:$H$804,$H506)&gt;1,"Takror",""))</f>
        <v/>
      </c>
      <c r="AH506" s="28" t="str">
        <f aca="false">IF(AND($B506&lt;&gt;"",$N506="Ha",$H506&lt;&gt;"",$H506&lt;=Boshqaruv!$C$12,OR($AE506="",$AE506&gt;Boshqaruv!$C$12)),MAX($AH$4:$AH505)+1,"")</f>
        <v/>
      </c>
    </row>
    <row r="507" customFormat="false" ht="15" hidden="false" customHeight="false" outlineLevel="0" collapsed="false">
      <c r="A507" s="20" t="n">
        <v>503</v>
      </c>
      <c r="B507" s="12"/>
      <c r="C507" s="13"/>
      <c r="D507" s="24"/>
      <c r="E507" s="12"/>
      <c r="F507" s="25"/>
      <c r="G507" s="27" t="str">
        <f aca="false">IF(OR($B507="",$C507=""),"",$B507&amp;" ("&amp;DAY($C507)&amp;"."&amp;MONTH($C507)&amp;"."&amp;YEAR($C507)&amp;")")</f>
        <v/>
      </c>
      <c r="H507" s="13"/>
      <c r="I507" s="13"/>
      <c r="J507" s="15" t="str">
        <f aca="false">IF($I507="","",$I507+280)</f>
        <v/>
      </c>
      <c r="K507" s="14" t="str">
        <f aca="false">IF(OR($I507="",$AE507&lt;&gt;""),"",INT((Boshqaruv!$C$12-$I507)/7))</f>
        <v/>
      </c>
      <c r="L507" s="14" t="str">
        <f aca="false">IF(OR($C507="",$H507=""),"",INT(($H507-$C507)/365.25))</f>
        <v/>
      </c>
      <c r="M507" s="14" t="str">
        <f aca="false">IF($L507="","",IF($L507&lt;18,"Ha","Yo'q"))</f>
        <v/>
      </c>
      <c r="N507" s="25"/>
      <c r="O507" s="25"/>
      <c r="P507" s="25"/>
      <c r="Q507" s="12"/>
      <c r="R507" s="25"/>
      <c r="S507" s="12"/>
      <c r="T507" s="13"/>
      <c r="U507" s="12"/>
      <c r="V507" s="25"/>
      <c r="W507" s="25"/>
      <c r="X507" s="14" t="str">
        <f aca="false">IF(OR($V507="",$W507=""),"",IF(AND($V507&gt;=Spravochnik!$H$5,$W507&gt;=Spravochnik!$H$6),"Ha","Yo'q"))</f>
        <v/>
      </c>
      <c r="Y507" s="13"/>
      <c r="Z507" s="13"/>
      <c r="AA507" s="13"/>
      <c r="AB507" s="13"/>
      <c r="AC507" s="14" t="str">
        <f aca="false">IF(AND($B507&lt;&gt;"",$AE507="",$AB507&lt;&gt;"",$AB507&lt;Boshqaruv!$C$12),"Ha","")</f>
        <v/>
      </c>
      <c r="AD507" s="25"/>
      <c r="AE507" s="13"/>
      <c r="AF507" s="12"/>
      <c r="AG507" s="14" t="str">
        <f aca="false">IF(OR($B507="",$C507="",$H507=""),"",IF(COUNTIFS($B$5:$B$804,$B507,$C$5:$C$804,$C507,$H$5:$H$804,$H507)&gt;1,"Takror",""))</f>
        <v/>
      </c>
      <c r="AH507" s="28" t="str">
        <f aca="false">IF(AND($B507&lt;&gt;"",$N507="Ha",$H507&lt;&gt;"",$H507&lt;=Boshqaruv!$C$12,OR($AE507="",$AE507&gt;Boshqaruv!$C$12)),MAX($AH$4:$AH506)+1,"")</f>
        <v/>
      </c>
    </row>
    <row r="508" customFormat="false" ht="15" hidden="false" customHeight="false" outlineLevel="0" collapsed="false">
      <c r="A508" s="20" t="n">
        <v>504</v>
      </c>
      <c r="B508" s="12"/>
      <c r="C508" s="13"/>
      <c r="D508" s="24"/>
      <c r="E508" s="12"/>
      <c r="F508" s="25"/>
      <c r="G508" s="27" t="str">
        <f aca="false">IF(OR($B508="",$C508=""),"",$B508&amp;" ("&amp;DAY($C508)&amp;"."&amp;MONTH($C508)&amp;"."&amp;YEAR($C508)&amp;")")</f>
        <v/>
      </c>
      <c r="H508" s="13"/>
      <c r="I508" s="13"/>
      <c r="J508" s="15" t="str">
        <f aca="false">IF($I508="","",$I508+280)</f>
        <v/>
      </c>
      <c r="K508" s="14" t="str">
        <f aca="false">IF(OR($I508="",$AE508&lt;&gt;""),"",INT((Boshqaruv!$C$12-$I508)/7))</f>
        <v/>
      </c>
      <c r="L508" s="14" t="str">
        <f aca="false">IF(OR($C508="",$H508=""),"",INT(($H508-$C508)/365.25))</f>
        <v/>
      </c>
      <c r="M508" s="14" t="str">
        <f aca="false">IF($L508="","",IF($L508&lt;18,"Ha","Yo'q"))</f>
        <v/>
      </c>
      <c r="N508" s="25"/>
      <c r="O508" s="25"/>
      <c r="P508" s="25"/>
      <c r="Q508" s="12"/>
      <c r="R508" s="25"/>
      <c r="S508" s="12"/>
      <c r="T508" s="13"/>
      <c r="U508" s="12"/>
      <c r="V508" s="25"/>
      <c r="W508" s="25"/>
      <c r="X508" s="14" t="str">
        <f aca="false">IF(OR($V508="",$W508=""),"",IF(AND($V508&gt;=Spravochnik!$H$5,$W508&gt;=Spravochnik!$H$6),"Ha","Yo'q"))</f>
        <v/>
      </c>
      <c r="Y508" s="13"/>
      <c r="Z508" s="13"/>
      <c r="AA508" s="13"/>
      <c r="AB508" s="13"/>
      <c r="AC508" s="14" t="str">
        <f aca="false">IF(AND($B508&lt;&gt;"",$AE508="",$AB508&lt;&gt;"",$AB508&lt;Boshqaruv!$C$12),"Ha","")</f>
        <v/>
      </c>
      <c r="AD508" s="25"/>
      <c r="AE508" s="13"/>
      <c r="AF508" s="12"/>
      <c r="AG508" s="14" t="str">
        <f aca="false">IF(OR($B508="",$C508="",$H508=""),"",IF(COUNTIFS($B$5:$B$804,$B508,$C$5:$C$804,$C508,$H$5:$H$804,$H508)&gt;1,"Takror",""))</f>
        <v/>
      </c>
      <c r="AH508" s="28" t="str">
        <f aca="false">IF(AND($B508&lt;&gt;"",$N508="Ha",$H508&lt;&gt;"",$H508&lt;=Boshqaruv!$C$12,OR($AE508="",$AE508&gt;Boshqaruv!$C$12)),MAX($AH$4:$AH507)+1,"")</f>
        <v/>
      </c>
    </row>
    <row r="509" customFormat="false" ht="15" hidden="false" customHeight="false" outlineLevel="0" collapsed="false">
      <c r="A509" s="20" t="n">
        <v>505</v>
      </c>
      <c r="B509" s="12"/>
      <c r="C509" s="13"/>
      <c r="D509" s="24"/>
      <c r="E509" s="12"/>
      <c r="F509" s="25"/>
      <c r="G509" s="27" t="str">
        <f aca="false">IF(OR($B509="",$C509=""),"",$B509&amp;" ("&amp;DAY($C509)&amp;"."&amp;MONTH($C509)&amp;"."&amp;YEAR($C509)&amp;")")</f>
        <v/>
      </c>
      <c r="H509" s="13"/>
      <c r="I509" s="13"/>
      <c r="J509" s="15" t="str">
        <f aca="false">IF($I509="","",$I509+280)</f>
        <v/>
      </c>
      <c r="K509" s="14" t="str">
        <f aca="false">IF(OR($I509="",$AE509&lt;&gt;""),"",INT((Boshqaruv!$C$12-$I509)/7))</f>
        <v/>
      </c>
      <c r="L509" s="14" t="str">
        <f aca="false">IF(OR($C509="",$H509=""),"",INT(($H509-$C509)/365.25))</f>
        <v/>
      </c>
      <c r="M509" s="14" t="str">
        <f aca="false">IF($L509="","",IF($L509&lt;18,"Ha","Yo'q"))</f>
        <v/>
      </c>
      <c r="N509" s="25"/>
      <c r="O509" s="25"/>
      <c r="P509" s="25"/>
      <c r="Q509" s="12"/>
      <c r="R509" s="25"/>
      <c r="S509" s="12"/>
      <c r="T509" s="13"/>
      <c r="U509" s="12"/>
      <c r="V509" s="25"/>
      <c r="W509" s="25"/>
      <c r="X509" s="14" t="str">
        <f aca="false">IF(OR($V509="",$W509=""),"",IF(AND($V509&gt;=Spravochnik!$H$5,$W509&gt;=Spravochnik!$H$6),"Ha","Yo'q"))</f>
        <v/>
      </c>
      <c r="Y509" s="13"/>
      <c r="Z509" s="13"/>
      <c r="AA509" s="13"/>
      <c r="AB509" s="13"/>
      <c r="AC509" s="14" t="str">
        <f aca="false">IF(AND($B509&lt;&gt;"",$AE509="",$AB509&lt;&gt;"",$AB509&lt;Boshqaruv!$C$12),"Ha","")</f>
        <v/>
      </c>
      <c r="AD509" s="25"/>
      <c r="AE509" s="13"/>
      <c r="AF509" s="12"/>
      <c r="AG509" s="14" t="str">
        <f aca="false">IF(OR($B509="",$C509="",$H509=""),"",IF(COUNTIFS($B$5:$B$804,$B509,$C$5:$C$804,$C509,$H$5:$H$804,$H509)&gt;1,"Takror",""))</f>
        <v/>
      </c>
      <c r="AH509" s="28" t="str">
        <f aca="false">IF(AND($B509&lt;&gt;"",$N509="Ha",$H509&lt;&gt;"",$H509&lt;=Boshqaruv!$C$12,OR($AE509="",$AE509&gt;Boshqaruv!$C$12)),MAX($AH$4:$AH508)+1,"")</f>
        <v/>
      </c>
    </row>
    <row r="510" customFormat="false" ht="15" hidden="false" customHeight="false" outlineLevel="0" collapsed="false">
      <c r="A510" s="20" t="n">
        <v>506</v>
      </c>
      <c r="B510" s="12"/>
      <c r="C510" s="13"/>
      <c r="D510" s="24"/>
      <c r="E510" s="12"/>
      <c r="F510" s="25"/>
      <c r="G510" s="27" t="str">
        <f aca="false">IF(OR($B510="",$C510=""),"",$B510&amp;" ("&amp;DAY($C510)&amp;"."&amp;MONTH($C510)&amp;"."&amp;YEAR($C510)&amp;")")</f>
        <v/>
      </c>
      <c r="H510" s="13"/>
      <c r="I510" s="13"/>
      <c r="J510" s="15" t="str">
        <f aca="false">IF($I510="","",$I510+280)</f>
        <v/>
      </c>
      <c r="K510" s="14" t="str">
        <f aca="false">IF(OR($I510="",$AE510&lt;&gt;""),"",INT((Boshqaruv!$C$12-$I510)/7))</f>
        <v/>
      </c>
      <c r="L510" s="14" t="str">
        <f aca="false">IF(OR($C510="",$H510=""),"",INT(($H510-$C510)/365.25))</f>
        <v/>
      </c>
      <c r="M510" s="14" t="str">
        <f aca="false">IF($L510="","",IF($L510&lt;18,"Ha","Yo'q"))</f>
        <v/>
      </c>
      <c r="N510" s="25"/>
      <c r="O510" s="25"/>
      <c r="P510" s="25"/>
      <c r="Q510" s="12"/>
      <c r="R510" s="25"/>
      <c r="S510" s="12"/>
      <c r="T510" s="13"/>
      <c r="U510" s="12"/>
      <c r="V510" s="25"/>
      <c r="W510" s="25"/>
      <c r="X510" s="14" t="str">
        <f aca="false">IF(OR($V510="",$W510=""),"",IF(AND($V510&gt;=Spravochnik!$H$5,$W510&gt;=Spravochnik!$H$6),"Ha","Yo'q"))</f>
        <v/>
      </c>
      <c r="Y510" s="13"/>
      <c r="Z510" s="13"/>
      <c r="AA510" s="13"/>
      <c r="AB510" s="13"/>
      <c r="AC510" s="14" t="str">
        <f aca="false">IF(AND($B510&lt;&gt;"",$AE510="",$AB510&lt;&gt;"",$AB510&lt;Boshqaruv!$C$12),"Ha","")</f>
        <v/>
      </c>
      <c r="AD510" s="25"/>
      <c r="AE510" s="13"/>
      <c r="AF510" s="12"/>
      <c r="AG510" s="14" t="str">
        <f aca="false">IF(OR($B510="",$C510="",$H510=""),"",IF(COUNTIFS($B$5:$B$804,$B510,$C$5:$C$804,$C510,$H$5:$H$804,$H510)&gt;1,"Takror",""))</f>
        <v/>
      </c>
      <c r="AH510" s="28" t="str">
        <f aca="false">IF(AND($B510&lt;&gt;"",$N510="Ha",$H510&lt;&gt;"",$H510&lt;=Boshqaruv!$C$12,OR($AE510="",$AE510&gt;Boshqaruv!$C$12)),MAX($AH$4:$AH509)+1,"")</f>
        <v/>
      </c>
    </row>
    <row r="511" customFormat="false" ht="15" hidden="false" customHeight="false" outlineLevel="0" collapsed="false">
      <c r="A511" s="20" t="n">
        <v>507</v>
      </c>
      <c r="B511" s="12"/>
      <c r="C511" s="13"/>
      <c r="D511" s="24"/>
      <c r="E511" s="12"/>
      <c r="F511" s="25"/>
      <c r="G511" s="27" t="str">
        <f aca="false">IF(OR($B511="",$C511=""),"",$B511&amp;" ("&amp;DAY($C511)&amp;"."&amp;MONTH($C511)&amp;"."&amp;YEAR($C511)&amp;")")</f>
        <v/>
      </c>
      <c r="H511" s="13"/>
      <c r="I511" s="13"/>
      <c r="J511" s="15" t="str">
        <f aca="false">IF($I511="","",$I511+280)</f>
        <v/>
      </c>
      <c r="K511" s="14" t="str">
        <f aca="false">IF(OR($I511="",$AE511&lt;&gt;""),"",INT((Boshqaruv!$C$12-$I511)/7))</f>
        <v/>
      </c>
      <c r="L511" s="14" t="str">
        <f aca="false">IF(OR($C511="",$H511=""),"",INT(($H511-$C511)/365.25))</f>
        <v/>
      </c>
      <c r="M511" s="14" t="str">
        <f aca="false">IF($L511="","",IF($L511&lt;18,"Ha","Yo'q"))</f>
        <v/>
      </c>
      <c r="N511" s="25"/>
      <c r="O511" s="25"/>
      <c r="P511" s="25"/>
      <c r="Q511" s="12"/>
      <c r="R511" s="25"/>
      <c r="S511" s="12"/>
      <c r="T511" s="13"/>
      <c r="U511" s="12"/>
      <c r="V511" s="25"/>
      <c r="W511" s="25"/>
      <c r="X511" s="14" t="str">
        <f aca="false">IF(OR($V511="",$W511=""),"",IF(AND($V511&gt;=Spravochnik!$H$5,$W511&gt;=Spravochnik!$H$6),"Ha","Yo'q"))</f>
        <v/>
      </c>
      <c r="Y511" s="13"/>
      <c r="Z511" s="13"/>
      <c r="AA511" s="13"/>
      <c r="AB511" s="13"/>
      <c r="AC511" s="14" t="str">
        <f aca="false">IF(AND($B511&lt;&gt;"",$AE511="",$AB511&lt;&gt;"",$AB511&lt;Boshqaruv!$C$12),"Ha","")</f>
        <v/>
      </c>
      <c r="AD511" s="25"/>
      <c r="AE511" s="13"/>
      <c r="AF511" s="12"/>
      <c r="AG511" s="14" t="str">
        <f aca="false">IF(OR($B511="",$C511="",$H511=""),"",IF(COUNTIFS($B$5:$B$804,$B511,$C$5:$C$804,$C511,$H$5:$H$804,$H511)&gt;1,"Takror",""))</f>
        <v/>
      </c>
      <c r="AH511" s="28" t="str">
        <f aca="false">IF(AND($B511&lt;&gt;"",$N511="Ha",$H511&lt;&gt;"",$H511&lt;=Boshqaruv!$C$12,OR($AE511="",$AE511&gt;Boshqaruv!$C$12)),MAX($AH$4:$AH510)+1,"")</f>
        <v/>
      </c>
    </row>
    <row r="512" customFormat="false" ht="15" hidden="false" customHeight="false" outlineLevel="0" collapsed="false">
      <c r="A512" s="20" t="n">
        <v>508</v>
      </c>
      <c r="B512" s="12"/>
      <c r="C512" s="13"/>
      <c r="D512" s="24"/>
      <c r="E512" s="12"/>
      <c r="F512" s="25"/>
      <c r="G512" s="27" t="str">
        <f aca="false">IF(OR($B512="",$C512=""),"",$B512&amp;" ("&amp;DAY($C512)&amp;"."&amp;MONTH($C512)&amp;"."&amp;YEAR($C512)&amp;")")</f>
        <v/>
      </c>
      <c r="H512" s="13"/>
      <c r="I512" s="13"/>
      <c r="J512" s="15" t="str">
        <f aca="false">IF($I512="","",$I512+280)</f>
        <v/>
      </c>
      <c r="K512" s="14" t="str">
        <f aca="false">IF(OR($I512="",$AE512&lt;&gt;""),"",INT((Boshqaruv!$C$12-$I512)/7))</f>
        <v/>
      </c>
      <c r="L512" s="14" t="str">
        <f aca="false">IF(OR($C512="",$H512=""),"",INT(($H512-$C512)/365.25))</f>
        <v/>
      </c>
      <c r="M512" s="14" t="str">
        <f aca="false">IF($L512="","",IF($L512&lt;18,"Ha","Yo'q"))</f>
        <v/>
      </c>
      <c r="N512" s="25"/>
      <c r="O512" s="25"/>
      <c r="P512" s="25"/>
      <c r="Q512" s="12"/>
      <c r="R512" s="25"/>
      <c r="S512" s="12"/>
      <c r="T512" s="13"/>
      <c r="U512" s="12"/>
      <c r="V512" s="25"/>
      <c r="W512" s="25"/>
      <c r="X512" s="14" t="str">
        <f aca="false">IF(OR($V512="",$W512=""),"",IF(AND($V512&gt;=Spravochnik!$H$5,$W512&gt;=Spravochnik!$H$6),"Ha","Yo'q"))</f>
        <v/>
      </c>
      <c r="Y512" s="13"/>
      <c r="Z512" s="13"/>
      <c r="AA512" s="13"/>
      <c r="AB512" s="13"/>
      <c r="AC512" s="14" t="str">
        <f aca="false">IF(AND($B512&lt;&gt;"",$AE512="",$AB512&lt;&gt;"",$AB512&lt;Boshqaruv!$C$12),"Ha","")</f>
        <v/>
      </c>
      <c r="AD512" s="25"/>
      <c r="AE512" s="13"/>
      <c r="AF512" s="12"/>
      <c r="AG512" s="14" t="str">
        <f aca="false">IF(OR($B512="",$C512="",$H512=""),"",IF(COUNTIFS($B$5:$B$804,$B512,$C$5:$C$804,$C512,$H$5:$H$804,$H512)&gt;1,"Takror",""))</f>
        <v/>
      </c>
      <c r="AH512" s="28" t="str">
        <f aca="false">IF(AND($B512&lt;&gt;"",$N512="Ha",$H512&lt;&gt;"",$H512&lt;=Boshqaruv!$C$12,OR($AE512="",$AE512&gt;Boshqaruv!$C$12)),MAX($AH$4:$AH511)+1,"")</f>
        <v/>
      </c>
    </row>
    <row r="513" customFormat="false" ht="15" hidden="false" customHeight="false" outlineLevel="0" collapsed="false">
      <c r="A513" s="20" t="n">
        <v>509</v>
      </c>
      <c r="B513" s="12"/>
      <c r="C513" s="13"/>
      <c r="D513" s="24"/>
      <c r="E513" s="12"/>
      <c r="F513" s="25"/>
      <c r="G513" s="27" t="str">
        <f aca="false">IF(OR($B513="",$C513=""),"",$B513&amp;" ("&amp;DAY($C513)&amp;"."&amp;MONTH($C513)&amp;"."&amp;YEAR($C513)&amp;")")</f>
        <v/>
      </c>
      <c r="H513" s="13"/>
      <c r="I513" s="13"/>
      <c r="J513" s="15" t="str">
        <f aca="false">IF($I513="","",$I513+280)</f>
        <v/>
      </c>
      <c r="K513" s="14" t="str">
        <f aca="false">IF(OR($I513="",$AE513&lt;&gt;""),"",INT((Boshqaruv!$C$12-$I513)/7))</f>
        <v/>
      </c>
      <c r="L513" s="14" t="str">
        <f aca="false">IF(OR($C513="",$H513=""),"",INT(($H513-$C513)/365.25))</f>
        <v/>
      </c>
      <c r="M513" s="14" t="str">
        <f aca="false">IF($L513="","",IF($L513&lt;18,"Ha","Yo'q"))</f>
        <v/>
      </c>
      <c r="N513" s="25"/>
      <c r="O513" s="25"/>
      <c r="P513" s="25"/>
      <c r="Q513" s="12"/>
      <c r="R513" s="25"/>
      <c r="S513" s="12"/>
      <c r="T513" s="13"/>
      <c r="U513" s="12"/>
      <c r="V513" s="25"/>
      <c r="W513" s="25"/>
      <c r="X513" s="14" t="str">
        <f aca="false">IF(OR($V513="",$W513=""),"",IF(AND($V513&gt;=Spravochnik!$H$5,$W513&gt;=Spravochnik!$H$6),"Ha","Yo'q"))</f>
        <v/>
      </c>
      <c r="Y513" s="13"/>
      <c r="Z513" s="13"/>
      <c r="AA513" s="13"/>
      <c r="AB513" s="13"/>
      <c r="AC513" s="14" t="str">
        <f aca="false">IF(AND($B513&lt;&gt;"",$AE513="",$AB513&lt;&gt;"",$AB513&lt;Boshqaruv!$C$12),"Ha","")</f>
        <v/>
      </c>
      <c r="AD513" s="25"/>
      <c r="AE513" s="13"/>
      <c r="AF513" s="12"/>
      <c r="AG513" s="14" t="str">
        <f aca="false">IF(OR($B513="",$C513="",$H513=""),"",IF(COUNTIFS($B$5:$B$804,$B513,$C$5:$C$804,$C513,$H$5:$H$804,$H513)&gt;1,"Takror",""))</f>
        <v/>
      </c>
      <c r="AH513" s="28" t="str">
        <f aca="false">IF(AND($B513&lt;&gt;"",$N513="Ha",$H513&lt;&gt;"",$H513&lt;=Boshqaruv!$C$12,OR($AE513="",$AE513&gt;Boshqaruv!$C$12)),MAX($AH$4:$AH512)+1,"")</f>
        <v/>
      </c>
    </row>
    <row r="514" customFormat="false" ht="15" hidden="false" customHeight="false" outlineLevel="0" collapsed="false">
      <c r="A514" s="20" t="n">
        <v>510</v>
      </c>
      <c r="B514" s="12"/>
      <c r="C514" s="13"/>
      <c r="D514" s="24"/>
      <c r="E514" s="12"/>
      <c r="F514" s="25"/>
      <c r="G514" s="27" t="str">
        <f aca="false">IF(OR($B514="",$C514=""),"",$B514&amp;" ("&amp;DAY($C514)&amp;"."&amp;MONTH($C514)&amp;"."&amp;YEAR($C514)&amp;")")</f>
        <v/>
      </c>
      <c r="H514" s="13"/>
      <c r="I514" s="13"/>
      <c r="J514" s="15" t="str">
        <f aca="false">IF($I514="","",$I514+280)</f>
        <v/>
      </c>
      <c r="K514" s="14" t="str">
        <f aca="false">IF(OR($I514="",$AE514&lt;&gt;""),"",INT((Boshqaruv!$C$12-$I514)/7))</f>
        <v/>
      </c>
      <c r="L514" s="14" t="str">
        <f aca="false">IF(OR($C514="",$H514=""),"",INT(($H514-$C514)/365.25))</f>
        <v/>
      </c>
      <c r="M514" s="14" t="str">
        <f aca="false">IF($L514="","",IF($L514&lt;18,"Ha","Yo'q"))</f>
        <v/>
      </c>
      <c r="N514" s="25"/>
      <c r="O514" s="25"/>
      <c r="P514" s="25"/>
      <c r="Q514" s="12"/>
      <c r="R514" s="25"/>
      <c r="S514" s="12"/>
      <c r="T514" s="13"/>
      <c r="U514" s="12"/>
      <c r="V514" s="25"/>
      <c r="W514" s="25"/>
      <c r="X514" s="14" t="str">
        <f aca="false">IF(OR($V514="",$W514=""),"",IF(AND($V514&gt;=Spravochnik!$H$5,$W514&gt;=Spravochnik!$H$6),"Ha","Yo'q"))</f>
        <v/>
      </c>
      <c r="Y514" s="13"/>
      <c r="Z514" s="13"/>
      <c r="AA514" s="13"/>
      <c r="AB514" s="13"/>
      <c r="AC514" s="14" t="str">
        <f aca="false">IF(AND($B514&lt;&gt;"",$AE514="",$AB514&lt;&gt;"",$AB514&lt;Boshqaruv!$C$12),"Ha","")</f>
        <v/>
      </c>
      <c r="AD514" s="25"/>
      <c r="AE514" s="13"/>
      <c r="AF514" s="12"/>
      <c r="AG514" s="14" t="str">
        <f aca="false">IF(OR($B514="",$C514="",$H514=""),"",IF(COUNTIFS($B$5:$B$804,$B514,$C$5:$C$804,$C514,$H$5:$H$804,$H514)&gt;1,"Takror",""))</f>
        <v/>
      </c>
      <c r="AH514" s="28" t="str">
        <f aca="false">IF(AND($B514&lt;&gt;"",$N514="Ha",$H514&lt;&gt;"",$H514&lt;=Boshqaruv!$C$12,OR($AE514="",$AE514&gt;Boshqaruv!$C$12)),MAX($AH$4:$AH513)+1,"")</f>
        <v/>
      </c>
    </row>
    <row r="515" customFormat="false" ht="15" hidden="false" customHeight="false" outlineLevel="0" collapsed="false">
      <c r="A515" s="20" t="n">
        <v>511</v>
      </c>
      <c r="B515" s="12"/>
      <c r="C515" s="13"/>
      <c r="D515" s="24"/>
      <c r="E515" s="12"/>
      <c r="F515" s="25"/>
      <c r="G515" s="27" t="str">
        <f aca="false">IF(OR($B515="",$C515=""),"",$B515&amp;" ("&amp;DAY($C515)&amp;"."&amp;MONTH($C515)&amp;"."&amp;YEAR($C515)&amp;")")</f>
        <v/>
      </c>
      <c r="H515" s="13"/>
      <c r="I515" s="13"/>
      <c r="J515" s="15" t="str">
        <f aca="false">IF($I515="","",$I515+280)</f>
        <v/>
      </c>
      <c r="K515" s="14" t="str">
        <f aca="false">IF(OR($I515="",$AE515&lt;&gt;""),"",INT((Boshqaruv!$C$12-$I515)/7))</f>
        <v/>
      </c>
      <c r="L515" s="14" t="str">
        <f aca="false">IF(OR($C515="",$H515=""),"",INT(($H515-$C515)/365.25))</f>
        <v/>
      </c>
      <c r="M515" s="14" t="str">
        <f aca="false">IF($L515="","",IF($L515&lt;18,"Ha","Yo'q"))</f>
        <v/>
      </c>
      <c r="N515" s="25"/>
      <c r="O515" s="25"/>
      <c r="P515" s="25"/>
      <c r="Q515" s="12"/>
      <c r="R515" s="25"/>
      <c r="S515" s="12"/>
      <c r="T515" s="13"/>
      <c r="U515" s="12"/>
      <c r="V515" s="25"/>
      <c r="W515" s="25"/>
      <c r="X515" s="14" t="str">
        <f aca="false">IF(OR($V515="",$W515=""),"",IF(AND($V515&gt;=Spravochnik!$H$5,$W515&gt;=Spravochnik!$H$6),"Ha","Yo'q"))</f>
        <v/>
      </c>
      <c r="Y515" s="13"/>
      <c r="Z515" s="13"/>
      <c r="AA515" s="13"/>
      <c r="AB515" s="13"/>
      <c r="AC515" s="14" t="str">
        <f aca="false">IF(AND($B515&lt;&gt;"",$AE515="",$AB515&lt;&gt;"",$AB515&lt;Boshqaruv!$C$12),"Ha","")</f>
        <v/>
      </c>
      <c r="AD515" s="25"/>
      <c r="AE515" s="13"/>
      <c r="AF515" s="12"/>
      <c r="AG515" s="14" t="str">
        <f aca="false">IF(OR($B515="",$C515="",$H515=""),"",IF(COUNTIFS($B$5:$B$804,$B515,$C$5:$C$804,$C515,$H$5:$H$804,$H515)&gt;1,"Takror",""))</f>
        <v/>
      </c>
      <c r="AH515" s="28" t="str">
        <f aca="false">IF(AND($B515&lt;&gt;"",$N515="Ha",$H515&lt;&gt;"",$H515&lt;=Boshqaruv!$C$12,OR($AE515="",$AE515&gt;Boshqaruv!$C$12)),MAX($AH$4:$AH514)+1,"")</f>
        <v/>
      </c>
    </row>
    <row r="516" customFormat="false" ht="15" hidden="false" customHeight="false" outlineLevel="0" collapsed="false">
      <c r="A516" s="20" t="n">
        <v>512</v>
      </c>
      <c r="B516" s="12"/>
      <c r="C516" s="13"/>
      <c r="D516" s="24"/>
      <c r="E516" s="12"/>
      <c r="F516" s="25"/>
      <c r="G516" s="27" t="str">
        <f aca="false">IF(OR($B516="",$C516=""),"",$B516&amp;" ("&amp;DAY($C516)&amp;"."&amp;MONTH($C516)&amp;"."&amp;YEAR($C516)&amp;")")</f>
        <v/>
      </c>
      <c r="H516" s="13"/>
      <c r="I516" s="13"/>
      <c r="J516" s="15" t="str">
        <f aca="false">IF($I516="","",$I516+280)</f>
        <v/>
      </c>
      <c r="K516" s="14" t="str">
        <f aca="false">IF(OR($I516="",$AE516&lt;&gt;""),"",INT((Boshqaruv!$C$12-$I516)/7))</f>
        <v/>
      </c>
      <c r="L516" s="14" t="str">
        <f aca="false">IF(OR($C516="",$H516=""),"",INT(($H516-$C516)/365.25))</f>
        <v/>
      </c>
      <c r="M516" s="14" t="str">
        <f aca="false">IF($L516="","",IF($L516&lt;18,"Ha","Yo'q"))</f>
        <v/>
      </c>
      <c r="N516" s="25"/>
      <c r="O516" s="25"/>
      <c r="P516" s="25"/>
      <c r="Q516" s="12"/>
      <c r="R516" s="25"/>
      <c r="S516" s="12"/>
      <c r="T516" s="13"/>
      <c r="U516" s="12"/>
      <c r="V516" s="25"/>
      <c r="W516" s="25"/>
      <c r="X516" s="14" t="str">
        <f aca="false">IF(OR($V516="",$W516=""),"",IF(AND($V516&gt;=Spravochnik!$H$5,$W516&gt;=Spravochnik!$H$6),"Ha","Yo'q"))</f>
        <v/>
      </c>
      <c r="Y516" s="13"/>
      <c r="Z516" s="13"/>
      <c r="AA516" s="13"/>
      <c r="AB516" s="13"/>
      <c r="AC516" s="14" t="str">
        <f aca="false">IF(AND($B516&lt;&gt;"",$AE516="",$AB516&lt;&gt;"",$AB516&lt;Boshqaruv!$C$12),"Ha","")</f>
        <v/>
      </c>
      <c r="AD516" s="25"/>
      <c r="AE516" s="13"/>
      <c r="AF516" s="12"/>
      <c r="AG516" s="14" t="str">
        <f aca="false">IF(OR($B516="",$C516="",$H516=""),"",IF(COUNTIFS($B$5:$B$804,$B516,$C$5:$C$804,$C516,$H$5:$H$804,$H516)&gt;1,"Takror",""))</f>
        <v/>
      </c>
      <c r="AH516" s="28" t="str">
        <f aca="false">IF(AND($B516&lt;&gt;"",$N516="Ha",$H516&lt;&gt;"",$H516&lt;=Boshqaruv!$C$12,OR($AE516="",$AE516&gt;Boshqaruv!$C$12)),MAX($AH$4:$AH515)+1,"")</f>
        <v/>
      </c>
    </row>
    <row r="517" customFormat="false" ht="15" hidden="false" customHeight="false" outlineLevel="0" collapsed="false">
      <c r="A517" s="20" t="n">
        <v>513</v>
      </c>
      <c r="B517" s="12"/>
      <c r="C517" s="13"/>
      <c r="D517" s="24"/>
      <c r="E517" s="12"/>
      <c r="F517" s="25"/>
      <c r="G517" s="27" t="str">
        <f aca="false">IF(OR($B517="",$C517=""),"",$B517&amp;" ("&amp;DAY($C517)&amp;"."&amp;MONTH($C517)&amp;"."&amp;YEAR($C517)&amp;")")</f>
        <v/>
      </c>
      <c r="H517" s="13"/>
      <c r="I517" s="13"/>
      <c r="J517" s="15" t="str">
        <f aca="false">IF($I517="","",$I517+280)</f>
        <v/>
      </c>
      <c r="K517" s="14" t="str">
        <f aca="false">IF(OR($I517="",$AE517&lt;&gt;""),"",INT((Boshqaruv!$C$12-$I517)/7))</f>
        <v/>
      </c>
      <c r="L517" s="14" t="str">
        <f aca="false">IF(OR($C517="",$H517=""),"",INT(($H517-$C517)/365.25))</f>
        <v/>
      </c>
      <c r="M517" s="14" t="str">
        <f aca="false">IF($L517="","",IF($L517&lt;18,"Ha","Yo'q"))</f>
        <v/>
      </c>
      <c r="N517" s="25"/>
      <c r="O517" s="25"/>
      <c r="P517" s="25"/>
      <c r="Q517" s="12"/>
      <c r="R517" s="25"/>
      <c r="S517" s="12"/>
      <c r="T517" s="13"/>
      <c r="U517" s="12"/>
      <c r="V517" s="25"/>
      <c r="W517" s="25"/>
      <c r="X517" s="14" t="str">
        <f aca="false">IF(OR($V517="",$W517=""),"",IF(AND($V517&gt;=Spravochnik!$H$5,$W517&gt;=Spravochnik!$H$6),"Ha","Yo'q"))</f>
        <v/>
      </c>
      <c r="Y517" s="13"/>
      <c r="Z517" s="13"/>
      <c r="AA517" s="13"/>
      <c r="AB517" s="13"/>
      <c r="AC517" s="14" t="str">
        <f aca="false">IF(AND($B517&lt;&gt;"",$AE517="",$AB517&lt;&gt;"",$AB517&lt;Boshqaruv!$C$12),"Ha","")</f>
        <v/>
      </c>
      <c r="AD517" s="25"/>
      <c r="AE517" s="13"/>
      <c r="AF517" s="12"/>
      <c r="AG517" s="14" t="str">
        <f aca="false">IF(OR($B517="",$C517="",$H517=""),"",IF(COUNTIFS($B$5:$B$804,$B517,$C$5:$C$804,$C517,$H$5:$H$804,$H517)&gt;1,"Takror",""))</f>
        <v/>
      </c>
      <c r="AH517" s="28" t="str">
        <f aca="false">IF(AND($B517&lt;&gt;"",$N517="Ha",$H517&lt;&gt;"",$H517&lt;=Boshqaruv!$C$12,OR($AE517="",$AE517&gt;Boshqaruv!$C$12)),MAX($AH$4:$AH516)+1,"")</f>
        <v/>
      </c>
    </row>
    <row r="518" customFormat="false" ht="15" hidden="false" customHeight="false" outlineLevel="0" collapsed="false">
      <c r="A518" s="20" t="n">
        <v>514</v>
      </c>
      <c r="B518" s="12"/>
      <c r="C518" s="13"/>
      <c r="D518" s="24"/>
      <c r="E518" s="12"/>
      <c r="F518" s="25"/>
      <c r="G518" s="27" t="str">
        <f aca="false">IF(OR($B518="",$C518=""),"",$B518&amp;" ("&amp;DAY($C518)&amp;"."&amp;MONTH($C518)&amp;"."&amp;YEAR($C518)&amp;")")</f>
        <v/>
      </c>
      <c r="H518" s="13"/>
      <c r="I518" s="13"/>
      <c r="J518" s="15" t="str">
        <f aca="false">IF($I518="","",$I518+280)</f>
        <v/>
      </c>
      <c r="K518" s="14" t="str">
        <f aca="false">IF(OR($I518="",$AE518&lt;&gt;""),"",INT((Boshqaruv!$C$12-$I518)/7))</f>
        <v/>
      </c>
      <c r="L518" s="14" t="str">
        <f aca="false">IF(OR($C518="",$H518=""),"",INT(($H518-$C518)/365.25))</f>
        <v/>
      </c>
      <c r="M518" s="14" t="str">
        <f aca="false">IF($L518="","",IF($L518&lt;18,"Ha","Yo'q"))</f>
        <v/>
      </c>
      <c r="N518" s="25"/>
      <c r="O518" s="25"/>
      <c r="P518" s="25"/>
      <c r="Q518" s="12"/>
      <c r="R518" s="25"/>
      <c r="S518" s="12"/>
      <c r="T518" s="13"/>
      <c r="U518" s="12"/>
      <c r="V518" s="25"/>
      <c r="W518" s="25"/>
      <c r="X518" s="14" t="str">
        <f aca="false">IF(OR($V518="",$W518=""),"",IF(AND($V518&gt;=Spravochnik!$H$5,$W518&gt;=Spravochnik!$H$6),"Ha","Yo'q"))</f>
        <v/>
      </c>
      <c r="Y518" s="13"/>
      <c r="Z518" s="13"/>
      <c r="AA518" s="13"/>
      <c r="AB518" s="13"/>
      <c r="AC518" s="14" t="str">
        <f aca="false">IF(AND($B518&lt;&gt;"",$AE518="",$AB518&lt;&gt;"",$AB518&lt;Boshqaruv!$C$12),"Ha","")</f>
        <v/>
      </c>
      <c r="AD518" s="25"/>
      <c r="AE518" s="13"/>
      <c r="AF518" s="12"/>
      <c r="AG518" s="14" t="str">
        <f aca="false">IF(OR($B518="",$C518="",$H518=""),"",IF(COUNTIFS($B$5:$B$804,$B518,$C$5:$C$804,$C518,$H$5:$H$804,$H518)&gt;1,"Takror",""))</f>
        <v/>
      </c>
      <c r="AH518" s="28" t="str">
        <f aca="false">IF(AND($B518&lt;&gt;"",$N518="Ha",$H518&lt;&gt;"",$H518&lt;=Boshqaruv!$C$12,OR($AE518="",$AE518&gt;Boshqaruv!$C$12)),MAX($AH$4:$AH517)+1,"")</f>
        <v/>
      </c>
    </row>
    <row r="519" customFormat="false" ht="15" hidden="false" customHeight="false" outlineLevel="0" collapsed="false">
      <c r="A519" s="20" t="n">
        <v>515</v>
      </c>
      <c r="B519" s="12"/>
      <c r="C519" s="13"/>
      <c r="D519" s="24"/>
      <c r="E519" s="12"/>
      <c r="F519" s="25"/>
      <c r="G519" s="27" t="str">
        <f aca="false">IF(OR($B519="",$C519=""),"",$B519&amp;" ("&amp;DAY($C519)&amp;"."&amp;MONTH($C519)&amp;"."&amp;YEAR($C519)&amp;")")</f>
        <v/>
      </c>
      <c r="H519" s="13"/>
      <c r="I519" s="13"/>
      <c r="J519" s="15" t="str">
        <f aca="false">IF($I519="","",$I519+280)</f>
        <v/>
      </c>
      <c r="K519" s="14" t="str">
        <f aca="false">IF(OR($I519="",$AE519&lt;&gt;""),"",INT((Boshqaruv!$C$12-$I519)/7))</f>
        <v/>
      </c>
      <c r="L519" s="14" t="str">
        <f aca="false">IF(OR($C519="",$H519=""),"",INT(($H519-$C519)/365.25))</f>
        <v/>
      </c>
      <c r="M519" s="14" t="str">
        <f aca="false">IF($L519="","",IF($L519&lt;18,"Ha","Yo'q"))</f>
        <v/>
      </c>
      <c r="N519" s="25"/>
      <c r="O519" s="25"/>
      <c r="P519" s="25"/>
      <c r="Q519" s="12"/>
      <c r="R519" s="25"/>
      <c r="S519" s="12"/>
      <c r="T519" s="13"/>
      <c r="U519" s="12"/>
      <c r="V519" s="25"/>
      <c r="W519" s="25"/>
      <c r="X519" s="14" t="str">
        <f aca="false">IF(OR($V519="",$W519=""),"",IF(AND($V519&gt;=Spravochnik!$H$5,$W519&gt;=Spravochnik!$H$6),"Ha","Yo'q"))</f>
        <v/>
      </c>
      <c r="Y519" s="13"/>
      <c r="Z519" s="13"/>
      <c r="AA519" s="13"/>
      <c r="AB519" s="13"/>
      <c r="AC519" s="14" t="str">
        <f aca="false">IF(AND($B519&lt;&gt;"",$AE519="",$AB519&lt;&gt;"",$AB519&lt;Boshqaruv!$C$12),"Ha","")</f>
        <v/>
      </c>
      <c r="AD519" s="25"/>
      <c r="AE519" s="13"/>
      <c r="AF519" s="12"/>
      <c r="AG519" s="14" t="str">
        <f aca="false">IF(OR($B519="",$C519="",$H519=""),"",IF(COUNTIFS($B$5:$B$804,$B519,$C$5:$C$804,$C519,$H$5:$H$804,$H519)&gt;1,"Takror",""))</f>
        <v/>
      </c>
      <c r="AH519" s="28" t="str">
        <f aca="false">IF(AND($B519&lt;&gt;"",$N519="Ha",$H519&lt;&gt;"",$H519&lt;=Boshqaruv!$C$12,OR($AE519="",$AE519&gt;Boshqaruv!$C$12)),MAX($AH$4:$AH518)+1,"")</f>
        <v/>
      </c>
    </row>
    <row r="520" customFormat="false" ht="15" hidden="false" customHeight="false" outlineLevel="0" collapsed="false">
      <c r="A520" s="20" t="n">
        <v>516</v>
      </c>
      <c r="B520" s="12"/>
      <c r="C520" s="13"/>
      <c r="D520" s="24"/>
      <c r="E520" s="12"/>
      <c r="F520" s="25"/>
      <c r="G520" s="27" t="str">
        <f aca="false">IF(OR($B520="",$C520=""),"",$B520&amp;" ("&amp;DAY($C520)&amp;"."&amp;MONTH($C520)&amp;"."&amp;YEAR($C520)&amp;")")</f>
        <v/>
      </c>
      <c r="H520" s="13"/>
      <c r="I520" s="13"/>
      <c r="J520" s="15" t="str">
        <f aca="false">IF($I520="","",$I520+280)</f>
        <v/>
      </c>
      <c r="K520" s="14" t="str">
        <f aca="false">IF(OR($I520="",$AE520&lt;&gt;""),"",INT((Boshqaruv!$C$12-$I520)/7))</f>
        <v/>
      </c>
      <c r="L520" s="14" t="str">
        <f aca="false">IF(OR($C520="",$H520=""),"",INT(($H520-$C520)/365.25))</f>
        <v/>
      </c>
      <c r="M520" s="14" t="str">
        <f aca="false">IF($L520="","",IF($L520&lt;18,"Ha","Yo'q"))</f>
        <v/>
      </c>
      <c r="N520" s="25"/>
      <c r="O520" s="25"/>
      <c r="P520" s="25"/>
      <c r="Q520" s="12"/>
      <c r="R520" s="25"/>
      <c r="S520" s="12"/>
      <c r="T520" s="13"/>
      <c r="U520" s="12"/>
      <c r="V520" s="25"/>
      <c r="W520" s="25"/>
      <c r="X520" s="14" t="str">
        <f aca="false">IF(OR($V520="",$W520=""),"",IF(AND($V520&gt;=Spravochnik!$H$5,$W520&gt;=Spravochnik!$H$6),"Ha","Yo'q"))</f>
        <v/>
      </c>
      <c r="Y520" s="13"/>
      <c r="Z520" s="13"/>
      <c r="AA520" s="13"/>
      <c r="AB520" s="13"/>
      <c r="AC520" s="14" t="str">
        <f aca="false">IF(AND($B520&lt;&gt;"",$AE520="",$AB520&lt;&gt;"",$AB520&lt;Boshqaruv!$C$12),"Ha","")</f>
        <v/>
      </c>
      <c r="AD520" s="25"/>
      <c r="AE520" s="13"/>
      <c r="AF520" s="12"/>
      <c r="AG520" s="14" t="str">
        <f aca="false">IF(OR($B520="",$C520="",$H520=""),"",IF(COUNTIFS($B$5:$B$804,$B520,$C$5:$C$804,$C520,$H$5:$H$804,$H520)&gt;1,"Takror",""))</f>
        <v/>
      </c>
      <c r="AH520" s="28" t="str">
        <f aca="false">IF(AND($B520&lt;&gt;"",$N520="Ha",$H520&lt;&gt;"",$H520&lt;=Boshqaruv!$C$12,OR($AE520="",$AE520&gt;Boshqaruv!$C$12)),MAX($AH$4:$AH519)+1,"")</f>
        <v/>
      </c>
    </row>
    <row r="521" customFormat="false" ht="15" hidden="false" customHeight="false" outlineLevel="0" collapsed="false">
      <c r="A521" s="20" t="n">
        <v>517</v>
      </c>
      <c r="B521" s="12"/>
      <c r="C521" s="13"/>
      <c r="D521" s="24"/>
      <c r="E521" s="12"/>
      <c r="F521" s="25"/>
      <c r="G521" s="27" t="str">
        <f aca="false">IF(OR($B521="",$C521=""),"",$B521&amp;" ("&amp;DAY($C521)&amp;"."&amp;MONTH($C521)&amp;"."&amp;YEAR($C521)&amp;")")</f>
        <v/>
      </c>
      <c r="H521" s="13"/>
      <c r="I521" s="13"/>
      <c r="J521" s="15" t="str">
        <f aca="false">IF($I521="","",$I521+280)</f>
        <v/>
      </c>
      <c r="K521" s="14" t="str">
        <f aca="false">IF(OR($I521="",$AE521&lt;&gt;""),"",INT((Boshqaruv!$C$12-$I521)/7))</f>
        <v/>
      </c>
      <c r="L521" s="14" t="str">
        <f aca="false">IF(OR($C521="",$H521=""),"",INT(($H521-$C521)/365.25))</f>
        <v/>
      </c>
      <c r="M521" s="14" t="str">
        <f aca="false">IF($L521="","",IF($L521&lt;18,"Ha","Yo'q"))</f>
        <v/>
      </c>
      <c r="N521" s="25"/>
      <c r="O521" s="25"/>
      <c r="P521" s="25"/>
      <c r="Q521" s="12"/>
      <c r="R521" s="25"/>
      <c r="S521" s="12"/>
      <c r="T521" s="13"/>
      <c r="U521" s="12"/>
      <c r="V521" s="25"/>
      <c r="W521" s="25"/>
      <c r="X521" s="14" t="str">
        <f aca="false">IF(OR($V521="",$W521=""),"",IF(AND($V521&gt;=Spravochnik!$H$5,$W521&gt;=Spravochnik!$H$6),"Ha","Yo'q"))</f>
        <v/>
      </c>
      <c r="Y521" s="13"/>
      <c r="Z521" s="13"/>
      <c r="AA521" s="13"/>
      <c r="AB521" s="13"/>
      <c r="AC521" s="14" t="str">
        <f aca="false">IF(AND($B521&lt;&gt;"",$AE521="",$AB521&lt;&gt;"",$AB521&lt;Boshqaruv!$C$12),"Ha","")</f>
        <v/>
      </c>
      <c r="AD521" s="25"/>
      <c r="AE521" s="13"/>
      <c r="AF521" s="12"/>
      <c r="AG521" s="14" t="str">
        <f aca="false">IF(OR($B521="",$C521="",$H521=""),"",IF(COUNTIFS($B$5:$B$804,$B521,$C$5:$C$804,$C521,$H$5:$H$804,$H521)&gt;1,"Takror",""))</f>
        <v/>
      </c>
      <c r="AH521" s="28" t="str">
        <f aca="false">IF(AND($B521&lt;&gt;"",$N521="Ha",$H521&lt;&gt;"",$H521&lt;=Boshqaruv!$C$12,OR($AE521="",$AE521&gt;Boshqaruv!$C$12)),MAX($AH$4:$AH520)+1,"")</f>
        <v/>
      </c>
    </row>
    <row r="522" customFormat="false" ht="15" hidden="false" customHeight="false" outlineLevel="0" collapsed="false">
      <c r="A522" s="20" t="n">
        <v>518</v>
      </c>
      <c r="B522" s="12"/>
      <c r="C522" s="13"/>
      <c r="D522" s="24"/>
      <c r="E522" s="12"/>
      <c r="F522" s="25"/>
      <c r="G522" s="27" t="str">
        <f aca="false">IF(OR($B522="",$C522=""),"",$B522&amp;" ("&amp;DAY($C522)&amp;"."&amp;MONTH($C522)&amp;"."&amp;YEAR($C522)&amp;")")</f>
        <v/>
      </c>
      <c r="H522" s="13"/>
      <c r="I522" s="13"/>
      <c r="J522" s="15" t="str">
        <f aca="false">IF($I522="","",$I522+280)</f>
        <v/>
      </c>
      <c r="K522" s="14" t="str">
        <f aca="false">IF(OR($I522="",$AE522&lt;&gt;""),"",INT((Boshqaruv!$C$12-$I522)/7))</f>
        <v/>
      </c>
      <c r="L522" s="14" t="str">
        <f aca="false">IF(OR($C522="",$H522=""),"",INT(($H522-$C522)/365.25))</f>
        <v/>
      </c>
      <c r="M522" s="14" t="str">
        <f aca="false">IF($L522="","",IF($L522&lt;18,"Ha","Yo'q"))</f>
        <v/>
      </c>
      <c r="N522" s="25"/>
      <c r="O522" s="25"/>
      <c r="P522" s="25"/>
      <c r="Q522" s="12"/>
      <c r="R522" s="25"/>
      <c r="S522" s="12"/>
      <c r="T522" s="13"/>
      <c r="U522" s="12"/>
      <c r="V522" s="25"/>
      <c r="W522" s="25"/>
      <c r="X522" s="14" t="str">
        <f aca="false">IF(OR($V522="",$W522=""),"",IF(AND($V522&gt;=Spravochnik!$H$5,$W522&gt;=Spravochnik!$H$6),"Ha","Yo'q"))</f>
        <v/>
      </c>
      <c r="Y522" s="13"/>
      <c r="Z522" s="13"/>
      <c r="AA522" s="13"/>
      <c r="AB522" s="13"/>
      <c r="AC522" s="14" t="str">
        <f aca="false">IF(AND($B522&lt;&gt;"",$AE522="",$AB522&lt;&gt;"",$AB522&lt;Boshqaruv!$C$12),"Ha","")</f>
        <v/>
      </c>
      <c r="AD522" s="25"/>
      <c r="AE522" s="13"/>
      <c r="AF522" s="12"/>
      <c r="AG522" s="14" t="str">
        <f aca="false">IF(OR($B522="",$C522="",$H522=""),"",IF(COUNTIFS($B$5:$B$804,$B522,$C$5:$C$804,$C522,$H$5:$H$804,$H522)&gt;1,"Takror",""))</f>
        <v/>
      </c>
      <c r="AH522" s="28" t="str">
        <f aca="false">IF(AND($B522&lt;&gt;"",$N522="Ha",$H522&lt;&gt;"",$H522&lt;=Boshqaruv!$C$12,OR($AE522="",$AE522&gt;Boshqaruv!$C$12)),MAX($AH$4:$AH521)+1,"")</f>
        <v/>
      </c>
    </row>
    <row r="523" customFormat="false" ht="15" hidden="false" customHeight="false" outlineLevel="0" collapsed="false">
      <c r="A523" s="20" t="n">
        <v>519</v>
      </c>
      <c r="B523" s="12"/>
      <c r="C523" s="13"/>
      <c r="D523" s="24"/>
      <c r="E523" s="12"/>
      <c r="F523" s="25"/>
      <c r="G523" s="27" t="str">
        <f aca="false">IF(OR($B523="",$C523=""),"",$B523&amp;" ("&amp;DAY($C523)&amp;"."&amp;MONTH($C523)&amp;"."&amp;YEAR($C523)&amp;")")</f>
        <v/>
      </c>
      <c r="H523" s="13"/>
      <c r="I523" s="13"/>
      <c r="J523" s="15" t="str">
        <f aca="false">IF($I523="","",$I523+280)</f>
        <v/>
      </c>
      <c r="K523" s="14" t="str">
        <f aca="false">IF(OR($I523="",$AE523&lt;&gt;""),"",INT((Boshqaruv!$C$12-$I523)/7))</f>
        <v/>
      </c>
      <c r="L523" s="14" t="str">
        <f aca="false">IF(OR($C523="",$H523=""),"",INT(($H523-$C523)/365.25))</f>
        <v/>
      </c>
      <c r="M523" s="14" t="str">
        <f aca="false">IF($L523="","",IF($L523&lt;18,"Ha","Yo'q"))</f>
        <v/>
      </c>
      <c r="N523" s="25"/>
      <c r="O523" s="25"/>
      <c r="P523" s="25"/>
      <c r="Q523" s="12"/>
      <c r="R523" s="25"/>
      <c r="S523" s="12"/>
      <c r="T523" s="13"/>
      <c r="U523" s="12"/>
      <c r="V523" s="25"/>
      <c r="W523" s="25"/>
      <c r="X523" s="14" t="str">
        <f aca="false">IF(OR($V523="",$W523=""),"",IF(AND($V523&gt;=Spravochnik!$H$5,$W523&gt;=Spravochnik!$H$6),"Ha","Yo'q"))</f>
        <v/>
      </c>
      <c r="Y523" s="13"/>
      <c r="Z523" s="13"/>
      <c r="AA523" s="13"/>
      <c r="AB523" s="13"/>
      <c r="AC523" s="14" t="str">
        <f aca="false">IF(AND($B523&lt;&gt;"",$AE523="",$AB523&lt;&gt;"",$AB523&lt;Boshqaruv!$C$12),"Ha","")</f>
        <v/>
      </c>
      <c r="AD523" s="25"/>
      <c r="AE523" s="13"/>
      <c r="AF523" s="12"/>
      <c r="AG523" s="14" t="str">
        <f aca="false">IF(OR($B523="",$C523="",$H523=""),"",IF(COUNTIFS($B$5:$B$804,$B523,$C$5:$C$804,$C523,$H$5:$H$804,$H523)&gt;1,"Takror",""))</f>
        <v/>
      </c>
      <c r="AH523" s="28" t="str">
        <f aca="false">IF(AND($B523&lt;&gt;"",$N523="Ha",$H523&lt;&gt;"",$H523&lt;=Boshqaruv!$C$12,OR($AE523="",$AE523&gt;Boshqaruv!$C$12)),MAX($AH$4:$AH522)+1,"")</f>
        <v/>
      </c>
    </row>
    <row r="524" customFormat="false" ht="15" hidden="false" customHeight="false" outlineLevel="0" collapsed="false">
      <c r="A524" s="20" t="n">
        <v>520</v>
      </c>
      <c r="B524" s="12"/>
      <c r="C524" s="13"/>
      <c r="D524" s="24"/>
      <c r="E524" s="12"/>
      <c r="F524" s="25"/>
      <c r="G524" s="27" t="str">
        <f aca="false">IF(OR($B524="",$C524=""),"",$B524&amp;" ("&amp;DAY($C524)&amp;"."&amp;MONTH($C524)&amp;"."&amp;YEAR($C524)&amp;")")</f>
        <v/>
      </c>
      <c r="H524" s="13"/>
      <c r="I524" s="13"/>
      <c r="J524" s="15" t="str">
        <f aca="false">IF($I524="","",$I524+280)</f>
        <v/>
      </c>
      <c r="K524" s="14" t="str">
        <f aca="false">IF(OR($I524="",$AE524&lt;&gt;""),"",INT((Boshqaruv!$C$12-$I524)/7))</f>
        <v/>
      </c>
      <c r="L524" s="14" t="str">
        <f aca="false">IF(OR($C524="",$H524=""),"",INT(($H524-$C524)/365.25))</f>
        <v/>
      </c>
      <c r="M524" s="14" t="str">
        <f aca="false">IF($L524="","",IF($L524&lt;18,"Ha","Yo'q"))</f>
        <v/>
      </c>
      <c r="N524" s="25"/>
      <c r="O524" s="25"/>
      <c r="P524" s="25"/>
      <c r="Q524" s="12"/>
      <c r="R524" s="25"/>
      <c r="S524" s="12"/>
      <c r="T524" s="13"/>
      <c r="U524" s="12"/>
      <c r="V524" s="25"/>
      <c r="W524" s="25"/>
      <c r="X524" s="14" t="str">
        <f aca="false">IF(OR($V524="",$W524=""),"",IF(AND($V524&gt;=Spravochnik!$H$5,$W524&gt;=Spravochnik!$H$6),"Ha","Yo'q"))</f>
        <v/>
      </c>
      <c r="Y524" s="13"/>
      <c r="Z524" s="13"/>
      <c r="AA524" s="13"/>
      <c r="AB524" s="13"/>
      <c r="AC524" s="14" t="str">
        <f aca="false">IF(AND($B524&lt;&gt;"",$AE524="",$AB524&lt;&gt;"",$AB524&lt;Boshqaruv!$C$12),"Ha","")</f>
        <v/>
      </c>
      <c r="AD524" s="25"/>
      <c r="AE524" s="13"/>
      <c r="AF524" s="12"/>
      <c r="AG524" s="14" t="str">
        <f aca="false">IF(OR($B524="",$C524="",$H524=""),"",IF(COUNTIFS($B$5:$B$804,$B524,$C$5:$C$804,$C524,$H$5:$H$804,$H524)&gt;1,"Takror",""))</f>
        <v/>
      </c>
      <c r="AH524" s="28" t="str">
        <f aca="false">IF(AND($B524&lt;&gt;"",$N524="Ha",$H524&lt;&gt;"",$H524&lt;=Boshqaruv!$C$12,OR($AE524="",$AE524&gt;Boshqaruv!$C$12)),MAX($AH$4:$AH523)+1,"")</f>
        <v/>
      </c>
    </row>
    <row r="525" customFormat="false" ht="15" hidden="false" customHeight="false" outlineLevel="0" collapsed="false">
      <c r="A525" s="20" t="n">
        <v>521</v>
      </c>
      <c r="B525" s="12"/>
      <c r="C525" s="13"/>
      <c r="D525" s="24"/>
      <c r="E525" s="12"/>
      <c r="F525" s="25"/>
      <c r="G525" s="27" t="str">
        <f aca="false">IF(OR($B525="",$C525=""),"",$B525&amp;" ("&amp;DAY($C525)&amp;"."&amp;MONTH($C525)&amp;"."&amp;YEAR($C525)&amp;")")</f>
        <v/>
      </c>
      <c r="H525" s="13"/>
      <c r="I525" s="13"/>
      <c r="J525" s="15" t="str">
        <f aca="false">IF($I525="","",$I525+280)</f>
        <v/>
      </c>
      <c r="K525" s="14" t="str">
        <f aca="false">IF(OR($I525="",$AE525&lt;&gt;""),"",INT((Boshqaruv!$C$12-$I525)/7))</f>
        <v/>
      </c>
      <c r="L525" s="14" t="str">
        <f aca="false">IF(OR($C525="",$H525=""),"",INT(($H525-$C525)/365.25))</f>
        <v/>
      </c>
      <c r="M525" s="14" t="str">
        <f aca="false">IF($L525="","",IF($L525&lt;18,"Ha","Yo'q"))</f>
        <v/>
      </c>
      <c r="N525" s="25"/>
      <c r="O525" s="25"/>
      <c r="P525" s="25"/>
      <c r="Q525" s="12"/>
      <c r="R525" s="25"/>
      <c r="S525" s="12"/>
      <c r="T525" s="13"/>
      <c r="U525" s="12"/>
      <c r="V525" s="25"/>
      <c r="W525" s="25"/>
      <c r="X525" s="14" t="str">
        <f aca="false">IF(OR($V525="",$W525=""),"",IF(AND($V525&gt;=Spravochnik!$H$5,$W525&gt;=Spravochnik!$H$6),"Ha","Yo'q"))</f>
        <v/>
      </c>
      <c r="Y525" s="13"/>
      <c r="Z525" s="13"/>
      <c r="AA525" s="13"/>
      <c r="AB525" s="13"/>
      <c r="AC525" s="14" t="str">
        <f aca="false">IF(AND($B525&lt;&gt;"",$AE525="",$AB525&lt;&gt;"",$AB525&lt;Boshqaruv!$C$12),"Ha","")</f>
        <v/>
      </c>
      <c r="AD525" s="25"/>
      <c r="AE525" s="13"/>
      <c r="AF525" s="12"/>
      <c r="AG525" s="14" t="str">
        <f aca="false">IF(OR($B525="",$C525="",$H525=""),"",IF(COUNTIFS($B$5:$B$804,$B525,$C$5:$C$804,$C525,$H$5:$H$804,$H525)&gt;1,"Takror",""))</f>
        <v/>
      </c>
      <c r="AH525" s="28" t="str">
        <f aca="false">IF(AND($B525&lt;&gt;"",$N525="Ha",$H525&lt;&gt;"",$H525&lt;=Boshqaruv!$C$12,OR($AE525="",$AE525&gt;Boshqaruv!$C$12)),MAX($AH$4:$AH524)+1,"")</f>
        <v/>
      </c>
    </row>
    <row r="526" customFormat="false" ht="15" hidden="false" customHeight="false" outlineLevel="0" collapsed="false">
      <c r="A526" s="20" t="n">
        <v>522</v>
      </c>
      <c r="B526" s="12"/>
      <c r="C526" s="13"/>
      <c r="D526" s="24"/>
      <c r="E526" s="12"/>
      <c r="F526" s="25"/>
      <c r="G526" s="27" t="str">
        <f aca="false">IF(OR($B526="",$C526=""),"",$B526&amp;" ("&amp;DAY($C526)&amp;"."&amp;MONTH($C526)&amp;"."&amp;YEAR($C526)&amp;")")</f>
        <v/>
      </c>
      <c r="H526" s="13"/>
      <c r="I526" s="13"/>
      <c r="J526" s="15" t="str">
        <f aca="false">IF($I526="","",$I526+280)</f>
        <v/>
      </c>
      <c r="K526" s="14" t="str">
        <f aca="false">IF(OR($I526="",$AE526&lt;&gt;""),"",INT((Boshqaruv!$C$12-$I526)/7))</f>
        <v/>
      </c>
      <c r="L526" s="14" t="str">
        <f aca="false">IF(OR($C526="",$H526=""),"",INT(($H526-$C526)/365.25))</f>
        <v/>
      </c>
      <c r="M526" s="14" t="str">
        <f aca="false">IF($L526="","",IF($L526&lt;18,"Ha","Yo'q"))</f>
        <v/>
      </c>
      <c r="N526" s="25"/>
      <c r="O526" s="25"/>
      <c r="P526" s="25"/>
      <c r="Q526" s="12"/>
      <c r="R526" s="25"/>
      <c r="S526" s="12"/>
      <c r="T526" s="13"/>
      <c r="U526" s="12"/>
      <c r="V526" s="25"/>
      <c r="W526" s="25"/>
      <c r="X526" s="14" t="str">
        <f aca="false">IF(OR($V526="",$W526=""),"",IF(AND($V526&gt;=Spravochnik!$H$5,$W526&gt;=Spravochnik!$H$6),"Ha","Yo'q"))</f>
        <v/>
      </c>
      <c r="Y526" s="13"/>
      <c r="Z526" s="13"/>
      <c r="AA526" s="13"/>
      <c r="AB526" s="13"/>
      <c r="AC526" s="14" t="str">
        <f aca="false">IF(AND($B526&lt;&gt;"",$AE526="",$AB526&lt;&gt;"",$AB526&lt;Boshqaruv!$C$12),"Ha","")</f>
        <v/>
      </c>
      <c r="AD526" s="25"/>
      <c r="AE526" s="13"/>
      <c r="AF526" s="12"/>
      <c r="AG526" s="14" t="str">
        <f aca="false">IF(OR($B526="",$C526="",$H526=""),"",IF(COUNTIFS($B$5:$B$804,$B526,$C$5:$C$804,$C526,$H$5:$H$804,$H526)&gt;1,"Takror",""))</f>
        <v/>
      </c>
      <c r="AH526" s="28" t="str">
        <f aca="false">IF(AND($B526&lt;&gt;"",$N526="Ha",$H526&lt;&gt;"",$H526&lt;=Boshqaruv!$C$12,OR($AE526="",$AE526&gt;Boshqaruv!$C$12)),MAX($AH$4:$AH525)+1,"")</f>
        <v/>
      </c>
    </row>
    <row r="527" customFormat="false" ht="15" hidden="false" customHeight="false" outlineLevel="0" collapsed="false">
      <c r="A527" s="20" t="n">
        <v>523</v>
      </c>
      <c r="B527" s="12"/>
      <c r="C527" s="13"/>
      <c r="D527" s="24"/>
      <c r="E527" s="12"/>
      <c r="F527" s="25"/>
      <c r="G527" s="27" t="str">
        <f aca="false">IF(OR($B527="",$C527=""),"",$B527&amp;" ("&amp;DAY($C527)&amp;"."&amp;MONTH($C527)&amp;"."&amp;YEAR($C527)&amp;")")</f>
        <v/>
      </c>
      <c r="H527" s="13"/>
      <c r="I527" s="13"/>
      <c r="J527" s="15" t="str">
        <f aca="false">IF($I527="","",$I527+280)</f>
        <v/>
      </c>
      <c r="K527" s="14" t="str">
        <f aca="false">IF(OR($I527="",$AE527&lt;&gt;""),"",INT((Boshqaruv!$C$12-$I527)/7))</f>
        <v/>
      </c>
      <c r="L527" s="14" t="str">
        <f aca="false">IF(OR($C527="",$H527=""),"",INT(($H527-$C527)/365.25))</f>
        <v/>
      </c>
      <c r="M527" s="14" t="str">
        <f aca="false">IF($L527="","",IF($L527&lt;18,"Ha","Yo'q"))</f>
        <v/>
      </c>
      <c r="N527" s="25"/>
      <c r="O527" s="25"/>
      <c r="P527" s="25"/>
      <c r="Q527" s="12"/>
      <c r="R527" s="25"/>
      <c r="S527" s="12"/>
      <c r="T527" s="13"/>
      <c r="U527" s="12"/>
      <c r="V527" s="25"/>
      <c r="W527" s="25"/>
      <c r="X527" s="14" t="str">
        <f aca="false">IF(OR($V527="",$W527=""),"",IF(AND($V527&gt;=Spravochnik!$H$5,$W527&gt;=Spravochnik!$H$6),"Ha","Yo'q"))</f>
        <v/>
      </c>
      <c r="Y527" s="13"/>
      <c r="Z527" s="13"/>
      <c r="AA527" s="13"/>
      <c r="AB527" s="13"/>
      <c r="AC527" s="14" t="str">
        <f aca="false">IF(AND($B527&lt;&gt;"",$AE527="",$AB527&lt;&gt;"",$AB527&lt;Boshqaruv!$C$12),"Ha","")</f>
        <v/>
      </c>
      <c r="AD527" s="25"/>
      <c r="AE527" s="13"/>
      <c r="AF527" s="12"/>
      <c r="AG527" s="14" t="str">
        <f aca="false">IF(OR($B527="",$C527="",$H527=""),"",IF(COUNTIFS($B$5:$B$804,$B527,$C$5:$C$804,$C527,$H$5:$H$804,$H527)&gt;1,"Takror",""))</f>
        <v/>
      </c>
      <c r="AH527" s="28" t="str">
        <f aca="false">IF(AND($B527&lt;&gt;"",$N527="Ha",$H527&lt;&gt;"",$H527&lt;=Boshqaruv!$C$12,OR($AE527="",$AE527&gt;Boshqaruv!$C$12)),MAX($AH$4:$AH526)+1,"")</f>
        <v/>
      </c>
    </row>
    <row r="528" customFormat="false" ht="15" hidden="false" customHeight="false" outlineLevel="0" collapsed="false">
      <c r="A528" s="20" t="n">
        <v>524</v>
      </c>
      <c r="B528" s="12"/>
      <c r="C528" s="13"/>
      <c r="D528" s="24"/>
      <c r="E528" s="12"/>
      <c r="F528" s="25"/>
      <c r="G528" s="27" t="str">
        <f aca="false">IF(OR($B528="",$C528=""),"",$B528&amp;" ("&amp;DAY($C528)&amp;"."&amp;MONTH($C528)&amp;"."&amp;YEAR($C528)&amp;")")</f>
        <v/>
      </c>
      <c r="H528" s="13"/>
      <c r="I528" s="13"/>
      <c r="J528" s="15" t="str">
        <f aca="false">IF($I528="","",$I528+280)</f>
        <v/>
      </c>
      <c r="K528" s="14" t="str">
        <f aca="false">IF(OR($I528="",$AE528&lt;&gt;""),"",INT((Boshqaruv!$C$12-$I528)/7))</f>
        <v/>
      </c>
      <c r="L528" s="14" t="str">
        <f aca="false">IF(OR($C528="",$H528=""),"",INT(($H528-$C528)/365.25))</f>
        <v/>
      </c>
      <c r="M528" s="14" t="str">
        <f aca="false">IF($L528="","",IF($L528&lt;18,"Ha","Yo'q"))</f>
        <v/>
      </c>
      <c r="N528" s="25"/>
      <c r="O528" s="25"/>
      <c r="P528" s="25"/>
      <c r="Q528" s="12"/>
      <c r="R528" s="25"/>
      <c r="S528" s="12"/>
      <c r="T528" s="13"/>
      <c r="U528" s="12"/>
      <c r="V528" s="25"/>
      <c r="W528" s="25"/>
      <c r="X528" s="14" t="str">
        <f aca="false">IF(OR($V528="",$W528=""),"",IF(AND($V528&gt;=Spravochnik!$H$5,$W528&gt;=Spravochnik!$H$6),"Ha","Yo'q"))</f>
        <v/>
      </c>
      <c r="Y528" s="13"/>
      <c r="Z528" s="13"/>
      <c r="AA528" s="13"/>
      <c r="AB528" s="13"/>
      <c r="AC528" s="14" t="str">
        <f aca="false">IF(AND($B528&lt;&gt;"",$AE528="",$AB528&lt;&gt;"",$AB528&lt;Boshqaruv!$C$12),"Ha","")</f>
        <v/>
      </c>
      <c r="AD528" s="25"/>
      <c r="AE528" s="13"/>
      <c r="AF528" s="12"/>
      <c r="AG528" s="14" t="str">
        <f aca="false">IF(OR($B528="",$C528="",$H528=""),"",IF(COUNTIFS($B$5:$B$804,$B528,$C$5:$C$804,$C528,$H$5:$H$804,$H528)&gt;1,"Takror",""))</f>
        <v/>
      </c>
      <c r="AH528" s="28" t="str">
        <f aca="false">IF(AND($B528&lt;&gt;"",$N528="Ha",$H528&lt;&gt;"",$H528&lt;=Boshqaruv!$C$12,OR($AE528="",$AE528&gt;Boshqaruv!$C$12)),MAX($AH$4:$AH527)+1,"")</f>
        <v/>
      </c>
    </row>
    <row r="529" customFormat="false" ht="15" hidden="false" customHeight="false" outlineLevel="0" collapsed="false">
      <c r="A529" s="20" t="n">
        <v>525</v>
      </c>
      <c r="B529" s="12"/>
      <c r="C529" s="13"/>
      <c r="D529" s="24"/>
      <c r="E529" s="12"/>
      <c r="F529" s="25"/>
      <c r="G529" s="27" t="str">
        <f aca="false">IF(OR($B529="",$C529=""),"",$B529&amp;" ("&amp;DAY($C529)&amp;"."&amp;MONTH($C529)&amp;"."&amp;YEAR($C529)&amp;")")</f>
        <v/>
      </c>
      <c r="H529" s="13"/>
      <c r="I529" s="13"/>
      <c r="J529" s="15" t="str">
        <f aca="false">IF($I529="","",$I529+280)</f>
        <v/>
      </c>
      <c r="K529" s="14" t="str">
        <f aca="false">IF(OR($I529="",$AE529&lt;&gt;""),"",INT((Boshqaruv!$C$12-$I529)/7))</f>
        <v/>
      </c>
      <c r="L529" s="14" t="str">
        <f aca="false">IF(OR($C529="",$H529=""),"",INT(($H529-$C529)/365.25))</f>
        <v/>
      </c>
      <c r="M529" s="14" t="str">
        <f aca="false">IF($L529="","",IF($L529&lt;18,"Ha","Yo'q"))</f>
        <v/>
      </c>
      <c r="N529" s="25"/>
      <c r="O529" s="25"/>
      <c r="P529" s="25"/>
      <c r="Q529" s="12"/>
      <c r="R529" s="25"/>
      <c r="S529" s="12"/>
      <c r="T529" s="13"/>
      <c r="U529" s="12"/>
      <c r="V529" s="25"/>
      <c r="W529" s="25"/>
      <c r="X529" s="14" t="str">
        <f aca="false">IF(OR($V529="",$W529=""),"",IF(AND($V529&gt;=Spravochnik!$H$5,$W529&gt;=Spravochnik!$H$6),"Ha","Yo'q"))</f>
        <v/>
      </c>
      <c r="Y529" s="13"/>
      <c r="Z529" s="13"/>
      <c r="AA529" s="13"/>
      <c r="AB529" s="13"/>
      <c r="AC529" s="14" t="str">
        <f aca="false">IF(AND($B529&lt;&gt;"",$AE529="",$AB529&lt;&gt;"",$AB529&lt;Boshqaruv!$C$12),"Ha","")</f>
        <v/>
      </c>
      <c r="AD529" s="25"/>
      <c r="AE529" s="13"/>
      <c r="AF529" s="12"/>
      <c r="AG529" s="14" t="str">
        <f aca="false">IF(OR($B529="",$C529="",$H529=""),"",IF(COUNTIFS($B$5:$B$804,$B529,$C$5:$C$804,$C529,$H$5:$H$804,$H529)&gt;1,"Takror",""))</f>
        <v/>
      </c>
      <c r="AH529" s="28" t="str">
        <f aca="false">IF(AND($B529&lt;&gt;"",$N529="Ha",$H529&lt;&gt;"",$H529&lt;=Boshqaruv!$C$12,OR($AE529="",$AE529&gt;Boshqaruv!$C$12)),MAX($AH$4:$AH528)+1,"")</f>
        <v/>
      </c>
    </row>
    <row r="530" customFormat="false" ht="15" hidden="false" customHeight="false" outlineLevel="0" collapsed="false">
      <c r="A530" s="20" t="n">
        <v>526</v>
      </c>
      <c r="B530" s="12"/>
      <c r="C530" s="13"/>
      <c r="D530" s="24"/>
      <c r="E530" s="12"/>
      <c r="F530" s="25"/>
      <c r="G530" s="27" t="str">
        <f aca="false">IF(OR($B530="",$C530=""),"",$B530&amp;" ("&amp;DAY($C530)&amp;"."&amp;MONTH($C530)&amp;"."&amp;YEAR($C530)&amp;")")</f>
        <v/>
      </c>
      <c r="H530" s="13"/>
      <c r="I530" s="13"/>
      <c r="J530" s="15" t="str">
        <f aca="false">IF($I530="","",$I530+280)</f>
        <v/>
      </c>
      <c r="K530" s="14" t="str">
        <f aca="false">IF(OR($I530="",$AE530&lt;&gt;""),"",INT((Boshqaruv!$C$12-$I530)/7))</f>
        <v/>
      </c>
      <c r="L530" s="14" t="str">
        <f aca="false">IF(OR($C530="",$H530=""),"",INT(($H530-$C530)/365.25))</f>
        <v/>
      </c>
      <c r="M530" s="14" t="str">
        <f aca="false">IF($L530="","",IF($L530&lt;18,"Ha","Yo'q"))</f>
        <v/>
      </c>
      <c r="N530" s="25"/>
      <c r="O530" s="25"/>
      <c r="P530" s="25"/>
      <c r="Q530" s="12"/>
      <c r="R530" s="25"/>
      <c r="S530" s="12"/>
      <c r="T530" s="13"/>
      <c r="U530" s="12"/>
      <c r="V530" s="25"/>
      <c r="W530" s="25"/>
      <c r="X530" s="14" t="str">
        <f aca="false">IF(OR($V530="",$W530=""),"",IF(AND($V530&gt;=Spravochnik!$H$5,$W530&gt;=Spravochnik!$H$6),"Ha","Yo'q"))</f>
        <v/>
      </c>
      <c r="Y530" s="13"/>
      <c r="Z530" s="13"/>
      <c r="AA530" s="13"/>
      <c r="AB530" s="13"/>
      <c r="AC530" s="14" t="str">
        <f aca="false">IF(AND($B530&lt;&gt;"",$AE530="",$AB530&lt;&gt;"",$AB530&lt;Boshqaruv!$C$12),"Ha","")</f>
        <v/>
      </c>
      <c r="AD530" s="25"/>
      <c r="AE530" s="13"/>
      <c r="AF530" s="12"/>
      <c r="AG530" s="14" t="str">
        <f aca="false">IF(OR($B530="",$C530="",$H530=""),"",IF(COUNTIFS($B$5:$B$804,$B530,$C$5:$C$804,$C530,$H$5:$H$804,$H530)&gt;1,"Takror",""))</f>
        <v/>
      </c>
      <c r="AH530" s="28" t="str">
        <f aca="false">IF(AND($B530&lt;&gt;"",$N530="Ha",$H530&lt;&gt;"",$H530&lt;=Boshqaruv!$C$12,OR($AE530="",$AE530&gt;Boshqaruv!$C$12)),MAX($AH$4:$AH529)+1,"")</f>
        <v/>
      </c>
    </row>
    <row r="531" customFormat="false" ht="15" hidden="false" customHeight="false" outlineLevel="0" collapsed="false">
      <c r="A531" s="20" t="n">
        <v>527</v>
      </c>
      <c r="B531" s="12"/>
      <c r="C531" s="13"/>
      <c r="D531" s="24"/>
      <c r="E531" s="12"/>
      <c r="F531" s="25"/>
      <c r="G531" s="27" t="str">
        <f aca="false">IF(OR($B531="",$C531=""),"",$B531&amp;" ("&amp;DAY($C531)&amp;"."&amp;MONTH($C531)&amp;"."&amp;YEAR($C531)&amp;")")</f>
        <v/>
      </c>
      <c r="H531" s="13"/>
      <c r="I531" s="13"/>
      <c r="J531" s="15" t="str">
        <f aca="false">IF($I531="","",$I531+280)</f>
        <v/>
      </c>
      <c r="K531" s="14" t="str">
        <f aca="false">IF(OR($I531="",$AE531&lt;&gt;""),"",INT((Boshqaruv!$C$12-$I531)/7))</f>
        <v/>
      </c>
      <c r="L531" s="14" t="str">
        <f aca="false">IF(OR($C531="",$H531=""),"",INT(($H531-$C531)/365.25))</f>
        <v/>
      </c>
      <c r="M531" s="14" t="str">
        <f aca="false">IF($L531="","",IF($L531&lt;18,"Ha","Yo'q"))</f>
        <v/>
      </c>
      <c r="N531" s="25"/>
      <c r="O531" s="25"/>
      <c r="P531" s="25"/>
      <c r="Q531" s="12"/>
      <c r="R531" s="25"/>
      <c r="S531" s="12"/>
      <c r="T531" s="13"/>
      <c r="U531" s="12"/>
      <c r="V531" s="25"/>
      <c r="W531" s="25"/>
      <c r="X531" s="14" t="str">
        <f aca="false">IF(OR($V531="",$W531=""),"",IF(AND($V531&gt;=Spravochnik!$H$5,$W531&gt;=Spravochnik!$H$6),"Ha","Yo'q"))</f>
        <v/>
      </c>
      <c r="Y531" s="13"/>
      <c r="Z531" s="13"/>
      <c r="AA531" s="13"/>
      <c r="AB531" s="13"/>
      <c r="AC531" s="14" t="str">
        <f aca="false">IF(AND($B531&lt;&gt;"",$AE531="",$AB531&lt;&gt;"",$AB531&lt;Boshqaruv!$C$12),"Ha","")</f>
        <v/>
      </c>
      <c r="AD531" s="25"/>
      <c r="AE531" s="13"/>
      <c r="AF531" s="12"/>
      <c r="AG531" s="14" t="str">
        <f aca="false">IF(OR($B531="",$C531="",$H531=""),"",IF(COUNTIFS($B$5:$B$804,$B531,$C$5:$C$804,$C531,$H$5:$H$804,$H531)&gt;1,"Takror",""))</f>
        <v/>
      </c>
      <c r="AH531" s="28" t="str">
        <f aca="false">IF(AND($B531&lt;&gt;"",$N531="Ha",$H531&lt;&gt;"",$H531&lt;=Boshqaruv!$C$12,OR($AE531="",$AE531&gt;Boshqaruv!$C$12)),MAX($AH$4:$AH530)+1,"")</f>
        <v/>
      </c>
    </row>
    <row r="532" customFormat="false" ht="15" hidden="false" customHeight="false" outlineLevel="0" collapsed="false">
      <c r="A532" s="20" t="n">
        <v>528</v>
      </c>
      <c r="B532" s="12"/>
      <c r="C532" s="13"/>
      <c r="D532" s="24"/>
      <c r="E532" s="12"/>
      <c r="F532" s="25"/>
      <c r="G532" s="27" t="str">
        <f aca="false">IF(OR($B532="",$C532=""),"",$B532&amp;" ("&amp;DAY($C532)&amp;"."&amp;MONTH($C532)&amp;"."&amp;YEAR($C532)&amp;")")</f>
        <v/>
      </c>
      <c r="H532" s="13"/>
      <c r="I532" s="13"/>
      <c r="J532" s="15" t="str">
        <f aca="false">IF($I532="","",$I532+280)</f>
        <v/>
      </c>
      <c r="K532" s="14" t="str">
        <f aca="false">IF(OR($I532="",$AE532&lt;&gt;""),"",INT((Boshqaruv!$C$12-$I532)/7))</f>
        <v/>
      </c>
      <c r="L532" s="14" t="str">
        <f aca="false">IF(OR($C532="",$H532=""),"",INT(($H532-$C532)/365.25))</f>
        <v/>
      </c>
      <c r="M532" s="14" t="str">
        <f aca="false">IF($L532="","",IF($L532&lt;18,"Ha","Yo'q"))</f>
        <v/>
      </c>
      <c r="N532" s="25"/>
      <c r="O532" s="25"/>
      <c r="P532" s="25"/>
      <c r="Q532" s="12"/>
      <c r="R532" s="25"/>
      <c r="S532" s="12"/>
      <c r="T532" s="13"/>
      <c r="U532" s="12"/>
      <c r="V532" s="25"/>
      <c r="W532" s="25"/>
      <c r="X532" s="14" t="str">
        <f aca="false">IF(OR($V532="",$W532=""),"",IF(AND($V532&gt;=Spravochnik!$H$5,$W532&gt;=Spravochnik!$H$6),"Ha","Yo'q"))</f>
        <v/>
      </c>
      <c r="Y532" s="13"/>
      <c r="Z532" s="13"/>
      <c r="AA532" s="13"/>
      <c r="AB532" s="13"/>
      <c r="AC532" s="14" t="str">
        <f aca="false">IF(AND($B532&lt;&gt;"",$AE532="",$AB532&lt;&gt;"",$AB532&lt;Boshqaruv!$C$12),"Ha","")</f>
        <v/>
      </c>
      <c r="AD532" s="25"/>
      <c r="AE532" s="13"/>
      <c r="AF532" s="12"/>
      <c r="AG532" s="14" t="str">
        <f aca="false">IF(OR($B532="",$C532="",$H532=""),"",IF(COUNTIFS($B$5:$B$804,$B532,$C$5:$C$804,$C532,$H$5:$H$804,$H532)&gt;1,"Takror",""))</f>
        <v/>
      </c>
      <c r="AH532" s="28" t="str">
        <f aca="false">IF(AND($B532&lt;&gt;"",$N532="Ha",$H532&lt;&gt;"",$H532&lt;=Boshqaruv!$C$12,OR($AE532="",$AE532&gt;Boshqaruv!$C$12)),MAX($AH$4:$AH531)+1,"")</f>
        <v/>
      </c>
    </row>
    <row r="533" customFormat="false" ht="15" hidden="false" customHeight="false" outlineLevel="0" collapsed="false">
      <c r="A533" s="20" t="n">
        <v>529</v>
      </c>
      <c r="B533" s="12"/>
      <c r="C533" s="13"/>
      <c r="D533" s="24"/>
      <c r="E533" s="12"/>
      <c r="F533" s="25"/>
      <c r="G533" s="27" t="str">
        <f aca="false">IF(OR($B533="",$C533=""),"",$B533&amp;" ("&amp;DAY($C533)&amp;"."&amp;MONTH($C533)&amp;"."&amp;YEAR($C533)&amp;")")</f>
        <v/>
      </c>
      <c r="H533" s="13"/>
      <c r="I533" s="13"/>
      <c r="J533" s="15" t="str">
        <f aca="false">IF($I533="","",$I533+280)</f>
        <v/>
      </c>
      <c r="K533" s="14" t="str">
        <f aca="false">IF(OR($I533="",$AE533&lt;&gt;""),"",INT((Boshqaruv!$C$12-$I533)/7))</f>
        <v/>
      </c>
      <c r="L533" s="14" t="str">
        <f aca="false">IF(OR($C533="",$H533=""),"",INT(($H533-$C533)/365.25))</f>
        <v/>
      </c>
      <c r="M533" s="14" t="str">
        <f aca="false">IF($L533="","",IF($L533&lt;18,"Ha","Yo'q"))</f>
        <v/>
      </c>
      <c r="N533" s="25"/>
      <c r="O533" s="25"/>
      <c r="P533" s="25"/>
      <c r="Q533" s="12"/>
      <c r="R533" s="25"/>
      <c r="S533" s="12"/>
      <c r="T533" s="13"/>
      <c r="U533" s="12"/>
      <c r="V533" s="25"/>
      <c r="W533" s="25"/>
      <c r="X533" s="14" t="str">
        <f aca="false">IF(OR($V533="",$W533=""),"",IF(AND($V533&gt;=Spravochnik!$H$5,$W533&gt;=Spravochnik!$H$6),"Ha","Yo'q"))</f>
        <v/>
      </c>
      <c r="Y533" s="13"/>
      <c r="Z533" s="13"/>
      <c r="AA533" s="13"/>
      <c r="AB533" s="13"/>
      <c r="AC533" s="14" t="str">
        <f aca="false">IF(AND($B533&lt;&gt;"",$AE533="",$AB533&lt;&gt;"",$AB533&lt;Boshqaruv!$C$12),"Ha","")</f>
        <v/>
      </c>
      <c r="AD533" s="25"/>
      <c r="AE533" s="13"/>
      <c r="AF533" s="12"/>
      <c r="AG533" s="14" t="str">
        <f aca="false">IF(OR($B533="",$C533="",$H533=""),"",IF(COUNTIFS($B$5:$B$804,$B533,$C$5:$C$804,$C533,$H$5:$H$804,$H533)&gt;1,"Takror",""))</f>
        <v/>
      </c>
      <c r="AH533" s="28" t="str">
        <f aca="false">IF(AND($B533&lt;&gt;"",$N533="Ha",$H533&lt;&gt;"",$H533&lt;=Boshqaruv!$C$12,OR($AE533="",$AE533&gt;Boshqaruv!$C$12)),MAX($AH$4:$AH532)+1,"")</f>
        <v/>
      </c>
    </row>
    <row r="534" customFormat="false" ht="15" hidden="false" customHeight="false" outlineLevel="0" collapsed="false">
      <c r="A534" s="20" t="n">
        <v>530</v>
      </c>
      <c r="B534" s="12"/>
      <c r="C534" s="13"/>
      <c r="D534" s="24"/>
      <c r="E534" s="12"/>
      <c r="F534" s="25"/>
      <c r="G534" s="27" t="str">
        <f aca="false">IF(OR($B534="",$C534=""),"",$B534&amp;" ("&amp;DAY($C534)&amp;"."&amp;MONTH($C534)&amp;"."&amp;YEAR($C534)&amp;")")</f>
        <v/>
      </c>
      <c r="H534" s="13"/>
      <c r="I534" s="13"/>
      <c r="J534" s="15" t="str">
        <f aca="false">IF($I534="","",$I534+280)</f>
        <v/>
      </c>
      <c r="K534" s="14" t="str">
        <f aca="false">IF(OR($I534="",$AE534&lt;&gt;""),"",INT((Boshqaruv!$C$12-$I534)/7))</f>
        <v/>
      </c>
      <c r="L534" s="14" t="str">
        <f aca="false">IF(OR($C534="",$H534=""),"",INT(($H534-$C534)/365.25))</f>
        <v/>
      </c>
      <c r="M534" s="14" t="str">
        <f aca="false">IF($L534="","",IF($L534&lt;18,"Ha","Yo'q"))</f>
        <v/>
      </c>
      <c r="N534" s="25"/>
      <c r="O534" s="25"/>
      <c r="P534" s="25"/>
      <c r="Q534" s="12"/>
      <c r="R534" s="25"/>
      <c r="S534" s="12"/>
      <c r="T534" s="13"/>
      <c r="U534" s="12"/>
      <c r="V534" s="25"/>
      <c r="W534" s="25"/>
      <c r="X534" s="14" t="str">
        <f aca="false">IF(OR($V534="",$W534=""),"",IF(AND($V534&gt;=Spravochnik!$H$5,$W534&gt;=Spravochnik!$H$6),"Ha","Yo'q"))</f>
        <v/>
      </c>
      <c r="Y534" s="13"/>
      <c r="Z534" s="13"/>
      <c r="AA534" s="13"/>
      <c r="AB534" s="13"/>
      <c r="AC534" s="14" t="str">
        <f aca="false">IF(AND($B534&lt;&gt;"",$AE534="",$AB534&lt;&gt;"",$AB534&lt;Boshqaruv!$C$12),"Ha","")</f>
        <v/>
      </c>
      <c r="AD534" s="25"/>
      <c r="AE534" s="13"/>
      <c r="AF534" s="12"/>
      <c r="AG534" s="14" t="str">
        <f aca="false">IF(OR($B534="",$C534="",$H534=""),"",IF(COUNTIFS($B$5:$B$804,$B534,$C$5:$C$804,$C534,$H$5:$H$804,$H534)&gt;1,"Takror",""))</f>
        <v/>
      </c>
      <c r="AH534" s="28" t="str">
        <f aca="false">IF(AND($B534&lt;&gt;"",$N534="Ha",$H534&lt;&gt;"",$H534&lt;=Boshqaruv!$C$12,OR($AE534="",$AE534&gt;Boshqaruv!$C$12)),MAX($AH$4:$AH533)+1,"")</f>
        <v/>
      </c>
    </row>
    <row r="535" customFormat="false" ht="15" hidden="false" customHeight="false" outlineLevel="0" collapsed="false">
      <c r="A535" s="20" t="n">
        <v>531</v>
      </c>
      <c r="B535" s="12"/>
      <c r="C535" s="13"/>
      <c r="D535" s="24"/>
      <c r="E535" s="12"/>
      <c r="F535" s="25"/>
      <c r="G535" s="27" t="str">
        <f aca="false">IF(OR($B535="",$C535=""),"",$B535&amp;" ("&amp;DAY($C535)&amp;"."&amp;MONTH($C535)&amp;"."&amp;YEAR($C535)&amp;")")</f>
        <v/>
      </c>
      <c r="H535" s="13"/>
      <c r="I535" s="13"/>
      <c r="J535" s="15" t="str">
        <f aca="false">IF($I535="","",$I535+280)</f>
        <v/>
      </c>
      <c r="K535" s="14" t="str">
        <f aca="false">IF(OR($I535="",$AE535&lt;&gt;""),"",INT((Boshqaruv!$C$12-$I535)/7))</f>
        <v/>
      </c>
      <c r="L535" s="14" t="str">
        <f aca="false">IF(OR($C535="",$H535=""),"",INT(($H535-$C535)/365.25))</f>
        <v/>
      </c>
      <c r="M535" s="14" t="str">
        <f aca="false">IF($L535="","",IF($L535&lt;18,"Ha","Yo'q"))</f>
        <v/>
      </c>
      <c r="N535" s="25"/>
      <c r="O535" s="25"/>
      <c r="P535" s="25"/>
      <c r="Q535" s="12"/>
      <c r="R535" s="25"/>
      <c r="S535" s="12"/>
      <c r="T535" s="13"/>
      <c r="U535" s="12"/>
      <c r="V535" s="25"/>
      <c r="W535" s="25"/>
      <c r="X535" s="14" t="str">
        <f aca="false">IF(OR($V535="",$W535=""),"",IF(AND($V535&gt;=Spravochnik!$H$5,$W535&gt;=Spravochnik!$H$6),"Ha","Yo'q"))</f>
        <v/>
      </c>
      <c r="Y535" s="13"/>
      <c r="Z535" s="13"/>
      <c r="AA535" s="13"/>
      <c r="AB535" s="13"/>
      <c r="AC535" s="14" t="str">
        <f aca="false">IF(AND($B535&lt;&gt;"",$AE535="",$AB535&lt;&gt;"",$AB535&lt;Boshqaruv!$C$12),"Ha","")</f>
        <v/>
      </c>
      <c r="AD535" s="25"/>
      <c r="AE535" s="13"/>
      <c r="AF535" s="12"/>
      <c r="AG535" s="14" t="str">
        <f aca="false">IF(OR($B535="",$C535="",$H535=""),"",IF(COUNTIFS($B$5:$B$804,$B535,$C$5:$C$804,$C535,$H$5:$H$804,$H535)&gt;1,"Takror",""))</f>
        <v/>
      </c>
      <c r="AH535" s="28" t="str">
        <f aca="false">IF(AND($B535&lt;&gt;"",$N535="Ha",$H535&lt;&gt;"",$H535&lt;=Boshqaruv!$C$12,OR($AE535="",$AE535&gt;Boshqaruv!$C$12)),MAX($AH$4:$AH534)+1,"")</f>
        <v/>
      </c>
    </row>
    <row r="536" customFormat="false" ht="15" hidden="false" customHeight="false" outlineLevel="0" collapsed="false">
      <c r="A536" s="20" t="n">
        <v>532</v>
      </c>
      <c r="B536" s="12"/>
      <c r="C536" s="13"/>
      <c r="D536" s="24"/>
      <c r="E536" s="12"/>
      <c r="F536" s="25"/>
      <c r="G536" s="27" t="str">
        <f aca="false">IF(OR($B536="",$C536=""),"",$B536&amp;" ("&amp;DAY($C536)&amp;"."&amp;MONTH($C536)&amp;"."&amp;YEAR($C536)&amp;")")</f>
        <v/>
      </c>
      <c r="H536" s="13"/>
      <c r="I536" s="13"/>
      <c r="J536" s="15" t="str">
        <f aca="false">IF($I536="","",$I536+280)</f>
        <v/>
      </c>
      <c r="K536" s="14" t="str">
        <f aca="false">IF(OR($I536="",$AE536&lt;&gt;""),"",INT((Boshqaruv!$C$12-$I536)/7))</f>
        <v/>
      </c>
      <c r="L536" s="14" t="str">
        <f aca="false">IF(OR($C536="",$H536=""),"",INT(($H536-$C536)/365.25))</f>
        <v/>
      </c>
      <c r="M536" s="14" t="str">
        <f aca="false">IF($L536="","",IF($L536&lt;18,"Ha","Yo'q"))</f>
        <v/>
      </c>
      <c r="N536" s="25"/>
      <c r="O536" s="25"/>
      <c r="P536" s="25"/>
      <c r="Q536" s="12"/>
      <c r="R536" s="25"/>
      <c r="S536" s="12"/>
      <c r="T536" s="13"/>
      <c r="U536" s="12"/>
      <c r="V536" s="25"/>
      <c r="W536" s="25"/>
      <c r="X536" s="14" t="str">
        <f aca="false">IF(OR($V536="",$W536=""),"",IF(AND($V536&gt;=Spravochnik!$H$5,$W536&gt;=Spravochnik!$H$6),"Ha","Yo'q"))</f>
        <v/>
      </c>
      <c r="Y536" s="13"/>
      <c r="Z536" s="13"/>
      <c r="AA536" s="13"/>
      <c r="AB536" s="13"/>
      <c r="AC536" s="14" t="str">
        <f aca="false">IF(AND($B536&lt;&gt;"",$AE536="",$AB536&lt;&gt;"",$AB536&lt;Boshqaruv!$C$12),"Ha","")</f>
        <v/>
      </c>
      <c r="AD536" s="25"/>
      <c r="AE536" s="13"/>
      <c r="AF536" s="12"/>
      <c r="AG536" s="14" t="str">
        <f aca="false">IF(OR($B536="",$C536="",$H536=""),"",IF(COUNTIFS($B$5:$B$804,$B536,$C$5:$C$804,$C536,$H$5:$H$804,$H536)&gt;1,"Takror",""))</f>
        <v/>
      </c>
      <c r="AH536" s="28" t="str">
        <f aca="false">IF(AND($B536&lt;&gt;"",$N536="Ha",$H536&lt;&gt;"",$H536&lt;=Boshqaruv!$C$12,OR($AE536="",$AE536&gt;Boshqaruv!$C$12)),MAX($AH$4:$AH535)+1,"")</f>
        <v/>
      </c>
    </row>
    <row r="537" customFormat="false" ht="15" hidden="false" customHeight="false" outlineLevel="0" collapsed="false">
      <c r="A537" s="20" t="n">
        <v>533</v>
      </c>
      <c r="B537" s="12"/>
      <c r="C537" s="13"/>
      <c r="D537" s="24"/>
      <c r="E537" s="12"/>
      <c r="F537" s="25"/>
      <c r="G537" s="27" t="str">
        <f aca="false">IF(OR($B537="",$C537=""),"",$B537&amp;" ("&amp;DAY($C537)&amp;"."&amp;MONTH($C537)&amp;"."&amp;YEAR($C537)&amp;")")</f>
        <v/>
      </c>
      <c r="H537" s="13"/>
      <c r="I537" s="13"/>
      <c r="J537" s="15" t="str">
        <f aca="false">IF($I537="","",$I537+280)</f>
        <v/>
      </c>
      <c r="K537" s="14" t="str">
        <f aca="false">IF(OR($I537="",$AE537&lt;&gt;""),"",INT((Boshqaruv!$C$12-$I537)/7))</f>
        <v/>
      </c>
      <c r="L537" s="14" t="str">
        <f aca="false">IF(OR($C537="",$H537=""),"",INT(($H537-$C537)/365.25))</f>
        <v/>
      </c>
      <c r="M537" s="14" t="str">
        <f aca="false">IF($L537="","",IF($L537&lt;18,"Ha","Yo'q"))</f>
        <v/>
      </c>
      <c r="N537" s="25"/>
      <c r="O537" s="25"/>
      <c r="P537" s="25"/>
      <c r="Q537" s="12"/>
      <c r="R537" s="25"/>
      <c r="S537" s="12"/>
      <c r="T537" s="13"/>
      <c r="U537" s="12"/>
      <c r="V537" s="25"/>
      <c r="W537" s="25"/>
      <c r="X537" s="14" t="str">
        <f aca="false">IF(OR($V537="",$W537=""),"",IF(AND($V537&gt;=Spravochnik!$H$5,$W537&gt;=Spravochnik!$H$6),"Ha","Yo'q"))</f>
        <v/>
      </c>
      <c r="Y537" s="13"/>
      <c r="Z537" s="13"/>
      <c r="AA537" s="13"/>
      <c r="AB537" s="13"/>
      <c r="AC537" s="14" t="str">
        <f aca="false">IF(AND($B537&lt;&gt;"",$AE537="",$AB537&lt;&gt;"",$AB537&lt;Boshqaruv!$C$12),"Ha","")</f>
        <v/>
      </c>
      <c r="AD537" s="25"/>
      <c r="AE537" s="13"/>
      <c r="AF537" s="12"/>
      <c r="AG537" s="14" t="str">
        <f aca="false">IF(OR($B537="",$C537="",$H537=""),"",IF(COUNTIFS($B$5:$B$804,$B537,$C$5:$C$804,$C537,$H$5:$H$804,$H537)&gt;1,"Takror",""))</f>
        <v/>
      </c>
      <c r="AH537" s="28" t="str">
        <f aca="false">IF(AND($B537&lt;&gt;"",$N537="Ha",$H537&lt;&gt;"",$H537&lt;=Boshqaruv!$C$12,OR($AE537="",$AE537&gt;Boshqaruv!$C$12)),MAX($AH$4:$AH536)+1,"")</f>
        <v/>
      </c>
    </row>
    <row r="538" customFormat="false" ht="15" hidden="false" customHeight="false" outlineLevel="0" collapsed="false">
      <c r="A538" s="20" t="n">
        <v>534</v>
      </c>
      <c r="B538" s="12"/>
      <c r="C538" s="13"/>
      <c r="D538" s="24"/>
      <c r="E538" s="12"/>
      <c r="F538" s="25"/>
      <c r="G538" s="27" t="str">
        <f aca="false">IF(OR($B538="",$C538=""),"",$B538&amp;" ("&amp;DAY($C538)&amp;"."&amp;MONTH($C538)&amp;"."&amp;YEAR($C538)&amp;")")</f>
        <v/>
      </c>
      <c r="H538" s="13"/>
      <c r="I538" s="13"/>
      <c r="J538" s="15" t="str">
        <f aca="false">IF($I538="","",$I538+280)</f>
        <v/>
      </c>
      <c r="K538" s="14" t="str">
        <f aca="false">IF(OR($I538="",$AE538&lt;&gt;""),"",INT((Boshqaruv!$C$12-$I538)/7))</f>
        <v/>
      </c>
      <c r="L538" s="14" t="str">
        <f aca="false">IF(OR($C538="",$H538=""),"",INT(($H538-$C538)/365.25))</f>
        <v/>
      </c>
      <c r="M538" s="14" t="str">
        <f aca="false">IF($L538="","",IF($L538&lt;18,"Ha","Yo'q"))</f>
        <v/>
      </c>
      <c r="N538" s="25"/>
      <c r="O538" s="25"/>
      <c r="P538" s="25"/>
      <c r="Q538" s="12"/>
      <c r="R538" s="25"/>
      <c r="S538" s="12"/>
      <c r="T538" s="13"/>
      <c r="U538" s="12"/>
      <c r="V538" s="25"/>
      <c r="W538" s="25"/>
      <c r="X538" s="14" t="str">
        <f aca="false">IF(OR($V538="",$W538=""),"",IF(AND($V538&gt;=Spravochnik!$H$5,$W538&gt;=Spravochnik!$H$6),"Ha","Yo'q"))</f>
        <v/>
      </c>
      <c r="Y538" s="13"/>
      <c r="Z538" s="13"/>
      <c r="AA538" s="13"/>
      <c r="AB538" s="13"/>
      <c r="AC538" s="14" t="str">
        <f aca="false">IF(AND($B538&lt;&gt;"",$AE538="",$AB538&lt;&gt;"",$AB538&lt;Boshqaruv!$C$12),"Ha","")</f>
        <v/>
      </c>
      <c r="AD538" s="25"/>
      <c r="AE538" s="13"/>
      <c r="AF538" s="12"/>
      <c r="AG538" s="14" t="str">
        <f aca="false">IF(OR($B538="",$C538="",$H538=""),"",IF(COUNTIFS($B$5:$B$804,$B538,$C$5:$C$804,$C538,$H$5:$H$804,$H538)&gt;1,"Takror",""))</f>
        <v/>
      </c>
      <c r="AH538" s="28" t="str">
        <f aca="false">IF(AND($B538&lt;&gt;"",$N538="Ha",$H538&lt;&gt;"",$H538&lt;=Boshqaruv!$C$12,OR($AE538="",$AE538&gt;Boshqaruv!$C$12)),MAX($AH$4:$AH537)+1,"")</f>
        <v/>
      </c>
    </row>
    <row r="539" customFormat="false" ht="15" hidden="false" customHeight="false" outlineLevel="0" collapsed="false">
      <c r="A539" s="20" t="n">
        <v>535</v>
      </c>
      <c r="B539" s="12"/>
      <c r="C539" s="13"/>
      <c r="D539" s="24"/>
      <c r="E539" s="12"/>
      <c r="F539" s="25"/>
      <c r="G539" s="27" t="str">
        <f aca="false">IF(OR($B539="",$C539=""),"",$B539&amp;" ("&amp;DAY($C539)&amp;"."&amp;MONTH($C539)&amp;"."&amp;YEAR($C539)&amp;")")</f>
        <v/>
      </c>
      <c r="H539" s="13"/>
      <c r="I539" s="13"/>
      <c r="J539" s="15" t="str">
        <f aca="false">IF($I539="","",$I539+280)</f>
        <v/>
      </c>
      <c r="K539" s="14" t="str">
        <f aca="false">IF(OR($I539="",$AE539&lt;&gt;""),"",INT((Boshqaruv!$C$12-$I539)/7))</f>
        <v/>
      </c>
      <c r="L539" s="14" t="str">
        <f aca="false">IF(OR($C539="",$H539=""),"",INT(($H539-$C539)/365.25))</f>
        <v/>
      </c>
      <c r="M539" s="14" t="str">
        <f aca="false">IF($L539="","",IF($L539&lt;18,"Ha","Yo'q"))</f>
        <v/>
      </c>
      <c r="N539" s="25"/>
      <c r="O539" s="25"/>
      <c r="P539" s="25"/>
      <c r="Q539" s="12"/>
      <c r="R539" s="25"/>
      <c r="S539" s="12"/>
      <c r="T539" s="13"/>
      <c r="U539" s="12"/>
      <c r="V539" s="25"/>
      <c r="W539" s="25"/>
      <c r="X539" s="14" t="str">
        <f aca="false">IF(OR($V539="",$W539=""),"",IF(AND($V539&gt;=Spravochnik!$H$5,$W539&gt;=Spravochnik!$H$6),"Ha","Yo'q"))</f>
        <v/>
      </c>
      <c r="Y539" s="13"/>
      <c r="Z539" s="13"/>
      <c r="AA539" s="13"/>
      <c r="AB539" s="13"/>
      <c r="AC539" s="14" t="str">
        <f aca="false">IF(AND($B539&lt;&gt;"",$AE539="",$AB539&lt;&gt;"",$AB539&lt;Boshqaruv!$C$12),"Ha","")</f>
        <v/>
      </c>
      <c r="AD539" s="25"/>
      <c r="AE539" s="13"/>
      <c r="AF539" s="12"/>
      <c r="AG539" s="14" t="str">
        <f aca="false">IF(OR($B539="",$C539="",$H539=""),"",IF(COUNTIFS($B$5:$B$804,$B539,$C$5:$C$804,$C539,$H$5:$H$804,$H539)&gt;1,"Takror",""))</f>
        <v/>
      </c>
      <c r="AH539" s="28" t="str">
        <f aca="false">IF(AND($B539&lt;&gt;"",$N539="Ha",$H539&lt;&gt;"",$H539&lt;=Boshqaruv!$C$12,OR($AE539="",$AE539&gt;Boshqaruv!$C$12)),MAX($AH$4:$AH538)+1,"")</f>
        <v/>
      </c>
    </row>
    <row r="540" customFormat="false" ht="15" hidden="false" customHeight="false" outlineLevel="0" collapsed="false">
      <c r="A540" s="20" t="n">
        <v>536</v>
      </c>
      <c r="B540" s="12"/>
      <c r="C540" s="13"/>
      <c r="D540" s="24"/>
      <c r="E540" s="12"/>
      <c r="F540" s="25"/>
      <c r="G540" s="27" t="str">
        <f aca="false">IF(OR($B540="",$C540=""),"",$B540&amp;" ("&amp;DAY($C540)&amp;"."&amp;MONTH($C540)&amp;"."&amp;YEAR($C540)&amp;")")</f>
        <v/>
      </c>
      <c r="H540" s="13"/>
      <c r="I540" s="13"/>
      <c r="J540" s="15" t="str">
        <f aca="false">IF($I540="","",$I540+280)</f>
        <v/>
      </c>
      <c r="K540" s="14" t="str">
        <f aca="false">IF(OR($I540="",$AE540&lt;&gt;""),"",INT((Boshqaruv!$C$12-$I540)/7))</f>
        <v/>
      </c>
      <c r="L540" s="14" t="str">
        <f aca="false">IF(OR($C540="",$H540=""),"",INT(($H540-$C540)/365.25))</f>
        <v/>
      </c>
      <c r="M540" s="14" t="str">
        <f aca="false">IF($L540="","",IF($L540&lt;18,"Ha","Yo'q"))</f>
        <v/>
      </c>
      <c r="N540" s="25"/>
      <c r="O540" s="25"/>
      <c r="P540" s="25"/>
      <c r="Q540" s="12"/>
      <c r="R540" s="25"/>
      <c r="S540" s="12"/>
      <c r="T540" s="13"/>
      <c r="U540" s="12"/>
      <c r="V540" s="25"/>
      <c r="W540" s="25"/>
      <c r="X540" s="14" t="str">
        <f aca="false">IF(OR($V540="",$W540=""),"",IF(AND($V540&gt;=Spravochnik!$H$5,$W540&gt;=Spravochnik!$H$6),"Ha","Yo'q"))</f>
        <v/>
      </c>
      <c r="Y540" s="13"/>
      <c r="Z540" s="13"/>
      <c r="AA540" s="13"/>
      <c r="AB540" s="13"/>
      <c r="AC540" s="14" t="str">
        <f aca="false">IF(AND($B540&lt;&gt;"",$AE540="",$AB540&lt;&gt;"",$AB540&lt;Boshqaruv!$C$12),"Ha","")</f>
        <v/>
      </c>
      <c r="AD540" s="25"/>
      <c r="AE540" s="13"/>
      <c r="AF540" s="12"/>
      <c r="AG540" s="14" t="str">
        <f aca="false">IF(OR($B540="",$C540="",$H540=""),"",IF(COUNTIFS($B$5:$B$804,$B540,$C$5:$C$804,$C540,$H$5:$H$804,$H540)&gt;1,"Takror",""))</f>
        <v/>
      </c>
      <c r="AH540" s="28" t="str">
        <f aca="false">IF(AND($B540&lt;&gt;"",$N540="Ha",$H540&lt;&gt;"",$H540&lt;=Boshqaruv!$C$12,OR($AE540="",$AE540&gt;Boshqaruv!$C$12)),MAX($AH$4:$AH539)+1,"")</f>
        <v/>
      </c>
    </row>
    <row r="541" customFormat="false" ht="15" hidden="false" customHeight="false" outlineLevel="0" collapsed="false">
      <c r="A541" s="20" t="n">
        <v>537</v>
      </c>
      <c r="B541" s="12"/>
      <c r="C541" s="13"/>
      <c r="D541" s="24"/>
      <c r="E541" s="12"/>
      <c r="F541" s="25"/>
      <c r="G541" s="27" t="str">
        <f aca="false">IF(OR($B541="",$C541=""),"",$B541&amp;" ("&amp;DAY($C541)&amp;"."&amp;MONTH($C541)&amp;"."&amp;YEAR($C541)&amp;")")</f>
        <v/>
      </c>
      <c r="H541" s="13"/>
      <c r="I541" s="13"/>
      <c r="J541" s="15" t="str">
        <f aca="false">IF($I541="","",$I541+280)</f>
        <v/>
      </c>
      <c r="K541" s="14" t="str">
        <f aca="false">IF(OR($I541="",$AE541&lt;&gt;""),"",INT((Boshqaruv!$C$12-$I541)/7))</f>
        <v/>
      </c>
      <c r="L541" s="14" t="str">
        <f aca="false">IF(OR($C541="",$H541=""),"",INT(($H541-$C541)/365.25))</f>
        <v/>
      </c>
      <c r="M541" s="14" t="str">
        <f aca="false">IF($L541="","",IF($L541&lt;18,"Ha","Yo'q"))</f>
        <v/>
      </c>
      <c r="N541" s="25"/>
      <c r="O541" s="25"/>
      <c r="P541" s="25"/>
      <c r="Q541" s="12"/>
      <c r="R541" s="25"/>
      <c r="S541" s="12"/>
      <c r="T541" s="13"/>
      <c r="U541" s="12"/>
      <c r="V541" s="25"/>
      <c r="W541" s="25"/>
      <c r="X541" s="14" t="str">
        <f aca="false">IF(OR($V541="",$W541=""),"",IF(AND($V541&gt;=Spravochnik!$H$5,$W541&gt;=Spravochnik!$H$6),"Ha","Yo'q"))</f>
        <v/>
      </c>
      <c r="Y541" s="13"/>
      <c r="Z541" s="13"/>
      <c r="AA541" s="13"/>
      <c r="AB541" s="13"/>
      <c r="AC541" s="14" t="str">
        <f aca="false">IF(AND($B541&lt;&gt;"",$AE541="",$AB541&lt;&gt;"",$AB541&lt;Boshqaruv!$C$12),"Ha","")</f>
        <v/>
      </c>
      <c r="AD541" s="25"/>
      <c r="AE541" s="13"/>
      <c r="AF541" s="12"/>
      <c r="AG541" s="14" t="str">
        <f aca="false">IF(OR($B541="",$C541="",$H541=""),"",IF(COUNTIFS($B$5:$B$804,$B541,$C$5:$C$804,$C541,$H$5:$H$804,$H541)&gt;1,"Takror",""))</f>
        <v/>
      </c>
      <c r="AH541" s="28" t="str">
        <f aca="false">IF(AND($B541&lt;&gt;"",$N541="Ha",$H541&lt;&gt;"",$H541&lt;=Boshqaruv!$C$12,OR($AE541="",$AE541&gt;Boshqaruv!$C$12)),MAX($AH$4:$AH540)+1,"")</f>
        <v/>
      </c>
    </row>
    <row r="542" customFormat="false" ht="15" hidden="false" customHeight="false" outlineLevel="0" collapsed="false">
      <c r="A542" s="20" t="n">
        <v>538</v>
      </c>
      <c r="B542" s="12"/>
      <c r="C542" s="13"/>
      <c r="D542" s="24"/>
      <c r="E542" s="12"/>
      <c r="F542" s="25"/>
      <c r="G542" s="27" t="str">
        <f aca="false">IF(OR($B542="",$C542=""),"",$B542&amp;" ("&amp;DAY($C542)&amp;"."&amp;MONTH($C542)&amp;"."&amp;YEAR($C542)&amp;")")</f>
        <v/>
      </c>
      <c r="H542" s="13"/>
      <c r="I542" s="13"/>
      <c r="J542" s="15" t="str">
        <f aca="false">IF($I542="","",$I542+280)</f>
        <v/>
      </c>
      <c r="K542" s="14" t="str">
        <f aca="false">IF(OR($I542="",$AE542&lt;&gt;""),"",INT((Boshqaruv!$C$12-$I542)/7))</f>
        <v/>
      </c>
      <c r="L542" s="14" t="str">
        <f aca="false">IF(OR($C542="",$H542=""),"",INT(($H542-$C542)/365.25))</f>
        <v/>
      </c>
      <c r="M542" s="14" t="str">
        <f aca="false">IF($L542="","",IF($L542&lt;18,"Ha","Yo'q"))</f>
        <v/>
      </c>
      <c r="N542" s="25"/>
      <c r="O542" s="25"/>
      <c r="P542" s="25"/>
      <c r="Q542" s="12"/>
      <c r="R542" s="25"/>
      <c r="S542" s="12"/>
      <c r="T542" s="13"/>
      <c r="U542" s="12"/>
      <c r="V542" s="25"/>
      <c r="W542" s="25"/>
      <c r="X542" s="14" t="str">
        <f aca="false">IF(OR($V542="",$W542=""),"",IF(AND($V542&gt;=Spravochnik!$H$5,$W542&gt;=Spravochnik!$H$6),"Ha","Yo'q"))</f>
        <v/>
      </c>
      <c r="Y542" s="13"/>
      <c r="Z542" s="13"/>
      <c r="AA542" s="13"/>
      <c r="AB542" s="13"/>
      <c r="AC542" s="14" t="str">
        <f aca="false">IF(AND($B542&lt;&gt;"",$AE542="",$AB542&lt;&gt;"",$AB542&lt;Boshqaruv!$C$12),"Ha","")</f>
        <v/>
      </c>
      <c r="AD542" s="25"/>
      <c r="AE542" s="13"/>
      <c r="AF542" s="12"/>
      <c r="AG542" s="14" t="str">
        <f aca="false">IF(OR($B542="",$C542="",$H542=""),"",IF(COUNTIFS($B$5:$B$804,$B542,$C$5:$C$804,$C542,$H$5:$H$804,$H542)&gt;1,"Takror",""))</f>
        <v/>
      </c>
      <c r="AH542" s="28" t="str">
        <f aca="false">IF(AND($B542&lt;&gt;"",$N542="Ha",$H542&lt;&gt;"",$H542&lt;=Boshqaruv!$C$12,OR($AE542="",$AE542&gt;Boshqaruv!$C$12)),MAX($AH$4:$AH541)+1,"")</f>
        <v/>
      </c>
    </row>
    <row r="543" customFormat="false" ht="15" hidden="false" customHeight="false" outlineLevel="0" collapsed="false">
      <c r="A543" s="20" t="n">
        <v>539</v>
      </c>
      <c r="B543" s="12"/>
      <c r="C543" s="13"/>
      <c r="D543" s="24"/>
      <c r="E543" s="12"/>
      <c r="F543" s="25"/>
      <c r="G543" s="27" t="str">
        <f aca="false">IF(OR($B543="",$C543=""),"",$B543&amp;" ("&amp;DAY($C543)&amp;"."&amp;MONTH($C543)&amp;"."&amp;YEAR($C543)&amp;")")</f>
        <v/>
      </c>
      <c r="H543" s="13"/>
      <c r="I543" s="13"/>
      <c r="J543" s="15" t="str">
        <f aca="false">IF($I543="","",$I543+280)</f>
        <v/>
      </c>
      <c r="K543" s="14" t="str">
        <f aca="false">IF(OR($I543="",$AE543&lt;&gt;""),"",INT((Boshqaruv!$C$12-$I543)/7))</f>
        <v/>
      </c>
      <c r="L543" s="14" t="str">
        <f aca="false">IF(OR($C543="",$H543=""),"",INT(($H543-$C543)/365.25))</f>
        <v/>
      </c>
      <c r="M543" s="14" t="str">
        <f aca="false">IF($L543="","",IF($L543&lt;18,"Ha","Yo'q"))</f>
        <v/>
      </c>
      <c r="N543" s="25"/>
      <c r="O543" s="25"/>
      <c r="P543" s="25"/>
      <c r="Q543" s="12"/>
      <c r="R543" s="25"/>
      <c r="S543" s="12"/>
      <c r="T543" s="13"/>
      <c r="U543" s="12"/>
      <c r="V543" s="25"/>
      <c r="W543" s="25"/>
      <c r="X543" s="14" t="str">
        <f aca="false">IF(OR($V543="",$W543=""),"",IF(AND($V543&gt;=Spravochnik!$H$5,$W543&gt;=Spravochnik!$H$6),"Ha","Yo'q"))</f>
        <v/>
      </c>
      <c r="Y543" s="13"/>
      <c r="Z543" s="13"/>
      <c r="AA543" s="13"/>
      <c r="AB543" s="13"/>
      <c r="AC543" s="14" t="str">
        <f aca="false">IF(AND($B543&lt;&gt;"",$AE543="",$AB543&lt;&gt;"",$AB543&lt;Boshqaruv!$C$12),"Ha","")</f>
        <v/>
      </c>
      <c r="AD543" s="25"/>
      <c r="AE543" s="13"/>
      <c r="AF543" s="12"/>
      <c r="AG543" s="14" t="str">
        <f aca="false">IF(OR($B543="",$C543="",$H543=""),"",IF(COUNTIFS($B$5:$B$804,$B543,$C$5:$C$804,$C543,$H$5:$H$804,$H543)&gt;1,"Takror",""))</f>
        <v/>
      </c>
      <c r="AH543" s="28" t="str">
        <f aca="false">IF(AND($B543&lt;&gt;"",$N543="Ha",$H543&lt;&gt;"",$H543&lt;=Boshqaruv!$C$12,OR($AE543="",$AE543&gt;Boshqaruv!$C$12)),MAX($AH$4:$AH542)+1,"")</f>
        <v/>
      </c>
    </row>
    <row r="544" customFormat="false" ht="15" hidden="false" customHeight="false" outlineLevel="0" collapsed="false">
      <c r="A544" s="20" t="n">
        <v>540</v>
      </c>
      <c r="B544" s="12"/>
      <c r="C544" s="13"/>
      <c r="D544" s="24"/>
      <c r="E544" s="12"/>
      <c r="F544" s="25"/>
      <c r="G544" s="27" t="str">
        <f aca="false">IF(OR($B544="",$C544=""),"",$B544&amp;" ("&amp;DAY($C544)&amp;"."&amp;MONTH($C544)&amp;"."&amp;YEAR($C544)&amp;")")</f>
        <v/>
      </c>
      <c r="H544" s="13"/>
      <c r="I544" s="13"/>
      <c r="J544" s="15" t="str">
        <f aca="false">IF($I544="","",$I544+280)</f>
        <v/>
      </c>
      <c r="K544" s="14" t="str">
        <f aca="false">IF(OR($I544="",$AE544&lt;&gt;""),"",INT((Boshqaruv!$C$12-$I544)/7))</f>
        <v/>
      </c>
      <c r="L544" s="14" t="str">
        <f aca="false">IF(OR($C544="",$H544=""),"",INT(($H544-$C544)/365.25))</f>
        <v/>
      </c>
      <c r="M544" s="14" t="str">
        <f aca="false">IF($L544="","",IF($L544&lt;18,"Ha","Yo'q"))</f>
        <v/>
      </c>
      <c r="N544" s="25"/>
      <c r="O544" s="25"/>
      <c r="P544" s="25"/>
      <c r="Q544" s="12"/>
      <c r="R544" s="25"/>
      <c r="S544" s="12"/>
      <c r="T544" s="13"/>
      <c r="U544" s="12"/>
      <c r="V544" s="25"/>
      <c r="W544" s="25"/>
      <c r="X544" s="14" t="str">
        <f aca="false">IF(OR($V544="",$W544=""),"",IF(AND($V544&gt;=Spravochnik!$H$5,$W544&gt;=Spravochnik!$H$6),"Ha","Yo'q"))</f>
        <v/>
      </c>
      <c r="Y544" s="13"/>
      <c r="Z544" s="13"/>
      <c r="AA544" s="13"/>
      <c r="AB544" s="13"/>
      <c r="AC544" s="14" t="str">
        <f aca="false">IF(AND($B544&lt;&gt;"",$AE544="",$AB544&lt;&gt;"",$AB544&lt;Boshqaruv!$C$12),"Ha","")</f>
        <v/>
      </c>
      <c r="AD544" s="25"/>
      <c r="AE544" s="13"/>
      <c r="AF544" s="12"/>
      <c r="AG544" s="14" t="str">
        <f aca="false">IF(OR($B544="",$C544="",$H544=""),"",IF(COUNTIFS($B$5:$B$804,$B544,$C$5:$C$804,$C544,$H$5:$H$804,$H544)&gt;1,"Takror",""))</f>
        <v/>
      </c>
      <c r="AH544" s="28" t="str">
        <f aca="false">IF(AND($B544&lt;&gt;"",$N544="Ha",$H544&lt;&gt;"",$H544&lt;=Boshqaruv!$C$12,OR($AE544="",$AE544&gt;Boshqaruv!$C$12)),MAX($AH$4:$AH543)+1,"")</f>
        <v/>
      </c>
    </row>
    <row r="545" customFormat="false" ht="15" hidden="false" customHeight="false" outlineLevel="0" collapsed="false">
      <c r="A545" s="20" t="n">
        <v>541</v>
      </c>
      <c r="B545" s="12"/>
      <c r="C545" s="13"/>
      <c r="D545" s="24"/>
      <c r="E545" s="12"/>
      <c r="F545" s="25"/>
      <c r="G545" s="27" t="str">
        <f aca="false">IF(OR($B545="",$C545=""),"",$B545&amp;" ("&amp;DAY($C545)&amp;"."&amp;MONTH($C545)&amp;"."&amp;YEAR($C545)&amp;")")</f>
        <v/>
      </c>
      <c r="H545" s="13"/>
      <c r="I545" s="13"/>
      <c r="J545" s="15" t="str">
        <f aca="false">IF($I545="","",$I545+280)</f>
        <v/>
      </c>
      <c r="K545" s="14" t="str">
        <f aca="false">IF(OR($I545="",$AE545&lt;&gt;""),"",INT((Boshqaruv!$C$12-$I545)/7))</f>
        <v/>
      </c>
      <c r="L545" s="14" t="str">
        <f aca="false">IF(OR($C545="",$H545=""),"",INT(($H545-$C545)/365.25))</f>
        <v/>
      </c>
      <c r="M545" s="14" t="str">
        <f aca="false">IF($L545="","",IF($L545&lt;18,"Ha","Yo'q"))</f>
        <v/>
      </c>
      <c r="N545" s="25"/>
      <c r="O545" s="25"/>
      <c r="P545" s="25"/>
      <c r="Q545" s="12"/>
      <c r="R545" s="25"/>
      <c r="S545" s="12"/>
      <c r="T545" s="13"/>
      <c r="U545" s="12"/>
      <c r="V545" s="25"/>
      <c r="W545" s="25"/>
      <c r="X545" s="14" t="str">
        <f aca="false">IF(OR($V545="",$W545=""),"",IF(AND($V545&gt;=Spravochnik!$H$5,$W545&gt;=Spravochnik!$H$6),"Ha","Yo'q"))</f>
        <v/>
      </c>
      <c r="Y545" s="13"/>
      <c r="Z545" s="13"/>
      <c r="AA545" s="13"/>
      <c r="AB545" s="13"/>
      <c r="AC545" s="14" t="str">
        <f aca="false">IF(AND($B545&lt;&gt;"",$AE545="",$AB545&lt;&gt;"",$AB545&lt;Boshqaruv!$C$12),"Ha","")</f>
        <v/>
      </c>
      <c r="AD545" s="25"/>
      <c r="AE545" s="13"/>
      <c r="AF545" s="12"/>
      <c r="AG545" s="14" t="str">
        <f aca="false">IF(OR($B545="",$C545="",$H545=""),"",IF(COUNTIFS($B$5:$B$804,$B545,$C$5:$C$804,$C545,$H$5:$H$804,$H545)&gt;1,"Takror",""))</f>
        <v/>
      </c>
      <c r="AH545" s="28" t="str">
        <f aca="false">IF(AND($B545&lt;&gt;"",$N545="Ha",$H545&lt;&gt;"",$H545&lt;=Boshqaruv!$C$12,OR($AE545="",$AE545&gt;Boshqaruv!$C$12)),MAX($AH$4:$AH544)+1,"")</f>
        <v/>
      </c>
    </row>
    <row r="546" customFormat="false" ht="15" hidden="false" customHeight="false" outlineLevel="0" collapsed="false">
      <c r="A546" s="20" t="n">
        <v>542</v>
      </c>
      <c r="B546" s="12"/>
      <c r="C546" s="13"/>
      <c r="D546" s="24"/>
      <c r="E546" s="12"/>
      <c r="F546" s="25"/>
      <c r="G546" s="27" t="str">
        <f aca="false">IF(OR($B546="",$C546=""),"",$B546&amp;" ("&amp;DAY($C546)&amp;"."&amp;MONTH($C546)&amp;"."&amp;YEAR($C546)&amp;")")</f>
        <v/>
      </c>
      <c r="H546" s="13"/>
      <c r="I546" s="13"/>
      <c r="J546" s="15" t="str">
        <f aca="false">IF($I546="","",$I546+280)</f>
        <v/>
      </c>
      <c r="K546" s="14" t="str">
        <f aca="false">IF(OR($I546="",$AE546&lt;&gt;""),"",INT((Boshqaruv!$C$12-$I546)/7))</f>
        <v/>
      </c>
      <c r="L546" s="14" t="str">
        <f aca="false">IF(OR($C546="",$H546=""),"",INT(($H546-$C546)/365.25))</f>
        <v/>
      </c>
      <c r="M546" s="14" t="str">
        <f aca="false">IF($L546="","",IF($L546&lt;18,"Ha","Yo'q"))</f>
        <v/>
      </c>
      <c r="N546" s="25"/>
      <c r="O546" s="25"/>
      <c r="P546" s="25"/>
      <c r="Q546" s="12"/>
      <c r="R546" s="25"/>
      <c r="S546" s="12"/>
      <c r="T546" s="13"/>
      <c r="U546" s="12"/>
      <c r="V546" s="25"/>
      <c r="W546" s="25"/>
      <c r="X546" s="14" t="str">
        <f aca="false">IF(OR($V546="",$W546=""),"",IF(AND($V546&gt;=Spravochnik!$H$5,$W546&gt;=Spravochnik!$H$6),"Ha","Yo'q"))</f>
        <v/>
      </c>
      <c r="Y546" s="13"/>
      <c r="Z546" s="13"/>
      <c r="AA546" s="13"/>
      <c r="AB546" s="13"/>
      <c r="AC546" s="14" t="str">
        <f aca="false">IF(AND($B546&lt;&gt;"",$AE546="",$AB546&lt;&gt;"",$AB546&lt;Boshqaruv!$C$12),"Ha","")</f>
        <v/>
      </c>
      <c r="AD546" s="25"/>
      <c r="AE546" s="13"/>
      <c r="AF546" s="12"/>
      <c r="AG546" s="14" t="str">
        <f aca="false">IF(OR($B546="",$C546="",$H546=""),"",IF(COUNTIFS($B$5:$B$804,$B546,$C$5:$C$804,$C546,$H$5:$H$804,$H546)&gt;1,"Takror",""))</f>
        <v/>
      </c>
      <c r="AH546" s="28" t="str">
        <f aca="false">IF(AND($B546&lt;&gt;"",$N546="Ha",$H546&lt;&gt;"",$H546&lt;=Boshqaruv!$C$12,OR($AE546="",$AE546&gt;Boshqaruv!$C$12)),MAX($AH$4:$AH545)+1,"")</f>
        <v/>
      </c>
    </row>
    <row r="547" customFormat="false" ht="15" hidden="false" customHeight="false" outlineLevel="0" collapsed="false">
      <c r="A547" s="20" t="n">
        <v>543</v>
      </c>
      <c r="B547" s="12"/>
      <c r="C547" s="13"/>
      <c r="D547" s="24"/>
      <c r="E547" s="12"/>
      <c r="F547" s="25"/>
      <c r="G547" s="27" t="str">
        <f aca="false">IF(OR($B547="",$C547=""),"",$B547&amp;" ("&amp;DAY($C547)&amp;"."&amp;MONTH($C547)&amp;"."&amp;YEAR($C547)&amp;")")</f>
        <v/>
      </c>
      <c r="H547" s="13"/>
      <c r="I547" s="13"/>
      <c r="J547" s="15" t="str">
        <f aca="false">IF($I547="","",$I547+280)</f>
        <v/>
      </c>
      <c r="K547" s="14" t="str">
        <f aca="false">IF(OR($I547="",$AE547&lt;&gt;""),"",INT((Boshqaruv!$C$12-$I547)/7))</f>
        <v/>
      </c>
      <c r="L547" s="14" t="str">
        <f aca="false">IF(OR($C547="",$H547=""),"",INT(($H547-$C547)/365.25))</f>
        <v/>
      </c>
      <c r="M547" s="14" t="str">
        <f aca="false">IF($L547="","",IF($L547&lt;18,"Ha","Yo'q"))</f>
        <v/>
      </c>
      <c r="N547" s="25"/>
      <c r="O547" s="25"/>
      <c r="P547" s="25"/>
      <c r="Q547" s="12"/>
      <c r="R547" s="25"/>
      <c r="S547" s="12"/>
      <c r="T547" s="13"/>
      <c r="U547" s="12"/>
      <c r="V547" s="25"/>
      <c r="W547" s="25"/>
      <c r="X547" s="14" t="str">
        <f aca="false">IF(OR($V547="",$W547=""),"",IF(AND($V547&gt;=Spravochnik!$H$5,$W547&gt;=Spravochnik!$H$6),"Ha","Yo'q"))</f>
        <v/>
      </c>
      <c r="Y547" s="13"/>
      <c r="Z547" s="13"/>
      <c r="AA547" s="13"/>
      <c r="AB547" s="13"/>
      <c r="AC547" s="14" t="str">
        <f aca="false">IF(AND($B547&lt;&gt;"",$AE547="",$AB547&lt;&gt;"",$AB547&lt;Boshqaruv!$C$12),"Ha","")</f>
        <v/>
      </c>
      <c r="AD547" s="25"/>
      <c r="AE547" s="13"/>
      <c r="AF547" s="12"/>
      <c r="AG547" s="14" t="str">
        <f aca="false">IF(OR($B547="",$C547="",$H547=""),"",IF(COUNTIFS($B$5:$B$804,$B547,$C$5:$C$804,$C547,$H$5:$H$804,$H547)&gt;1,"Takror",""))</f>
        <v/>
      </c>
      <c r="AH547" s="28" t="str">
        <f aca="false">IF(AND($B547&lt;&gt;"",$N547="Ha",$H547&lt;&gt;"",$H547&lt;=Boshqaruv!$C$12,OR($AE547="",$AE547&gt;Boshqaruv!$C$12)),MAX($AH$4:$AH546)+1,"")</f>
        <v/>
      </c>
    </row>
    <row r="548" customFormat="false" ht="15" hidden="false" customHeight="false" outlineLevel="0" collapsed="false">
      <c r="A548" s="20" t="n">
        <v>544</v>
      </c>
      <c r="B548" s="12"/>
      <c r="C548" s="13"/>
      <c r="D548" s="24"/>
      <c r="E548" s="12"/>
      <c r="F548" s="25"/>
      <c r="G548" s="27" t="str">
        <f aca="false">IF(OR($B548="",$C548=""),"",$B548&amp;" ("&amp;DAY($C548)&amp;"."&amp;MONTH($C548)&amp;"."&amp;YEAR($C548)&amp;")")</f>
        <v/>
      </c>
      <c r="H548" s="13"/>
      <c r="I548" s="13"/>
      <c r="J548" s="15" t="str">
        <f aca="false">IF($I548="","",$I548+280)</f>
        <v/>
      </c>
      <c r="K548" s="14" t="str">
        <f aca="false">IF(OR($I548="",$AE548&lt;&gt;""),"",INT((Boshqaruv!$C$12-$I548)/7))</f>
        <v/>
      </c>
      <c r="L548" s="14" t="str">
        <f aca="false">IF(OR($C548="",$H548=""),"",INT(($H548-$C548)/365.25))</f>
        <v/>
      </c>
      <c r="M548" s="14" t="str">
        <f aca="false">IF($L548="","",IF($L548&lt;18,"Ha","Yo'q"))</f>
        <v/>
      </c>
      <c r="N548" s="25"/>
      <c r="O548" s="25"/>
      <c r="P548" s="25"/>
      <c r="Q548" s="12"/>
      <c r="R548" s="25"/>
      <c r="S548" s="12"/>
      <c r="T548" s="13"/>
      <c r="U548" s="12"/>
      <c r="V548" s="25"/>
      <c r="W548" s="25"/>
      <c r="X548" s="14" t="str">
        <f aca="false">IF(OR($V548="",$W548=""),"",IF(AND($V548&gt;=Spravochnik!$H$5,$W548&gt;=Spravochnik!$H$6),"Ha","Yo'q"))</f>
        <v/>
      </c>
      <c r="Y548" s="13"/>
      <c r="Z548" s="13"/>
      <c r="AA548" s="13"/>
      <c r="AB548" s="13"/>
      <c r="AC548" s="14" t="str">
        <f aca="false">IF(AND($B548&lt;&gt;"",$AE548="",$AB548&lt;&gt;"",$AB548&lt;Boshqaruv!$C$12),"Ha","")</f>
        <v/>
      </c>
      <c r="AD548" s="25"/>
      <c r="AE548" s="13"/>
      <c r="AF548" s="12"/>
      <c r="AG548" s="14" t="str">
        <f aca="false">IF(OR($B548="",$C548="",$H548=""),"",IF(COUNTIFS($B$5:$B$804,$B548,$C$5:$C$804,$C548,$H$5:$H$804,$H548)&gt;1,"Takror",""))</f>
        <v/>
      </c>
      <c r="AH548" s="28" t="str">
        <f aca="false">IF(AND($B548&lt;&gt;"",$N548="Ha",$H548&lt;&gt;"",$H548&lt;=Boshqaruv!$C$12,OR($AE548="",$AE548&gt;Boshqaruv!$C$12)),MAX($AH$4:$AH547)+1,"")</f>
        <v/>
      </c>
    </row>
    <row r="549" customFormat="false" ht="15" hidden="false" customHeight="false" outlineLevel="0" collapsed="false">
      <c r="A549" s="20" t="n">
        <v>545</v>
      </c>
      <c r="B549" s="12"/>
      <c r="C549" s="13"/>
      <c r="D549" s="24"/>
      <c r="E549" s="12"/>
      <c r="F549" s="25"/>
      <c r="G549" s="27" t="str">
        <f aca="false">IF(OR($B549="",$C549=""),"",$B549&amp;" ("&amp;DAY($C549)&amp;"."&amp;MONTH($C549)&amp;"."&amp;YEAR($C549)&amp;")")</f>
        <v/>
      </c>
      <c r="H549" s="13"/>
      <c r="I549" s="13"/>
      <c r="J549" s="15" t="str">
        <f aca="false">IF($I549="","",$I549+280)</f>
        <v/>
      </c>
      <c r="K549" s="14" t="str">
        <f aca="false">IF(OR($I549="",$AE549&lt;&gt;""),"",INT((Boshqaruv!$C$12-$I549)/7))</f>
        <v/>
      </c>
      <c r="L549" s="14" t="str">
        <f aca="false">IF(OR($C549="",$H549=""),"",INT(($H549-$C549)/365.25))</f>
        <v/>
      </c>
      <c r="M549" s="14" t="str">
        <f aca="false">IF($L549="","",IF($L549&lt;18,"Ha","Yo'q"))</f>
        <v/>
      </c>
      <c r="N549" s="25"/>
      <c r="O549" s="25"/>
      <c r="P549" s="25"/>
      <c r="Q549" s="12"/>
      <c r="R549" s="25"/>
      <c r="S549" s="12"/>
      <c r="T549" s="13"/>
      <c r="U549" s="12"/>
      <c r="V549" s="25"/>
      <c r="W549" s="25"/>
      <c r="X549" s="14" t="str">
        <f aca="false">IF(OR($V549="",$W549=""),"",IF(AND($V549&gt;=Spravochnik!$H$5,$W549&gt;=Spravochnik!$H$6),"Ha","Yo'q"))</f>
        <v/>
      </c>
      <c r="Y549" s="13"/>
      <c r="Z549" s="13"/>
      <c r="AA549" s="13"/>
      <c r="AB549" s="13"/>
      <c r="AC549" s="14" t="str">
        <f aca="false">IF(AND($B549&lt;&gt;"",$AE549="",$AB549&lt;&gt;"",$AB549&lt;Boshqaruv!$C$12),"Ha","")</f>
        <v/>
      </c>
      <c r="AD549" s="25"/>
      <c r="AE549" s="13"/>
      <c r="AF549" s="12"/>
      <c r="AG549" s="14" t="str">
        <f aca="false">IF(OR($B549="",$C549="",$H549=""),"",IF(COUNTIFS($B$5:$B$804,$B549,$C$5:$C$804,$C549,$H$5:$H$804,$H549)&gt;1,"Takror",""))</f>
        <v/>
      </c>
      <c r="AH549" s="28" t="str">
        <f aca="false">IF(AND($B549&lt;&gt;"",$N549="Ha",$H549&lt;&gt;"",$H549&lt;=Boshqaruv!$C$12,OR($AE549="",$AE549&gt;Boshqaruv!$C$12)),MAX($AH$4:$AH548)+1,"")</f>
        <v/>
      </c>
    </row>
    <row r="550" customFormat="false" ht="15" hidden="false" customHeight="false" outlineLevel="0" collapsed="false">
      <c r="A550" s="20" t="n">
        <v>546</v>
      </c>
      <c r="B550" s="12"/>
      <c r="C550" s="13"/>
      <c r="D550" s="24"/>
      <c r="E550" s="12"/>
      <c r="F550" s="25"/>
      <c r="G550" s="27" t="str">
        <f aca="false">IF(OR($B550="",$C550=""),"",$B550&amp;" ("&amp;DAY($C550)&amp;"."&amp;MONTH($C550)&amp;"."&amp;YEAR($C550)&amp;")")</f>
        <v/>
      </c>
      <c r="H550" s="13"/>
      <c r="I550" s="13"/>
      <c r="J550" s="15" t="str">
        <f aca="false">IF($I550="","",$I550+280)</f>
        <v/>
      </c>
      <c r="K550" s="14" t="str">
        <f aca="false">IF(OR($I550="",$AE550&lt;&gt;""),"",INT((Boshqaruv!$C$12-$I550)/7))</f>
        <v/>
      </c>
      <c r="L550" s="14" t="str">
        <f aca="false">IF(OR($C550="",$H550=""),"",INT(($H550-$C550)/365.25))</f>
        <v/>
      </c>
      <c r="M550" s="14" t="str">
        <f aca="false">IF($L550="","",IF($L550&lt;18,"Ha","Yo'q"))</f>
        <v/>
      </c>
      <c r="N550" s="25"/>
      <c r="O550" s="25"/>
      <c r="P550" s="25"/>
      <c r="Q550" s="12"/>
      <c r="R550" s="25"/>
      <c r="S550" s="12"/>
      <c r="T550" s="13"/>
      <c r="U550" s="12"/>
      <c r="V550" s="25"/>
      <c r="W550" s="25"/>
      <c r="X550" s="14" t="str">
        <f aca="false">IF(OR($V550="",$W550=""),"",IF(AND($V550&gt;=Spravochnik!$H$5,$W550&gt;=Spravochnik!$H$6),"Ha","Yo'q"))</f>
        <v/>
      </c>
      <c r="Y550" s="13"/>
      <c r="Z550" s="13"/>
      <c r="AA550" s="13"/>
      <c r="AB550" s="13"/>
      <c r="AC550" s="14" t="str">
        <f aca="false">IF(AND($B550&lt;&gt;"",$AE550="",$AB550&lt;&gt;"",$AB550&lt;Boshqaruv!$C$12),"Ha","")</f>
        <v/>
      </c>
      <c r="AD550" s="25"/>
      <c r="AE550" s="13"/>
      <c r="AF550" s="12"/>
      <c r="AG550" s="14" t="str">
        <f aca="false">IF(OR($B550="",$C550="",$H550=""),"",IF(COUNTIFS($B$5:$B$804,$B550,$C$5:$C$804,$C550,$H$5:$H$804,$H550)&gt;1,"Takror",""))</f>
        <v/>
      </c>
      <c r="AH550" s="28" t="str">
        <f aca="false">IF(AND($B550&lt;&gt;"",$N550="Ha",$H550&lt;&gt;"",$H550&lt;=Boshqaruv!$C$12,OR($AE550="",$AE550&gt;Boshqaruv!$C$12)),MAX($AH$4:$AH549)+1,"")</f>
        <v/>
      </c>
    </row>
    <row r="551" customFormat="false" ht="15" hidden="false" customHeight="false" outlineLevel="0" collapsed="false">
      <c r="A551" s="20" t="n">
        <v>547</v>
      </c>
      <c r="B551" s="12"/>
      <c r="C551" s="13"/>
      <c r="D551" s="24"/>
      <c r="E551" s="12"/>
      <c r="F551" s="25"/>
      <c r="G551" s="27" t="str">
        <f aca="false">IF(OR($B551="",$C551=""),"",$B551&amp;" ("&amp;DAY($C551)&amp;"."&amp;MONTH($C551)&amp;"."&amp;YEAR($C551)&amp;")")</f>
        <v/>
      </c>
      <c r="H551" s="13"/>
      <c r="I551" s="13"/>
      <c r="J551" s="15" t="str">
        <f aca="false">IF($I551="","",$I551+280)</f>
        <v/>
      </c>
      <c r="K551" s="14" t="str">
        <f aca="false">IF(OR($I551="",$AE551&lt;&gt;""),"",INT((Boshqaruv!$C$12-$I551)/7))</f>
        <v/>
      </c>
      <c r="L551" s="14" t="str">
        <f aca="false">IF(OR($C551="",$H551=""),"",INT(($H551-$C551)/365.25))</f>
        <v/>
      </c>
      <c r="M551" s="14" t="str">
        <f aca="false">IF($L551="","",IF($L551&lt;18,"Ha","Yo'q"))</f>
        <v/>
      </c>
      <c r="N551" s="25"/>
      <c r="O551" s="25"/>
      <c r="P551" s="25"/>
      <c r="Q551" s="12"/>
      <c r="R551" s="25"/>
      <c r="S551" s="12"/>
      <c r="T551" s="13"/>
      <c r="U551" s="12"/>
      <c r="V551" s="25"/>
      <c r="W551" s="25"/>
      <c r="X551" s="14" t="str">
        <f aca="false">IF(OR($V551="",$W551=""),"",IF(AND($V551&gt;=Spravochnik!$H$5,$W551&gt;=Spravochnik!$H$6),"Ha","Yo'q"))</f>
        <v/>
      </c>
      <c r="Y551" s="13"/>
      <c r="Z551" s="13"/>
      <c r="AA551" s="13"/>
      <c r="AB551" s="13"/>
      <c r="AC551" s="14" t="str">
        <f aca="false">IF(AND($B551&lt;&gt;"",$AE551="",$AB551&lt;&gt;"",$AB551&lt;Boshqaruv!$C$12),"Ha","")</f>
        <v/>
      </c>
      <c r="AD551" s="25"/>
      <c r="AE551" s="13"/>
      <c r="AF551" s="12"/>
      <c r="AG551" s="14" t="str">
        <f aca="false">IF(OR($B551="",$C551="",$H551=""),"",IF(COUNTIFS($B$5:$B$804,$B551,$C$5:$C$804,$C551,$H$5:$H$804,$H551)&gt;1,"Takror",""))</f>
        <v/>
      </c>
      <c r="AH551" s="28" t="str">
        <f aca="false">IF(AND($B551&lt;&gt;"",$N551="Ha",$H551&lt;&gt;"",$H551&lt;=Boshqaruv!$C$12,OR($AE551="",$AE551&gt;Boshqaruv!$C$12)),MAX($AH$4:$AH550)+1,"")</f>
        <v/>
      </c>
    </row>
    <row r="552" customFormat="false" ht="15" hidden="false" customHeight="false" outlineLevel="0" collapsed="false">
      <c r="A552" s="20" t="n">
        <v>548</v>
      </c>
      <c r="B552" s="12"/>
      <c r="C552" s="13"/>
      <c r="D552" s="24"/>
      <c r="E552" s="12"/>
      <c r="F552" s="25"/>
      <c r="G552" s="27" t="str">
        <f aca="false">IF(OR($B552="",$C552=""),"",$B552&amp;" ("&amp;DAY($C552)&amp;"."&amp;MONTH($C552)&amp;"."&amp;YEAR($C552)&amp;")")</f>
        <v/>
      </c>
      <c r="H552" s="13"/>
      <c r="I552" s="13"/>
      <c r="J552" s="15" t="str">
        <f aca="false">IF($I552="","",$I552+280)</f>
        <v/>
      </c>
      <c r="K552" s="14" t="str">
        <f aca="false">IF(OR($I552="",$AE552&lt;&gt;""),"",INT((Boshqaruv!$C$12-$I552)/7))</f>
        <v/>
      </c>
      <c r="L552" s="14" t="str">
        <f aca="false">IF(OR($C552="",$H552=""),"",INT(($H552-$C552)/365.25))</f>
        <v/>
      </c>
      <c r="M552" s="14" t="str">
        <f aca="false">IF($L552="","",IF($L552&lt;18,"Ha","Yo'q"))</f>
        <v/>
      </c>
      <c r="N552" s="25"/>
      <c r="O552" s="25"/>
      <c r="P552" s="25"/>
      <c r="Q552" s="12"/>
      <c r="R552" s="25"/>
      <c r="S552" s="12"/>
      <c r="T552" s="13"/>
      <c r="U552" s="12"/>
      <c r="V552" s="25"/>
      <c r="W552" s="25"/>
      <c r="X552" s="14" t="str">
        <f aca="false">IF(OR($V552="",$W552=""),"",IF(AND($V552&gt;=Spravochnik!$H$5,$W552&gt;=Spravochnik!$H$6),"Ha","Yo'q"))</f>
        <v/>
      </c>
      <c r="Y552" s="13"/>
      <c r="Z552" s="13"/>
      <c r="AA552" s="13"/>
      <c r="AB552" s="13"/>
      <c r="AC552" s="14" t="str">
        <f aca="false">IF(AND($B552&lt;&gt;"",$AE552="",$AB552&lt;&gt;"",$AB552&lt;Boshqaruv!$C$12),"Ha","")</f>
        <v/>
      </c>
      <c r="AD552" s="25"/>
      <c r="AE552" s="13"/>
      <c r="AF552" s="12"/>
      <c r="AG552" s="14" t="str">
        <f aca="false">IF(OR($B552="",$C552="",$H552=""),"",IF(COUNTIFS($B$5:$B$804,$B552,$C$5:$C$804,$C552,$H$5:$H$804,$H552)&gt;1,"Takror",""))</f>
        <v/>
      </c>
      <c r="AH552" s="28" t="str">
        <f aca="false">IF(AND($B552&lt;&gt;"",$N552="Ha",$H552&lt;&gt;"",$H552&lt;=Boshqaruv!$C$12,OR($AE552="",$AE552&gt;Boshqaruv!$C$12)),MAX($AH$4:$AH551)+1,"")</f>
        <v/>
      </c>
    </row>
    <row r="553" customFormat="false" ht="15" hidden="false" customHeight="false" outlineLevel="0" collapsed="false">
      <c r="A553" s="20" t="n">
        <v>549</v>
      </c>
      <c r="B553" s="12"/>
      <c r="C553" s="13"/>
      <c r="D553" s="24"/>
      <c r="E553" s="12"/>
      <c r="F553" s="25"/>
      <c r="G553" s="27" t="str">
        <f aca="false">IF(OR($B553="",$C553=""),"",$B553&amp;" ("&amp;DAY($C553)&amp;"."&amp;MONTH($C553)&amp;"."&amp;YEAR($C553)&amp;")")</f>
        <v/>
      </c>
      <c r="H553" s="13"/>
      <c r="I553" s="13"/>
      <c r="J553" s="15" t="str">
        <f aca="false">IF($I553="","",$I553+280)</f>
        <v/>
      </c>
      <c r="K553" s="14" t="str">
        <f aca="false">IF(OR($I553="",$AE553&lt;&gt;""),"",INT((Boshqaruv!$C$12-$I553)/7))</f>
        <v/>
      </c>
      <c r="L553" s="14" t="str">
        <f aca="false">IF(OR($C553="",$H553=""),"",INT(($H553-$C553)/365.25))</f>
        <v/>
      </c>
      <c r="M553" s="14" t="str">
        <f aca="false">IF($L553="","",IF($L553&lt;18,"Ha","Yo'q"))</f>
        <v/>
      </c>
      <c r="N553" s="25"/>
      <c r="O553" s="25"/>
      <c r="P553" s="25"/>
      <c r="Q553" s="12"/>
      <c r="R553" s="25"/>
      <c r="S553" s="12"/>
      <c r="T553" s="13"/>
      <c r="U553" s="12"/>
      <c r="V553" s="25"/>
      <c r="W553" s="25"/>
      <c r="X553" s="14" t="str">
        <f aca="false">IF(OR($V553="",$W553=""),"",IF(AND($V553&gt;=Spravochnik!$H$5,$W553&gt;=Spravochnik!$H$6),"Ha","Yo'q"))</f>
        <v/>
      </c>
      <c r="Y553" s="13"/>
      <c r="Z553" s="13"/>
      <c r="AA553" s="13"/>
      <c r="AB553" s="13"/>
      <c r="AC553" s="14" t="str">
        <f aca="false">IF(AND($B553&lt;&gt;"",$AE553="",$AB553&lt;&gt;"",$AB553&lt;Boshqaruv!$C$12),"Ha","")</f>
        <v/>
      </c>
      <c r="AD553" s="25"/>
      <c r="AE553" s="13"/>
      <c r="AF553" s="12"/>
      <c r="AG553" s="14" t="str">
        <f aca="false">IF(OR($B553="",$C553="",$H553=""),"",IF(COUNTIFS($B$5:$B$804,$B553,$C$5:$C$804,$C553,$H$5:$H$804,$H553)&gt;1,"Takror",""))</f>
        <v/>
      </c>
      <c r="AH553" s="28" t="str">
        <f aca="false">IF(AND($B553&lt;&gt;"",$N553="Ha",$H553&lt;&gt;"",$H553&lt;=Boshqaruv!$C$12,OR($AE553="",$AE553&gt;Boshqaruv!$C$12)),MAX($AH$4:$AH552)+1,"")</f>
        <v/>
      </c>
    </row>
    <row r="554" customFormat="false" ht="15" hidden="false" customHeight="false" outlineLevel="0" collapsed="false">
      <c r="A554" s="20" t="n">
        <v>550</v>
      </c>
      <c r="B554" s="12"/>
      <c r="C554" s="13"/>
      <c r="D554" s="24"/>
      <c r="E554" s="12"/>
      <c r="F554" s="25"/>
      <c r="G554" s="27" t="str">
        <f aca="false">IF(OR($B554="",$C554=""),"",$B554&amp;" ("&amp;DAY($C554)&amp;"."&amp;MONTH($C554)&amp;"."&amp;YEAR($C554)&amp;")")</f>
        <v/>
      </c>
      <c r="H554" s="13"/>
      <c r="I554" s="13"/>
      <c r="J554" s="15" t="str">
        <f aca="false">IF($I554="","",$I554+280)</f>
        <v/>
      </c>
      <c r="K554" s="14" t="str">
        <f aca="false">IF(OR($I554="",$AE554&lt;&gt;""),"",INT((Boshqaruv!$C$12-$I554)/7))</f>
        <v/>
      </c>
      <c r="L554" s="14" t="str">
        <f aca="false">IF(OR($C554="",$H554=""),"",INT(($H554-$C554)/365.25))</f>
        <v/>
      </c>
      <c r="M554" s="14" t="str">
        <f aca="false">IF($L554="","",IF($L554&lt;18,"Ha","Yo'q"))</f>
        <v/>
      </c>
      <c r="N554" s="25"/>
      <c r="O554" s="25"/>
      <c r="P554" s="25"/>
      <c r="Q554" s="12"/>
      <c r="R554" s="25"/>
      <c r="S554" s="12"/>
      <c r="T554" s="13"/>
      <c r="U554" s="12"/>
      <c r="V554" s="25"/>
      <c r="W554" s="25"/>
      <c r="X554" s="14" t="str">
        <f aca="false">IF(OR($V554="",$W554=""),"",IF(AND($V554&gt;=Spravochnik!$H$5,$W554&gt;=Spravochnik!$H$6),"Ha","Yo'q"))</f>
        <v/>
      </c>
      <c r="Y554" s="13"/>
      <c r="Z554" s="13"/>
      <c r="AA554" s="13"/>
      <c r="AB554" s="13"/>
      <c r="AC554" s="14" t="str">
        <f aca="false">IF(AND($B554&lt;&gt;"",$AE554="",$AB554&lt;&gt;"",$AB554&lt;Boshqaruv!$C$12),"Ha","")</f>
        <v/>
      </c>
      <c r="AD554" s="25"/>
      <c r="AE554" s="13"/>
      <c r="AF554" s="12"/>
      <c r="AG554" s="14" t="str">
        <f aca="false">IF(OR($B554="",$C554="",$H554=""),"",IF(COUNTIFS($B$5:$B$804,$B554,$C$5:$C$804,$C554,$H$5:$H$804,$H554)&gt;1,"Takror",""))</f>
        <v/>
      </c>
      <c r="AH554" s="28" t="str">
        <f aca="false">IF(AND($B554&lt;&gt;"",$N554="Ha",$H554&lt;&gt;"",$H554&lt;=Boshqaruv!$C$12,OR($AE554="",$AE554&gt;Boshqaruv!$C$12)),MAX($AH$4:$AH553)+1,"")</f>
        <v/>
      </c>
    </row>
    <row r="555" customFormat="false" ht="15" hidden="false" customHeight="false" outlineLevel="0" collapsed="false">
      <c r="A555" s="20" t="n">
        <v>551</v>
      </c>
      <c r="B555" s="12"/>
      <c r="C555" s="13"/>
      <c r="D555" s="24"/>
      <c r="E555" s="12"/>
      <c r="F555" s="25"/>
      <c r="G555" s="27" t="str">
        <f aca="false">IF(OR($B555="",$C555=""),"",$B555&amp;" ("&amp;DAY($C555)&amp;"."&amp;MONTH($C555)&amp;"."&amp;YEAR($C555)&amp;")")</f>
        <v/>
      </c>
      <c r="H555" s="13"/>
      <c r="I555" s="13"/>
      <c r="J555" s="15" t="str">
        <f aca="false">IF($I555="","",$I555+280)</f>
        <v/>
      </c>
      <c r="K555" s="14" t="str">
        <f aca="false">IF(OR($I555="",$AE555&lt;&gt;""),"",INT((Boshqaruv!$C$12-$I555)/7))</f>
        <v/>
      </c>
      <c r="L555" s="14" t="str">
        <f aca="false">IF(OR($C555="",$H555=""),"",INT(($H555-$C555)/365.25))</f>
        <v/>
      </c>
      <c r="M555" s="14" t="str">
        <f aca="false">IF($L555="","",IF($L555&lt;18,"Ha","Yo'q"))</f>
        <v/>
      </c>
      <c r="N555" s="25"/>
      <c r="O555" s="25"/>
      <c r="P555" s="25"/>
      <c r="Q555" s="12"/>
      <c r="R555" s="25"/>
      <c r="S555" s="12"/>
      <c r="T555" s="13"/>
      <c r="U555" s="12"/>
      <c r="V555" s="25"/>
      <c r="W555" s="25"/>
      <c r="X555" s="14" t="str">
        <f aca="false">IF(OR($V555="",$W555=""),"",IF(AND($V555&gt;=Spravochnik!$H$5,$W555&gt;=Spravochnik!$H$6),"Ha","Yo'q"))</f>
        <v/>
      </c>
      <c r="Y555" s="13"/>
      <c r="Z555" s="13"/>
      <c r="AA555" s="13"/>
      <c r="AB555" s="13"/>
      <c r="AC555" s="14" t="str">
        <f aca="false">IF(AND($B555&lt;&gt;"",$AE555="",$AB555&lt;&gt;"",$AB555&lt;Boshqaruv!$C$12),"Ha","")</f>
        <v/>
      </c>
      <c r="AD555" s="25"/>
      <c r="AE555" s="13"/>
      <c r="AF555" s="12"/>
      <c r="AG555" s="14" t="str">
        <f aca="false">IF(OR($B555="",$C555="",$H555=""),"",IF(COUNTIFS($B$5:$B$804,$B555,$C$5:$C$804,$C555,$H$5:$H$804,$H555)&gt;1,"Takror",""))</f>
        <v/>
      </c>
      <c r="AH555" s="28" t="str">
        <f aca="false">IF(AND($B555&lt;&gt;"",$N555="Ha",$H555&lt;&gt;"",$H555&lt;=Boshqaruv!$C$12,OR($AE555="",$AE555&gt;Boshqaruv!$C$12)),MAX($AH$4:$AH554)+1,"")</f>
        <v/>
      </c>
    </row>
    <row r="556" customFormat="false" ht="15" hidden="false" customHeight="false" outlineLevel="0" collapsed="false">
      <c r="A556" s="20" t="n">
        <v>552</v>
      </c>
      <c r="B556" s="12"/>
      <c r="C556" s="13"/>
      <c r="D556" s="24"/>
      <c r="E556" s="12"/>
      <c r="F556" s="25"/>
      <c r="G556" s="27" t="str">
        <f aca="false">IF(OR($B556="",$C556=""),"",$B556&amp;" ("&amp;DAY($C556)&amp;"."&amp;MONTH($C556)&amp;"."&amp;YEAR($C556)&amp;")")</f>
        <v/>
      </c>
      <c r="H556" s="13"/>
      <c r="I556" s="13"/>
      <c r="J556" s="15" t="str">
        <f aca="false">IF($I556="","",$I556+280)</f>
        <v/>
      </c>
      <c r="K556" s="14" t="str">
        <f aca="false">IF(OR($I556="",$AE556&lt;&gt;""),"",INT((Boshqaruv!$C$12-$I556)/7))</f>
        <v/>
      </c>
      <c r="L556" s="14" t="str">
        <f aca="false">IF(OR($C556="",$H556=""),"",INT(($H556-$C556)/365.25))</f>
        <v/>
      </c>
      <c r="M556" s="14" t="str">
        <f aca="false">IF($L556="","",IF($L556&lt;18,"Ha","Yo'q"))</f>
        <v/>
      </c>
      <c r="N556" s="25"/>
      <c r="O556" s="25"/>
      <c r="P556" s="25"/>
      <c r="Q556" s="12"/>
      <c r="R556" s="25"/>
      <c r="S556" s="12"/>
      <c r="T556" s="13"/>
      <c r="U556" s="12"/>
      <c r="V556" s="25"/>
      <c r="W556" s="25"/>
      <c r="X556" s="14" t="str">
        <f aca="false">IF(OR($V556="",$W556=""),"",IF(AND($V556&gt;=Spravochnik!$H$5,$W556&gt;=Spravochnik!$H$6),"Ha","Yo'q"))</f>
        <v/>
      </c>
      <c r="Y556" s="13"/>
      <c r="Z556" s="13"/>
      <c r="AA556" s="13"/>
      <c r="AB556" s="13"/>
      <c r="AC556" s="14" t="str">
        <f aca="false">IF(AND($B556&lt;&gt;"",$AE556="",$AB556&lt;&gt;"",$AB556&lt;Boshqaruv!$C$12),"Ha","")</f>
        <v/>
      </c>
      <c r="AD556" s="25"/>
      <c r="AE556" s="13"/>
      <c r="AF556" s="12"/>
      <c r="AG556" s="14" t="str">
        <f aca="false">IF(OR($B556="",$C556="",$H556=""),"",IF(COUNTIFS($B$5:$B$804,$B556,$C$5:$C$804,$C556,$H$5:$H$804,$H556)&gt;1,"Takror",""))</f>
        <v/>
      </c>
      <c r="AH556" s="28" t="str">
        <f aca="false">IF(AND($B556&lt;&gt;"",$N556="Ha",$H556&lt;&gt;"",$H556&lt;=Boshqaruv!$C$12,OR($AE556="",$AE556&gt;Boshqaruv!$C$12)),MAX($AH$4:$AH555)+1,"")</f>
        <v/>
      </c>
    </row>
    <row r="557" customFormat="false" ht="15" hidden="false" customHeight="false" outlineLevel="0" collapsed="false">
      <c r="A557" s="20" t="n">
        <v>553</v>
      </c>
      <c r="B557" s="12"/>
      <c r="C557" s="13"/>
      <c r="D557" s="24"/>
      <c r="E557" s="12"/>
      <c r="F557" s="25"/>
      <c r="G557" s="27" t="str">
        <f aca="false">IF(OR($B557="",$C557=""),"",$B557&amp;" ("&amp;DAY($C557)&amp;"."&amp;MONTH($C557)&amp;"."&amp;YEAR($C557)&amp;")")</f>
        <v/>
      </c>
      <c r="H557" s="13"/>
      <c r="I557" s="13"/>
      <c r="J557" s="15" t="str">
        <f aca="false">IF($I557="","",$I557+280)</f>
        <v/>
      </c>
      <c r="K557" s="14" t="str">
        <f aca="false">IF(OR($I557="",$AE557&lt;&gt;""),"",INT((Boshqaruv!$C$12-$I557)/7))</f>
        <v/>
      </c>
      <c r="L557" s="14" t="str">
        <f aca="false">IF(OR($C557="",$H557=""),"",INT(($H557-$C557)/365.25))</f>
        <v/>
      </c>
      <c r="M557" s="14" t="str">
        <f aca="false">IF($L557="","",IF($L557&lt;18,"Ha","Yo'q"))</f>
        <v/>
      </c>
      <c r="N557" s="25"/>
      <c r="O557" s="25"/>
      <c r="P557" s="25"/>
      <c r="Q557" s="12"/>
      <c r="R557" s="25"/>
      <c r="S557" s="12"/>
      <c r="T557" s="13"/>
      <c r="U557" s="12"/>
      <c r="V557" s="25"/>
      <c r="W557" s="25"/>
      <c r="X557" s="14" t="str">
        <f aca="false">IF(OR($V557="",$W557=""),"",IF(AND($V557&gt;=Spravochnik!$H$5,$W557&gt;=Spravochnik!$H$6),"Ha","Yo'q"))</f>
        <v/>
      </c>
      <c r="Y557" s="13"/>
      <c r="Z557" s="13"/>
      <c r="AA557" s="13"/>
      <c r="AB557" s="13"/>
      <c r="AC557" s="14" t="str">
        <f aca="false">IF(AND($B557&lt;&gt;"",$AE557="",$AB557&lt;&gt;"",$AB557&lt;Boshqaruv!$C$12),"Ha","")</f>
        <v/>
      </c>
      <c r="AD557" s="25"/>
      <c r="AE557" s="13"/>
      <c r="AF557" s="12"/>
      <c r="AG557" s="14" t="str">
        <f aca="false">IF(OR($B557="",$C557="",$H557=""),"",IF(COUNTIFS($B$5:$B$804,$B557,$C$5:$C$804,$C557,$H$5:$H$804,$H557)&gt;1,"Takror",""))</f>
        <v/>
      </c>
      <c r="AH557" s="28" t="str">
        <f aca="false">IF(AND($B557&lt;&gt;"",$N557="Ha",$H557&lt;&gt;"",$H557&lt;=Boshqaruv!$C$12,OR($AE557="",$AE557&gt;Boshqaruv!$C$12)),MAX($AH$4:$AH556)+1,"")</f>
        <v/>
      </c>
    </row>
    <row r="558" customFormat="false" ht="15" hidden="false" customHeight="false" outlineLevel="0" collapsed="false">
      <c r="A558" s="20" t="n">
        <v>554</v>
      </c>
      <c r="B558" s="12"/>
      <c r="C558" s="13"/>
      <c r="D558" s="24"/>
      <c r="E558" s="12"/>
      <c r="F558" s="25"/>
      <c r="G558" s="27" t="str">
        <f aca="false">IF(OR($B558="",$C558=""),"",$B558&amp;" ("&amp;DAY($C558)&amp;"."&amp;MONTH($C558)&amp;"."&amp;YEAR($C558)&amp;")")</f>
        <v/>
      </c>
      <c r="H558" s="13"/>
      <c r="I558" s="13"/>
      <c r="J558" s="15" t="str">
        <f aca="false">IF($I558="","",$I558+280)</f>
        <v/>
      </c>
      <c r="K558" s="14" t="str">
        <f aca="false">IF(OR($I558="",$AE558&lt;&gt;""),"",INT((Boshqaruv!$C$12-$I558)/7))</f>
        <v/>
      </c>
      <c r="L558" s="14" t="str">
        <f aca="false">IF(OR($C558="",$H558=""),"",INT(($H558-$C558)/365.25))</f>
        <v/>
      </c>
      <c r="M558" s="14" t="str">
        <f aca="false">IF($L558="","",IF($L558&lt;18,"Ha","Yo'q"))</f>
        <v/>
      </c>
      <c r="N558" s="25"/>
      <c r="O558" s="25"/>
      <c r="P558" s="25"/>
      <c r="Q558" s="12"/>
      <c r="R558" s="25"/>
      <c r="S558" s="12"/>
      <c r="T558" s="13"/>
      <c r="U558" s="12"/>
      <c r="V558" s="25"/>
      <c r="W558" s="25"/>
      <c r="X558" s="14" t="str">
        <f aca="false">IF(OR($V558="",$W558=""),"",IF(AND($V558&gt;=Spravochnik!$H$5,$W558&gt;=Spravochnik!$H$6),"Ha","Yo'q"))</f>
        <v/>
      </c>
      <c r="Y558" s="13"/>
      <c r="Z558" s="13"/>
      <c r="AA558" s="13"/>
      <c r="AB558" s="13"/>
      <c r="AC558" s="14" t="str">
        <f aca="false">IF(AND($B558&lt;&gt;"",$AE558="",$AB558&lt;&gt;"",$AB558&lt;Boshqaruv!$C$12),"Ha","")</f>
        <v/>
      </c>
      <c r="AD558" s="25"/>
      <c r="AE558" s="13"/>
      <c r="AF558" s="12"/>
      <c r="AG558" s="14" t="str">
        <f aca="false">IF(OR($B558="",$C558="",$H558=""),"",IF(COUNTIFS($B$5:$B$804,$B558,$C$5:$C$804,$C558,$H$5:$H$804,$H558)&gt;1,"Takror",""))</f>
        <v/>
      </c>
      <c r="AH558" s="28" t="str">
        <f aca="false">IF(AND($B558&lt;&gt;"",$N558="Ha",$H558&lt;&gt;"",$H558&lt;=Boshqaruv!$C$12,OR($AE558="",$AE558&gt;Boshqaruv!$C$12)),MAX($AH$4:$AH557)+1,"")</f>
        <v/>
      </c>
    </row>
    <row r="559" customFormat="false" ht="15" hidden="false" customHeight="false" outlineLevel="0" collapsed="false">
      <c r="A559" s="20" t="n">
        <v>555</v>
      </c>
      <c r="B559" s="12"/>
      <c r="C559" s="13"/>
      <c r="D559" s="24"/>
      <c r="E559" s="12"/>
      <c r="F559" s="25"/>
      <c r="G559" s="27" t="str">
        <f aca="false">IF(OR($B559="",$C559=""),"",$B559&amp;" ("&amp;DAY($C559)&amp;"."&amp;MONTH($C559)&amp;"."&amp;YEAR($C559)&amp;")")</f>
        <v/>
      </c>
      <c r="H559" s="13"/>
      <c r="I559" s="13"/>
      <c r="J559" s="15" t="str">
        <f aca="false">IF($I559="","",$I559+280)</f>
        <v/>
      </c>
      <c r="K559" s="14" t="str">
        <f aca="false">IF(OR($I559="",$AE559&lt;&gt;""),"",INT((Boshqaruv!$C$12-$I559)/7))</f>
        <v/>
      </c>
      <c r="L559" s="14" t="str">
        <f aca="false">IF(OR($C559="",$H559=""),"",INT(($H559-$C559)/365.25))</f>
        <v/>
      </c>
      <c r="M559" s="14" t="str">
        <f aca="false">IF($L559="","",IF($L559&lt;18,"Ha","Yo'q"))</f>
        <v/>
      </c>
      <c r="N559" s="25"/>
      <c r="O559" s="25"/>
      <c r="P559" s="25"/>
      <c r="Q559" s="12"/>
      <c r="R559" s="25"/>
      <c r="S559" s="12"/>
      <c r="T559" s="13"/>
      <c r="U559" s="12"/>
      <c r="V559" s="25"/>
      <c r="W559" s="25"/>
      <c r="X559" s="14" t="str">
        <f aca="false">IF(OR($V559="",$W559=""),"",IF(AND($V559&gt;=Spravochnik!$H$5,$W559&gt;=Spravochnik!$H$6),"Ha","Yo'q"))</f>
        <v/>
      </c>
      <c r="Y559" s="13"/>
      <c r="Z559" s="13"/>
      <c r="AA559" s="13"/>
      <c r="AB559" s="13"/>
      <c r="AC559" s="14" t="str">
        <f aca="false">IF(AND($B559&lt;&gt;"",$AE559="",$AB559&lt;&gt;"",$AB559&lt;Boshqaruv!$C$12),"Ha","")</f>
        <v/>
      </c>
      <c r="AD559" s="25"/>
      <c r="AE559" s="13"/>
      <c r="AF559" s="12"/>
      <c r="AG559" s="14" t="str">
        <f aca="false">IF(OR($B559="",$C559="",$H559=""),"",IF(COUNTIFS($B$5:$B$804,$B559,$C$5:$C$804,$C559,$H$5:$H$804,$H559)&gt;1,"Takror",""))</f>
        <v/>
      </c>
      <c r="AH559" s="28" t="str">
        <f aca="false">IF(AND($B559&lt;&gt;"",$N559="Ha",$H559&lt;&gt;"",$H559&lt;=Boshqaruv!$C$12,OR($AE559="",$AE559&gt;Boshqaruv!$C$12)),MAX($AH$4:$AH558)+1,"")</f>
        <v/>
      </c>
    </row>
    <row r="560" customFormat="false" ht="15" hidden="false" customHeight="false" outlineLevel="0" collapsed="false">
      <c r="A560" s="20" t="n">
        <v>556</v>
      </c>
      <c r="B560" s="12"/>
      <c r="C560" s="13"/>
      <c r="D560" s="24"/>
      <c r="E560" s="12"/>
      <c r="F560" s="25"/>
      <c r="G560" s="27" t="str">
        <f aca="false">IF(OR($B560="",$C560=""),"",$B560&amp;" ("&amp;DAY($C560)&amp;"."&amp;MONTH($C560)&amp;"."&amp;YEAR($C560)&amp;")")</f>
        <v/>
      </c>
      <c r="H560" s="13"/>
      <c r="I560" s="13"/>
      <c r="J560" s="15" t="str">
        <f aca="false">IF($I560="","",$I560+280)</f>
        <v/>
      </c>
      <c r="K560" s="14" t="str">
        <f aca="false">IF(OR($I560="",$AE560&lt;&gt;""),"",INT((Boshqaruv!$C$12-$I560)/7))</f>
        <v/>
      </c>
      <c r="L560" s="14" t="str">
        <f aca="false">IF(OR($C560="",$H560=""),"",INT(($H560-$C560)/365.25))</f>
        <v/>
      </c>
      <c r="M560" s="14" t="str">
        <f aca="false">IF($L560="","",IF($L560&lt;18,"Ha","Yo'q"))</f>
        <v/>
      </c>
      <c r="N560" s="25"/>
      <c r="O560" s="25"/>
      <c r="P560" s="25"/>
      <c r="Q560" s="12"/>
      <c r="R560" s="25"/>
      <c r="S560" s="12"/>
      <c r="T560" s="13"/>
      <c r="U560" s="12"/>
      <c r="V560" s="25"/>
      <c r="W560" s="25"/>
      <c r="X560" s="14" t="str">
        <f aca="false">IF(OR($V560="",$W560=""),"",IF(AND($V560&gt;=Spravochnik!$H$5,$W560&gt;=Spravochnik!$H$6),"Ha","Yo'q"))</f>
        <v/>
      </c>
      <c r="Y560" s="13"/>
      <c r="Z560" s="13"/>
      <c r="AA560" s="13"/>
      <c r="AB560" s="13"/>
      <c r="AC560" s="14" t="str">
        <f aca="false">IF(AND($B560&lt;&gt;"",$AE560="",$AB560&lt;&gt;"",$AB560&lt;Boshqaruv!$C$12),"Ha","")</f>
        <v/>
      </c>
      <c r="AD560" s="25"/>
      <c r="AE560" s="13"/>
      <c r="AF560" s="12"/>
      <c r="AG560" s="14" t="str">
        <f aca="false">IF(OR($B560="",$C560="",$H560=""),"",IF(COUNTIFS($B$5:$B$804,$B560,$C$5:$C$804,$C560,$H$5:$H$804,$H560)&gt;1,"Takror",""))</f>
        <v/>
      </c>
      <c r="AH560" s="28" t="str">
        <f aca="false">IF(AND($B560&lt;&gt;"",$N560="Ha",$H560&lt;&gt;"",$H560&lt;=Boshqaruv!$C$12,OR($AE560="",$AE560&gt;Boshqaruv!$C$12)),MAX($AH$4:$AH559)+1,"")</f>
        <v/>
      </c>
    </row>
    <row r="561" customFormat="false" ht="15" hidden="false" customHeight="false" outlineLevel="0" collapsed="false">
      <c r="A561" s="20" t="n">
        <v>557</v>
      </c>
      <c r="B561" s="12"/>
      <c r="C561" s="13"/>
      <c r="D561" s="24"/>
      <c r="E561" s="12"/>
      <c r="F561" s="25"/>
      <c r="G561" s="27" t="str">
        <f aca="false">IF(OR($B561="",$C561=""),"",$B561&amp;" ("&amp;DAY($C561)&amp;"."&amp;MONTH($C561)&amp;"."&amp;YEAR($C561)&amp;")")</f>
        <v/>
      </c>
      <c r="H561" s="13"/>
      <c r="I561" s="13"/>
      <c r="J561" s="15" t="str">
        <f aca="false">IF($I561="","",$I561+280)</f>
        <v/>
      </c>
      <c r="K561" s="14" t="str">
        <f aca="false">IF(OR($I561="",$AE561&lt;&gt;""),"",INT((Boshqaruv!$C$12-$I561)/7))</f>
        <v/>
      </c>
      <c r="L561" s="14" t="str">
        <f aca="false">IF(OR($C561="",$H561=""),"",INT(($H561-$C561)/365.25))</f>
        <v/>
      </c>
      <c r="M561" s="14" t="str">
        <f aca="false">IF($L561="","",IF($L561&lt;18,"Ha","Yo'q"))</f>
        <v/>
      </c>
      <c r="N561" s="25"/>
      <c r="O561" s="25"/>
      <c r="P561" s="25"/>
      <c r="Q561" s="12"/>
      <c r="R561" s="25"/>
      <c r="S561" s="12"/>
      <c r="T561" s="13"/>
      <c r="U561" s="12"/>
      <c r="V561" s="25"/>
      <c r="W561" s="25"/>
      <c r="X561" s="14" t="str">
        <f aca="false">IF(OR($V561="",$W561=""),"",IF(AND($V561&gt;=Spravochnik!$H$5,$W561&gt;=Spravochnik!$H$6),"Ha","Yo'q"))</f>
        <v/>
      </c>
      <c r="Y561" s="13"/>
      <c r="Z561" s="13"/>
      <c r="AA561" s="13"/>
      <c r="AB561" s="13"/>
      <c r="AC561" s="14" t="str">
        <f aca="false">IF(AND($B561&lt;&gt;"",$AE561="",$AB561&lt;&gt;"",$AB561&lt;Boshqaruv!$C$12),"Ha","")</f>
        <v/>
      </c>
      <c r="AD561" s="25"/>
      <c r="AE561" s="13"/>
      <c r="AF561" s="12"/>
      <c r="AG561" s="14" t="str">
        <f aca="false">IF(OR($B561="",$C561="",$H561=""),"",IF(COUNTIFS($B$5:$B$804,$B561,$C$5:$C$804,$C561,$H$5:$H$804,$H561)&gt;1,"Takror",""))</f>
        <v/>
      </c>
      <c r="AH561" s="28" t="str">
        <f aca="false">IF(AND($B561&lt;&gt;"",$N561="Ha",$H561&lt;&gt;"",$H561&lt;=Boshqaruv!$C$12,OR($AE561="",$AE561&gt;Boshqaruv!$C$12)),MAX($AH$4:$AH560)+1,"")</f>
        <v/>
      </c>
    </row>
    <row r="562" customFormat="false" ht="15" hidden="false" customHeight="false" outlineLevel="0" collapsed="false">
      <c r="A562" s="20" t="n">
        <v>558</v>
      </c>
      <c r="B562" s="12"/>
      <c r="C562" s="13"/>
      <c r="D562" s="24"/>
      <c r="E562" s="12"/>
      <c r="F562" s="25"/>
      <c r="G562" s="27" t="str">
        <f aca="false">IF(OR($B562="",$C562=""),"",$B562&amp;" ("&amp;DAY($C562)&amp;"."&amp;MONTH($C562)&amp;"."&amp;YEAR($C562)&amp;")")</f>
        <v/>
      </c>
      <c r="H562" s="13"/>
      <c r="I562" s="13"/>
      <c r="J562" s="15" t="str">
        <f aca="false">IF($I562="","",$I562+280)</f>
        <v/>
      </c>
      <c r="K562" s="14" t="str">
        <f aca="false">IF(OR($I562="",$AE562&lt;&gt;""),"",INT((Boshqaruv!$C$12-$I562)/7))</f>
        <v/>
      </c>
      <c r="L562" s="14" t="str">
        <f aca="false">IF(OR($C562="",$H562=""),"",INT(($H562-$C562)/365.25))</f>
        <v/>
      </c>
      <c r="M562" s="14" t="str">
        <f aca="false">IF($L562="","",IF($L562&lt;18,"Ha","Yo'q"))</f>
        <v/>
      </c>
      <c r="N562" s="25"/>
      <c r="O562" s="25"/>
      <c r="P562" s="25"/>
      <c r="Q562" s="12"/>
      <c r="R562" s="25"/>
      <c r="S562" s="12"/>
      <c r="T562" s="13"/>
      <c r="U562" s="12"/>
      <c r="V562" s="25"/>
      <c r="W562" s="25"/>
      <c r="X562" s="14" t="str">
        <f aca="false">IF(OR($V562="",$W562=""),"",IF(AND($V562&gt;=Spravochnik!$H$5,$W562&gt;=Spravochnik!$H$6),"Ha","Yo'q"))</f>
        <v/>
      </c>
      <c r="Y562" s="13"/>
      <c r="Z562" s="13"/>
      <c r="AA562" s="13"/>
      <c r="AB562" s="13"/>
      <c r="AC562" s="14" t="str">
        <f aca="false">IF(AND($B562&lt;&gt;"",$AE562="",$AB562&lt;&gt;"",$AB562&lt;Boshqaruv!$C$12),"Ha","")</f>
        <v/>
      </c>
      <c r="AD562" s="25"/>
      <c r="AE562" s="13"/>
      <c r="AF562" s="12"/>
      <c r="AG562" s="14" t="str">
        <f aca="false">IF(OR($B562="",$C562="",$H562=""),"",IF(COUNTIFS($B$5:$B$804,$B562,$C$5:$C$804,$C562,$H$5:$H$804,$H562)&gt;1,"Takror",""))</f>
        <v/>
      </c>
      <c r="AH562" s="28" t="str">
        <f aca="false">IF(AND($B562&lt;&gt;"",$N562="Ha",$H562&lt;&gt;"",$H562&lt;=Boshqaruv!$C$12,OR($AE562="",$AE562&gt;Boshqaruv!$C$12)),MAX($AH$4:$AH561)+1,"")</f>
        <v/>
      </c>
    </row>
    <row r="563" customFormat="false" ht="15" hidden="false" customHeight="false" outlineLevel="0" collapsed="false">
      <c r="A563" s="20" t="n">
        <v>559</v>
      </c>
      <c r="B563" s="12"/>
      <c r="C563" s="13"/>
      <c r="D563" s="24"/>
      <c r="E563" s="12"/>
      <c r="F563" s="25"/>
      <c r="G563" s="27" t="str">
        <f aca="false">IF(OR($B563="",$C563=""),"",$B563&amp;" ("&amp;DAY($C563)&amp;"."&amp;MONTH($C563)&amp;"."&amp;YEAR($C563)&amp;")")</f>
        <v/>
      </c>
      <c r="H563" s="13"/>
      <c r="I563" s="13"/>
      <c r="J563" s="15" t="str">
        <f aca="false">IF($I563="","",$I563+280)</f>
        <v/>
      </c>
      <c r="K563" s="14" t="str">
        <f aca="false">IF(OR($I563="",$AE563&lt;&gt;""),"",INT((Boshqaruv!$C$12-$I563)/7))</f>
        <v/>
      </c>
      <c r="L563" s="14" t="str">
        <f aca="false">IF(OR($C563="",$H563=""),"",INT(($H563-$C563)/365.25))</f>
        <v/>
      </c>
      <c r="M563" s="14" t="str">
        <f aca="false">IF($L563="","",IF($L563&lt;18,"Ha","Yo'q"))</f>
        <v/>
      </c>
      <c r="N563" s="25"/>
      <c r="O563" s="25"/>
      <c r="P563" s="25"/>
      <c r="Q563" s="12"/>
      <c r="R563" s="25"/>
      <c r="S563" s="12"/>
      <c r="T563" s="13"/>
      <c r="U563" s="12"/>
      <c r="V563" s="25"/>
      <c r="W563" s="25"/>
      <c r="X563" s="14" t="str">
        <f aca="false">IF(OR($V563="",$W563=""),"",IF(AND($V563&gt;=Spravochnik!$H$5,$W563&gt;=Spravochnik!$H$6),"Ha","Yo'q"))</f>
        <v/>
      </c>
      <c r="Y563" s="13"/>
      <c r="Z563" s="13"/>
      <c r="AA563" s="13"/>
      <c r="AB563" s="13"/>
      <c r="AC563" s="14" t="str">
        <f aca="false">IF(AND($B563&lt;&gt;"",$AE563="",$AB563&lt;&gt;"",$AB563&lt;Boshqaruv!$C$12),"Ha","")</f>
        <v/>
      </c>
      <c r="AD563" s="25"/>
      <c r="AE563" s="13"/>
      <c r="AF563" s="12"/>
      <c r="AG563" s="14" t="str">
        <f aca="false">IF(OR($B563="",$C563="",$H563=""),"",IF(COUNTIFS($B$5:$B$804,$B563,$C$5:$C$804,$C563,$H$5:$H$804,$H563)&gt;1,"Takror",""))</f>
        <v/>
      </c>
      <c r="AH563" s="28" t="str">
        <f aca="false">IF(AND($B563&lt;&gt;"",$N563="Ha",$H563&lt;&gt;"",$H563&lt;=Boshqaruv!$C$12,OR($AE563="",$AE563&gt;Boshqaruv!$C$12)),MAX($AH$4:$AH562)+1,"")</f>
        <v/>
      </c>
    </row>
    <row r="564" customFormat="false" ht="15" hidden="false" customHeight="false" outlineLevel="0" collapsed="false">
      <c r="A564" s="20" t="n">
        <v>560</v>
      </c>
      <c r="B564" s="12"/>
      <c r="C564" s="13"/>
      <c r="D564" s="24"/>
      <c r="E564" s="12"/>
      <c r="F564" s="25"/>
      <c r="G564" s="27" t="str">
        <f aca="false">IF(OR($B564="",$C564=""),"",$B564&amp;" ("&amp;DAY($C564)&amp;"."&amp;MONTH($C564)&amp;"."&amp;YEAR($C564)&amp;")")</f>
        <v/>
      </c>
      <c r="H564" s="13"/>
      <c r="I564" s="13"/>
      <c r="J564" s="15" t="str">
        <f aca="false">IF($I564="","",$I564+280)</f>
        <v/>
      </c>
      <c r="K564" s="14" t="str">
        <f aca="false">IF(OR($I564="",$AE564&lt;&gt;""),"",INT((Boshqaruv!$C$12-$I564)/7))</f>
        <v/>
      </c>
      <c r="L564" s="14" t="str">
        <f aca="false">IF(OR($C564="",$H564=""),"",INT(($H564-$C564)/365.25))</f>
        <v/>
      </c>
      <c r="M564" s="14" t="str">
        <f aca="false">IF($L564="","",IF($L564&lt;18,"Ha","Yo'q"))</f>
        <v/>
      </c>
      <c r="N564" s="25"/>
      <c r="O564" s="25"/>
      <c r="P564" s="25"/>
      <c r="Q564" s="12"/>
      <c r="R564" s="25"/>
      <c r="S564" s="12"/>
      <c r="T564" s="13"/>
      <c r="U564" s="12"/>
      <c r="V564" s="25"/>
      <c r="W564" s="25"/>
      <c r="X564" s="14" t="str">
        <f aca="false">IF(OR($V564="",$W564=""),"",IF(AND($V564&gt;=Spravochnik!$H$5,$W564&gt;=Spravochnik!$H$6),"Ha","Yo'q"))</f>
        <v/>
      </c>
      <c r="Y564" s="13"/>
      <c r="Z564" s="13"/>
      <c r="AA564" s="13"/>
      <c r="AB564" s="13"/>
      <c r="AC564" s="14" t="str">
        <f aca="false">IF(AND($B564&lt;&gt;"",$AE564="",$AB564&lt;&gt;"",$AB564&lt;Boshqaruv!$C$12),"Ha","")</f>
        <v/>
      </c>
      <c r="AD564" s="25"/>
      <c r="AE564" s="13"/>
      <c r="AF564" s="12"/>
      <c r="AG564" s="14" t="str">
        <f aca="false">IF(OR($B564="",$C564="",$H564=""),"",IF(COUNTIFS($B$5:$B$804,$B564,$C$5:$C$804,$C564,$H$5:$H$804,$H564)&gt;1,"Takror",""))</f>
        <v/>
      </c>
      <c r="AH564" s="28" t="str">
        <f aca="false">IF(AND($B564&lt;&gt;"",$N564="Ha",$H564&lt;&gt;"",$H564&lt;=Boshqaruv!$C$12,OR($AE564="",$AE564&gt;Boshqaruv!$C$12)),MAX($AH$4:$AH563)+1,"")</f>
        <v/>
      </c>
    </row>
    <row r="565" customFormat="false" ht="15" hidden="false" customHeight="false" outlineLevel="0" collapsed="false">
      <c r="A565" s="20" t="n">
        <v>561</v>
      </c>
      <c r="B565" s="12"/>
      <c r="C565" s="13"/>
      <c r="D565" s="24"/>
      <c r="E565" s="12"/>
      <c r="F565" s="25"/>
      <c r="G565" s="27" t="str">
        <f aca="false">IF(OR($B565="",$C565=""),"",$B565&amp;" ("&amp;DAY($C565)&amp;"."&amp;MONTH($C565)&amp;"."&amp;YEAR($C565)&amp;")")</f>
        <v/>
      </c>
      <c r="H565" s="13"/>
      <c r="I565" s="13"/>
      <c r="J565" s="15" t="str">
        <f aca="false">IF($I565="","",$I565+280)</f>
        <v/>
      </c>
      <c r="K565" s="14" t="str">
        <f aca="false">IF(OR($I565="",$AE565&lt;&gt;""),"",INT((Boshqaruv!$C$12-$I565)/7))</f>
        <v/>
      </c>
      <c r="L565" s="14" t="str">
        <f aca="false">IF(OR($C565="",$H565=""),"",INT(($H565-$C565)/365.25))</f>
        <v/>
      </c>
      <c r="M565" s="14" t="str">
        <f aca="false">IF($L565="","",IF($L565&lt;18,"Ha","Yo'q"))</f>
        <v/>
      </c>
      <c r="N565" s="25"/>
      <c r="O565" s="25"/>
      <c r="P565" s="25"/>
      <c r="Q565" s="12"/>
      <c r="R565" s="25"/>
      <c r="S565" s="12"/>
      <c r="T565" s="13"/>
      <c r="U565" s="12"/>
      <c r="V565" s="25"/>
      <c r="W565" s="25"/>
      <c r="X565" s="14" t="str">
        <f aca="false">IF(OR($V565="",$W565=""),"",IF(AND($V565&gt;=Spravochnik!$H$5,$W565&gt;=Spravochnik!$H$6),"Ha","Yo'q"))</f>
        <v/>
      </c>
      <c r="Y565" s="13"/>
      <c r="Z565" s="13"/>
      <c r="AA565" s="13"/>
      <c r="AB565" s="13"/>
      <c r="AC565" s="14" t="str">
        <f aca="false">IF(AND($B565&lt;&gt;"",$AE565="",$AB565&lt;&gt;"",$AB565&lt;Boshqaruv!$C$12),"Ha","")</f>
        <v/>
      </c>
      <c r="AD565" s="25"/>
      <c r="AE565" s="13"/>
      <c r="AF565" s="12"/>
      <c r="AG565" s="14" t="str">
        <f aca="false">IF(OR($B565="",$C565="",$H565=""),"",IF(COUNTIFS($B$5:$B$804,$B565,$C$5:$C$804,$C565,$H$5:$H$804,$H565)&gt;1,"Takror",""))</f>
        <v/>
      </c>
      <c r="AH565" s="28" t="str">
        <f aca="false">IF(AND($B565&lt;&gt;"",$N565="Ha",$H565&lt;&gt;"",$H565&lt;=Boshqaruv!$C$12,OR($AE565="",$AE565&gt;Boshqaruv!$C$12)),MAX($AH$4:$AH564)+1,"")</f>
        <v/>
      </c>
    </row>
    <row r="566" customFormat="false" ht="15" hidden="false" customHeight="false" outlineLevel="0" collapsed="false">
      <c r="A566" s="20" t="n">
        <v>562</v>
      </c>
      <c r="B566" s="12"/>
      <c r="C566" s="13"/>
      <c r="D566" s="24"/>
      <c r="E566" s="12"/>
      <c r="F566" s="25"/>
      <c r="G566" s="27" t="str">
        <f aca="false">IF(OR($B566="",$C566=""),"",$B566&amp;" ("&amp;DAY($C566)&amp;"."&amp;MONTH($C566)&amp;"."&amp;YEAR($C566)&amp;")")</f>
        <v/>
      </c>
      <c r="H566" s="13"/>
      <c r="I566" s="13"/>
      <c r="J566" s="15" t="str">
        <f aca="false">IF($I566="","",$I566+280)</f>
        <v/>
      </c>
      <c r="K566" s="14" t="str">
        <f aca="false">IF(OR($I566="",$AE566&lt;&gt;""),"",INT((Boshqaruv!$C$12-$I566)/7))</f>
        <v/>
      </c>
      <c r="L566" s="14" t="str">
        <f aca="false">IF(OR($C566="",$H566=""),"",INT(($H566-$C566)/365.25))</f>
        <v/>
      </c>
      <c r="M566" s="14" t="str">
        <f aca="false">IF($L566="","",IF($L566&lt;18,"Ha","Yo'q"))</f>
        <v/>
      </c>
      <c r="N566" s="25"/>
      <c r="O566" s="25"/>
      <c r="P566" s="25"/>
      <c r="Q566" s="12"/>
      <c r="R566" s="25"/>
      <c r="S566" s="12"/>
      <c r="T566" s="13"/>
      <c r="U566" s="12"/>
      <c r="V566" s="25"/>
      <c r="W566" s="25"/>
      <c r="X566" s="14" t="str">
        <f aca="false">IF(OR($V566="",$W566=""),"",IF(AND($V566&gt;=Spravochnik!$H$5,$W566&gt;=Spravochnik!$H$6),"Ha","Yo'q"))</f>
        <v/>
      </c>
      <c r="Y566" s="13"/>
      <c r="Z566" s="13"/>
      <c r="AA566" s="13"/>
      <c r="AB566" s="13"/>
      <c r="AC566" s="14" t="str">
        <f aca="false">IF(AND($B566&lt;&gt;"",$AE566="",$AB566&lt;&gt;"",$AB566&lt;Boshqaruv!$C$12),"Ha","")</f>
        <v/>
      </c>
      <c r="AD566" s="25"/>
      <c r="AE566" s="13"/>
      <c r="AF566" s="12"/>
      <c r="AG566" s="14" t="str">
        <f aca="false">IF(OR($B566="",$C566="",$H566=""),"",IF(COUNTIFS($B$5:$B$804,$B566,$C$5:$C$804,$C566,$H$5:$H$804,$H566)&gt;1,"Takror",""))</f>
        <v/>
      </c>
      <c r="AH566" s="28" t="str">
        <f aca="false">IF(AND($B566&lt;&gt;"",$N566="Ha",$H566&lt;&gt;"",$H566&lt;=Boshqaruv!$C$12,OR($AE566="",$AE566&gt;Boshqaruv!$C$12)),MAX($AH$4:$AH565)+1,"")</f>
        <v/>
      </c>
    </row>
    <row r="567" customFormat="false" ht="15" hidden="false" customHeight="false" outlineLevel="0" collapsed="false">
      <c r="A567" s="20" t="n">
        <v>563</v>
      </c>
      <c r="B567" s="12"/>
      <c r="C567" s="13"/>
      <c r="D567" s="24"/>
      <c r="E567" s="12"/>
      <c r="F567" s="25"/>
      <c r="G567" s="27" t="str">
        <f aca="false">IF(OR($B567="",$C567=""),"",$B567&amp;" ("&amp;DAY($C567)&amp;"."&amp;MONTH($C567)&amp;"."&amp;YEAR($C567)&amp;")")</f>
        <v/>
      </c>
      <c r="H567" s="13"/>
      <c r="I567" s="13"/>
      <c r="J567" s="15" t="str">
        <f aca="false">IF($I567="","",$I567+280)</f>
        <v/>
      </c>
      <c r="K567" s="14" t="str">
        <f aca="false">IF(OR($I567="",$AE567&lt;&gt;""),"",INT((Boshqaruv!$C$12-$I567)/7))</f>
        <v/>
      </c>
      <c r="L567" s="14" t="str">
        <f aca="false">IF(OR($C567="",$H567=""),"",INT(($H567-$C567)/365.25))</f>
        <v/>
      </c>
      <c r="M567" s="14" t="str">
        <f aca="false">IF($L567="","",IF($L567&lt;18,"Ha","Yo'q"))</f>
        <v/>
      </c>
      <c r="N567" s="25"/>
      <c r="O567" s="25"/>
      <c r="P567" s="25"/>
      <c r="Q567" s="12"/>
      <c r="R567" s="25"/>
      <c r="S567" s="12"/>
      <c r="T567" s="13"/>
      <c r="U567" s="12"/>
      <c r="V567" s="25"/>
      <c r="W567" s="25"/>
      <c r="X567" s="14" t="str">
        <f aca="false">IF(OR($V567="",$W567=""),"",IF(AND($V567&gt;=Spravochnik!$H$5,$W567&gt;=Spravochnik!$H$6),"Ha","Yo'q"))</f>
        <v/>
      </c>
      <c r="Y567" s="13"/>
      <c r="Z567" s="13"/>
      <c r="AA567" s="13"/>
      <c r="AB567" s="13"/>
      <c r="AC567" s="14" t="str">
        <f aca="false">IF(AND($B567&lt;&gt;"",$AE567="",$AB567&lt;&gt;"",$AB567&lt;Boshqaruv!$C$12),"Ha","")</f>
        <v/>
      </c>
      <c r="AD567" s="25"/>
      <c r="AE567" s="13"/>
      <c r="AF567" s="12"/>
      <c r="AG567" s="14" t="str">
        <f aca="false">IF(OR($B567="",$C567="",$H567=""),"",IF(COUNTIFS($B$5:$B$804,$B567,$C$5:$C$804,$C567,$H$5:$H$804,$H567)&gt;1,"Takror",""))</f>
        <v/>
      </c>
      <c r="AH567" s="28" t="str">
        <f aca="false">IF(AND($B567&lt;&gt;"",$N567="Ha",$H567&lt;&gt;"",$H567&lt;=Boshqaruv!$C$12,OR($AE567="",$AE567&gt;Boshqaruv!$C$12)),MAX($AH$4:$AH566)+1,"")</f>
        <v/>
      </c>
    </row>
    <row r="568" customFormat="false" ht="15" hidden="false" customHeight="false" outlineLevel="0" collapsed="false">
      <c r="A568" s="20" t="n">
        <v>564</v>
      </c>
      <c r="B568" s="12"/>
      <c r="C568" s="13"/>
      <c r="D568" s="24"/>
      <c r="E568" s="12"/>
      <c r="F568" s="25"/>
      <c r="G568" s="27" t="str">
        <f aca="false">IF(OR($B568="",$C568=""),"",$B568&amp;" ("&amp;DAY($C568)&amp;"."&amp;MONTH($C568)&amp;"."&amp;YEAR($C568)&amp;")")</f>
        <v/>
      </c>
      <c r="H568" s="13"/>
      <c r="I568" s="13"/>
      <c r="J568" s="15" t="str">
        <f aca="false">IF($I568="","",$I568+280)</f>
        <v/>
      </c>
      <c r="K568" s="14" t="str">
        <f aca="false">IF(OR($I568="",$AE568&lt;&gt;""),"",INT((Boshqaruv!$C$12-$I568)/7))</f>
        <v/>
      </c>
      <c r="L568" s="14" t="str">
        <f aca="false">IF(OR($C568="",$H568=""),"",INT(($H568-$C568)/365.25))</f>
        <v/>
      </c>
      <c r="M568" s="14" t="str">
        <f aca="false">IF($L568="","",IF($L568&lt;18,"Ha","Yo'q"))</f>
        <v/>
      </c>
      <c r="N568" s="25"/>
      <c r="O568" s="25"/>
      <c r="P568" s="25"/>
      <c r="Q568" s="12"/>
      <c r="R568" s="25"/>
      <c r="S568" s="12"/>
      <c r="T568" s="13"/>
      <c r="U568" s="12"/>
      <c r="V568" s="25"/>
      <c r="W568" s="25"/>
      <c r="X568" s="14" t="str">
        <f aca="false">IF(OR($V568="",$W568=""),"",IF(AND($V568&gt;=Spravochnik!$H$5,$W568&gt;=Spravochnik!$H$6),"Ha","Yo'q"))</f>
        <v/>
      </c>
      <c r="Y568" s="13"/>
      <c r="Z568" s="13"/>
      <c r="AA568" s="13"/>
      <c r="AB568" s="13"/>
      <c r="AC568" s="14" t="str">
        <f aca="false">IF(AND($B568&lt;&gt;"",$AE568="",$AB568&lt;&gt;"",$AB568&lt;Boshqaruv!$C$12),"Ha","")</f>
        <v/>
      </c>
      <c r="AD568" s="25"/>
      <c r="AE568" s="13"/>
      <c r="AF568" s="12"/>
      <c r="AG568" s="14" t="str">
        <f aca="false">IF(OR($B568="",$C568="",$H568=""),"",IF(COUNTIFS($B$5:$B$804,$B568,$C$5:$C$804,$C568,$H$5:$H$804,$H568)&gt;1,"Takror",""))</f>
        <v/>
      </c>
      <c r="AH568" s="28" t="str">
        <f aca="false">IF(AND($B568&lt;&gt;"",$N568="Ha",$H568&lt;&gt;"",$H568&lt;=Boshqaruv!$C$12,OR($AE568="",$AE568&gt;Boshqaruv!$C$12)),MAX($AH$4:$AH567)+1,"")</f>
        <v/>
      </c>
    </row>
    <row r="569" customFormat="false" ht="15" hidden="false" customHeight="false" outlineLevel="0" collapsed="false">
      <c r="A569" s="20" t="n">
        <v>565</v>
      </c>
      <c r="B569" s="12"/>
      <c r="C569" s="13"/>
      <c r="D569" s="24"/>
      <c r="E569" s="12"/>
      <c r="F569" s="25"/>
      <c r="G569" s="27" t="str">
        <f aca="false">IF(OR($B569="",$C569=""),"",$B569&amp;" ("&amp;DAY($C569)&amp;"."&amp;MONTH($C569)&amp;"."&amp;YEAR($C569)&amp;")")</f>
        <v/>
      </c>
      <c r="H569" s="13"/>
      <c r="I569" s="13"/>
      <c r="J569" s="15" t="str">
        <f aca="false">IF($I569="","",$I569+280)</f>
        <v/>
      </c>
      <c r="K569" s="14" t="str">
        <f aca="false">IF(OR($I569="",$AE569&lt;&gt;""),"",INT((Boshqaruv!$C$12-$I569)/7))</f>
        <v/>
      </c>
      <c r="L569" s="14" t="str">
        <f aca="false">IF(OR($C569="",$H569=""),"",INT(($H569-$C569)/365.25))</f>
        <v/>
      </c>
      <c r="M569" s="14" t="str">
        <f aca="false">IF($L569="","",IF($L569&lt;18,"Ha","Yo'q"))</f>
        <v/>
      </c>
      <c r="N569" s="25"/>
      <c r="O569" s="25"/>
      <c r="P569" s="25"/>
      <c r="Q569" s="12"/>
      <c r="R569" s="25"/>
      <c r="S569" s="12"/>
      <c r="T569" s="13"/>
      <c r="U569" s="12"/>
      <c r="V569" s="25"/>
      <c r="W569" s="25"/>
      <c r="X569" s="14" t="str">
        <f aca="false">IF(OR($V569="",$W569=""),"",IF(AND($V569&gt;=Spravochnik!$H$5,$W569&gt;=Spravochnik!$H$6),"Ha","Yo'q"))</f>
        <v/>
      </c>
      <c r="Y569" s="13"/>
      <c r="Z569" s="13"/>
      <c r="AA569" s="13"/>
      <c r="AB569" s="13"/>
      <c r="AC569" s="14" t="str">
        <f aca="false">IF(AND($B569&lt;&gt;"",$AE569="",$AB569&lt;&gt;"",$AB569&lt;Boshqaruv!$C$12),"Ha","")</f>
        <v/>
      </c>
      <c r="AD569" s="25"/>
      <c r="AE569" s="13"/>
      <c r="AF569" s="12"/>
      <c r="AG569" s="14" t="str">
        <f aca="false">IF(OR($B569="",$C569="",$H569=""),"",IF(COUNTIFS($B$5:$B$804,$B569,$C$5:$C$804,$C569,$H$5:$H$804,$H569)&gt;1,"Takror",""))</f>
        <v/>
      </c>
      <c r="AH569" s="28" t="str">
        <f aca="false">IF(AND($B569&lt;&gt;"",$N569="Ha",$H569&lt;&gt;"",$H569&lt;=Boshqaruv!$C$12,OR($AE569="",$AE569&gt;Boshqaruv!$C$12)),MAX($AH$4:$AH568)+1,"")</f>
        <v/>
      </c>
    </row>
    <row r="570" customFormat="false" ht="15" hidden="false" customHeight="false" outlineLevel="0" collapsed="false">
      <c r="A570" s="20" t="n">
        <v>566</v>
      </c>
      <c r="B570" s="12"/>
      <c r="C570" s="13"/>
      <c r="D570" s="24"/>
      <c r="E570" s="12"/>
      <c r="F570" s="25"/>
      <c r="G570" s="27" t="str">
        <f aca="false">IF(OR($B570="",$C570=""),"",$B570&amp;" ("&amp;DAY($C570)&amp;"."&amp;MONTH($C570)&amp;"."&amp;YEAR($C570)&amp;")")</f>
        <v/>
      </c>
      <c r="H570" s="13"/>
      <c r="I570" s="13"/>
      <c r="J570" s="15" t="str">
        <f aca="false">IF($I570="","",$I570+280)</f>
        <v/>
      </c>
      <c r="K570" s="14" t="str">
        <f aca="false">IF(OR($I570="",$AE570&lt;&gt;""),"",INT((Boshqaruv!$C$12-$I570)/7))</f>
        <v/>
      </c>
      <c r="L570" s="14" t="str">
        <f aca="false">IF(OR($C570="",$H570=""),"",INT(($H570-$C570)/365.25))</f>
        <v/>
      </c>
      <c r="M570" s="14" t="str">
        <f aca="false">IF($L570="","",IF($L570&lt;18,"Ha","Yo'q"))</f>
        <v/>
      </c>
      <c r="N570" s="25"/>
      <c r="O570" s="25"/>
      <c r="P570" s="25"/>
      <c r="Q570" s="12"/>
      <c r="R570" s="25"/>
      <c r="S570" s="12"/>
      <c r="T570" s="13"/>
      <c r="U570" s="12"/>
      <c r="V570" s="25"/>
      <c r="W570" s="25"/>
      <c r="X570" s="14" t="str">
        <f aca="false">IF(OR($V570="",$W570=""),"",IF(AND($V570&gt;=Spravochnik!$H$5,$W570&gt;=Spravochnik!$H$6),"Ha","Yo'q"))</f>
        <v/>
      </c>
      <c r="Y570" s="13"/>
      <c r="Z570" s="13"/>
      <c r="AA570" s="13"/>
      <c r="AB570" s="13"/>
      <c r="AC570" s="14" t="str">
        <f aca="false">IF(AND($B570&lt;&gt;"",$AE570="",$AB570&lt;&gt;"",$AB570&lt;Boshqaruv!$C$12),"Ha","")</f>
        <v/>
      </c>
      <c r="AD570" s="25"/>
      <c r="AE570" s="13"/>
      <c r="AF570" s="12"/>
      <c r="AG570" s="14" t="str">
        <f aca="false">IF(OR($B570="",$C570="",$H570=""),"",IF(COUNTIFS($B$5:$B$804,$B570,$C$5:$C$804,$C570,$H$5:$H$804,$H570)&gt;1,"Takror",""))</f>
        <v/>
      </c>
      <c r="AH570" s="28" t="str">
        <f aca="false">IF(AND($B570&lt;&gt;"",$N570="Ha",$H570&lt;&gt;"",$H570&lt;=Boshqaruv!$C$12,OR($AE570="",$AE570&gt;Boshqaruv!$C$12)),MAX($AH$4:$AH569)+1,"")</f>
        <v/>
      </c>
    </row>
    <row r="571" customFormat="false" ht="15" hidden="false" customHeight="false" outlineLevel="0" collapsed="false">
      <c r="A571" s="20" t="n">
        <v>567</v>
      </c>
      <c r="B571" s="12"/>
      <c r="C571" s="13"/>
      <c r="D571" s="24"/>
      <c r="E571" s="12"/>
      <c r="F571" s="25"/>
      <c r="G571" s="27" t="str">
        <f aca="false">IF(OR($B571="",$C571=""),"",$B571&amp;" ("&amp;DAY($C571)&amp;"."&amp;MONTH($C571)&amp;"."&amp;YEAR($C571)&amp;")")</f>
        <v/>
      </c>
      <c r="H571" s="13"/>
      <c r="I571" s="13"/>
      <c r="J571" s="15" t="str">
        <f aca="false">IF($I571="","",$I571+280)</f>
        <v/>
      </c>
      <c r="K571" s="14" t="str">
        <f aca="false">IF(OR($I571="",$AE571&lt;&gt;""),"",INT((Boshqaruv!$C$12-$I571)/7))</f>
        <v/>
      </c>
      <c r="L571" s="14" t="str">
        <f aca="false">IF(OR($C571="",$H571=""),"",INT(($H571-$C571)/365.25))</f>
        <v/>
      </c>
      <c r="M571" s="14" t="str">
        <f aca="false">IF($L571="","",IF($L571&lt;18,"Ha","Yo'q"))</f>
        <v/>
      </c>
      <c r="N571" s="25"/>
      <c r="O571" s="25"/>
      <c r="P571" s="25"/>
      <c r="Q571" s="12"/>
      <c r="R571" s="25"/>
      <c r="S571" s="12"/>
      <c r="T571" s="13"/>
      <c r="U571" s="12"/>
      <c r="V571" s="25"/>
      <c r="W571" s="25"/>
      <c r="X571" s="14" t="str">
        <f aca="false">IF(OR($V571="",$W571=""),"",IF(AND($V571&gt;=Spravochnik!$H$5,$W571&gt;=Spravochnik!$H$6),"Ha","Yo'q"))</f>
        <v/>
      </c>
      <c r="Y571" s="13"/>
      <c r="Z571" s="13"/>
      <c r="AA571" s="13"/>
      <c r="AB571" s="13"/>
      <c r="AC571" s="14" t="str">
        <f aca="false">IF(AND($B571&lt;&gt;"",$AE571="",$AB571&lt;&gt;"",$AB571&lt;Boshqaruv!$C$12),"Ha","")</f>
        <v/>
      </c>
      <c r="AD571" s="25"/>
      <c r="AE571" s="13"/>
      <c r="AF571" s="12"/>
      <c r="AG571" s="14" t="str">
        <f aca="false">IF(OR($B571="",$C571="",$H571=""),"",IF(COUNTIFS($B$5:$B$804,$B571,$C$5:$C$804,$C571,$H$5:$H$804,$H571)&gt;1,"Takror",""))</f>
        <v/>
      </c>
      <c r="AH571" s="28" t="str">
        <f aca="false">IF(AND($B571&lt;&gt;"",$N571="Ha",$H571&lt;&gt;"",$H571&lt;=Boshqaruv!$C$12,OR($AE571="",$AE571&gt;Boshqaruv!$C$12)),MAX($AH$4:$AH570)+1,"")</f>
        <v/>
      </c>
    </row>
    <row r="572" customFormat="false" ht="15" hidden="false" customHeight="false" outlineLevel="0" collapsed="false">
      <c r="A572" s="20" t="n">
        <v>568</v>
      </c>
      <c r="B572" s="12"/>
      <c r="C572" s="13"/>
      <c r="D572" s="24"/>
      <c r="E572" s="12"/>
      <c r="F572" s="25"/>
      <c r="G572" s="27" t="str">
        <f aca="false">IF(OR($B572="",$C572=""),"",$B572&amp;" ("&amp;DAY($C572)&amp;"."&amp;MONTH($C572)&amp;"."&amp;YEAR($C572)&amp;")")</f>
        <v/>
      </c>
      <c r="H572" s="13"/>
      <c r="I572" s="13"/>
      <c r="J572" s="15" t="str">
        <f aca="false">IF($I572="","",$I572+280)</f>
        <v/>
      </c>
      <c r="K572" s="14" t="str">
        <f aca="false">IF(OR($I572="",$AE572&lt;&gt;""),"",INT((Boshqaruv!$C$12-$I572)/7))</f>
        <v/>
      </c>
      <c r="L572" s="14" t="str">
        <f aca="false">IF(OR($C572="",$H572=""),"",INT(($H572-$C572)/365.25))</f>
        <v/>
      </c>
      <c r="M572" s="14" t="str">
        <f aca="false">IF($L572="","",IF($L572&lt;18,"Ha","Yo'q"))</f>
        <v/>
      </c>
      <c r="N572" s="25"/>
      <c r="O572" s="25"/>
      <c r="P572" s="25"/>
      <c r="Q572" s="12"/>
      <c r="R572" s="25"/>
      <c r="S572" s="12"/>
      <c r="T572" s="13"/>
      <c r="U572" s="12"/>
      <c r="V572" s="25"/>
      <c r="W572" s="25"/>
      <c r="X572" s="14" t="str">
        <f aca="false">IF(OR($V572="",$W572=""),"",IF(AND($V572&gt;=Spravochnik!$H$5,$W572&gt;=Spravochnik!$H$6),"Ha","Yo'q"))</f>
        <v/>
      </c>
      <c r="Y572" s="13"/>
      <c r="Z572" s="13"/>
      <c r="AA572" s="13"/>
      <c r="AB572" s="13"/>
      <c r="AC572" s="14" t="str">
        <f aca="false">IF(AND($B572&lt;&gt;"",$AE572="",$AB572&lt;&gt;"",$AB572&lt;Boshqaruv!$C$12),"Ha","")</f>
        <v/>
      </c>
      <c r="AD572" s="25"/>
      <c r="AE572" s="13"/>
      <c r="AF572" s="12"/>
      <c r="AG572" s="14" t="str">
        <f aca="false">IF(OR($B572="",$C572="",$H572=""),"",IF(COUNTIFS($B$5:$B$804,$B572,$C$5:$C$804,$C572,$H$5:$H$804,$H572)&gt;1,"Takror",""))</f>
        <v/>
      </c>
      <c r="AH572" s="28" t="str">
        <f aca="false">IF(AND($B572&lt;&gt;"",$N572="Ha",$H572&lt;&gt;"",$H572&lt;=Boshqaruv!$C$12,OR($AE572="",$AE572&gt;Boshqaruv!$C$12)),MAX($AH$4:$AH571)+1,"")</f>
        <v/>
      </c>
    </row>
    <row r="573" customFormat="false" ht="15" hidden="false" customHeight="false" outlineLevel="0" collapsed="false">
      <c r="A573" s="20" t="n">
        <v>569</v>
      </c>
      <c r="B573" s="12"/>
      <c r="C573" s="13"/>
      <c r="D573" s="24"/>
      <c r="E573" s="12"/>
      <c r="F573" s="25"/>
      <c r="G573" s="27" t="str">
        <f aca="false">IF(OR($B573="",$C573=""),"",$B573&amp;" ("&amp;DAY($C573)&amp;"."&amp;MONTH($C573)&amp;"."&amp;YEAR($C573)&amp;")")</f>
        <v/>
      </c>
      <c r="H573" s="13"/>
      <c r="I573" s="13"/>
      <c r="J573" s="15" t="str">
        <f aca="false">IF($I573="","",$I573+280)</f>
        <v/>
      </c>
      <c r="K573" s="14" t="str">
        <f aca="false">IF(OR($I573="",$AE573&lt;&gt;""),"",INT((Boshqaruv!$C$12-$I573)/7))</f>
        <v/>
      </c>
      <c r="L573" s="14" t="str">
        <f aca="false">IF(OR($C573="",$H573=""),"",INT(($H573-$C573)/365.25))</f>
        <v/>
      </c>
      <c r="M573" s="14" t="str">
        <f aca="false">IF($L573="","",IF($L573&lt;18,"Ha","Yo'q"))</f>
        <v/>
      </c>
      <c r="N573" s="25"/>
      <c r="O573" s="25"/>
      <c r="P573" s="25"/>
      <c r="Q573" s="12"/>
      <c r="R573" s="25"/>
      <c r="S573" s="12"/>
      <c r="T573" s="13"/>
      <c r="U573" s="12"/>
      <c r="V573" s="25"/>
      <c r="W573" s="25"/>
      <c r="X573" s="14" t="str">
        <f aca="false">IF(OR($V573="",$W573=""),"",IF(AND($V573&gt;=Spravochnik!$H$5,$W573&gt;=Spravochnik!$H$6),"Ha","Yo'q"))</f>
        <v/>
      </c>
      <c r="Y573" s="13"/>
      <c r="Z573" s="13"/>
      <c r="AA573" s="13"/>
      <c r="AB573" s="13"/>
      <c r="AC573" s="14" t="str">
        <f aca="false">IF(AND($B573&lt;&gt;"",$AE573="",$AB573&lt;&gt;"",$AB573&lt;Boshqaruv!$C$12),"Ha","")</f>
        <v/>
      </c>
      <c r="AD573" s="25"/>
      <c r="AE573" s="13"/>
      <c r="AF573" s="12"/>
      <c r="AG573" s="14" t="str">
        <f aca="false">IF(OR($B573="",$C573="",$H573=""),"",IF(COUNTIFS($B$5:$B$804,$B573,$C$5:$C$804,$C573,$H$5:$H$804,$H573)&gt;1,"Takror",""))</f>
        <v/>
      </c>
      <c r="AH573" s="28" t="str">
        <f aca="false">IF(AND($B573&lt;&gt;"",$N573="Ha",$H573&lt;&gt;"",$H573&lt;=Boshqaruv!$C$12,OR($AE573="",$AE573&gt;Boshqaruv!$C$12)),MAX($AH$4:$AH572)+1,"")</f>
        <v/>
      </c>
    </row>
    <row r="574" customFormat="false" ht="15" hidden="false" customHeight="false" outlineLevel="0" collapsed="false">
      <c r="A574" s="20" t="n">
        <v>570</v>
      </c>
      <c r="B574" s="12"/>
      <c r="C574" s="13"/>
      <c r="D574" s="24"/>
      <c r="E574" s="12"/>
      <c r="F574" s="25"/>
      <c r="G574" s="27" t="str">
        <f aca="false">IF(OR($B574="",$C574=""),"",$B574&amp;" ("&amp;DAY($C574)&amp;"."&amp;MONTH($C574)&amp;"."&amp;YEAR($C574)&amp;")")</f>
        <v/>
      </c>
      <c r="H574" s="13"/>
      <c r="I574" s="13"/>
      <c r="J574" s="15" t="str">
        <f aca="false">IF($I574="","",$I574+280)</f>
        <v/>
      </c>
      <c r="K574" s="14" t="str">
        <f aca="false">IF(OR($I574="",$AE574&lt;&gt;""),"",INT((Boshqaruv!$C$12-$I574)/7))</f>
        <v/>
      </c>
      <c r="L574" s="14" t="str">
        <f aca="false">IF(OR($C574="",$H574=""),"",INT(($H574-$C574)/365.25))</f>
        <v/>
      </c>
      <c r="M574" s="14" t="str">
        <f aca="false">IF($L574="","",IF($L574&lt;18,"Ha","Yo'q"))</f>
        <v/>
      </c>
      <c r="N574" s="25"/>
      <c r="O574" s="25"/>
      <c r="P574" s="25"/>
      <c r="Q574" s="12"/>
      <c r="R574" s="25"/>
      <c r="S574" s="12"/>
      <c r="T574" s="13"/>
      <c r="U574" s="12"/>
      <c r="V574" s="25"/>
      <c r="W574" s="25"/>
      <c r="X574" s="14" t="str">
        <f aca="false">IF(OR($V574="",$W574=""),"",IF(AND($V574&gt;=Spravochnik!$H$5,$W574&gt;=Spravochnik!$H$6),"Ha","Yo'q"))</f>
        <v/>
      </c>
      <c r="Y574" s="13"/>
      <c r="Z574" s="13"/>
      <c r="AA574" s="13"/>
      <c r="AB574" s="13"/>
      <c r="AC574" s="14" t="str">
        <f aca="false">IF(AND($B574&lt;&gt;"",$AE574="",$AB574&lt;&gt;"",$AB574&lt;Boshqaruv!$C$12),"Ha","")</f>
        <v/>
      </c>
      <c r="AD574" s="25"/>
      <c r="AE574" s="13"/>
      <c r="AF574" s="12"/>
      <c r="AG574" s="14" t="str">
        <f aca="false">IF(OR($B574="",$C574="",$H574=""),"",IF(COUNTIFS($B$5:$B$804,$B574,$C$5:$C$804,$C574,$H$5:$H$804,$H574)&gt;1,"Takror",""))</f>
        <v/>
      </c>
      <c r="AH574" s="28" t="str">
        <f aca="false">IF(AND($B574&lt;&gt;"",$N574="Ha",$H574&lt;&gt;"",$H574&lt;=Boshqaruv!$C$12,OR($AE574="",$AE574&gt;Boshqaruv!$C$12)),MAX($AH$4:$AH573)+1,"")</f>
        <v/>
      </c>
    </row>
    <row r="575" customFormat="false" ht="15" hidden="false" customHeight="false" outlineLevel="0" collapsed="false">
      <c r="A575" s="20" t="n">
        <v>571</v>
      </c>
      <c r="B575" s="12"/>
      <c r="C575" s="13"/>
      <c r="D575" s="24"/>
      <c r="E575" s="12"/>
      <c r="F575" s="25"/>
      <c r="G575" s="27" t="str">
        <f aca="false">IF(OR($B575="",$C575=""),"",$B575&amp;" ("&amp;DAY($C575)&amp;"."&amp;MONTH($C575)&amp;"."&amp;YEAR($C575)&amp;")")</f>
        <v/>
      </c>
      <c r="H575" s="13"/>
      <c r="I575" s="13"/>
      <c r="J575" s="15" t="str">
        <f aca="false">IF($I575="","",$I575+280)</f>
        <v/>
      </c>
      <c r="K575" s="14" t="str">
        <f aca="false">IF(OR($I575="",$AE575&lt;&gt;""),"",INT((Boshqaruv!$C$12-$I575)/7))</f>
        <v/>
      </c>
      <c r="L575" s="14" t="str">
        <f aca="false">IF(OR($C575="",$H575=""),"",INT(($H575-$C575)/365.25))</f>
        <v/>
      </c>
      <c r="M575" s="14" t="str">
        <f aca="false">IF($L575="","",IF($L575&lt;18,"Ha","Yo'q"))</f>
        <v/>
      </c>
      <c r="N575" s="25"/>
      <c r="O575" s="25"/>
      <c r="P575" s="25"/>
      <c r="Q575" s="12"/>
      <c r="R575" s="25"/>
      <c r="S575" s="12"/>
      <c r="T575" s="13"/>
      <c r="U575" s="12"/>
      <c r="V575" s="25"/>
      <c r="W575" s="25"/>
      <c r="X575" s="14" t="str">
        <f aca="false">IF(OR($V575="",$W575=""),"",IF(AND($V575&gt;=Spravochnik!$H$5,$W575&gt;=Spravochnik!$H$6),"Ha","Yo'q"))</f>
        <v/>
      </c>
      <c r="Y575" s="13"/>
      <c r="Z575" s="13"/>
      <c r="AA575" s="13"/>
      <c r="AB575" s="13"/>
      <c r="AC575" s="14" t="str">
        <f aca="false">IF(AND($B575&lt;&gt;"",$AE575="",$AB575&lt;&gt;"",$AB575&lt;Boshqaruv!$C$12),"Ha","")</f>
        <v/>
      </c>
      <c r="AD575" s="25"/>
      <c r="AE575" s="13"/>
      <c r="AF575" s="12"/>
      <c r="AG575" s="14" t="str">
        <f aca="false">IF(OR($B575="",$C575="",$H575=""),"",IF(COUNTIFS($B$5:$B$804,$B575,$C$5:$C$804,$C575,$H$5:$H$804,$H575)&gt;1,"Takror",""))</f>
        <v/>
      </c>
      <c r="AH575" s="28" t="str">
        <f aca="false">IF(AND($B575&lt;&gt;"",$N575="Ha",$H575&lt;&gt;"",$H575&lt;=Boshqaruv!$C$12,OR($AE575="",$AE575&gt;Boshqaruv!$C$12)),MAX($AH$4:$AH574)+1,"")</f>
        <v/>
      </c>
    </row>
    <row r="576" customFormat="false" ht="15" hidden="false" customHeight="false" outlineLevel="0" collapsed="false">
      <c r="A576" s="20" t="n">
        <v>572</v>
      </c>
      <c r="B576" s="12"/>
      <c r="C576" s="13"/>
      <c r="D576" s="24"/>
      <c r="E576" s="12"/>
      <c r="F576" s="25"/>
      <c r="G576" s="27" t="str">
        <f aca="false">IF(OR($B576="",$C576=""),"",$B576&amp;" ("&amp;DAY($C576)&amp;"."&amp;MONTH($C576)&amp;"."&amp;YEAR($C576)&amp;")")</f>
        <v/>
      </c>
      <c r="H576" s="13"/>
      <c r="I576" s="13"/>
      <c r="J576" s="15" t="str">
        <f aca="false">IF($I576="","",$I576+280)</f>
        <v/>
      </c>
      <c r="K576" s="14" t="str">
        <f aca="false">IF(OR($I576="",$AE576&lt;&gt;""),"",INT((Boshqaruv!$C$12-$I576)/7))</f>
        <v/>
      </c>
      <c r="L576" s="14" t="str">
        <f aca="false">IF(OR($C576="",$H576=""),"",INT(($H576-$C576)/365.25))</f>
        <v/>
      </c>
      <c r="M576" s="14" t="str">
        <f aca="false">IF($L576="","",IF($L576&lt;18,"Ha","Yo'q"))</f>
        <v/>
      </c>
      <c r="N576" s="25"/>
      <c r="O576" s="25"/>
      <c r="P576" s="25"/>
      <c r="Q576" s="12"/>
      <c r="R576" s="25"/>
      <c r="S576" s="12"/>
      <c r="T576" s="13"/>
      <c r="U576" s="12"/>
      <c r="V576" s="25"/>
      <c r="W576" s="25"/>
      <c r="X576" s="14" t="str">
        <f aca="false">IF(OR($V576="",$W576=""),"",IF(AND($V576&gt;=Spravochnik!$H$5,$W576&gt;=Spravochnik!$H$6),"Ha","Yo'q"))</f>
        <v/>
      </c>
      <c r="Y576" s="13"/>
      <c r="Z576" s="13"/>
      <c r="AA576" s="13"/>
      <c r="AB576" s="13"/>
      <c r="AC576" s="14" t="str">
        <f aca="false">IF(AND($B576&lt;&gt;"",$AE576="",$AB576&lt;&gt;"",$AB576&lt;Boshqaruv!$C$12),"Ha","")</f>
        <v/>
      </c>
      <c r="AD576" s="25"/>
      <c r="AE576" s="13"/>
      <c r="AF576" s="12"/>
      <c r="AG576" s="14" t="str">
        <f aca="false">IF(OR($B576="",$C576="",$H576=""),"",IF(COUNTIFS($B$5:$B$804,$B576,$C$5:$C$804,$C576,$H$5:$H$804,$H576)&gt;1,"Takror",""))</f>
        <v/>
      </c>
      <c r="AH576" s="28" t="str">
        <f aca="false">IF(AND($B576&lt;&gt;"",$N576="Ha",$H576&lt;&gt;"",$H576&lt;=Boshqaruv!$C$12,OR($AE576="",$AE576&gt;Boshqaruv!$C$12)),MAX($AH$4:$AH575)+1,"")</f>
        <v/>
      </c>
    </row>
    <row r="577" customFormat="false" ht="15" hidden="false" customHeight="false" outlineLevel="0" collapsed="false">
      <c r="A577" s="20" t="n">
        <v>573</v>
      </c>
      <c r="B577" s="12"/>
      <c r="C577" s="13"/>
      <c r="D577" s="24"/>
      <c r="E577" s="12"/>
      <c r="F577" s="25"/>
      <c r="G577" s="27" t="str">
        <f aca="false">IF(OR($B577="",$C577=""),"",$B577&amp;" ("&amp;DAY($C577)&amp;"."&amp;MONTH($C577)&amp;"."&amp;YEAR($C577)&amp;")")</f>
        <v/>
      </c>
      <c r="H577" s="13"/>
      <c r="I577" s="13"/>
      <c r="J577" s="15" t="str">
        <f aca="false">IF($I577="","",$I577+280)</f>
        <v/>
      </c>
      <c r="K577" s="14" t="str">
        <f aca="false">IF(OR($I577="",$AE577&lt;&gt;""),"",INT((Boshqaruv!$C$12-$I577)/7))</f>
        <v/>
      </c>
      <c r="L577" s="14" t="str">
        <f aca="false">IF(OR($C577="",$H577=""),"",INT(($H577-$C577)/365.25))</f>
        <v/>
      </c>
      <c r="M577" s="14" t="str">
        <f aca="false">IF($L577="","",IF($L577&lt;18,"Ha","Yo'q"))</f>
        <v/>
      </c>
      <c r="N577" s="25"/>
      <c r="O577" s="25"/>
      <c r="P577" s="25"/>
      <c r="Q577" s="12"/>
      <c r="R577" s="25"/>
      <c r="S577" s="12"/>
      <c r="T577" s="13"/>
      <c r="U577" s="12"/>
      <c r="V577" s="25"/>
      <c r="W577" s="25"/>
      <c r="X577" s="14" t="str">
        <f aca="false">IF(OR($V577="",$W577=""),"",IF(AND($V577&gt;=Spravochnik!$H$5,$W577&gt;=Spravochnik!$H$6),"Ha","Yo'q"))</f>
        <v/>
      </c>
      <c r="Y577" s="13"/>
      <c r="Z577" s="13"/>
      <c r="AA577" s="13"/>
      <c r="AB577" s="13"/>
      <c r="AC577" s="14" t="str">
        <f aca="false">IF(AND($B577&lt;&gt;"",$AE577="",$AB577&lt;&gt;"",$AB577&lt;Boshqaruv!$C$12),"Ha","")</f>
        <v/>
      </c>
      <c r="AD577" s="25"/>
      <c r="AE577" s="13"/>
      <c r="AF577" s="12"/>
      <c r="AG577" s="14" t="str">
        <f aca="false">IF(OR($B577="",$C577="",$H577=""),"",IF(COUNTIFS($B$5:$B$804,$B577,$C$5:$C$804,$C577,$H$5:$H$804,$H577)&gt;1,"Takror",""))</f>
        <v/>
      </c>
      <c r="AH577" s="28" t="str">
        <f aca="false">IF(AND($B577&lt;&gt;"",$N577="Ha",$H577&lt;&gt;"",$H577&lt;=Boshqaruv!$C$12,OR($AE577="",$AE577&gt;Boshqaruv!$C$12)),MAX($AH$4:$AH576)+1,"")</f>
        <v/>
      </c>
    </row>
    <row r="578" customFormat="false" ht="15" hidden="false" customHeight="false" outlineLevel="0" collapsed="false">
      <c r="A578" s="20" t="n">
        <v>574</v>
      </c>
      <c r="B578" s="12"/>
      <c r="C578" s="13"/>
      <c r="D578" s="24"/>
      <c r="E578" s="12"/>
      <c r="F578" s="25"/>
      <c r="G578" s="27" t="str">
        <f aca="false">IF(OR($B578="",$C578=""),"",$B578&amp;" ("&amp;DAY($C578)&amp;"."&amp;MONTH($C578)&amp;"."&amp;YEAR($C578)&amp;")")</f>
        <v/>
      </c>
      <c r="H578" s="13"/>
      <c r="I578" s="13"/>
      <c r="J578" s="15" t="str">
        <f aca="false">IF($I578="","",$I578+280)</f>
        <v/>
      </c>
      <c r="K578" s="14" t="str">
        <f aca="false">IF(OR($I578="",$AE578&lt;&gt;""),"",INT((Boshqaruv!$C$12-$I578)/7))</f>
        <v/>
      </c>
      <c r="L578" s="14" t="str">
        <f aca="false">IF(OR($C578="",$H578=""),"",INT(($H578-$C578)/365.25))</f>
        <v/>
      </c>
      <c r="M578" s="14" t="str">
        <f aca="false">IF($L578="","",IF($L578&lt;18,"Ha","Yo'q"))</f>
        <v/>
      </c>
      <c r="N578" s="25"/>
      <c r="O578" s="25"/>
      <c r="P578" s="25"/>
      <c r="Q578" s="12"/>
      <c r="R578" s="25"/>
      <c r="S578" s="12"/>
      <c r="T578" s="13"/>
      <c r="U578" s="12"/>
      <c r="V578" s="25"/>
      <c r="W578" s="25"/>
      <c r="X578" s="14" t="str">
        <f aca="false">IF(OR($V578="",$W578=""),"",IF(AND($V578&gt;=Spravochnik!$H$5,$W578&gt;=Spravochnik!$H$6),"Ha","Yo'q"))</f>
        <v/>
      </c>
      <c r="Y578" s="13"/>
      <c r="Z578" s="13"/>
      <c r="AA578" s="13"/>
      <c r="AB578" s="13"/>
      <c r="AC578" s="14" t="str">
        <f aca="false">IF(AND($B578&lt;&gt;"",$AE578="",$AB578&lt;&gt;"",$AB578&lt;Boshqaruv!$C$12),"Ha","")</f>
        <v/>
      </c>
      <c r="AD578" s="25"/>
      <c r="AE578" s="13"/>
      <c r="AF578" s="12"/>
      <c r="AG578" s="14" t="str">
        <f aca="false">IF(OR($B578="",$C578="",$H578=""),"",IF(COUNTIFS($B$5:$B$804,$B578,$C$5:$C$804,$C578,$H$5:$H$804,$H578)&gt;1,"Takror",""))</f>
        <v/>
      </c>
      <c r="AH578" s="28" t="str">
        <f aca="false">IF(AND($B578&lt;&gt;"",$N578="Ha",$H578&lt;&gt;"",$H578&lt;=Boshqaruv!$C$12,OR($AE578="",$AE578&gt;Boshqaruv!$C$12)),MAX($AH$4:$AH577)+1,"")</f>
        <v/>
      </c>
    </row>
    <row r="579" customFormat="false" ht="15" hidden="false" customHeight="false" outlineLevel="0" collapsed="false">
      <c r="A579" s="20" t="n">
        <v>575</v>
      </c>
      <c r="B579" s="12"/>
      <c r="C579" s="13"/>
      <c r="D579" s="24"/>
      <c r="E579" s="12"/>
      <c r="F579" s="25"/>
      <c r="G579" s="27" t="str">
        <f aca="false">IF(OR($B579="",$C579=""),"",$B579&amp;" ("&amp;DAY($C579)&amp;"."&amp;MONTH($C579)&amp;"."&amp;YEAR($C579)&amp;")")</f>
        <v/>
      </c>
      <c r="H579" s="13"/>
      <c r="I579" s="13"/>
      <c r="J579" s="15" t="str">
        <f aca="false">IF($I579="","",$I579+280)</f>
        <v/>
      </c>
      <c r="K579" s="14" t="str">
        <f aca="false">IF(OR($I579="",$AE579&lt;&gt;""),"",INT((Boshqaruv!$C$12-$I579)/7))</f>
        <v/>
      </c>
      <c r="L579" s="14" t="str">
        <f aca="false">IF(OR($C579="",$H579=""),"",INT(($H579-$C579)/365.25))</f>
        <v/>
      </c>
      <c r="M579" s="14" t="str">
        <f aca="false">IF($L579="","",IF($L579&lt;18,"Ha","Yo'q"))</f>
        <v/>
      </c>
      <c r="N579" s="25"/>
      <c r="O579" s="25"/>
      <c r="P579" s="25"/>
      <c r="Q579" s="12"/>
      <c r="R579" s="25"/>
      <c r="S579" s="12"/>
      <c r="T579" s="13"/>
      <c r="U579" s="12"/>
      <c r="V579" s="25"/>
      <c r="W579" s="25"/>
      <c r="X579" s="14" t="str">
        <f aca="false">IF(OR($V579="",$W579=""),"",IF(AND($V579&gt;=Spravochnik!$H$5,$W579&gt;=Spravochnik!$H$6),"Ha","Yo'q"))</f>
        <v/>
      </c>
      <c r="Y579" s="13"/>
      <c r="Z579" s="13"/>
      <c r="AA579" s="13"/>
      <c r="AB579" s="13"/>
      <c r="AC579" s="14" t="str">
        <f aca="false">IF(AND($B579&lt;&gt;"",$AE579="",$AB579&lt;&gt;"",$AB579&lt;Boshqaruv!$C$12),"Ha","")</f>
        <v/>
      </c>
      <c r="AD579" s="25"/>
      <c r="AE579" s="13"/>
      <c r="AF579" s="12"/>
      <c r="AG579" s="14" t="str">
        <f aca="false">IF(OR($B579="",$C579="",$H579=""),"",IF(COUNTIFS($B$5:$B$804,$B579,$C$5:$C$804,$C579,$H$5:$H$804,$H579)&gt;1,"Takror",""))</f>
        <v/>
      </c>
      <c r="AH579" s="28" t="str">
        <f aca="false">IF(AND($B579&lt;&gt;"",$N579="Ha",$H579&lt;&gt;"",$H579&lt;=Boshqaruv!$C$12,OR($AE579="",$AE579&gt;Boshqaruv!$C$12)),MAX($AH$4:$AH578)+1,"")</f>
        <v/>
      </c>
    </row>
    <row r="580" customFormat="false" ht="15" hidden="false" customHeight="false" outlineLevel="0" collapsed="false">
      <c r="A580" s="20" t="n">
        <v>576</v>
      </c>
      <c r="B580" s="12"/>
      <c r="C580" s="13"/>
      <c r="D580" s="24"/>
      <c r="E580" s="12"/>
      <c r="F580" s="25"/>
      <c r="G580" s="27" t="str">
        <f aca="false">IF(OR($B580="",$C580=""),"",$B580&amp;" ("&amp;DAY($C580)&amp;"."&amp;MONTH($C580)&amp;"."&amp;YEAR($C580)&amp;")")</f>
        <v/>
      </c>
      <c r="H580" s="13"/>
      <c r="I580" s="13"/>
      <c r="J580" s="15" t="str">
        <f aca="false">IF($I580="","",$I580+280)</f>
        <v/>
      </c>
      <c r="K580" s="14" t="str">
        <f aca="false">IF(OR($I580="",$AE580&lt;&gt;""),"",INT((Boshqaruv!$C$12-$I580)/7))</f>
        <v/>
      </c>
      <c r="L580" s="14" t="str">
        <f aca="false">IF(OR($C580="",$H580=""),"",INT(($H580-$C580)/365.25))</f>
        <v/>
      </c>
      <c r="M580" s="14" t="str">
        <f aca="false">IF($L580="","",IF($L580&lt;18,"Ha","Yo'q"))</f>
        <v/>
      </c>
      <c r="N580" s="25"/>
      <c r="O580" s="25"/>
      <c r="P580" s="25"/>
      <c r="Q580" s="12"/>
      <c r="R580" s="25"/>
      <c r="S580" s="12"/>
      <c r="T580" s="13"/>
      <c r="U580" s="12"/>
      <c r="V580" s="25"/>
      <c r="W580" s="25"/>
      <c r="X580" s="14" t="str">
        <f aca="false">IF(OR($V580="",$W580=""),"",IF(AND($V580&gt;=Spravochnik!$H$5,$W580&gt;=Spravochnik!$H$6),"Ha","Yo'q"))</f>
        <v/>
      </c>
      <c r="Y580" s="13"/>
      <c r="Z580" s="13"/>
      <c r="AA580" s="13"/>
      <c r="AB580" s="13"/>
      <c r="AC580" s="14" t="str">
        <f aca="false">IF(AND($B580&lt;&gt;"",$AE580="",$AB580&lt;&gt;"",$AB580&lt;Boshqaruv!$C$12),"Ha","")</f>
        <v/>
      </c>
      <c r="AD580" s="25"/>
      <c r="AE580" s="13"/>
      <c r="AF580" s="12"/>
      <c r="AG580" s="14" t="str">
        <f aca="false">IF(OR($B580="",$C580="",$H580=""),"",IF(COUNTIFS($B$5:$B$804,$B580,$C$5:$C$804,$C580,$H$5:$H$804,$H580)&gt;1,"Takror",""))</f>
        <v/>
      </c>
      <c r="AH580" s="28" t="str">
        <f aca="false">IF(AND($B580&lt;&gt;"",$N580="Ha",$H580&lt;&gt;"",$H580&lt;=Boshqaruv!$C$12,OR($AE580="",$AE580&gt;Boshqaruv!$C$12)),MAX($AH$4:$AH579)+1,"")</f>
        <v/>
      </c>
    </row>
    <row r="581" customFormat="false" ht="15" hidden="false" customHeight="false" outlineLevel="0" collapsed="false">
      <c r="A581" s="20" t="n">
        <v>577</v>
      </c>
      <c r="B581" s="12"/>
      <c r="C581" s="13"/>
      <c r="D581" s="24"/>
      <c r="E581" s="12"/>
      <c r="F581" s="25"/>
      <c r="G581" s="27" t="str">
        <f aca="false">IF(OR($B581="",$C581=""),"",$B581&amp;" ("&amp;DAY($C581)&amp;"."&amp;MONTH($C581)&amp;"."&amp;YEAR($C581)&amp;")")</f>
        <v/>
      </c>
      <c r="H581" s="13"/>
      <c r="I581" s="13"/>
      <c r="J581" s="15" t="str">
        <f aca="false">IF($I581="","",$I581+280)</f>
        <v/>
      </c>
      <c r="K581" s="14" t="str">
        <f aca="false">IF(OR($I581="",$AE581&lt;&gt;""),"",INT((Boshqaruv!$C$12-$I581)/7))</f>
        <v/>
      </c>
      <c r="L581" s="14" t="str">
        <f aca="false">IF(OR($C581="",$H581=""),"",INT(($H581-$C581)/365.25))</f>
        <v/>
      </c>
      <c r="M581" s="14" t="str">
        <f aca="false">IF($L581="","",IF($L581&lt;18,"Ha","Yo'q"))</f>
        <v/>
      </c>
      <c r="N581" s="25"/>
      <c r="O581" s="25"/>
      <c r="P581" s="25"/>
      <c r="Q581" s="12"/>
      <c r="R581" s="25"/>
      <c r="S581" s="12"/>
      <c r="T581" s="13"/>
      <c r="U581" s="12"/>
      <c r="V581" s="25"/>
      <c r="W581" s="25"/>
      <c r="X581" s="14" t="str">
        <f aca="false">IF(OR($V581="",$W581=""),"",IF(AND($V581&gt;=Spravochnik!$H$5,$W581&gt;=Spravochnik!$H$6),"Ha","Yo'q"))</f>
        <v/>
      </c>
      <c r="Y581" s="13"/>
      <c r="Z581" s="13"/>
      <c r="AA581" s="13"/>
      <c r="AB581" s="13"/>
      <c r="AC581" s="14" t="str">
        <f aca="false">IF(AND($B581&lt;&gt;"",$AE581="",$AB581&lt;&gt;"",$AB581&lt;Boshqaruv!$C$12),"Ha","")</f>
        <v/>
      </c>
      <c r="AD581" s="25"/>
      <c r="AE581" s="13"/>
      <c r="AF581" s="12"/>
      <c r="AG581" s="14" t="str">
        <f aca="false">IF(OR($B581="",$C581="",$H581=""),"",IF(COUNTIFS($B$5:$B$804,$B581,$C$5:$C$804,$C581,$H$5:$H$804,$H581)&gt;1,"Takror",""))</f>
        <v/>
      </c>
      <c r="AH581" s="28" t="str">
        <f aca="false">IF(AND($B581&lt;&gt;"",$N581="Ha",$H581&lt;&gt;"",$H581&lt;=Boshqaruv!$C$12,OR($AE581="",$AE581&gt;Boshqaruv!$C$12)),MAX($AH$4:$AH580)+1,"")</f>
        <v/>
      </c>
    </row>
    <row r="582" customFormat="false" ht="15" hidden="false" customHeight="false" outlineLevel="0" collapsed="false">
      <c r="A582" s="20" t="n">
        <v>578</v>
      </c>
      <c r="B582" s="12"/>
      <c r="C582" s="13"/>
      <c r="D582" s="24"/>
      <c r="E582" s="12"/>
      <c r="F582" s="25"/>
      <c r="G582" s="27" t="str">
        <f aca="false">IF(OR($B582="",$C582=""),"",$B582&amp;" ("&amp;DAY($C582)&amp;"."&amp;MONTH($C582)&amp;"."&amp;YEAR($C582)&amp;")")</f>
        <v/>
      </c>
      <c r="H582" s="13"/>
      <c r="I582" s="13"/>
      <c r="J582" s="15" t="str">
        <f aca="false">IF($I582="","",$I582+280)</f>
        <v/>
      </c>
      <c r="K582" s="14" t="str">
        <f aca="false">IF(OR($I582="",$AE582&lt;&gt;""),"",INT((Boshqaruv!$C$12-$I582)/7))</f>
        <v/>
      </c>
      <c r="L582" s="14" t="str">
        <f aca="false">IF(OR($C582="",$H582=""),"",INT(($H582-$C582)/365.25))</f>
        <v/>
      </c>
      <c r="M582" s="14" t="str">
        <f aca="false">IF($L582="","",IF($L582&lt;18,"Ha","Yo'q"))</f>
        <v/>
      </c>
      <c r="N582" s="25"/>
      <c r="O582" s="25"/>
      <c r="P582" s="25"/>
      <c r="Q582" s="12"/>
      <c r="R582" s="25"/>
      <c r="S582" s="12"/>
      <c r="T582" s="13"/>
      <c r="U582" s="12"/>
      <c r="V582" s="25"/>
      <c r="W582" s="25"/>
      <c r="X582" s="14" t="str">
        <f aca="false">IF(OR($V582="",$W582=""),"",IF(AND($V582&gt;=Spravochnik!$H$5,$W582&gt;=Spravochnik!$H$6),"Ha","Yo'q"))</f>
        <v/>
      </c>
      <c r="Y582" s="13"/>
      <c r="Z582" s="13"/>
      <c r="AA582" s="13"/>
      <c r="AB582" s="13"/>
      <c r="AC582" s="14" t="str">
        <f aca="false">IF(AND($B582&lt;&gt;"",$AE582="",$AB582&lt;&gt;"",$AB582&lt;Boshqaruv!$C$12),"Ha","")</f>
        <v/>
      </c>
      <c r="AD582" s="25"/>
      <c r="AE582" s="13"/>
      <c r="AF582" s="12"/>
      <c r="AG582" s="14" t="str">
        <f aca="false">IF(OR($B582="",$C582="",$H582=""),"",IF(COUNTIFS($B$5:$B$804,$B582,$C$5:$C$804,$C582,$H$5:$H$804,$H582)&gt;1,"Takror",""))</f>
        <v/>
      </c>
      <c r="AH582" s="28" t="str">
        <f aca="false">IF(AND($B582&lt;&gt;"",$N582="Ha",$H582&lt;&gt;"",$H582&lt;=Boshqaruv!$C$12,OR($AE582="",$AE582&gt;Boshqaruv!$C$12)),MAX($AH$4:$AH581)+1,"")</f>
        <v/>
      </c>
    </row>
    <row r="583" customFormat="false" ht="15" hidden="false" customHeight="false" outlineLevel="0" collapsed="false">
      <c r="A583" s="20" t="n">
        <v>579</v>
      </c>
      <c r="B583" s="12"/>
      <c r="C583" s="13"/>
      <c r="D583" s="24"/>
      <c r="E583" s="12"/>
      <c r="F583" s="25"/>
      <c r="G583" s="27" t="str">
        <f aca="false">IF(OR($B583="",$C583=""),"",$B583&amp;" ("&amp;DAY($C583)&amp;"."&amp;MONTH($C583)&amp;"."&amp;YEAR($C583)&amp;")")</f>
        <v/>
      </c>
      <c r="H583" s="13"/>
      <c r="I583" s="13"/>
      <c r="J583" s="15" t="str">
        <f aca="false">IF($I583="","",$I583+280)</f>
        <v/>
      </c>
      <c r="K583" s="14" t="str">
        <f aca="false">IF(OR($I583="",$AE583&lt;&gt;""),"",INT((Boshqaruv!$C$12-$I583)/7))</f>
        <v/>
      </c>
      <c r="L583" s="14" t="str">
        <f aca="false">IF(OR($C583="",$H583=""),"",INT(($H583-$C583)/365.25))</f>
        <v/>
      </c>
      <c r="M583" s="14" t="str">
        <f aca="false">IF($L583="","",IF($L583&lt;18,"Ha","Yo'q"))</f>
        <v/>
      </c>
      <c r="N583" s="25"/>
      <c r="O583" s="25"/>
      <c r="P583" s="25"/>
      <c r="Q583" s="12"/>
      <c r="R583" s="25"/>
      <c r="S583" s="12"/>
      <c r="T583" s="13"/>
      <c r="U583" s="12"/>
      <c r="V583" s="25"/>
      <c r="W583" s="25"/>
      <c r="X583" s="14" t="str">
        <f aca="false">IF(OR($V583="",$W583=""),"",IF(AND($V583&gt;=Spravochnik!$H$5,$W583&gt;=Spravochnik!$H$6),"Ha","Yo'q"))</f>
        <v/>
      </c>
      <c r="Y583" s="13"/>
      <c r="Z583" s="13"/>
      <c r="AA583" s="13"/>
      <c r="AB583" s="13"/>
      <c r="AC583" s="14" t="str">
        <f aca="false">IF(AND($B583&lt;&gt;"",$AE583="",$AB583&lt;&gt;"",$AB583&lt;Boshqaruv!$C$12),"Ha","")</f>
        <v/>
      </c>
      <c r="AD583" s="25"/>
      <c r="AE583" s="13"/>
      <c r="AF583" s="12"/>
      <c r="AG583" s="14" t="str">
        <f aca="false">IF(OR($B583="",$C583="",$H583=""),"",IF(COUNTIFS($B$5:$B$804,$B583,$C$5:$C$804,$C583,$H$5:$H$804,$H583)&gt;1,"Takror",""))</f>
        <v/>
      </c>
      <c r="AH583" s="28" t="str">
        <f aca="false">IF(AND($B583&lt;&gt;"",$N583="Ha",$H583&lt;&gt;"",$H583&lt;=Boshqaruv!$C$12,OR($AE583="",$AE583&gt;Boshqaruv!$C$12)),MAX($AH$4:$AH582)+1,"")</f>
        <v/>
      </c>
    </row>
    <row r="584" customFormat="false" ht="15" hidden="false" customHeight="false" outlineLevel="0" collapsed="false">
      <c r="A584" s="20" t="n">
        <v>580</v>
      </c>
      <c r="B584" s="12"/>
      <c r="C584" s="13"/>
      <c r="D584" s="24"/>
      <c r="E584" s="12"/>
      <c r="F584" s="25"/>
      <c r="G584" s="27" t="str">
        <f aca="false">IF(OR($B584="",$C584=""),"",$B584&amp;" ("&amp;DAY($C584)&amp;"."&amp;MONTH($C584)&amp;"."&amp;YEAR($C584)&amp;")")</f>
        <v/>
      </c>
      <c r="H584" s="13"/>
      <c r="I584" s="13"/>
      <c r="J584" s="15" t="str">
        <f aca="false">IF($I584="","",$I584+280)</f>
        <v/>
      </c>
      <c r="K584" s="14" t="str">
        <f aca="false">IF(OR($I584="",$AE584&lt;&gt;""),"",INT((Boshqaruv!$C$12-$I584)/7))</f>
        <v/>
      </c>
      <c r="L584" s="14" t="str">
        <f aca="false">IF(OR($C584="",$H584=""),"",INT(($H584-$C584)/365.25))</f>
        <v/>
      </c>
      <c r="M584" s="14" t="str">
        <f aca="false">IF($L584="","",IF($L584&lt;18,"Ha","Yo'q"))</f>
        <v/>
      </c>
      <c r="N584" s="25"/>
      <c r="O584" s="25"/>
      <c r="P584" s="25"/>
      <c r="Q584" s="12"/>
      <c r="R584" s="25"/>
      <c r="S584" s="12"/>
      <c r="T584" s="13"/>
      <c r="U584" s="12"/>
      <c r="V584" s="25"/>
      <c r="W584" s="25"/>
      <c r="X584" s="14" t="str">
        <f aca="false">IF(OR($V584="",$W584=""),"",IF(AND($V584&gt;=Spravochnik!$H$5,$W584&gt;=Spravochnik!$H$6),"Ha","Yo'q"))</f>
        <v/>
      </c>
      <c r="Y584" s="13"/>
      <c r="Z584" s="13"/>
      <c r="AA584" s="13"/>
      <c r="AB584" s="13"/>
      <c r="AC584" s="14" t="str">
        <f aca="false">IF(AND($B584&lt;&gt;"",$AE584="",$AB584&lt;&gt;"",$AB584&lt;Boshqaruv!$C$12),"Ha","")</f>
        <v/>
      </c>
      <c r="AD584" s="25"/>
      <c r="AE584" s="13"/>
      <c r="AF584" s="12"/>
      <c r="AG584" s="14" t="str">
        <f aca="false">IF(OR($B584="",$C584="",$H584=""),"",IF(COUNTIFS($B$5:$B$804,$B584,$C$5:$C$804,$C584,$H$5:$H$804,$H584)&gt;1,"Takror",""))</f>
        <v/>
      </c>
      <c r="AH584" s="28" t="str">
        <f aca="false">IF(AND($B584&lt;&gt;"",$N584="Ha",$H584&lt;&gt;"",$H584&lt;=Boshqaruv!$C$12,OR($AE584="",$AE584&gt;Boshqaruv!$C$12)),MAX($AH$4:$AH583)+1,"")</f>
        <v/>
      </c>
    </row>
    <row r="585" customFormat="false" ht="15" hidden="false" customHeight="false" outlineLevel="0" collapsed="false">
      <c r="A585" s="20" t="n">
        <v>581</v>
      </c>
      <c r="B585" s="12"/>
      <c r="C585" s="13"/>
      <c r="D585" s="24"/>
      <c r="E585" s="12"/>
      <c r="F585" s="25"/>
      <c r="G585" s="27" t="str">
        <f aca="false">IF(OR($B585="",$C585=""),"",$B585&amp;" ("&amp;DAY($C585)&amp;"."&amp;MONTH($C585)&amp;"."&amp;YEAR($C585)&amp;")")</f>
        <v/>
      </c>
      <c r="H585" s="13"/>
      <c r="I585" s="13"/>
      <c r="J585" s="15" t="str">
        <f aca="false">IF($I585="","",$I585+280)</f>
        <v/>
      </c>
      <c r="K585" s="14" t="str">
        <f aca="false">IF(OR($I585="",$AE585&lt;&gt;""),"",INT((Boshqaruv!$C$12-$I585)/7))</f>
        <v/>
      </c>
      <c r="L585" s="14" t="str">
        <f aca="false">IF(OR($C585="",$H585=""),"",INT(($H585-$C585)/365.25))</f>
        <v/>
      </c>
      <c r="M585" s="14" t="str">
        <f aca="false">IF($L585="","",IF($L585&lt;18,"Ha","Yo'q"))</f>
        <v/>
      </c>
      <c r="N585" s="25"/>
      <c r="O585" s="25"/>
      <c r="P585" s="25"/>
      <c r="Q585" s="12"/>
      <c r="R585" s="25"/>
      <c r="S585" s="12"/>
      <c r="T585" s="13"/>
      <c r="U585" s="12"/>
      <c r="V585" s="25"/>
      <c r="W585" s="25"/>
      <c r="X585" s="14" t="str">
        <f aca="false">IF(OR($V585="",$W585=""),"",IF(AND($V585&gt;=Spravochnik!$H$5,$W585&gt;=Spravochnik!$H$6),"Ha","Yo'q"))</f>
        <v/>
      </c>
      <c r="Y585" s="13"/>
      <c r="Z585" s="13"/>
      <c r="AA585" s="13"/>
      <c r="AB585" s="13"/>
      <c r="AC585" s="14" t="str">
        <f aca="false">IF(AND($B585&lt;&gt;"",$AE585="",$AB585&lt;&gt;"",$AB585&lt;Boshqaruv!$C$12),"Ha","")</f>
        <v/>
      </c>
      <c r="AD585" s="25"/>
      <c r="AE585" s="13"/>
      <c r="AF585" s="12"/>
      <c r="AG585" s="14" t="str">
        <f aca="false">IF(OR($B585="",$C585="",$H585=""),"",IF(COUNTIFS($B$5:$B$804,$B585,$C$5:$C$804,$C585,$H$5:$H$804,$H585)&gt;1,"Takror",""))</f>
        <v/>
      </c>
      <c r="AH585" s="28" t="str">
        <f aca="false">IF(AND($B585&lt;&gt;"",$N585="Ha",$H585&lt;&gt;"",$H585&lt;=Boshqaruv!$C$12,OR($AE585="",$AE585&gt;Boshqaruv!$C$12)),MAX($AH$4:$AH584)+1,"")</f>
        <v/>
      </c>
    </row>
    <row r="586" customFormat="false" ht="15" hidden="false" customHeight="false" outlineLevel="0" collapsed="false">
      <c r="A586" s="20" t="n">
        <v>582</v>
      </c>
      <c r="B586" s="12"/>
      <c r="C586" s="13"/>
      <c r="D586" s="24"/>
      <c r="E586" s="12"/>
      <c r="F586" s="25"/>
      <c r="G586" s="27" t="str">
        <f aca="false">IF(OR($B586="",$C586=""),"",$B586&amp;" ("&amp;DAY($C586)&amp;"."&amp;MONTH($C586)&amp;"."&amp;YEAR($C586)&amp;")")</f>
        <v/>
      </c>
      <c r="H586" s="13"/>
      <c r="I586" s="13"/>
      <c r="J586" s="15" t="str">
        <f aca="false">IF($I586="","",$I586+280)</f>
        <v/>
      </c>
      <c r="K586" s="14" t="str">
        <f aca="false">IF(OR($I586="",$AE586&lt;&gt;""),"",INT((Boshqaruv!$C$12-$I586)/7))</f>
        <v/>
      </c>
      <c r="L586" s="14" t="str">
        <f aca="false">IF(OR($C586="",$H586=""),"",INT(($H586-$C586)/365.25))</f>
        <v/>
      </c>
      <c r="M586" s="14" t="str">
        <f aca="false">IF($L586="","",IF($L586&lt;18,"Ha","Yo'q"))</f>
        <v/>
      </c>
      <c r="N586" s="25"/>
      <c r="O586" s="25"/>
      <c r="P586" s="25"/>
      <c r="Q586" s="12"/>
      <c r="R586" s="25"/>
      <c r="S586" s="12"/>
      <c r="T586" s="13"/>
      <c r="U586" s="12"/>
      <c r="V586" s="25"/>
      <c r="W586" s="25"/>
      <c r="X586" s="14" t="str">
        <f aca="false">IF(OR($V586="",$W586=""),"",IF(AND($V586&gt;=Spravochnik!$H$5,$W586&gt;=Spravochnik!$H$6),"Ha","Yo'q"))</f>
        <v/>
      </c>
      <c r="Y586" s="13"/>
      <c r="Z586" s="13"/>
      <c r="AA586" s="13"/>
      <c r="AB586" s="13"/>
      <c r="AC586" s="14" t="str">
        <f aca="false">IF(AND($B586&lt;&gt;"",$AE586="",$AB586&lt;&gt;"",$AB586&lt;Boshqaruv!$C$12),"Ha","")</f>
        <v/>
      </c>
      <c r="AD586" s="25"/>
      <c r="AE586" s="13"/>
      <c r="AF586" s="12"/>
      <c r="AG586" s="14" t="str">
        <f aca="false">IF(OR($B586="",$C586="",$H586=""),"",IF(COUNTIFS($B$5:$B$804,$B586,$C$5:$C$804,$C586,$H$5:$H$804,$H586)&gt;1,"Takror",""))</f>
        <v/>
      </c>
      <c r="AH586" s="28" t="str">
        <f aca="false">IF(AND($B586&lt;&gt;"",$N586="Ha",$H586&lt;&gt;"",$H586&lt;=Boshqaruv!$C$12,OR($AE586="",$AE586&gt;Boshqaruv!$C$12)),MAX($AH$4:$AH585)+1,"")</f>
        <v/>
      </c>
    </row>
    <row r="587" customFormat="false" ht="15" hidden="false" customHeight="false" outlineLevel="0" collapsed="false">
      <c r="A587" s="20" t="n">
        <v>583</v>
      </c>
      <c r="B587" s="12"/>
      <c r="C587" s="13"/>
      <c r="D587" s="24"/>
      <c r="E587" s="12"/>
      <c r="F587" s="25"/>
      <c r="G587" s="27" t="str">
        <f aca="false">IF(OR($B587="",$C587=""),"",$B587&amp;" ("&amp;DAY($C587)&amp;"."&amp;MONTH($C587)&amp;"."&amp;YEAR($C587)&amp;")")</f>
        <v/>
      </c>
      <c r="H587" s="13"/>
      <c r="I587" s="13"/>
      <c r="J587" s="15" t="str">
        <f aca="false">IF($I587="","",$I587+280)</f>
        <v/>
      </c>
      <c r="K587" s="14" t="str">
        <f aca="false">IF(OR($I587="",$AE587&lt;&gt;""),"",INT((Boshqaruv!$C$12-$I587)/7))</f>
        <v/>
      </c>
      <c r="L587" s="14" t="str">
        <f aca="false">IF(OR($C587="",$H587=""),"",INT(($H587-$C587)/365.25))</f>
        <v/>
      </c>
      <c r="M587" s="14" t="str">
        <f aca="false">IF($L587="","",IF($L587&lt;18,"Ha","Yo'q"))</f>
        <v/>
      </c>
      <c r="N587" s="25"/>
      <c r="O587" s="25"/>
      <c r="P587" s="25"/>
      <c r="Q587" s="12"/>
      <c r="R587" s="25"/>
      <c r="S587" s="12"/>
      <c r="T587" s="13"/>
      <c r="U587" s="12"/>
      <c r="V587" s="25"/>
      <c r="W587" s="25"/>
      <c r="X587" s="14" t="str">
        <f aca="false">IF(OR($V587="",$W587=""),"",IF(AND($V587&gt;=Spravochnik!$H$5,$W587&gt;=Spravochnik!$H$6),"Ha","Yo'q"))</f>
        <v/>
      </c>
      <c r="Y587" s="13"/>
      <c r="Z587" s="13"/>
      <c r="AA587" s="13"/>
      <c r="AB587" s="13"/>
      <c r="AC587" s="14" t="str">
        <f aca="false">IF(AND($B587&lt;&gt;"",$AE587="",$AB587&lt;&gt;"",$AB587&lt;Boshqaruv!$C$12),"Ha","")</f>
        <v/>
      </c>
      <c r="AD587" s="25"/>
      <c r="AE587" s="13"/>
      <c r="AF587" s="12"/>
      <c r="AG587" s="14" t="str">
        <f aca="false">IF(OR($B587="",$C587="",$H587=""),"",IF(COUNTIFS($B$5:$B$804,$B587,$C$5:$C$804,$C587,$H$5:$H$804,$H587)&gt;1,"Takror",""))</f>
        <v/>
      </c>
      <c r="AH587" s="28" t="str">
        <f aca="false">IF(AND($B587&lt;&gt;"",$N587="Ha",$H587&lt;&gt;"",$H587&lt;=Boshqaruv!$C$12,OR($AE587="",$AE587&gt;Boshqaruv!$C$12)),MAX($AH$4:$AH586)+1,"")</f>
        <v/>
      </c>
    </row>
    <row r="588" customFormat="false" ht="15" hidden="false" customHeight="false" outlineLevel="0" collapsed="false">
      <c r="A588" s="20" t="n">
        <v>584</v>
      </c>
      <c r="B588" s="12"/>
      <c r="C588" s="13"/>
      <c r="D588" s="24"/>
      <c r="E588" s="12"/>
      <c r="F588" s="25"/>
      <c r="G588" s="27" t="str">
        <f aca="false">IF(OR($B588="",$C588=""),"",$B588&amp;" ("&amp;DAY($C588)&amp;"."&amp;MONTH($C588)&amp;"."&amp;YEAR($C588)&amp;")")</f>
        <v/>
      </c>
      <c r="H588" s="13"/>
      <c r="I588" s="13"/>
      <c r="J588" s="15" t="str">
        <f aca="false">IF($I588="","",$I588+280)</f>
        <v/>
      </c>
      <c r="K588" s="14" t="str">
        <f aca="false">IF(OR($I588="",$AE588&lt;&gt;""),"",INT((Boshqaruv!$C$12-$I588)/7))</f>
        <v/>
      </c>
      <c r="L588" s="14" t="str">
        <f aca="false">IF(OR($C588="",$H588=""),"",INT(($H588-$C588)/365.25))</f>
        <v/>
      </c>
      <c r="M588" s="14" t="str">
        <f aca="false">IF($L588="","",IF($L588&lt;18,"Ha","Yo'q"))</f>
        <v/>
      </c>
      <c r="N588" s="25"/>
      <c r="O588" s="25"/>
      <c r="P588" s="25"/>
      <c r="Q588" s="12"/>
      <c r="R588" s="25"/>
      <c r="S588" s="12"/>
      <c r="T588" s="13"/>
      <c r="U588" s="12"/>
      <c r="V588" s="25"/>
      <c r="W588" s="25"/>
      <c r="X588" s="14" t="str">
        <f aca="false">IF(OR($V588="",$W588=""),"",IF(AND($V588&gt;=Spravochnik!$H$5,$W588&gt;=Spravochnik!$H$6),"Ha","Yo'q"))</f>
        <v/>
      </c>
      <c r="Y588" s="13"/>
      <c r="Z588" s="13"/>
      <c r="AA588" s="13"/>
      <c r="AB588" s="13"/>
      <c r="AC588" s="14" t="str">
        <f aca="false">IF(AND($B588&lt;&gt;"",$AE588="",$AB588&lt;&gt;"",$AB588&lt;Boshqaruv!$C$12),"Ha","")</f>
        <v/>
      </c>
      <c r="AD588" s="25"/>
      <c r="AE588" s="13"/>
      <c r="AF588" s="12"/>
      <c r="AG588" s="14" t="str">
        <f aca="false">IF(OR($B588="",$C588="",$H588=""),"",IF(COUNTIFS($B$5:$B$804,$B588,$C$5:$C$804,$C588,$H$5:$H$804,$H588)&gt;1,"Takror",""))</f>
        <v/>
      </c>
      <c r="AH588" s="28" t="str">
        <f aca="false">IF(AND($B588&lt;&gt;"",$N588="Ha",$H588&lt;&gt;"",$H588&lt;=Boshqaruv!$C$12,OR($AE588="",$AE588&gt;Boshqaruv!$C$12)),MAX($AH$4:$AH587)+1,"")</f>
        <v/>
      </c>
    </row>
    <row r="589" customFormat="false" ht="15" hidden="false" customHeight="false" outlineLevel="0" collapsed="false">
      <c r="A589" s="20" t="n">
        <v>585</v>
      </c>
      <c r="B589" s="12"/>
      <c r="C589" s="13"/>
      <c r="D589" s="24"/>
      <c r="E589" s="12"/>
      <c r="F589" s="25"/>
      <c r="G589" s="27" t="str">
        <f aca="false">IF(OR($B589="",$C589=""),"",$B589&amp;" ("&amp;DAY($C589)&amp;"."&amp;MONTH($C589)&amp;"."&amp;YEAR($C589)&amp;")")</f>
        <v/>
      </c>
      <c r="H589" s="13"/>
      <c r="I589" s="13"/>
      <c r="J589" s="15" t="str">
        <f aca="false">IF($I589="","",$I589+280)</f>
        <v/>
      </c>
      <c r="K589" s="14" t="str">
        <f aca="false">IF(OR($I589="",$AE589&lt;&gt;""),"",INT((Boshqaruv!$C$12-$I589)/7))</f>
        <v/>
      </c>
      <c r="L589" s="14" t="str">
        <f aca="false">IF(OR($C589="",$H589=""),"",INT(($H589-$C589)/365.25))</f>
        <v/>
      </c>
      <c r="M589" s="14" t="str">
        <f aca="false">IF($L589="","",IF($L589&lt;18,"Ha","Yo'q"))</f>
        <v/>
      </c>
      <c r="N589" s="25"/>
      <c r="O589" s="25"/>
      <c r="P589" s="25"/>
      <c r="Q589" s="12"/>
      <c r="R589" s="25"/>
      <c r="S589" s="12"/>
      <c r="T589" s="13"/>
      <c r="U589" s="12"/>
      <c r="V589" s="25"/>
      <c r="W589" s="25"/>
      <c r="X589" s="14" t="str">
        <f aca="false">IF(OR($V589="",$W589=""),"",IF(AND($V589&gt;=Spravochnik!$H$5,$W589&gt;=Spravochnik!$H$6),"Ha","Yo'q"))</f>
        <v/>
      </c>
      <c r="Y589" s="13"/>
      <c r="Z589" s="13"/>
      <c r="AA589" s="13"/>
      <c r="AB589" s="13"/>
      <c r="AC589" s="14" t="str">
        <f aca="false">IF(AND($B589&lt;&gt;"",$AE589="",$AB589&lt;&gt;"",$AB589&lt;Boshqaruv!$C$12),"Ha","")</f>
        <v/>
      </c>
      <c r="AD589" s="25"/>
      <c r="AE589" s="13"/>
      <c r="AF589" s="12"/>
      <c r="AG589" s="14" t="str">
        <f aca="false">IF(OR($B589="",$C589="",$H589=""),"",IF(COUNTIFS($B$5:$B$804,$B589,$C$5:$C$804,$C589,$H$5:$H$804,$H589)&gt;1,"Takror",""))</f>
        <v/>
      </c>
      <c r="AH589" s="28" t="str">
        <f aca="false">IF(AND($B589&lt;&gt;"",$N589="Ha",$H589&lt;&gt;"",$H589&lt;=Boshqaruv!$C$12,OR($AE589="",$AE589&gt;Boshqaruv!$C$12)),MAX($AH$4:$AH588)+1,"")</f>
        <v/>
      </c>
    </row>
    <row r="590" customFormat="false" ht="15" hidden="false" customHeight="false" outlineLevel="0" collapsed="false">
      <c r="A590" s="20" t="n">
        <v>586</v>
      </c>
      <c r="B590" s="12"/>
      <c r="C590" s="13"/>
      <c r="D590" s="24"/>
      <c r="E590" s="12"/>
      <c r="F590" s="25"/>
      <c r="G590" s="27" t="str">
        <f aca="false">IF(OR($B590="",$C590=""),"",$B590&amp;" ("&amp;DAY($C590)&amp;"."&amp;MONTH($C590)&amp;"."&amp;YEAR($C590)&amp;")")</f>
        <v/>
      </c>
      <c r="H590" s="13"/>
      <c r="I590" s="13"/>
      <c r="J590" s="15" t="str">
        <f aca="false">IF($I590="","",$I590+280)</f>
        <v/>
      </c>
      <c r="K590" s="14" t="str">
        <f aca="false">IF(OR($I590="",$AE590&lt;&gt;""),"",INT((Boshqaruv!$C$12-$I590)/7))</f>
        <v/>
      </c>
      <c r="L590" s="14" t="str">
        <f aca="false">IF(OR($C590="",$H590=""),"",INT(($H590-$C590)/365.25))</f>
        <v/>
      </c>
      <c r="M590" s="14" t="str">
        <f aca="false">IF($L590="","",IF($L590&lt;18,"Ha","Yo'q"))</f>
        <v/>
      </c>
      <c r="N590" s="25"/>
      <c r="O590" s="25"/>
      <c r="P590" s="25"/>
      <c r="Q590" s="12"/>
      <c r="R590" s="25"/>
      <c r="S590" s="12"/>
      <c r="T590" s="13"/>
      <c r="U590" s="12"/>
      <c r="V590" s="25"/>
      <c r="W590" s="25"/>
      <c r="X590" s="14" t="str">
        <f aca="false">IF(OR($V590="",$W590=""),"",IF(AND($V590&gt;=Spravochnik!$H$5,$W590&gt;=Spravochnik!$H$6),"Ha","Yo'q"))</f>
        <v/>
      </c>
      <c r="Y590" s="13"/>
      <c r="Z590" s="13"/>
      <c r="AA590" s="13"/>
      <c r="AB590" s="13"/>
      <c r="AC590" s="14" t="str">
        <f aca="false">IF(AND($B590&lt;&gt;"",$AE590="",$AB590&lt;&gt;"",$AB590&lt;Boshqaruv!$C$12),"Ha","")</f>
        <v/>
      </c>
      <c r="AD590" s="25"/>
      <c r="AE590" s="13"/>
      <c r="AF590" s="12"/>
      <c r="AG590" s="14" t="str">
        <f aca="false">IF(OR($B590="",$C590="",$H590=""),"",IF(COUNTIFS($B$5:$B$804,$B590,$C$5:$C$804,$C590,$H$5:$H$804,$H590)&gt;1,"Takror",""))</f>
        <v/>
      </c>
      <c r="AH590" s="28" t="str">
        <f aca="false">IF(AND($B590&lt;&gt;"",$N590="Ha",$H590&lt;&gt;"",$H590&lt;=Boshqaruv!$C$12,OR($AE590="",$AE590&gt;Boshqaruv!$C$12)),MAX($AH$4:$AH589)+1,"")</f>
        <v/>
      </c>
    </row>
    <row r="591" customFormat="false" ht="15" hidden="false" customHeight="false" outlineLevel="0" collapsed="false">
      <c r="A591" s="20" t="n">
        <v>587</v>
      </c>
      <c r="B591" s="12"/>
      <c r="C591" s="13"/>
      <c r="D591" s="24"/>
      <c r="E591" s="12"/>
      <c r="F591" s="25"/>
      <c r="G591" s="27" t="str">
        <f aca="false">IF(OR($B591="",$C591=""),"",$B591&amp;" ("&amp;DAY($C591)&amp;"."&amp;MONTH($C591)&amp;"."&amp;YEAR($C591)&amp;")")</f>
        <v/>
      </c>
      <c r="H591" s="13"/>
      <c r="I591" s="13"/>
      <c r="J591" s="15" t="str">
        <f aca="false">IF($I591="","",$I591+280)</f>
        <v/>
      </c>
      <c r="K591" s="14" t="str">
        <f aca="false">IF(OR($I591="",$AE591&lt;&gt;""),"",INT((Boshqaruv!$C$12-$I591)/7))</f>
        <v/>
      </c>
      <c r="L591" s="14" t="str">
        <f aca="false">IF(OR($C591="",$H591=""),"",INT(($H591-$C591)/365.25))</f>
        <v/>
      </c>
      <c r="M591" s="14" t="str">
        <f aca="false">IF($L591="","",IF($L591&lt;18,"Ha","Yo'q"))</f>
        <v/>
      </c>
      <c r="N591" s="25"/>
      <c r="O591" s="25"/>
      <c r="P591" s="25"/>
      <c r="Q591" s="12"/>
      <c r="R591" s="25"/>
      <c r="S591" s="12"/>
      <c r="T591" s="13"/>
      <c r="U591" s="12"/>
      <c r="V591" s="25"/>
      <c r="W591" s="25"/>
      <c r="X591" s="14" t="str">
        <f aca="false">IF(OR($V591="",$W591=""),"",IF(AND($V591&gt;=Spravochnik!$H$5,$W591&gt;=Spravochnik!$H$6),"Ha","Yo'q"))</f>
        <v/>
      </c>
      <c r="Y591" s="13"/>
      <c r="Z591" s="13"/>
      <c r="AA591" s="13"/>
      <c r="AB591" s="13"/>
      <c r="AC591" s="14" t="str">
        <f aca="false">IF(AND($B591&lt;&gt;"",$AE591="",$AB591&lt;&gt;"",$AB591&lt;Boshqaruv!$C$12),"Ha","")</f>
        <v/>
      </c>
      <c r="AD591" s="25"/>
      <c r="AE591" s="13"/>
      <c r="AF591" s="12"/>
      <c r="AG591" s="14" t="str">
        <f aca="false">IF(OR($B591="",$C591="",$H591=""),"",IF(COUNTIFS($B$5:$B$804,$B591,$C$5:$C$804,$C591,$H$5:$H$804,$H591)&gt;1,"Takror",""))</f>
        <v/>
      </c>
      <c r="AH591" s="28" t="str">
        <f aca="false">IF(AND($B591&lt;&gt;"",$N591="Ha",$H591&lt;&gt;"",$H591&lt;=Boshqaruv!$C$12,OR($AE591="",$AE591&gt;Boshqaruv!$C$12)),MAX($AH$4:$AH590)+1,"")</f>
        <v/>
      </c>
    </row>
    <row r="592" customFormat="false" ht="15" hidden="false" customHeight="false" outlineLevel="0" collapsed="false">
      <c r="A592" s="20" t="n">
        <v>588</v>
      </c>
      <c r="B592" s="12"/>
      <c r="C592" s="13"/>
      <c r="D592" s="24"/>
      <c r="E592" s="12"/>
      <c r="F592" s="25"/>
      <c r="G592" s="27" t="str">
        <f aca="false">IF(OR($B592="",$C592=""),"",$B592&amp;" ("&amp;DAY($C592)&amp;"."&amp;MONTH($C592)&amp;"."&amp;YEAR($C592)&amp;")")</f>
        <v/>
      </c>
      <c r="H592" s="13"/>
      <c r="I592" s="13"/>
      <c r="J592" s="15" t="str">
        <f aca="false">IF($I592="","",$I592+280)</f>
        <v/>
      </c>
      <c r="K592" s="14" t="str">
        <f aca="false">IF(OR($I592="",$AE592&lt;&gt;""),"",INT((Boshqaruv!$C$12-$I592)/7))</f>
        <v/>
      </c>
      <c r="L592" s="14" t="str">
        <f aca="false">IF(OR($C592="",$H592=""),"",INT(($H592-$C592)/365.25))</f>
        <v/>
      </c>
      <c r="M592" s="14" t="str">
        <f aca="false">IF($L592="","",IF($L592&lt;18,"Ha","Yo'q"))</f>
        <v/>
      </c>
      <c r="N592" s="25"/>
      <c r="O592" s="25"/>
      <c r="P592" s="25"/>
      <c r="Q592" s="12"/>
      <c r="R592" s="25"/>
      <c r="S592" s="12"/>
      <c r="T592" s="13"/>
      <c r="U592" s="12"/>
      <c r="V592" s="25"/>
      <c r="W592" s="25"/>
      <c r="X592" s="14" t="str">
        <f aca="false">IF(OR($V592="",$W592=""),"",IF(AND($V592&gt;=Spravochnik!$H$5,$W592&gt;=Spravochnik!$H$6),"Ha","Yo'q"))</f>
        <v/>
      </c>
      <c r="Y592" s="13"/>
      <c r="Z592" s="13"/>
      <c r="AA592" s="13"/>
      <c r="AB592" s="13"/>
      <c r="AC592" s="14" t="str">
        <f aca="false">IF(AND($B592&lt;&gt;"",$AE592="",$AB592&lt;&gt;"",$AB592&lt;Boshqaruv!$C$12),"Ha","")</f>
        <v/>
      </c>
      <c r="AD592" s="25"/>
      <c r="AE592" s="13"/>
      <c r="AF592" s="12"/>
      <c r="AG592" s="14" t="str">
        <f aca="false">IF(OR($B592="",$C592="",$H592=""),"",IF(COUNTIFS($B$5:$B$804,$B592,$C$5:$C$804,$C592,$H$5:$H$804,$H592)&gt;1,"Takror",""))</f>
        <v/>
      </c>
      <c r="AH592" s="28" t="str">
        <f aca="false">IF(AND($B592&lt;&gt;"",$N592="Ha",$H592&lt;&gt;"",$H592&lt;=Boshqaruv!$C$12,OR($AE592="",$AE592&gt;Boshqaruv!$C$12)),MAX($AH$4:$AH591)+1,"")</f>
        <v/>
      </c>
    </row>
    <row r="593" customFormat="false" ht="15" hidden="false" customHeight="false" outlineLevel="0" collapsed="false">
      <c r="A593" s="20" t="n">
        <v>589</v>
      </c>
      <c r="B593" s="12"/>
      <c r="C593" s="13"/>
      <c r="D593" s="24"/>
      <c r="E593" s="12"/>
      <c r="F593" s="25"/>
      <c r="G593" s="27" t="str">
        <f aca="false">IF(OR($B593="",$C593=""),"",$B593&amp;" ("&amp;DAY($C593)&amp;"."&amp;MONTH($C593)&amp;"."&amp;YEAR($C593)&amp;")")</f>
        <v/>
      </c>
      <c r="H593" s="13"/>
      <c r="I593" s="13"/>
      <c r="J593" s="15" t="str">
        <f aca="false">IF($I593="","",$I593+280)</f>
        <v/>
      </c>
      <c r="K593" s="14" t="str">
        <f aca="false">IF(OR($I593="",$AE593&lt;&gt;""),"",INT((Boshqaruv!$C$12-$I593)/7))</f>
        <v/>
      </c>
      <c r="L593" s="14" t="str">
        <f aca="false">IF(OR($C593="",$H593=""),"",INT(($H593-$C593)/365.25))</f>
        <v/>
      </c>
      <c r="M593" s="14" t="str">
        <f aca="false">IF($L593="","",IF($L593&lt;18,"Ha","Yo'q"))</f>
        <v/>
      </c>
      <c r="N593" s="25"/>
      <c r="O593" s="25"/>
      <c r="P593" s="25"/>
      <c r="Q593" s="12"/>
      <c r="R593" s="25"/>
      <c r="S593" s="12"/>
      <c r="T593" s="13"/>
      <c r="U593" s="12"/>
      <c r="V593" s="25"/>
      <c r="W593" s="25"/>
      <c r="X593" s="14" t="str">
        <f aca="false">IF(OR($V593="",$W593=""),"",IF(AND($V593&gt;=Spravochnik!$H$5,$W593&gt;=Spravochnik!$H$6),"Ha","Yo'q"))</f>
        <v/>
      </c>
      <c r="Y593" s="13"/>
      <c r="Z593" s="13"/>
      <c r="AA593" s="13"/>
      <c r="AB593" s="13"/>
      <c r="AC593" s="14" t="str">
        <f aca="false">IF(AND($B593&lt;&gt;"",$AE593="",$AB593&lt;&gt;"",$AB593&lt;Boshqaruv!$C$12),"Ha","")</f>
        <v/>
      </c>
      <c r="AD593" s="25"/>
      <c r="AE593" s="13"/>
      <c r="AF593" s="12"/>
      <c r="AG593" s="14" t="str">
        <f aca="false">IF(OR($B593="",$C593="",$H593=""),"",IF(COUNTIFS($B$5:$B$804,$B593,$C$5:$C$804,$C593,$H$5:$H$804,$H593)&gt;1,"Takror",""))</f>
        <v/>
      </c>
      <c r="AH593" s="28" t="str">
        <f aca="false">IF(AND($B593&lt;&gt;"",$N593="Ha",$H593&lt;&gt;"",$H593&lt;=Boshqaruv!$C$12,OR($AE593="",$AE593&gt;Boshqaruv!$C$12)),MAX($AH$4:$AH592)+1,"")</f>
        <v/>
      </c>
    </row>
    <row r="594" customFormat="false" ht="15" hidden="false" customHeight="false" outlineLevel="0" collapsed="false">
      <c r="A594" s="20" t="n">
        <v>590</v>
      </c>
      <c r="B594" s="12"/>
      <c r="C594" s="13"/>
      <c r="D594" s="24"/>
      <c r="E594" s="12"/>
      <c r="F594" s="25"/>
      <c r="G594" s="27" t="str">
        <f aca="false">IF(OR($B594="",$C594=""),"",$B594&amp;" ("&amp;DAY($C594)&amp;"."&amp;MONTH($C594)&amp;"."&amp;YEAR($C594)&amp;")")</f>
        <v/>
      </c>
      <c r="H594" s="13"/>
      <c r="I594" s="13"/>
      <c r="J594" s="15" t="str">
        <f aca="false">IF($I594="","",$I594+280)</f>
        <v/>
      </c>
      <c r="K594" s="14" t="str">
        <f aca="false">IF(OR($I594="",$AE594&lt;&gt;""),"",INT((Boshqaruv!$C$12-$I594)/7))</f>
        <v/>
      </c>
      <c r="L594" s="14" t="str">
        <f aca="false">IF(OR($C594="",$H594=""),"",INT(($H594-$C594)/365.25))</f>
        <v/>
      </c>
      <c r="M594" s="14" t="str">
        <f aca="false">IF($L594="","",IF($L594&lt;18,"Ha","Yo'q"))</f>
        <v/>
      </c>
      <c r="N594" s="25"/>
      <c r="O594" s="25"/>
      <c r="P594" s="25"/>
      <c r="Q594" s="12"/>
      <c r="R594" s="25"/>
      <c r="S594" s="12"/>
      <c r="T594" s="13"/>
      <c r="U594" s="12"/>
      <c r="V594" s="25"/>
      <c r="W594" s="25"/>
      <c r="X594" s="14" t="str">
        <f aca="false">IF(OR($V594="",$W594=""),"",IF(AND($V594&gt;=Spravochnik!$H$5,$W594&gt;=Spravochnik!$H$6),"Ha","Yo'q"))</f>
        <v/>
      </c>
      <c r="Y594" s="13"/>
      <c r="Z594" s="13"/>
      <c r="AA594" s="13"/>
      <c r="AB594" s="13"/>
      <c r="AC594" s="14" t="str">
        <f aca="false">IF(AND($B594&lt;&gt;"",$AE594="",$AB594&lt;&gt;"",$AB594&lt;Boshqaruv!$C$12),"Ha","")</f>
        <v/>
      </c>
      <c r="AD594" s="25"/>
      <c r="AE594" s="13"/>
      <c r="AF594" s="12"/>
      <c r="AG594" s="14" t="str">
        <f aca="false">IF(OR($B594="",$C594="",$H594=""),"",IF(COUNTIFS($B$5:$B$804,$B594,$C$5:$C$804,$C594,$H$5:$H$804,$H594)&gt;1,"Takror",""))</f>
        <v/>
      </c>
      <c r="AH594" s="28" t="str">
        <f aca="false">IF(AND($B594&lt;&gt;"",$N594="Ha",$H594&lt;&gt;"",$H594&lt;=Boshqaruv!$C$12,OR($AE594="",$AE594&gt;Boshqaruv!$C$12)),MAX($AH$4:$AH593)+1,"")</f>
        <v/>
      </c>
    </row>
    <row r="595" customFormat="false" ht="15" hidden="false" customHeight="false" outlineLevel="0" collapsed="false">
      <c r="A595" s="20" t="n">
        <v>591</v>
      </c>
      <c r="B595" s="12"/>
      <c r="C595" s="13"/>
      <c r="D595" s="24"/>
      <c r="E595" s="12"/>
      <c r="F595" s="25"/>
      <c r="G595" s="27" t="str">
        <f aca="false">IF(OR($B595="",$C595=""),"",$B595&amp;" ("&amp;DAY($C595)&amp;"."&amp;MONTH($C595)&amp;"."&amp;YEAR($C595)&amp;")")</f>
        <v/>
      </c>
      <c r="H595" s="13"/>
      <c r="I595" s="13"/>
      <c r="J595" s="15" t="str">
        <f aca="false">IF($I595="","",$I595+280)</f>
        <v/>
      </c>
      <c r="K595" s="14" t="str">
        <f aca="false">IF(OR($I595="",$AE595&lt;&gt;""),"",INT((Boshqaruv!$C$12-$I595)/7))</f>
        <v/>
      </c>
      <c r="L595" s="14" t="str">
        <f aca="false">IF(OR($C595="",$H595=""),"",INT(($H595-$C595)/365.25))</f>
        <v/>
      </c>
      <c r="M595" s="14" t="str">
        <f aca="false">IF($L595="","",IF($L595&lt;18,"Ha","Yo'q"))</f>
        <v/>
      </c>
      <c r="N595" s="25"/>
      <c r="O595" s="25"/>
      <c r="P595" s="25"/>
      <c r="Q595" s="12"/>
      <c r="R595" s="25"/>
      <c r="S595" s="12"/>
      <c r="T595" s="13"/>
      <c r="U595" s="12"/>
      <c r="V595" s="25"/>
      <c r="W595" s="25"/>
      <c r="X595" s="14" t="str">
        <f aca="false">IF(OR($V595="",$W595=""),"",IF(AND($V595&gt;=Spravochnik!$H$5,$W595&gt;=Spravochnik!$H$6),"Ha","Yo'q"))</f>
        <v/>
      </c>
      <c r="Y595" s="13"/>
      <c r="Z595" s="13"/>
      <c r="AA595" s="13"/>
      <c r="AB595" s="13"/>
      <c r="AC595" s="14" t="str">
        <f aca="false">IF(AND($B595&lt;&gt;"",$AE595="",$AB595&lt;&gt;"",$AB595&lt;Boshqaruv!$C$12),"Ha","")</f>
        <v/>
      </c>
      <c r="AD595" s="25"/>
      <c r="AE595" s="13"/>
      <c r="AF595" s="12"/>
      <c r="AG595" s="14" t="str">
        <f aca="false">IF(OR($B595="",$C595="",$H595=""),"",IF(COUNTIFS($B$5:$B$804,$B595,$C$5:$C$804,$C595,$H$5:$H$804,$H595)&gt;1,"Takror",""))</f>
        <v/>
      </c>
      <c r="AH595" s="28" t="str">
        <f aca="false">IF(AND($B595&lt;&gt;"",$N595="Ha",$H595&lt;&gt;"",$H595&lt;=Boshqaruv!$C$12,OR($AE595="",$AE595&gt;Boshqaruv!$C$12)),MAX($AH$4:$AH594)+1,"")</f>
        <v/>
      </c>
    </row>
    <row r="596" customFormat="false" ht="15" hidden="false" customHeight="false" outlineLevel="0" collapsed="false">
      <c r="A596" s="20" t="n">
        <v>592</v>
      </c>
      <c r="B596" s="12"/>
      <c r="C596" s="13"/>
      <c r="D596" s="24"/>
      <c r="E596" s="12"/>
      <c r="F596" s="25"/>
      <c r="G596" s="27" t="str">
        <f aca="false">IF(OR($B596="",$C596=""),"",$B596&amp;" ("&amp;DAY($C596)&amp;"."&amp;MONTH($C596)&amp;"."&amp;YEAR($C596)&amp;")")</f>
        <v/>
      </c>
      <c r="H596" s="13"/>
      <c r="I596" s="13"/>
      <c r="J596" s="15" t="str">
        <f aca="false">IF($I596="","",$I596+280)</f>
        <v/>
      </c>
      <c r="K596" s="14" t="str">
        <f aca="false">IF(OR($I596="",$AE596&lt;&gt;""),"",INT((Boshqaruv!$C$12-$I596)/7))</f>
        <v/>
      </c>
      <c r="L596" s="14" t="str">
        <f aca="false">IF(OR($C596="",$H596=""),"",INT(($H596-$C596)/365.25))</f>
        <v/>
      </c>
      <c r="M596" s="14" t="str">
        <f aca="false">IF($L596="","",IF($L596&lt;18,"Ha","Yo'q"))</f>
        <v/>
      </c>
      <c r="N596" s="25"/>
      <c r="O596" s="25"/>
      <c r="P596" s="25"/>
      <c r="Q596" s="12"/>
      <c r="R596" s="25"/>
      <c r="S596" s="12"/>
      <c r="T596" s="13"/>
      <c r="U596" s="12"/>
      <c r="V596" s="25"/>
      <c r="W596" s="25"/>
      <c r="X596" s="14" t="str">
        <f aca="false">IF(OR($V596="",$W596=""),"",IF(AND($V596&gt;=Spravochnik!$H$5,$W596&gt;=Spravochnik!$H$6),"Ha","Yo'q"))</f>
        <v/>
      </c>
      <c r="Y596" s="13"/>
      <c r="Z596" s="13"/>
      <c r="AA596" s="13"/>
      <c r="AB596" s="13"/>
      <c r="AC596" s="14" t="str">
        <f aca="false">IF(AND($B596&lt;&gt;"",$AE596="",$AB596&lt;&gt;"",$AB596&lt;Boshqaruv!$C$12),"Ha","")</f>
        <v/>
      </c>
      <c r="AD596" s="25"/>
      <c r="AE596" s="13"/>
      <c r="AF596" s="12"/>
      <c r="AG596" s="14" t="str">
        <f aca="false">IF(OR($B596="",$C596="",$H596=""),"",IF(COUNTIFS($B$5:$B$804,$B596,$C$5:$C$804,$C596,$H$5:$H$804,$H596)&gt;1,"Takror",""))</f>
        <v/>
      </c>
      <c r="AH596" s="28" t="str">
        <f aca="false">IF(AND($B596&lt;&gt;"",$N596="Ha",$H596&lt;&gt;"",$H596&lt;=Boshqaruv!$C$12,OR($AE596="",$AE596&gt;Boshqaruv!$C$12)),MAX($AH$4:$AH595)+1,"")</f>
        <v/>
      </c>
    </row>
    <row r="597" customFormat="false" ht="15" hidden="false" customHeight="false" outlineLevel="0" collapsed="false">
      <c r="A597" s="20" t="n">
        <v>593</v>
      </c>
      <c r="B597" s="12"/>
      <c r="C597" s="13"/>
      <c r="D597" s="24"/>
      <c r="E597" s="12"/>
      <c r="F597" s="25"/>
      <c r="G597" s="27" t="str">
        <f aca="false">IF(OR($B597="",$C597=""),"",$B597&amp;" ("&amp;DAY($C597)&amp;"."&amp;MONTH($C597)&amp;"."&amp;YEAR($C597)&amp;")")</f>
        <v/>
      </c>
      <c r="H597" s="13"/>
      <c r="I597" s="13"/>
      <c r="J597" s="15" t="str">
        <f aca="false">IF($I597="","",$I597+280)</f>
        <v/>
      </c>
      <c r="K597" s="14" t="str">
        <f aca="false">IF(OR($I597="",$AE597&lt;&gt;""),"",INT((Boshqaruv!$C$12-$I597)/7))</f>
        <v/>
      </c>
      <c r="L597" s="14" t="str">
        <f aca="false">IF(OR($C597="",$H597=""),"",INT(($H597-$C597)/365.25))</f>
        <v/>
      </c>
      <c r="M597" s="14" t="str">
        <f aca="false">IF($L597="","",IF($L597&lt;18,"Ha","Yo'q"))</f>
        <v/>
      </c>
      <c r="N597" s="25"/>
      <c r="O597" s="25"/>
      <c r="P597" s="25"/>
      <c r="Q597" s="12"/>
      <c r="R597" s="25"/>
      <c r="S597" s="12"/>
      <c r="T597" s="13"/>
      <c r="U597" s="12"/>
      <c r="V597" s="25"/>
      <c r="W597" s="25"/>
      <c r="X597" s="14" t="str">
        <f aca="false">IF(OR($V597="",$W597=""),"",IF(AND($V597&gt;=Spravochnik!$H$5,$W597&gt;=Spravochnik!$H$6),"Ha","Yo'q"))</f>
        <v/>
      </c>
      <c r="Y597" s="13"/>
      <c r="Z597" s="13"/>
      <c r="AA597" s="13"/>
      <c r="AB597" s="13"/>
      <c r="AC597" s="14" t="str">
        <f aca="false">IF(AND($B597&lt;&gt;"",$AE597="",$AB597&lt;&gt;"",$AB597&lt;Boshqaruv!$C$12),"Ha","")</f>
        <v/>
      </c>
      <c r="AD597" s="25"/>
      <c r="AE597" s="13"/>
      <c r="AF597" s="12"/>
      <c r="AG597" s="14" t="str">
        <f aca="false">IF(OR($B597="",$C597="",$H597=""),"",IF(COUNTIFS($B$5:$B$804,$B597,$C$5:$C$804,$C597,$H$5:$H$804,$H597)&gt;1,"Takror",""))</f>
        <v/>
      </c>
      <c r="AH597" s="28" t="str">
        <f aca="false">IF(AND($B597&lt;&gt;"",$N597="Ha",$H597&lt;&gt;"",$H597&lt;=Boshqaruv!$C$12,OR($AE597="",$AE597&gt;Boshqaruv!$C$12)),MAX($AH$4:$AH596)+1,"")</f>
        <v/>
      </c>
    </row>
    <row r="598" customFormat="false" ht="15" hidden="false" customHeight="false" outlineLevel="0" collapsed="false">
      <c r="A598" s="20" t="n">
        <v>594</v>
      </c>
      <c r="B598" s="12"/>
      <c r="C598" s="13"/>
      <c r="D598" s="24"/>
      <c r="E598" s="12"/>
      <c r="F598" s="25"/>
      <c r="G598" s="27" t="str">
        <f aca="false">IF(OR($B598="",$C598=""),"",$B598&amp;" ("&amp;DAY($C598)&amp;"."&amp;MONTH($C598)&amp;"."&amp;YEAR($C598)&amp;")")</f>
        <v/>
      </c>
      <c r="H598" s="13"/>
      <c r="I598" s="13"/>
      <c r="J598" s="15" t="str">
        <f aca="false">IF($I598="","",$I598+280)</f>
        <v/>
      </c>
      <c r="K598" s="14" t="str">
        <f aca="false">IF(OR($I598="",$AE598&lt;&gt;""),"",INT((Boshqaruv!$C$12-$I598)/7))</f>
        <v/>
      </c>
      <c r="L598" s="14" t="str">
        <f aca="false">IF(OR($C598="",$H598=""),"",INT(($H598-$C598)/365.25))</f>
        <v/>
      </c>
      <c r="M598" s="14" t="str">
        <f aca="false">IF($L598="","",IF($L598&lt;18,"Ha","Yo'q"))</f>
        <v/>
      </c>
      <c r="N598" s="25"/>
      <c r="O598" s="25"/>
      <c r="P598" s="25"/>
      <c r="Q598" s="12"/>
      <c r="R598" s="25"/>
      <c r="S598" s="12"/>
      <c r="T598" s="13"/>
      <c r="U598" s="12"/>
      <c r="V598" s="25"/>
      <c r="W598" s="25"/>
      <c r="X598" s="14" t="str">
        <f aca="false">IF(OR($V598="",$W598=""),"",IF(AND($V598&gt;=Spravochnik!$H$5,$W598&gt;=Spravochnik!$H$6),"Ha","Yo'q"))</f>
        <v/>
      </c>
      <c r="Y598" s="13"/>
      <c r="Z598" s="13"/>
      <c r="AA598" s="13"/>
      <c r="AB598" s="13"/>
      <c r="AC598" s="14" t="str">
        <f aca="false">IF(AND($B598&lt;&gt;"",$AE598="",$AB598&lt;&gt;"",$AB598&lt;Boshqaruv!$C$12),"Ha","")</f>
        <v/>
      </c>
      <c r="AD598" s="25"/>
      <c r="AE598" s="13"/>
      <c r="AF598" s="12"/>
      <c r="AG598" s="14" t="str">
        <f aca="false">IF(OR($B598="",$C598="",$H598=""),"",IF(COUNTIFS($B$5:$B$804,$B598,$C$5:$C$804,$C598,$H$5:$H$804,$H598)&gt;1,"Takror",""))</f>
        <v/>
      </c>
      <c r="AH598" s="28" t="str">
        <f aca="false">IF(AND($B598&lt;&gt;"",$N598="Ha",$H598&lt;&gt;"",$H598&lt;=Boshqaruv!$C$12,OR($AE598="",$AE598&gt;Boshqaruv!$C$12)),MAX($AH$4:$AH597)+1,"")</f>
        <v/>
      </c>
    </row>
    <row r="599" customFormat="false" ht="15" hidden="false" customHeight="false" outlineLevel="0" collapsed="false">
      <c r="A599" s="20" t="n">
        <v>595</v>
      </c>
      <c r="B599" s="12"/>
      <c r="C599" s="13"/>
      <c r="D599" s="24"/>
      <c r="E599" s="12"/>
      <c r="F599" s="25"/>
      <c r="G599" s="27" t="str">
        <f aca="false">IF(OR($B599="",$C599=""),"",$B599&amp;" ("&amp;DAY($C599)&amp;"."&amp;MONTH($C599)&amp;"."&amp;YEAR($C599)&amp;")")</f>
        <v/>
      </c>
      <c r="H599" s="13"/>
      <c r="I599" s="13"/>
      <c r="J599" s="15" t="str">
        <f aca="false">IF($I599="","",$I599+280)</f>
        <v/>
      </c>
      <c r="K599" s="14" t="str">
        <f aca="false">IF(OR($I599="",$AE599&lt;&gt;""),"",INT((Boshqaruv!$C$12-$I599)/7))</f>
        <v/>
      </c>
      <c r="L599" s="14" t="str">
        <f aca="false">IF(OR($C599="",$H599=""),"",INT(($H599-$C599)/365.25))</f>
        <v/>
      </c>
      <c r="M599" s="14" t="str">
        <f aca="false">IF($L599="","",IF($L599&lt;18,"Ha","Yo'q"))</f>
        <v/>
      </c>
      <c r="N599" s="25"/>
      <c r="O599" s="25"/>
      <c r="P599" s="25"/>
      <c r="Q599" s="12"/>
      <c r="R599" s="25"/>
      <c r="S599" s="12"/>
      <c r="T599" s="13"/>
      <c r="U599" s="12"/>
      <c r="V599" s="25"/>
      <c r="W599" s="25"/>
      <c r="X599" s="14" t="str">
        <f aca="false">IF(OR($V599="",$W599=""),"",IF(AND($V599&gt;=Spravochnik!$H$5,$W599&gt;=Spravochnik!$H$6),"Ha","Yo'q"))</f>
        <v/>
      </c>
      <c r="Y599" s="13"/>
      <c r="Z599" s="13"/>
      <c r="AA599" s="13"/>
      <c r="AB599" s="13"/>
      <c r="AC599" s="14" t="str">
        <f aca="false">IF(AND($B599&lt;&gt;"",$AE599="",$AB599&lt;&gt;"",$AB599&lt;Boshqaruv!$C$12),"Ha","")</f>
        <v/>
      </c>
      <c r="AD599" s="25"/>
      <c r="AE599" s="13"/>
      <c r="AF599" s="12"/>
      <c r="AG599" s="14" t="str">
        <f aca="false">IF(OR($B599="",$C599="",$H599=""),"",IF(COUNTIFS($B$5:$B$804,$B599,$C$5:$C$804,$C599,$H$5:$H$804,$H599)&gt;1,"Takror",""))</f>
        <v/>
      </c>
      <c r="AH599" s="28" t="str">
        <f aca="false">IF(AND($B599&lt;&gt;"",$N599="Ha",$H599&lt;&gt;"",$H599&lt;=Boshqaruv!$C$12,OR($AE599="",$AE599&gt;Boshqaruv!$C$12)),MAX($AH$4:$AH598)+1,"")</f>
        <v/>
      </c>
    </row>
    <row r="600" customFormat="false" ht="15" hidden="false" customHeight="false" outlineLevel="0" collapsed="false">
      <c r="A600" s="20" t="n">
        <v>596</v>
      </c>
      <c r="B600" s="12"/>
      <c r="C600" s="13"/>
      <c r="D600" s="24"/>
      <c r="E600" s="12"/>
      <c r="F600" s="25"/>
      <c r="G600" s="27" t="str">
        <f aca="false">IF(OR($B600="",$C600=""),"",$B600&amp;" ("&amp;DAY($C600)&amp;"."&amp;MONTH($C600)&amp;"."&amp;YEAR($C600)&amp;")")</f>
        <v/>
      </c>
      <c r="H600" s="13"/>
      <c r="I600" s="13"/>
      <c r="J600" s="15" t="str">
        <f aca="false">IF($I600="","",$I600+280)</f>
        <v/>
      </c>
      <c r="K600" s="14" t="str">
        <f aca="false">IF(OR($I600="",$AE600&lt;&gt;""),"",INT((Boshqaruv!$C$12-$I600)/7))</f>
        <v/>
      </c>
      <c r="L600" s="14" t="str">
        <f aca="false">IF(OR($C600="",$H600=""),"",INT(($H600-$C600)/365.25))</f>
        <v/>
      </c>
      <c r="M600" s="14" t="str">
        <f aca="false">IF($L600="","",IF($L600&lt;18,"Ha","Yo'q"))</f>
        <v/>
      </c>
      <c r="N600" s="25"/>
      <c r="O600" s="25"/>
      <c r="P600" s="25"/>
      <c r="Q600" s="12"/>
      <c r="R600" s="25"/>
      <c r="S600" s="12"/>
      <c r="T600" s="13"/>
      <c r="U600" s="12"/>
      <c r="V600" s="25"/>
      <c r="W600" s="25"/>
      <c r="X600" s="14" t="str">
        <f aca="false">IF(OR($V600="",$W600=""),"",IF(AND($V600&gt;=Spravochnik!$H$5,$W600&gt;=Spravochnik!$H$6),"Ha","Yo'q"))</f>
        <v/>
      </c>
      <c r="Y600" s="13"/>
      <c r="Z600" s="13"/>
      <c r="AA600" s="13"/>
      <c r="AB600" s="13"/>
      <c r="AC600" s="14" t="str">
        <f aca="false">IF(AND($B600&lt;&gt;"",$AE600="",$AB600&lt;&gt;"",$AB600&lt;Boshqaruv!$C$12),"Ha","")</f>
        <v/>
      </c>
      <c r="AD600" s="25"/>
      <c r="AE600" s="13"/>
      <c r="AF600" s="12"/>
      <c r="AG600" s="14" t="str">
        <f aca="false">IF(OR($B600="",$C600="",$H600=""),"",IF(COUNTIFS($B$5:$B$804,$B600,$C$5:$C$804,$C600,$H$5:$H$804,$H600)&gt;1,"Takror",""))</f>
        <v/>
      </c>
      <c r="AH600" s="28" t="str">
        <f aca="false">IF(AND($B600&lt;&gt;"",$N600="Ha",$H600&lt;&gt;"",$H600&lt;=Boshqaruv!$C$12,OR($AE600="",$AE600&gt;Boshqaruv!$C$12)),MAX($AH$4:$AH599)+1,"")</f>
        <v/>
      </c>
    </row>
    <row r="601" customFormat="false" ht="15" hidden="false" customHeight="false" outlineLevel="0" collapsed="false">
      <c r="A601" s="20" t="n">
        <v>597</v>
      </c>
      <c r="B601" s="12"/>
      <c r="C601" s="13"/>
      <c r="D601" s="24"/>
      <c r="E601" s="12"/>
      <c r="F601" s="25"/>
      <c r="G601" s="27" t="str">
        <f aca="false">IF(OR($B601="",$C601=""),"",$B601&amp;" ("&amp;DAY($C601)&amp;"."&amp;MONTH($C601)&amp;"."&amp;YEAR($C601)&amp;")")</f>
        <v/>
      </c>
      <c r="H601" s="13"/>
      <c r="I601" s="13"/>
      <c r="J601" s="15" t="str">
        <f aca="false">IF($I601="","",$I601+280)</f>
        <v/>
      </c>
      <c r="K601" s="14" t="str">
        <f aca="false">IF(OR($I601="",$AE601&lt;&gt;""),"",INT((Boshqaruv!$C$12-$I601)/7))</f>
        <v/>
      </c>
      <c r="L601" s="14" t="str">
        <f aca="false">IF(OR($C601="",$H601=""),"",INT(($H601-$C601)/365.25))</f>
        <v/>
      </c>
      <c r="M601" s="14" t="str">
        <f aca="false">IF($L601="","",IF($L601&lt;18,"Ha","Yo'q"))</f>
        <v/>
      </c>
      <c r="N601" s="25"/>
      <c r="O601" s="25"/>
      <c r="P601" s="25"/>
      <c r="Q601" s="12"/>
      <c r="R601" s="25"/>
      <c r="S601" s="12"/>
      <c r="T601" s="13"/>
      <c r="U601" s="12"/>
      <c r="V601" s="25"/>
      <c r="W601" s="25"/>
      <c r="X601" s="14" t="str">
        <f aca="false">IF(OR($V601="",$W601=""),"",IF(AND($V601&gt;=Spravochnik!$H$5,$W601&gt;=Spravochnik!$H$6),"Ha","Yo'q"))</f>
        <v/>
      </c>
      <c r="Y601" s="13"/>
      <c r="Z601" s="13"/>
      <c r="AA601" s="13"/>
      <c r="AB601" s="13"/>
      <c r="AC601" s="14" t="str">
        <f aca="false">IF(AND($B601&lt;&gt;"",$AE601="",$AB601&lt;&gt;"",$AB601&lt;Boshqaruv!$C$12),"Ha","")</f>
        <v/>
      </c>
      <c r="AD601" s="25"/>
      <c r="AE601" s="13"/>
      <c r="AF601" s="12"/>
      <c r="AG601" s="14" t="str">
        <f aca="false">IF(OR($B601="",$C601="",$H601=""),"",IF(COUNTIFS($B$5:$B$804,$B601,$C$5:$C$804,$C601,$H$5:$H$804,$H601)&gt;1,"Takror",""))</f>
        <v/>
      </c>
      <c r="AH601" s="28" t="str">
        <f aca="false">IF(AND($B601&lt;&gt;"",$N601="Ha",$H601&lt;&gt;"",$H601&lt;=Boshqaruv!$C$12,OR($AE601="",$AE601&gt;Boshqaruv!$C$12)),MAX($AH$4:$AH600)+1,"")</f>
        <v/>
      </c>
    </row>
    <row r="602" customFormat="false" ht="15" hidden="false" customHeight="false" outlineLevel="0" collapsed="false">
      <c r="A602" s="20" t="n">
        <v>598</v>
      </c>
      <c r="B602" s="12"/>
      <c r="C602" s="13"/>
      <c r="D602" s="24"/>
      <c r="E602" s="12"/>
      <c r="F602" s="25"/>
      <c r="G602" s="27" t="str">
        <f aca="false">IF(OR($B602="",$C602=""),"",$B602&amp;" ("&amp;DAY($C602)&amp;"."&amp;MONTH($C602)&amp;"."&amp;YEAR($C602)&amp;")")</f>
        <v/>
      </c>
      <c r="H602" s="13"/>
      <c r="I602" s="13"/>
      <c r="J602" s="15" t="str">
        <f aca="false">IF($I602="","",$I602+280)</f>
        <v/>
      </c>
      <c r="K602" s="14" t="str">
        <f aca="false">IF(OR($I602="",$AE602&lt;&gt;""),"",INT((Boshqaruv!$C$12-$I602)/7))</f>
        <v/>
      </c>
      <c r="L602" s="14" t="str">
        <f aca="false">IF(OR($C602="",$H602=""),"",INT(($H602-$C602)/365.25))</f>
        <v/>
      </c>
      <c r="M602" s="14" t="str">
        <f aca="false">IF($L602="","",IF($L602&lt;18,"Ha","Yo'q"))</f>
        <v/>
      </c>
      <c r="N602" s="25"/>
      <c r="O602" s="25"/>
      <c r="P602" s="25"/>
      <c r="Q602" s="12"/>
      <c r="R602" s="25"/>
      <c r="S602" s="12"/>
      <c r="T602" s="13"/>
      <c r="U602" s="12"/>
      <c r="V602" s="25"/>
      <c r="W602" s="25"/>
      <c r="X602" s="14" t="str">
        <f aca="false">IF(OR($V602="",$W602=""),"",IF(AND($V602&gt;=Spravochnik!$H$5,$W602&gt;=Spravochnik!$H$6),"Ha","Yo'q"))</f>
        <v/>
      </c>
      <c r="Y602" s="13"/>
      <c r="Z602" s="13"/>
      <c r="AA602" s="13"/>
      <c r="AB602" s="13"/>
      <c r="AC602" s="14" t="str">
        <f aca="false">IF(AND($B602&lt;&gt;"",$AE602="",$AB602&lt;&gt;"",$AB602&lt;Boshqaruv!$C$12),"Ha","")</f>
        <v/>
      </c>
      <c r="AD602" s="25"/>
      <c r="AE602" s="13"/>
      <c r="AF602" s="12"/>
      <c r="AG602" s="14" t="str">
        <f aca="false">IF(OR($B602="",$C602="",$H602=""),"",IF(COUNTIFS($B$5:$B$804,$B602,$C$5:$C$804,$C602,$H$5:$H$804,$H602)&gt;1,"Takror",""))</f>
        <v/>
      </c>
      <c r="AH602" s="28" t="str">
        <f aca="false">IF(AND($B602&lt;&gt;"",$N602="Ha",$H602&lt;&gt;"",$H602&lt;=Boshqaruv!$C$12,OR($AE602="",$AE602&gt;Boshqaruv!$C$12)),MAX($AH$4:$AH601)+1,"")</f>
        <v/>
      </c>
    </row>
    <row r="603" customFormat="false" ht="15" hidden="false" customHeight="false" outlineLevel="0" collapsed="false">
      <c r="A603" s="20" t="n">
        <v>599</v>
      </c>
      <c r="B603" s="12"/>
      <c r="C603" s="13"/>
      <c r="D603" s="24"/>
      <c r="E603" s="12"/>
      <c r="F603" s="25"/>
      <c r="G603" s="27" t="str">
        <f aca="false">IF(OR($B603="",$C603=""),"",$B603&amp;" ("&amp;DAY($C603)&amp;"."&amp;MONTH($C603)&amp;"."&amp;YEAR($C603)&amp;")")</f>
        <v/>
      </c>
      <c r="H603" s="13"/>
      <c r="I603" s="13"/>
      <c r="J603" s="15" t="str">
        <f aca="false">IF($I603="","",$I603+280)</f>
        <v/>
      </c>
      <c r="K603" s="14" t="str">
        <f aca="false">IF(OR($I603="",$AE603&lt;&gt;""),"",INT((Boshqaruv!$C$12-$I603)/7))</f>
        <v/>
      </c>
      <c r="L603" s="14" t="str">
        <f aca="false">IF(OR($C603="",$H603=""),"",INT(($H603-$C603)/365.25))</f>
        <v/>
      </c>
      <c r="M603" s="14" t="str">
        <f aca="false">IF($L603="","",IF($L603&lt;18,"Ha","Yo'q"))</f>
        <v/>
      </c>
      <c r="N603" s="25"/>
      <c r="O603" s="25"/>
      <c r="P603" s="25"/>
      <c r="Q603" s="12"/>
      <c r="R603" s="25"/>
      <c r="S603" s="12"/>
      <c r="T603" s="13"/>
      <c r="U603" s="12"/>
      <c r="V603" s="25"/>
      <c r="W603" s="25"/>
      <c r="X603" s="14" t="str">
        <f aca="false">IF(OR($V603="",$W603=""),"",IF(AND($V603&gt;=Spravochnik!$H$5,$W603&gt;=Spravochnik!$H$6),"Ha","Yo'q"))</f>
        <v/>
      </c>
      <c r="Y603" s="13"/>
      <c r="Z603" s="13"/>
      <c r="AA603" s="13"/>
      <c r="AB603" s="13"/>
      <c r="AC603" s="14" t="str">
        <f aca="false">IF(AND($B603&lt;&gt;"",$AE603="",$AB603&lt;&gt;"",$AB603&lt;Boshqaruv!$C$12),"Ha","")</f>
        <v/>
      </c>
      <c r="AD603" s="25"/>
      <c r="AE603" s="13"/>
      <c r="AF603" s="12"/>
      <c r="AG603" s="14" t="str">
        <f aca="false">IF(OR($B603="",$C603="",$H603=""),"",IF(COUNTIFS($B$5:$B$804,$B603,$C$5:$C$804,$C603,$H$5:$H$804,$H603)&gt;1,"Takror",""))</f>
        <v/>
      </c>
      <c r="AH603" s="28" t="str">
        <f aca="false">IF(AND($B603&lt;&gt;"",$N603="Ha",$H603&lt;&gt;"",$H603&lt;=Boshqaruv!$C$12,OR($AE603="",$AE603&gt;Boshqaruv!$C$12)),MAX($AH$4:$AH602)+1,"")</f>
        <v/>
      </c>
    </row>
    <row r="604" customFormat="false" ht="15" hidden="false" customHeight="false" outlineLevel="0" collapsed="false">
      <c r="A604" s="20" t="n">
        <v>600</v>
      </c>
      <c r="B604" s="12"/>
      <c r="C604" s="13"/>
      <c r="D604" s="24"/>
      <c r="E604" s="12"/>
      <c r="F604" s="25"/>
      <c r="G604" s="27" t="str">
        <f aca="false">IF(OR($B604="",$C604=""),"",$B604&amp;" ("&amp;DAY($C604)&amp;"."&amp;MONTH($C604)&amp;"."&amp;YEAR($C604)&amp;")")</f>
        <v/>
      </c>
      <c r="H604" s="13"/>
      <c r="I604" s="13"/>
      <c r="J604" s="15" t="str">
        <f aca="false">IF($I604="","",$I604+280)</f>
        <v/>
      </c>
      <c r="K604" s="14" t="str">
        <f aca="false">IF(OR($I604="",$AE604&lt;&gt;""),"",INT((Boshqaruv!$C$12-$I604)/7))</f>
        <v/>
      </c>
      <c r="L604" s="14" t="str">
        <f aca="false">IF(OR($C604="",$H604=""),"",INT(($H604-$C604)/365.25))</f>
        <v/>
      </c>
      <c r="M604" s="14" t="str">
        <f aca="false">IF($L604="","",IF($L604&lt;18,"Ha","Yo'q"))</f>
        <v/>
      </c>
      <c r="N604" s="25"/>
      <c r="O604" s="25"/>
      <c r="P604" s="25"/>
      <c r="Q604" s="12"/>
      <c r="R604" s="25"/>
      <c r="S604" s="12"/>
      <c r="T604" s="13"/>
      <c r="U604" s="12"/>
      <c r="V604" s="25"/>
      <c r="W604" s="25"/>
      <c r="X604" s="14" t="str">
        <f aca="false">IF(OR($V604="",$W604=""),"",IF(AND($V604&gt;=Spravochnik!$H$5,$W604&gt;=Spravochnik!$H$6),"Ha","Yo'q"))</f>
        <v/>
      </c>
      <c r="Y604" s="13"/>
      <c r="Z604" s="13"/>
      <c r="AA604" s="13"/>
      <c r="AB604" s="13"/>
      <c r="AC604" s="14" t="str">
        <f aca="false">IF(AND($B604&lt;&gt;"",$AE604="",$AB604&lt;&gt;"",$AB604&lt;Boshqaruv!$C$12),"Ha","")</f>
        <v/>
      </c>
      <c r="AD604" s="25"/>
      <c r="AE604" s="13"/>
      <c r="AF604" s="12"/>
      <c r="AG604" s="14" t="str">
        <f aca="false">IF(OR($B604="",$C604="",$H604=""),"",IF(COUNTIFS($B$5:$B$804,$B604,$C$5:$C$804,$C604,$H$5:$H$804,$H604)&gt;1,"Takror",""))</f>
        <v/>
      </c>
      <c r="AH604" s="28" t="str">
        <f aca="false">IF(AND($B604&lt;&gt;"",$N604="Ha",$H604&lt;&gt;"",$H604&lt;=Boshqaruv!$C$12,OR($AE604="",$AE604&gt;Boshqaruv!$C$12)),MAX($AH$4:$AH603)+1,"")</f>
        <v/>
      </c>
    </row>
    <row r="605" customFormat="false" ht="15" hidden="false" customHeight="false" outlineLevel="0" collapsed="false">
      <c r="A605" s="20" t="n">
        <v>601</v>
      </c>
      <c r="B605" s="12"/>
      <c r="C605" s="13"/>
      <c r="D605" s="24"/>
      <c r="E605" s="12"/>
      <c r="F605" s="25"/>
      <c r="G605" s="27" t="str">
        <f aca="false">IF(OR($B605="",$C605=""),"",$B605&amp;" ("&amp;DAY($C605)&amp;"."&amp;MONTH($C605)&amp;"."&amp;YEAR($C605)&amp;")")</f>
        <v/>
      </c>
      <c r="H605" s="13"/>
      <c r="I605" s="13"/>
      <c r="J605" s="15" t="str">
        <f aca="false">IF($I605="","",$I605+280)</f>
        <v/>
      </c>
      <c r="K605" s="14" t="str">
        <f aca="false">IF(OR($I605="",$AE605&lt;&gt;""),"",INT((Boshqaruv!$C$12-$I605)/7))</f>
        <v/>
      </c>
      <c r="L605" s="14" t="str">
        <f aca="false">IF(OR($C605="",$H605=""),"",INT(($H605-$C605)/365.25))</f>
        <v/>
      </c>
      <c r="M605" s="14" t="str">
        <f aca="false">IF($L605="","",IF($L605&lt;18,"Ha","Yo'q"))</f>
        <v/>
      </c>
      <c r="N605" s="25"/>
      <c r="O605" s="25"/>
      <c r="P605" s="25"/>
      <c r="Q605" s="12"/>
      <c r="R605" s="25"/>
      <c r="S605" s="12"/>
      <c r="T605" s="13"/>
      <c r="U605" s="12"/>
      <c r="V605" s="25"/>
      <c r="W605" s="25"/>
      <c r="X605" s="14" t="str">
        <f aca="false">IF(OR($V605="",$W605=""),"",IF(AND($V605&gt;=Spravochnik!$H$5,$W605&gt;=Spravochnik!$H$6),"Ha","Yo'q"))</f>
        <v/>
      </c>
      <c r="Y605" s="13"/>
      <c r="Z605" s="13"/>
      <c r="AA605" s="13"/>
      <c r="AB605" s="13"/>
      <c r="AC605" s="14" t="str">
        <f aca="false">IF(AND($B605&lt;&gt;"",$AE605="",$AB605&lt;&gt;"",$AB605&lt;Boshqaruv!$C$12),"Ha","")</f>
        <v/>
      </c>
      <c r="AD605" s="25"/>
      <c r="AE605" s="13"/>
      <c r="AF605" s="12"/>
      <c r="AG605" s="14" t="str">
        <f aca="false">IF(OR($B605="",$C605="",$H605=""),"",IF(COUNTIFS($B$5:$B$804,$B605,$C$5:$C$804,$C605,$H$5:$H$804,$H605)&gt;1,"Takror",""))</f>
        <v/>
      </c>
      <c r="AH605" s="28" t="str">
        <f aca="false">IF(AND($B605&lt;&gt;"",$N605="Ha",$H605&lt;&gt;"",$H605&lt;=Boshqaruv!$C$12,OR($AE605="",$AE605&gt;Boshqaruv!$C$12)),MAX($AH$4:$AH604)+1,"")</f>
        <v/>
      </c>
    </row>
    <row r="606" customFormat="false" ht="15" hidden="false" customHeight="false" outlineLevel="0" collapsed="false">
      <c r="A606" s="20" t="n">
        <v>602</v>
      </c>
      <c r="B606" s="12"/>
      <c r="C606" s="13"/>
      <c r="D606" s="24"/>
      <c r="E606" s="12"/>
      <c r="F606" s="25"/>
      <c r="G606" s="27" t="str">
        <f aca="false">IF(OR($B606="",$C606=""),"",$B606&amp;" ("&amp;DAY($C606)&amp;"."&amp;MONTH($C606)&amp;"."&amp;YEAR($C606)&amp;")")</f>
        <v/>
      </c>
      <c r="H606" s="13"/>
      <c r="I606" s="13"/>
      <c r="J606" s="15" t="str">
        <f aca="false">IF($I606="","",$I606+280)</f>
        <v/>
      </c>
      <c r="K606" s="14" t="str">
        <f aca="false">IF(OR($I606="",$AE606&lt;&gt;""),"",INT((Boshqaruv!$C$12-$I606)/7))</f>
        <v/>
      </c>
      <c r="L606" s="14" t="str">
        <f aca="false">IF(OR($C606="",$H606=""),"",INT(($H606-$C606)/365.25))</f>
        <v/>
      </c>
      <c r="M606" s="14" t="str">
        <f aca="false">IF($L606="","",IF($L606&lt;18,"Ha","Yo'q"))</f>
        <v/>
      </c>
      <c r="N606" s="25"/>
      <c r="O606" s="25"/>
      <c r="P606" s="25"/>
      <c r="Q606" s="12"/>
      <c r="R606" s="25"/>
      <c r="S606" s="12"/>
      <c r="T606" s="13"/>
      <c r="U606" s="12"/>
      <c r="V606" s="25"/>
      <c r="W606" s="25"/>
      <c r="X606" s="14" t="str">
        <f aca="false">IF(OR($V606="",$W606=""),"",IF(AND($V606&gt;=Spravochnik!$H$5,$W606&gt;=Spravochnik!$H$6),"Ha","Yo'q"))</f>
        <v/>
      </c>
      <c r="Y606" s="13"/>
      <c r="Z606" s="13"/>
      <c r="AA606" s="13"/>
      <c r="AB606" s="13"/>
      <c r="AC606" s="14" t="str">
        <f aca="false">IF(AND($B606&lt;&gt;"",$AE606="",$AB606&lt;&gt;"",$AB606&lt;Boshqaruv!$C$12),"Ha","")</f>
        <v/>
      </c>
      <c r="AD606" s="25"/>
      <c r="AE606" s="13"/>
      <c r="AF606" s="12"/>
      <c r="AG606" s="14" t="str">
        <f aca="false">IF(OR($B606="",$C606="",$H606=""),"",IF(COUNTIFS($B$5:$B$804,$B606,$C$5:$C$804,$C606,$H$5:$H$804,$H606)&gt;1,"Takror",""))</f>
        <v/>
      </c>
      <c r="AH606" s="28" t="str">
        <f aca="false">IF(AND($B606&lt;&gt;"",$N606="Ha",$H606&lt;&gt;"",$H606&lt;=Boshqaruv!$C$12,OR($AE606="",$AE606&gt;Boshqaruv!$C$12)),MAX($AH$4:$AH605)+1,"")</f>
        <v/>
      </c>
    </row>
    <row r="607" customFormat="false" ht="15" hidden="false" customHeight="false" outlineLevel="0" collapsed="false">
      <c r="A607" s="20" t="n">
        <v>603</v>
      </c>
      <c r="B607" s="12"/>
      <c r="C607" s="13"/>
      <c r="D607" s="24"/>
      <c r="E607" s="12"/>
      <c r="F607" s="25"/>
      <c r="G607" s="27" t="str">
        <f aca="false">IF(OR($B607="",$C607=""),"",$B607&amp;" ("&amp;DAY($C607)&amp;"."&amp;MONTH($C607)&amp;"."&amp;YEAR($C607)&amp;")")</f>
        <v/>
      </c>
      <c r="H607" s="13"/>
      <c r="I607" s="13"/>
      <c r="J607" s="15" t="str">
        <f aca="false">IF($I607="","",$I607+280)</f>
        <v/>
      </c>
      <c r="K607" s="14" t="str">
        <f aca="false">IF(OR($I607="",$AE607&lt;&gt;""),"",INT((Boshqaruv!$C$12-$I607)/7))</f>
        <v/>
      </c>
      <c r="L607" s="14" t="str">
        <f aca="false">IF(OR($C607="",$H607=""),"",INT(($H607-$C607)/365.25))</f>
        <v/>
      </c>
      <c r="M607" s="14" t="str">
        <f aca="false">IF($L607="","",IF($L607&lt;18,"Ha","Yo'q"))</f>
        <v/>
      </c>
      <c r="N607" s="25"/>
      <c r="O607" s="25"/>
      <c r="P607" s="25"/>
      <c r="Q607" s="12"/>
      <c r="R607" s="25"/>
      <c r="S607" s="12"/>
      <c r="T607" s="13"/>
      <c r="U607" s="12"/>
      <c r="V607" s="25"/>
      <c r="W607" s="25"/>
      <c r="X607" s="14" t="str">
        <f aca="false">IF(OR($V607="",$W607=""),"",IF(AND($V607&gt;=Spravochnik!$H$5,$W607&gt;=Spravochnik!$H$6),"Ha","Yo'q"))</f>
        <v/>
      </c>
      <c r="Y607" s="13"/>
      <c r="Z607" s="13"/>
      <c r="AA607" s="13"/>
      <c r="AB607" s="13"/>
      <c r="AC607" s="14" t="str">
        <f aca="false">IF(AND($B607&lt;&gt;"",$AE607="",$AB607&lt;&gt;"",$AB607&lt;Boshqaruv!$C$12),"Ha","")</f>
        <v/>
      </c>
      <c r="AD607" s="25"/>
      <c r="AE607" s="13"/>
      <c r="AF607" s="12"/>
      <c r="AG607" s="14" t="str">
        <f aca="false">IF(OR($B607="",$C607="",$H607=""),"",IF(COUNTIFS($B$5:$B$804,$B607,$C$5:$C$804,$C607,$H$5:$H$804,$H607)&gt;1,"Takror",""))</f>
        <v/>
      </c>
      <c r="AH607" s="28" t="str">
        <f aca="false">IF(AND($B607&lt;&gt;"",$N607="Ha",$H607&lt;&gt;"",$H607&lt;=Boshqaruv!$C$12,OR($AE607="",$AE607&gt;Boshqaruv!$C$12)),MAX($AH$4:$AH606)+1,"")</f>
        <v/>
      </c>
    </row>
    <row r="608" customFormat="false" ht="15" hidden="false" customHeight="false" outlineLevel="0" collapsed="false">
      <c r="A608" s="20" t="n">
        <v>604</v>
      </c>
      <c r="B608" s="12"/>
      <c r="C608" s="13"/>
      <c r="D608" s="24"/>
      <c r="E608" s="12"/>
      <c r="F608" s="25"/>
      <c r="G608" s="27" t="str">
        <f aca="false">IF(OR($B608="",$C608=""),"",$B608&amp;" ("&amp;DAY($C608)&amp;"."&amp;MONTH($C608)&amp;"."&amp;YEAR($C608)&amp;")")</f>
        <v/>
      </c>
      <c r="H608" s="13"/>
      <c r="I608" s="13"/>
      <c r="J608" s="15" t="str">
        <f aca="false">IF($I608="","",$I608+280)</f>
        <v/>
      </c>
      <c r="K608" s="14" t="str">
        <f aca="false">IF(OR($I608="",$AE608&lt;&gt;""),"",INT((Boshqaruv!$C$12-$I608)/7))</f>
        <v/>
      </c>
      <c r="L608" s="14" t="str">
        <f aca="false">IF(OR($C608="",$H608=""),"",INT(($H608-$C608)/365.25))</f>
        <v/>
      </c>
      <c r="M608" s="14" t="str">
        <f aca="false">IF($L608="","",IF($L608&lt;18,"Ha","Yo'q"))</f>
        <v/>
      </c>
      <c r="N608" s="25"/>
      <c r="O608" s="25"/>
      <c r="P608" s="25"/>
      <c r="Q608" s="12"/>
      <c r="R608" s="25"/>
      <c r="S608" s="12"/>
      <c r="T608" s="13"/>
      <c r="U608" s="12"/>
      <c r="V608" s="25"/>
      <c r="W608" s="25"/>
      <c r="X608" s="14" t="str">
        <f aca="false">IF(OR($V608="",$W608=""),"",IF(AND($V608&gt;=Spravochnik!$H$5,$W608&gt;=Spravochnik!$H$6),"Ha","Yo'q"))</f>
        <v/>
      </c>
      <c r="Y608" s="13"/>
      <c r="Z608" s="13"/>
      <c r="AA608" s="13"/>
      <c r="AB608" s="13"/>
      <c r="AC608" s="14" t="str">
        <f aca="false">IF(AND($B608&lt;&gt;"",$AE608="",$AB608&lt;&gt;"",$AB608&lt;Boshqaruv!$C$12),"Ha","")</f>
        <v/>
      </c>
      <c r="AD608" s="25"/>
      <c r="AE608" s="13"/>
      <c r="AF608" s="12"/>
      <c r="AG608" s="14" t="str">
        <f aca="false">IF(OR($B608="",$C608="",$H608=""),"",IF(COUNTIFS($B$5:$B$804,$B608,$C$5:$C$804,$C608,$H$5:$H$804,$H608)&gt;1,"Takror",""))</f>
        <v/>
      </c>
      <c r="AH608" s="28" t="str">
        <f aca="false">IF(AND($B608&lt;&gt;"",$N608="Ha",$H608&lt;&gt;"",$H608&lt;=Boshqaruv!$C$12,OR($AE608="",$AE608&gt;Boshqaruv!$C$12)),MAX($AH$4:$AH607)+1,"")</f>
        <v/>
      </c>
    </row>
    <row r="609" customFormat="false" ht="15" hidden="false" customHeight="false" outlineLevel="0" collapsed="false">
      <c r="A609" s="20" t="n">
        <v>605</v>
      </c>
      <c r="B609" s="12"/>
      <c r="C609" s="13"/>
      <c r="D609" s="24"/>
      <c r="E609" s="12"/>
      <c r="F609" s="25"/>
      <c r="G609" s="27" t="str">
        <f aca="false">IF(OR($B609="",$C609=""),"",$B609&amp;" ("&amp;DAY($C609)&amp;"."&amp;MONTH($C609)&amp;"."&amp;YEAR($C609)&amp;")")</f>
        <v/>
      </c>
      <c r="H609" s="13"/>
      <c r="I609" s="13"/>
      <c r="J609" s="15" t="str">
        <f aca="false">IF($I609="","",$I609+280)</f>
        <v/>
      </c>
      <c r="K609" s="14" t="str">
        <f aca="false">IF(OR($I609="",$AE609&lt;&gt;""),"",INT((Boshqaruv!$C$12-$I609)/7))</f>
        <v/>
      </c>
      <c r="L609" s="14" t="str">
        <f aca="false">IF(OR($C609="",$H609=""),"",INT(($H609-$C609)/365.25))</f>
        <v/>
      </c>
      <c r="M609" s="14" t="str">
        <f aca="false">IF($L609="","",IF($L609&lt;18,"Ha","Yo'q"))</f>
        <v/>
      </c>
      <c r="N609" s="25"/>
      <c r="O609" s="25"/>
      <c r="P609" s="25"/>
      <c r="Q609" s="12"/>
      <c r="R609" s="25"/>
      <c r="S609" s="12"/>
      <c r="T609" s="13"/>
      <c r="U609" s="12"/>
      <c r="V609" s="25"/>
      <c r="W609" s="25"/>
      <c r="X609" s="14" t="str">
        <f aca="false">IF(OR($V609="",$W609=""),"",IF(AND($V609&gt;=Spravochnik!$H$5,$W609&gt;=Spravochnik!$H$6),"Ha","Yo'q"))</f>
        <v/>
      </c>
      <c r="Y609" s="13"/>
      <c r="Z609" s="13"/>
      <c r="AA609" s="13"/>
      <c r="AB609" s="13"/>
      <c r="AC609" s="14" t="str">
        <f aca="false">IF(AND($B609&lt;&gt;"",$AE609="",$AB609&lt;&gt;"",$AB609&lt;Boshqaruv!$C$12),"Ha","")</f>
        <v/>
      </c>
      <c r="AD609" s="25"/>
      <c r="AE609" s="13"/>
      <c r="AF609" s="12"/>
      <c r="AG609" s="14" t="str">
        <f aca="false">IF(OR($B609="",$C609="",$H609=""),"",IF(COUNTIFS($B$5:$B$804,$B609,$C$5:$C$804,$C609,$H$5:$H$804,$H609)&gt;1,"Takror",""))</f>
        <v/>
      </c>
      <c r="AH609" s="28" t="str">
        <f aca="false">IF(AND($B609&lt;&gt;"",$N609="Ha",$H609&lt;&gt;"",$H609&lt;=Boshqaruv!$C$12,OR($AE609="",$AE609&gt;Boshqaruv!$C$12)),MAX($AH$4:$AH608)+1,"")</f>
        <v/>
      </c>
    </row>
    <row r="610" customFormat="false" ht="15" hidden="false" customHeight="false" outlineLevel="0" collapsed="false">
      <c r="A610" s="20" t="n">
        <v>606</v>
      </c>
      <c r="B610" s="12"/>
      <c r="C610" s="13"/>
      <c r="D610" s="24"/>
      <c r="E610" s="12"/>
      <c r="F610" s="25"/>
      <c r="G610" s="27" t="str">
        <f aca="false">IF(OR($B610="",$C610=""),"",$B610&amp;" ("&amp;DAY($C610)&amp;"."&amp;MONTH($C610)&amp;"."&amp;YEAR($C610)&amp;")")</f>
        <v/>
      </c>
      <c r="H610" s="13"/>
      <c r="I610" s="13"/>
      <c r="J610" s="15" t="str">
        <f aca="false">IF($I610="","",$I610+280)</f>
        <v/>
      </c>
      <c r="K610" s="14" t="str">
        <f aca="false">IF(OR($I610="",$AE610&lt;&gt;""),"",INT((Boshqaruv!$C$12-$I610)/7))</f>
        <v/>
      </c>
      <c r="L610" s="14" t="str">
        <f aca="false">IF(OR($C610="",$H610=""),"",INT(($H610-$C610)/365.25))</f>
        <v/>
      </c>
      <c r="M610" s="14" t="str">
        <f aca="false">IF($L610="","",IF($L610&lt;18,"Ha","Yo'q"))</f>
        <v/>
      </c>
      <c r="N610" s="25"/>
      <c r="O610" s="25"/>
      <c r="P610" s="25"/>
      <c r="Q610" s="12"/>
      <c r="R610" s="25"/>
      <c r="S610" s="12"/>
      <c r="T610" s="13"/>
      <c r="U610" s="12"/>
      <c r="V610" s="25"/>
      <c r="W610" s="25"/>
      <c r="X610" s="14" t="str">
        <f aca="false">IF(OR($V610="",$W610=""),"",IF(AND($V610&gt;=Spravochnik!$H$5,$W610&gt;=Spravochnik!$H$6),"Ha","Yo'q"))</f>
        <v/>
      </c>
      <c r="Y610" s="13"/>
      <c r="Z610" s="13"/>
      <c r="AA610" s="13"/>
      <c r="AB610" s="13"/>
      <c r="AC610" s="14" t="str">
        <f aca="false">IF(AND($B610&lt;&gt;"",$AE610="",$AB610&lt;&gt;"",$AB610&lt;Boshqaruv!$C$12),"Ha","")</f>
        <v/>
      </c>
      <c r="AD610" s="25"/>
      <c r="AE610" s="13"/>
      <c r="AF610" s="12"/>
      <c r="AG610" s="14" t="str">
        <f aca="false">IF(OR($B610="",$C610="",$H610=""),"",IF(COUNTIFS($B$5:$B$804,$B610,$C$5:$C$804,$C610,$H$5:$H$804,$H610)&gt;1,"Takror",""))</f>
        <v/>
      </c>
      <c r="AH610" s="28" t="str">
        <f aca="false">IF(AND($B610&lt;&gt;"",$N610="Ha",$H610&lt;&gt;"",$H610&lt;=Boshqaruv!$C$12,OR($AE610="",$AE610&gt;Boshqaruv!$C$12)),MAX($AH$4:$AH609)+1,"")</f>
        <v/>
      </c>
    </row>
    <row r="611" customFormat="false" ht="15" hidden="false" customHeight="false" outlineLevel="0" collapsed="false">
      <c r="A611" s="20" t="n">
        <v>607</v>
      </c>
      <c r="B611" s="12"/>
      <c r="C611" s="13"/>
      <c r="D611" s="24"/>
      <c r="E611" s="12"/>
      <c r="F611" s="25"/>
      <c r="G611" s="27" t="str">
        <f aca="false">IF(OR($B611="",$C611=""),"",$B611&amp;" ("&amp;DAY($C611)&amp;"."&amp;MONTH($C611)&amp;"."&amp;YEAR($C611)&amp;")")</f>
        <v/>
      </c>
      <c r="H611" s="13"/>
      <c r="I611" s="13"/>
      <c r="J611" s="15" t="str">
        <f aca="false">IF($I611="","",$I611+280)</f>
        <v/>
      </c>
      <c r="K611" s="14" t="str">
        <f aca="false">IF(OR($I611="",$AE611&lt;&gt;""),"",INT((Boshqaruv!$C$12-$I611)/7))</f>
        <v/>
      </c>
      <c r="L611" s="14" t="str">
        <f aca="false">IF(OR($C611="",$H611=""),"",INT(($H611-$C611)/365.25))</f>
        <v/>
      </c>
      <c r="M611" s="14" t="str">
        <f aca="false">IF($L611="","",IF($L611&lt;18,"Ha","Yo'q"))</f>
        <v/>
      </c>
      <c r="N611" s="25"/>
      <c r="O611" s="25"/>
      <c r="P611" s="25"/>
      <c r="Q611" s="12"/>
      <c r="R611" s="25"/>
      <c r="S611" s="12"/>
      <c r="T611" s="13"/>
      <c r="U611" s="12"/>
      <c r="V611" s="25"/>
      <c r="W611" s="25"/>
      <c r="X611" s="14" t="str">
        <f aca="false">IF(OR($V611="",$W611=""),"",IF(AND($V611&gt;=Spravochnik!$H$5,$W611&gt;=Spravochnik!$H$6),"Ha","Yo'q"))</f>
        <v/>
      </c>
      <c r="Y611" s="13"/>
      <c r="Z611" s="13"/>
      <c r="AA611" s="13"/>
      <c r="AB611" s="13"/>
      <c r="AC611" s="14" t="str">
        <f aca="false">IF(AND($B611&lt;&gt;"",$AE611="",$AB611&lt;&gt;"",$AB611&lt;Boshqaruv!$C$12),"Ha","")</f>
        <v/>
      </c>
      <c r="AD611" s="25"/>
      <c r="AE611" s="13"/>
      <c r="AF611" s="12"/>
      <c r="AG611" s="14" t="str">
        <f aca="false">IF(OR($B611="",$C611="",$H611=""),"",IF(COUNTIFS($B$5:$B$804,$B611,$C$5:$C$804,$C611,$H$5:$H$804,$H611)&gt;1,"Takror",""))</f>
        <v/>
      </c>
      <c r="AH611" s="28" t="str">
        <f aca="false">IF(AND($B611&lt;&gt;"",$N611="Ha",$H611&lt;&gt;"",$H611&lt;=Boshqaruv!$C$12,OR($AE611="",$AE611&gt;Boshqaruv!$C$12)),MAX($AH$4:$AH610)+1,"")</f>
        <v/>
      </c>
    </row>
    <row r="612" customFormat="false" ht="15" hidden="false" customHeight="false" outlineLevel="0" collapsed="false">
      <c r="A612" s="20" t="n">
        <v>608</v>
      </c>
      <c r="B612" s="12"/>
      <c r="C612" s="13"/>
      <c r="D612" s="24"/>
      <c r="E612" s="12"/>
      <c r="F612" s="25"/>
      <c r="G612" s="27" t="str">
        <f aca="false">IF(OR($B612="",$C612=""),"",$B612&amp;" ("&amp;DAY($C612)&amp;"."&amp;MONTH($C612)&amp;"."&amp;YEAR($C612)&amp;")")</f>
        <v/>
      </c>
      <c r="H612" s="13"/>
      <c r="I612" s="13"/>
      <c r="J612" s="15" t="str">
        <f aca="false">IF($I612="","",$I612+280)</f>
        <v/>
      </c>
      <c r="K612" s="14" t="str">
        <f aca="false">IF(OR($I612="",$AE612&lt;&gt;""),"",INT((Boshqaruv!$C$12-$I612)/7))</f>
        <v/>
      </c>
      <c r="L612" s="14" t="str">
        <f aca="false">IF(OR($C612="",$H612=""),"",INT(($H612-$C612)/365.25))</f>
        <v/>
      </c>
      <c r="M612" s="14" t="str">
        <f aca="false">IF($L612="","",IF($L612&lt;18,"Ha","Yo'q"))</f>
        <v/>
      </c>
      <c r="N612" s="25"/>
      <c r="O612" s="25"/>
      <c r="P612" s="25"/>
      <c r="Q612" s="12"/>
      <c r="R612" s="25"/>
      <c r="S612" s="12"/>
      <c r="T612" s="13"/>
      <c r="U612" s="12"/>
      <c r="V612" s="25"/>
      <c r="W612" s="25"/>
      <c r="X612" s="14" t="str">
        <f aca="false">IF(OR($V612="",$W612=""),"",IF(AND($V612&gt;=Spravochnik!$H$5,$W612&gt;=Spravochnik!$H$6),"Ha","Yo'q"))</f>
        <v/>
      </c>
      <c r="Y612" s="13"/>
      <c r="Z612" s="13"/>
      <c r="AA612" s="13"/>
      <c r="AB612" s="13"/>
      <c r="AC612" s="14" t="str">
        <f aca="false">IF(AND($B612&lt;&gt;"",$AE612="",$AB612&lt;&gt;"",$AB612&lt;Boshqaruv!$C$12),"Ha","")</f>
        <v/>
      </c>
      <c r="AD612" s="25"/>
      <c r="AE612" s="13"/>
      <c r="AF612" s="12"/>
      <c r="AG612" s="14" t="str">
        <f aca="false">IF(OR($B612="",$C612="",$H612=""),"",IF(COUNTIFS($B$5:$B$804,$B612,$C$5:$C$804,$C612,$H$5:$H$804,$H612)&gt;1,"Takror",""))</f>
        <v/>
      </c>
      <c r="AH612" s="28" t="str">
        <f aca="false">IF(AND($B612&lt;&gt;"",$N612="Ha",$H612&lt;&gt;"",$H612&lt;=Boshqaruv!$C$12,OR($AE612="",$AE612&gt;Boshqaruv!$C$12)),MAX($AH$4:$AH611)+1,"")</f>
        <v/>
      </c>
    </row>
    <row r="613" customFormat="false" ht="15" hidden="false" customHeight="false" outlineLevel="0" collapsed="false">
      <c r="A613" s="20" t="n">
        <v>609</v>
      </c>
      <c r="B613" s="12"/>
      <c r="C613" s="13"/>
      <c r="D613" s="24"/>
      <c r="E613" s="12"/>
      <c r="F613" s="25"/>
      <c r="G613" s="27" t="str">
        <f aca="false">IF(OR($B613="",$C613=""),"",$B613&amp;" ("&amp;DAY($C613)&amp;"."&amp;MONTH($C613)&amp;"."&amp;YEAR($C613)&amp;")")</f>
        <v/>
      </c>
      <c r="H613" s="13"/>
      <c r="I613" s="13"/>
      <c r="J613" s="15" t="str">
        <f aca="false">IF($I613="","",$I613+280)</f>
        <v/>
      </c>
      <c r="K613" s="14" t="str">
        <f aca="false">IF(OR($I613="",$AE613&lt;&gt;""),"",INT((Boshqaruv!$C$12-$I613)/7))</f>
        <v/>
      </c>
      <c r="L613" s="14" t="str">
        <f aca="false">IF(OR($C613="",$H613=""),"",INT(($H613-$C613)/365.25))</f>
        <v/>
      </c>
      <c r="M613" s="14" t="str">
        <f aca="false">IF($L613="","",IF($L613&lt;18,"Ha","Yo'q"))</f>
        <v/>
      </c>
      <c r="N613" s="25"/>
      <c r="O613" s="25"/>
      <c r="P613" s="25"/>
      <c r="Q613" s="12"/>
      <c r="R613" s="25"/>
      <c r="S613" s="12"/>
      <c r="T613" s="13"/>
      <c r="U613" s="12"/>
      <c r="V613" s="25"/>
      <c r="W613" s="25"/>
      <c r="X613" s="14" t="str">
        <f aca="false">IF(OR($V613="",$W613=""),"",IF(AND($V613&gt;=Spravochnik!$H$5,$W613&gt;=Spravochnik!$H$6),"Ha","Yo'q"))</f>
        <v/>
      </c>
      <c r="Y613" s="13"/>
      <c r="Z613" s="13"/>
      <c r="AA613" s="13"/>
      <c r="AB613" s="13"/>
      <c r="AC613" s="14" t="str">
        <f aca="false">IF(AND($B613&lt;&gt;"",$AE613="",$AB613&lt;&gt;"",$AB613&lt;Boshqaruv!$C$12),"Ha","")</f>
        <v/>
      </c>
      <c r="AD613" s="25"/>
      <c r="AE613" s="13"/>
      <c r="AF613" s="12"/>
      <c r="AG613" s="14" t="str">
        <f aca="false">IF(OR($B613="",$C613="",$H613=""),"",IF(COUNTIFS($B$5:$B$804,$B613,$C$5:$C$804,$C613,$H$5:$H$804,$H613)&gt;1,"Takror",""))</f>
        <v/>
      </c>
      <c r="AH613" s="28" t="str">
        <f aca="false">IF(AND($B613&lt;&gt;"",$N613="Ha",$H613&lt;&gt;"",$H613&lt;=Boshqaruv!$C$12,OR($AE613="",$AE613&gt;Boshqaruv!$C$12)),MAX($AH$4:$AH612)+1,"")</f>
        <v/>
      </c>
    </row>
    <row r="614" customFormat="false" ht="15" hidden="false" customHeight="false" outlineLevel="0" collapsed="false">
      <c r="A614" s="20" t="n">
        <v>610</v>
      </c>
      <c r="B614" s="12"/>
      <c r="C614" s="13"/>
      <c r="D614" s="24"/>
      <c r="E614" s="12"/>
      <c r="F614" s="25"/>
      <c r="G614" s="27" t="str">
        <f aca="false">IF(OR($B614="",$C614=""),"",$B614&amp;" ("&amp;DAY($C614)&amp;"."&amp;MONTH($C614)&amp;"."&amp;YEAR($C614)&amp;")")</f>
        <v/>
      </c>
      <c r="H614" s="13"/>
      <c r="I614" s="13"/>
      <c r="J614" s="15" t="str">
        <f aca="false">IF($I614="","",$I614+280)</f>
        <v/>
      </c>
      <c r="K614" s="14" t="str">
        <f aca="false">IF(OR($I614="",$AE614&lt;&gt;""),"",INT((Boshqaruv!$C$12-$I614)/7))</f>
        <v/>
      </c>
      <c r="L614" s="14" t="str">
        <f aca="false">IF(OR($C614="",$H614=""),"",INT(($H614-$C614)/365.25))</f>
        <v/>
      </c>
      <c r="M614" s="14" t="str">
        <f aca="false">IF($L614="","",IF($L614&lt;18,"Ha","Yo'q"))</f>
        <v/>
      </c>
      <c r="N614" s="25"/>
      <c r="O614" s="25"/>
      <c r="P614" s="25"/>
      <c r="Q614" s="12"/>
      <c r="R614" s="25"/>
      <c r="S614" s="12"/>
      <c r="T614" s="13"/>
      <c r="U614" s="12"/>
      <c r="V614" s="25"/>
      <c r="W614" s="25"/>
      <c r="X614" s="14" t="str">
        <f aca="false">IF(OR($V614="",$W614=""),"",IF(AND($V614&gt;=Spravochnik!$H$5,$W614&gt;=Spravochnik!$H$6),"Ha","Yo'q"))</f>
        <v/>
      </c>
      <c r="Y614" s="13"/>
      <c r="Z614" s="13"/>
      <c r="AA614" s="13"/>
      <c r="AB614" s="13"/>
      <c r="AC614" s="14" t="str">
        <f aca="false">IF(AND($B614&lt;&gt;"",$AE614="",$AB614&lt;&gt;"",$AB614&lt;Boshqaruv!$C$12),"Ha","")</f>
        <v/>
      </c>
      <c r="AD614" s="25"/>
      <c r="AE614" s="13"/>
      <c r="AF614" s="12"/>
      <c r="AG614" s="14" t="str">
        <f aca="false">IF(OR($B614="",$C614="",$H614=""),"",IF(COUNTIFS($B$5:$B$804,$B614,$C$5:$C$804,$C614,$H$5:$H$804,$H614)&gt;1,"Takror",""))</f>
        <v/>
      </c>
      <c r="AH614" s="28" t="str">
        <f aca="false">IF(AND($B614&lt;&gt;"",$N614="Ha",$H614&lt;&gt;"",$H614&lt;=Boshqaruv!$C$12,OR($AE614="",$AE614&gt;Boshqaruv!$C$12)),MAX($AH$4:$AH613)+1,"")</f>
        <v/>
      </c>
    </row>
    <row r="615" customFormat="false" ht="15" hidden="false" customHeight="false" outlineLevel="0" collapsed="false">
      <c r="A615" s="20" t="n">
        <v>611</v>
      </c>
      <c r="B615" s="12"/>
      <c r="C615" s="13"/>
      <c r="D615" s="24"/>
      <c r="E615" s="12"/>
      <c r="F615" s="25"/>
      <c r="G615" s="27" t="str">
        <f aca="false">IF(OR($B615="",$C615=""),"",$B615&amp;" ("&amp;DAY($C615)&amp;"."&amp;MONTH($C615)&amp;"."&amp;YEAR($C615)&amp;")")</f>
        <v/>
      </c>
      <c r="H615" s="13"/>
      <c r="I615" s="13"/>
      <c r="J615" s="15" t="str">
        <f aca="false">IF($I615="","",$I615+280)</f>
        <v/>
      </c>
      <c r="K615" s="14" t="str">
        <f aca="false">IF(OR($I615="",$AE615&lt;&gt;""),"",INT((Boshqaruv!$C$12-$I615)/7))</f>
        <v/>
      </c>
      <c r="L615" s="14" t="str">
        <f aca="false">IF(OR($C615="",$H615=""),"",INT(($H615-$C615)/365.25))</f>
        <v/>
      </c>
      <c r="M615" s="14" t="str">
        <f aca="false">IF($L615="","",IF($L615&lt;18,"Ha","Yo'q"))</f>
        <v/>
      </c>
      <c r="N615" s="25"/>
      <c r="O615" s="25"/>
      <c r="P615" s="25"/>
      <c r="Q615" s="12"/>
      <c r="R615" s="25"/>
      <c r="S615" s="12"/>
      <c r="T615" s="13"/>
      <c r="U615" s="12"/>
      <c r="V615" s="25"/>
      <c r="W615" s="25"/>
      <c r="X615" s="14" t="str">
        <f aca="false">IF(OR($V615="",$W615=""),"",IF(AND($V615&gt;=Spravochnik!$H$5,$W615&gt;=Spravochnik!$H$6),"Ha","Yo'q"))</f>
        <v/>
      </c>
      <c r="Y615" s="13"/>
      <c r="Z615" s="13"/>
      <c r="AA615" s="13"/>
      <c r="AB615" s="13"/>
      <c r="AC615" s="14" t="str">
        <f aca="false">IF(AND($B615&lt;&gt;"",$AE615="",$AB615&lt;&gt;"",$AB615&lt;Boshqaruv!$C$12),"Ha","")</f>
        <v/>
      </c>
      <c r="AD615" s="25"/>
      <c r="AE615" s="13"/>
      <c r="AF615" s="12"/>
      <c r="AG615" s="14" t="str">
        <f aca="false">IF(OR($B615="",$C615="",$H615=""),"",IF(COUNTIFS($B$5:$B$804,$B615,$C$5:$C$804,$C615,$H$5:$H$804,$H615)&gt;1,"Takror",""))</f>
        <v/>
      </c>
      <c r="AH615" s="28" t="str">
        <f aca="false">IF(AND($B615&lt;&gt;"",$N615="Ha",$H615&lt;&gt;"",$H615&lt;=Boshqaruv!$C$12,OR($AE615="",$AE615&gt;Boshqaruv!$C$12)),MAX($AH$4:$AH614)+1,"")</f>
        <v/>
      </c>
    </row>
    <row r="616" customFormat="false" ht="15" hidden="false" customHeight="false" outlineLevel="0" collapsed="false">
      <c r="A616" s="20" t="n">
        <v>612</v>
      </c>
      <c r="B616" s="12"/>
      <c r="C616" s="13"/>
      <c r="D616" s="24"/>
      <c r="E616" s="12"/>
      <c r="F616" s="25"/>
      <c r="G616" s="27" t="str">
        <f aca="false">IF(OR($B616="",$C616=""),"",$B616&amp;" ("&amp;DAY($C616)&amp;"."&amp;MONTH($C616)&amp;"."&amp;YEAR($C616)&amp;")")</f>
        <v/>
      </c>
      <c r="H616" s="13"/>
      <c r="I616" s="13"/>
      <c r="J616" s="15" t="str">
        <f aca="false">IF($I616="","",$I616+280)</f>
        <v/>
      </c>
      <c r="K616" s="14" t="str">
        <f aca="false">IF(OR($I616="",$AE616&lt;&gt;""),"",INT((Boshqaruv!$C$12-$I616)/7))</f>
        <v/>
      </c>
      <c r="L616" s="14" t="str">
        <f aca="false">IF(OR($C616="",$H616=""),"",INT(($H616-$C616)/365.25))</f>
        <v/>
      </c>
      <c r="M616" s="14" t="str">
        <f aca="false">IF($L616="","",IF($L616&lt;18,"Ha","Yo'q"))</f>
        <v/>
      </c>
      <c r="N616" s="25"/>
      <c r="O616" s="25"/>
      <c r="P616" s="25"/>
      <c r="Q616" s="12"/>
      <c r="R616" s="25"/>
      <c r="S616" s="12"/>
      <c r="T616" s="13"/>
      <c r="U616" s="12"/>
      <c r="V616" s="25"/>
      <c r="W616" s="25"/>
      <c r="X616" s="14" t="str">
        <f aca="false">IF(OR($V616="",$W616=""),"",IF(AND($V616&gt;=Spravochnik!$H$5,$W616&gt;=Spravochnik!$H$6),"Ha","Yo'q"))</f>
        <v/>
      </c>
      <c r="Y616" s="13"/>
      <c r="Z616" s="13"/>
      <c r="AA616" s="13"/>
      <c r="AB616" s="13"/>
      <c r="AC616" s="14" t="str">
        <f aca="false">IF(AND($B616&lt;&gt;"",$AE616="",$AB616&lt;&gt;"",$AB616&lt;Boshqaruv!$C$12),"Ha","")</f>
        <v/>
      </c>
      <c r="AD616" s="25"/>
      <c r="AE616" s="13"/>
      <c r="AF616" s="12"/>
      <c r="AG616" s="14" t="str">
        <f aca="false">IF(OR($B616="",$C616="",$H616=""),"",IF(COUNTIFS($B$5:$B$804,$B616,$C$5:$C$804,$C616,$H$5:$H$804,$H616)&gt;1,"Takror",""))</f>
        <v/>
      </c>
      <c r="AH616" s="28" t="str">
        <f aca="false">IF(AND($B616&lt;&gt;"",$N616="Ha",$H616&lt;&gt;"",$H616&lt;=Boshqaruv!$C$12,OR($AE616="",$AE616&gt;Boshqaruv!$C$12)),MAX($AH$4:$AH615)+1,"")</f>
        <v/>
      </c>
    </row>
    <row r="617" customFormat="false" ht="15" hidden="false" customHeight="false" outlineLevel="0" collapsed="false">
      <c r="A617" s="20" t="n">
        <v>613</v>
      </c>
      <c r="B617" s="12"/>
      <c r="C617" s="13"/>
      <c r="D617" s="24"/>
      <c r="E617" s="12"/>
      <c r="F617" s="25"/>
      <c r="G617" s="27" t="str">
        <f aca="false">IF(OR($B617="",$C617=""),"",$B617&amp;" ("&amp;DAY($C617)&amp;"."&amp;MONTH($C617)&amp;"."&amp;YEAR($C617)&amp;")")</f>
        <v/>
      </c>
      <c r="H617" s="13"/>
      <c r="I617" s="13"/>
      <c r="J617" s="15" t="str">
        <f aca="false">IF($I617="","",$I617+280)</f>
        <v/>
      </c>
      <c r="K617" s="14" t="str">
        <f aca="false">IF(OR($I617="",$AE617&lt;&gt;""),"",INT((Boshqaruv!$C$12-$I617)/7))</f>
        <v/>
      </c>
      <c r="L617" s="14" t="str">
        <f aca="false">IF(OR($C617="",$H617=""),"",INT(($H617-$C617)/365.25))</f>
        <v/>
      </c>
      <c r="M617" s="14" t="str">
        <f aca="false">IF($L617="","",IF($L617&lt;18,"Ha","Yo'q"))</f>
        <v/>
      </c>
      <c r="N617" s="25"/>
      <c r="O617" s="25"/>
      <c r="P617" s="25"/>
      <c r="Q617" s="12"/>
      <c r="R617" s="25"/>
      <c r="S617" s="12"/>
      <c r="T617" s="13"/>
      <c r="U617" s="12"/>
      <c r="V617" s="25"/>
      <c r="W617" s="25"/>
      <c r="X617" s="14" t="str">
        <f aca="false">IF(OR($V617="",$W617=""),"",IF(AND($V617&gt;=Spravochnik!$H$5,$W617&gt;=Spravochnik!$H$6),"Ha","Yo'q"))</f>
        <v/>
      </c>
      <c r="Y617" s="13"/>
      <c r="Z617" s="13"/>
      <c r="AA617" s="13"/>
      <c r="AB617" s="13"/>
      <c r="AC617" s="14" t="str">
        <f aca="false">IF(AND($B617&lt;&gt;"",$AE617="",$AB617&lt;&gt;"",$AB617&lt;Boshqaruv!$C$12),"Ha","")</f>
        <v/>
      </c>
      <c r="AD617" s="25"/>
      <c r="AE617" s="13"/>
      <c r="AF617" s="12"/>
      <c r="AG617" s="14" t="str">
        <f aca="false">IF(OR($B617="",$C617="",$H617=""),"",IF(COUNTIFS($B$5:$B$804,$B617,$C$5:$C$804,$C617,$H$5:$H$804,$H617)&gt;1,"Takror",""))</f>
        <v/>
      </c>
      <c r="AH617" s="28" t="str">
        <f aca="false">IF(AND($B617&lt;&gt;"",$N617="Ha",$H617&lt;&gt;"",$H617&lt;=Boshqaruv!$C$12,OR($AE617="",$AE617&gt;Boshqaruv!$C$12)),MAX($AH$4:$AH616)+1,"")</f>
        <v/>
      </c>
    </row>
    <row r="618" customFormat="false" ht="15" hidden="false" customHeight="false" outlineLevel="0" collapsed="false">
      <c r="A618" s="20" t="n">
        <v>614</v>
      </c>
      <c r="B618" s="12"/>
      <c r="C618" s="13"/>
      <c r="D618" s="24"/>
      <c r="E618" s="12"/>
      <c r="F618" s="25"/>
      <c r="G618" s="27" t="str">
        <f aca="false">IF(OR($B618="",$C618=""),"",$B618&amp;" ("&amp;DAY($C618)&amp;"."&amp;MONTH($C618)&amp;"."&amp;YEAR($C618)&amp;")")</f>
        <v/>
      </c>
      <c r="H618" s="13"/>
      <c r="I618" s="13"/>
      <c r="J618" s="15" t="str">
        <f aca="false">IF($I618="","",$I618+280)</f>
        <v/>
      </c>
      <c r="K618" s="14" t="str">
        <f aca="false">IF(OR($I618="",$AE618&lt;&gt;""),"",INT((Boshqaruv!$C$12-$I618)/7))</f>
        <v/>
      </c>
      <c r="L618" s="14" t="str">
        <f aca="false">IF(OR($C618="",$H618=""),"",INT(($H618-$C618)/365.25))</f>
        <v/>
      </c>
      <c r="M618" s="14" t="str">
        <f aca="false">IF($L618="","",IF($L618&lt;18,"Ha","Yo'q"))</f>
        <v/>
      </c>
      <c r="N618" s="25"/>
      <c r="O618" s="25"/>
      <c r="P618" s="25"/>
      <c r="Q618" s="12"/>
      <c r="R618" s="25"/>
      <c r="S618" s="12"/>
      <c r="T618" s="13"/>
      <c r="U618" s="12"/>
      <c r="V618" s="25"/>
      <c r="W618" s="25"/>
      <c r="X618" s="14" t="str">
        <f aca="false">IF(OR($V618="",$W618=""),"",IF(AND($V618&gt;=Spravochnik!$H$5,$W618&gt;=Spravochnik!$H$6),"Ha","Yo'q"))</f>
        <v/>
      </c>
      <c r="Y618" s="13"/>
      <c r="Z618" s="13"/>
      <c r="AA618" s="13"/>
      <c r="AB618" s="13"/>
      <c r="AC618" s="14" t="str">
        <f aca="false">IF(AND($B618&lt;&gt;"",$AE618="",$AB618&lt;&gt;"",$AB618&lt;Boshqaruv!$C$12),"Ha","")</f>
        <v/>
      </c>
      <c r="AD618" s="25"/>
      <c r="AE618" s="13"/>
      <c r="AF618" s="12"/>
      <c r="AG618" s="14" t="str">
        <f aca="false">IF(OR($B618="",$C618="",$H618=""),"",IF(COUNTIFS($B$5:$B$804,$B618,$C$5:$C$804,$C618,$H$5:$H$804,$H618)&gt;1,"Takror",""))</f>
        <v/>
      </c>
      <c r="AH618" s="28" t="str">
        <f aca="false">IF(AND($B618&lt;&gt;"",$N618="Ha",$H618&lt;&gt;"",$H618&lt;=Boshqaruv!$C$12,OR($AE618="",$AE618&gt;Boshqaruv!$C$12)),MAX($AH$4:$AH617)+1,"")</f>
        <v/>
      </c>
    </row>
    <row r="619" customFormat="false" ht="15" hidden="false" customHeight="false" outlineLevel="0" collapsed="false">
      <c r="A619" s="20" t="n">
        <v>615</v>
      </c>
      <c r="B619" s="12"/>
      <c r="C619" s="13"/>
      <c r="D619" s="24"/>
      <c r="E619" s="12"/>
      <c r="F619" s="25"/>
      <c r="G619" s="27" t="str">
        <f aca="false">IF(OR($B619="",$C619=""),"",$B619&amp;" ("&amp;DAY($C619)&amp;"."&amp;MONTH($C619)&amp;"."&amp;YEAR($C619)&amp;")")</f>
        <v/>
      </c>
      <c r="H619" s="13"/>
      <c r="I619" s="13"/>
      <c r="J619" s="15" t="str">
        <f aca="false">IF($I619="","",$I619+280)</f>
        <v/>
      </c>
      <c r="K619" s="14" t="str">
        <f aca="false">IF(OR($I619="",$AE619&lt;&gt;""),"",INT((Boshqaruv!$C$12-$I619)/7))</f>
        <v/>
      </c>
      <c r="L619" s="14" t="str">
        <f aca="false">IF(OR($C619="",$H619=""),"",INT(($H619-$C619)/365.25))</f>
        <v/>
      </c>
      <c r="M619" s="14" t="str">
        <f aca="false">IF($L619="","",IF($L619&lt;18,"Ha","Yo'q"))</f>
        <v/>
      </c>
      <c r="N619" s="25"/>
      <c r="O619" s="25"/>
      <c r="P619" s="25"/>
      <c r="Q619" s="12"/>
      <c r="R619" s="25"/>
      <c r="S619" s="12"/>
      <c r="T619" s="13"/>
      <c r="U619" s="12"/>
      <c r="V619" s="25"/>
      <c r="W619" s="25"/>
      <c r="X619" s="14" t="str">
        <f aca="false">IF(OR($V619="",$W619=""),"",IF(AND($V619&gt;=Spravochnik!$H$5,$W619&gt;=Spravochnik!$H$6),"Ha","Yo'q"))</f>
        <v/>
      </c>
      <c r="Y619" s="13"/>
      <c r="Z619" s="13"/>
      <c r="AA619" s="13"/>
      <c r="AB619" s="13"/>
      <c r="AC619" s="14" t="str">
        <f aca="false">IF(AND($B619&lt;&gt;"",$AE619="",$AB619&lt;&gt;"",$AB619&lt;Boshqaruv!$C$12),"Ha","")</f>
        <v/>
      </c>
      <c r="AD619" s="25"/>
      <c r="AE619" s="13"/>
      <c r="AF619" s="12"/>
      <c r="AG619" s="14" t="str">
        <f aca="false">IF(OR($B619="",$C619="",$H619=""),"",IF(COUNTIFS($B$5:$B$804,$B619,$C$5:$C$804,$C619,$H$5:$H$804,$H619)&gt;1,"Takror",""))</f>
        <v/>
      </c>
      <c r="AH619" s="28" t="str">
        <f aca="false">IF(AND($B619&lt;&gt;"",$N619="Ha",$H619&lt;&gt;"",$H619&lt;=Boshqaruv!$C$12,OR($AE619="",$AE619&gt;Boshqaruv!$C$12)),MAX($AH$4:$AH618)+1,"")</f>
        <v/>
      </c>
    </row>
    <row r="620" customFormat="false" ht="15" hidden="false" customHeight="false" outlineLevel="0" collapsed="false">
      <c r="A620" s="20" t="n">
        <v>616</v>
      </c>
      <c r="B620" s="12"/>
      <c r="C620" s="13"/>
      <c r="D620" s="24"/>
      <c r="E620" s="12"/>
      <c r="F620" s="25"/>
      <c r="G620" s="27" t="str">
        <f aca="false">IF(OR($B620="",$C620=""),"",$B620&amp;" ("&amp;DAY($C620)&amp;"."&amp;MONTH($C620)&amp;"."&amp;YEAR($C620)&amp;")")</f>
        <v/>
      </c>
      <c r="H620" s="13"/>
      <c r="I620" s="13"/>
      <c r="J620" s="15" t="str">
        <f aca="false">IF($I620="","",$I620+280)</f>
        <v/>
      </c>
      <c r="K620" s="14" t="str">
        <f aca="false">IF(OR($I620="",$AE620&lt;&gt;""),"",INT((Boshqaruv!$C$12-$I620)/7))</f>
        <v/>
      </c>
      <c r="L620" s="14" t="str">
        <f aca="false">IF(OR($C620="",$H620=""),"",INT(($H620-$C620)/365.25))</f>
        <v/>
      </c>
      <c r="M620" s="14" t="str">
        <f aca="false">IF($L620="","",IF($L620&lt;18,"Ha","Yo'q"))</f>
        <v/>
      </c>
      <c r="N620" s="25"/>
      <c r="O620" s="25"/>
      <c r="P620" s="25"/>
      <c r="Q620" s="12"/>
      <c r="R620" s="25"/>
      <c r="S620" s="12"/>
      <c r="T620" s="13"/>
      <c r="U620" s="12"/>
      <c r="V620" s="25"/>
      <c r="W620" s="25"/>
      <c r="X620" s="14" t="str">
        <f aca="false">IF(OR($V620="",$W620=""),"",IF(AND($V620&gt;=Spravochnik!$H$5,$W620&gt;=Spravochnik!$H$6),"Ha","Yo'q"))</f>
        <v/>
      </c>
      <c r="Y620" s="13"/>
      <c r="Z620" s="13"/>
      <c r="AA620" s="13"/>
      <c r="AB620" s="13"/>
      <c r="AC620" s="14" t="str">
        <f aca="false">IF(AND($B620&lt;&gt;"",$AE620="",$AB620&lt;&gt;"",$AB620&lt;Boshqaruv!$C$12),"Ha","")</f>
        <v/>
      </c>
      <c r="AD620" s="25"/>
      <c r="AE620" s="13"/>
      <c r="AF620" s="12"/>
      <c r="AG620" s="14" t="str">
        <f aca="false">IF(OR($B620="",$C620="",$H620=""),"",IF(COUNTIFS($B$5:$B$804,$B620,$C$5:$C$804,$C620,$H$5:$H$804,$H620)&gt;1,"Takror",""))</f>
        <v/>
      </c>
      <c r="AH620" s="28" t="str">
        <f aca="false">IF(AND($B620&lt;&gt;"",$N620="Ha",$H620&lt;&gt;"",$H620&lt;=Boshqaruv!$C$12,OR($AE620="",$AE620&gt;Boshqaruv!$C$12)),MAX($AH$4:$AH619)+1,"")</f>
        <v/>
      </c>
    </row>
    <row r="621" customFormat="false" ht="15" hidden="false" customHeight="false" outlineLevel="0" collapsed="false">
      <c r="A621" s="20" t="n">
        <v>617</v>
      </c>
      <c r="B621" s="12"/>
      <c r="C621" s="13"/>
      <c r="D621" s="24"/>
      <c r="E621" s="12"/>
      <c r="F621" s="25"/>
      <c r="G621" s="27" t="str">
        <f aca="false">IF(OR($B621="",$C621=""),"",$B621&amp;" ("&amp;DAY($C621)&amp;"."&amp;MONTH($C621)&amp;"."&amp;YEAR($C621)&amp;")")</f>
        <v/>
      </c>
      <c r="H621" s="13"/>
      <c r="I621" s="13"/>
      <c r="J621" s="15" t="str">
        <f aca="false">IF($I621="","",$I621+280)</f>
        <v/>
      </c>
      <c r="K621" s="14" t="str">
        <f aca="false">IF(OR($I621="",$AE621&lt;&gt;""),"",INT((Boshqaruv!$C$12-$I621)/7))</f>
        <v/>
      </c>
      <c r="L621" s="14" t="str">
        <f aca="false">IF(OR($C621="",$H621=""),"",INT(($H621-$C621)/365.25))</f>
        <v/>
      </c>
      <c r="M621" s="14" t="str">
        <f aca="false">IF($L621="","",IF($L621&lt;18,"Ha","Yo'q"))</f>
        <v/>
      </c>
      <c r="N621" s="25"/>
      <c r="O621" s="25"/>
      <c r="P621" s="25"/>
      <c r="Q621" s="12"/>
      <c r="R621" s="25"/>
      <c r="S621" s="12"/>
      <c r="T621" s="13"/>
      <c r="U621" s="12"/>
      <c r="V621" s="25"/>
      <c r="W621" s="25"/>
      <c r="X621" s="14" t="str">
        <f aca="false">IF(OR($V621="",$W621=""),"",IF(AND($V621&gt;=Spravochnik!$H$5,$W621&gt;=Spravochnik!$H$6),"Ha","Yo'q"))</f>
        <v/>
      </c>
      <c r="Y621" s="13"/>
      <c r="Z621" s="13"/>
      <c r="AA621" s="13"/>
      <c r="AB621" s="13"/>
      <c r="AC621" s="14" t="str">
        <f aca="false">IF(AND($B621&lt;&gt;"",$AE621="",$AB621&lt;&gt;"",$AB621&lt;Boshqaruv!$C$12),"Ha","")</f>
        <v/>
      </c>
      <c r="AD621" s="25"/>
      <c r="AE621" s="13"/>
      <c r="AF621" s="12"/>
      <c r="AG621" s="14" t="str">
        <f aca="false">IF(OR($B621="",$C621="",$H621=""),"",IF(COUNTIFS($B$5:$B$804,$B621,$C$5:$C$804,$C621,$H$5:$H$804,$H621)&gt;1,"Takror",""))</f>
        <v/>
      </c>
      <c r="AH621" s="28" t="str">
        <f aca="false">IF(AND($B621&lt;&gt;"",$N621="Ha",$H621&lt;&gt;"",$H621&lt;=Boshqaruv!$C$12,OR($AE621="",$AE621&gt;Boshqaruv!$C$12)),MAX($AH$4:$AH620)+1,"")</f>
        <v/>
      </c>
    </row>
    <row r="622" customFormat="false" ht="15" hidden="false" customHeight="false" outlineLevel="0" collapsed="false">
      <c r="A622" s="20" t="n">
        <v>618</v>
      </c>
      <c r="B622" s="12"/>
      <c r="C622" s="13"/>
      <c r="D622" s="24"/>
      <c r="E622" s="12"/>
      <c r="F622" s="25"/>
      <c r="G622" s="27" t="str">
        <f aca="false">IF(OR($B622="",$C622=""),"",$B622&amp;" ("&amp;DAY($C622)&amp;"."&amp;MONTH($C622)&amp;"."&amp;YEAR($C622)&amp;")")</f>
        <v/>
      </c>
      <c r="H622" s="13"/>
      <c r="I622" s="13"/>
      <c r="J622" s="15" t="str">
        <f aca="false">IF($I622="","",$I622+280)</f>
        <v/>
      </c>
      <c r="K622" s="14" t="str">
        <f aca="false">IF(OR($I622="",$AE622&lt;&gt;""),"",INT((Boshqaruv!$C$12-$I622)/7))</f>
        <v/>
      </c>
      <c r="L622" s="14" t="str">
        <f aca="false">IF(OR($C622="",$H622=""),"",INT(($H622-$C622)/365.25))</f>
        <v/>
      </c>
      <c r="M622" s="14" t="str">
        <f aca="false">IF($L622="","",IF($L622&lt;18,"Ha","Yo'q"))</f>
        <v/>
      </c>
      <c r="N622" s="25"/>
      <c r="O622" s="25"/>
      <c r="P622" s="25"/>
      <c r="Q622" s="12"/>
      <c r="R622" s="25"/>
      <c r="S622" s="12"/>
      <c r="T622" s="13"/>
      <c r="U622" s="12"/>
      <c r="V622" s="25"/>
      <c r="W622" s="25"/>
      <c r="X622" s="14" t="str">
        <f aca="false">IF(OR($V622="",$W622=""),"",IF(AND($V622&gt;=Spravochnik!$H$5,$W622&gt;=Spravochnik!$H$6),"Ha","Yo'q"))</f>
        <v/>
      </c>
      <c r="Y622" s="13"/>
      <c r="Z622" s="13"/>
      <c r="AA622" s="13"/>
      <c r="AB622" s="13"/>
      <c r="AC622" s="14" t="str">
        <f aca="false">IF(AND($B622&lt;&gt;"",$AE622="",$AB622&lt;&gt;"",$AB622&lt;Boshqaruv!$C$12),"Ha","")</f>
        <v/>
      </c>
      <c r="AD622" s="25"/>
      <c r="AE622" s="13"/>
      <c r="AF622" s="12"/>
      <c r="AG622" s="14" t="str">
        <f aca="false">IF(OR($B622="",$C622="",$H622=""),"",IF(COUNTIFS($B$5:$B$804,$B622,$C$5:$C$804,$C622,$H$5:$H$804,$H622)&gt;1,"Takror",""))</f>
        <v/>
      </c>
      <c r="AH622" s="28" t="str">
        <f aca="false">IF(AND($B622&lt;&gt;"",$N622="Ha",$H622&lt;&gt;"",$H622&lt;=Boshqaruv!$C$12,OR($AE622="",$AE622&gt;Boshqaruv!$C$12)),MAX($AH$4:$AH621)+1,"")</f>
        <v/>
      </c>
    </row>
    <row r="623" customFormat="false" ht="15" hidden="false" customHeight="false" outlineLevel="0" collapsed="false">
      <c r="A623" s="20" t="n">
        <v>619</v>
      </c>
      <c r="B623" s="12"/>
      <c r="C623" s="13"/>
      <c r="D623" s="24"/>
      <c r="E623" s="12"/>
      <c r="F623" s="25"/>
      <c r="G623" s="27" t="str">
        <f aca="false">IF(OR($B623="",$C623=""),"",$B623&amp;" ("&amp;DAY($C623)&amp;"."&amp;MONTH($C623)&amp;"."&amp;YEAR($C623)&amp;")")</f>
        <v/>
      </c>
      <c r="H623" s="13"/>
      <c r="I623" s="13"/>
      <c r="J623" s="15" t="str">
        <f aca="false">IF($I623="","",$I623+280)</f>
        <v/>
      </c>
      <c r="K623" s="14" t="str">
        <f aca="false">IF(OR($I623="",$AE623&lt;&gt;""),"",INT((Boshqaruv!$C$12-$I623)/7))</f>
        <v/>
      </c>
      <c r="L623" s="14" t="str">
        <f aca="false">IF(OR($C623="",$H623=""),"",INT(($H623-$C623)/365.25))</f>
        <v/>
      </c>
      <c r="M623" s="14" t="str">
        <f aca="false">IF($L623="","",IF($L623&lt;18,"Ha","Yo'q"))</f>
        <v/>
      </c>
      <c r="N623" s="25"/>
      <c r="O623" s="25"/>
      <c r="P623" s="25"/>
      <c r="Q623" s="12"/>
      <c r="R623" s="25"/>
      <c r="S623" s="12"/>
      <c r="T623" s="13"/>
      <c r="U623" s="12"/>
      <c r="V623" s="25"/>
      <c r="W623" s="25"/>
      <c r="X623" s="14" t="str">
        <f aca="false">IF(OR($V623="",$W623=""),"",IF(AND($V623&gt;=Spravochnik!$H$5,$W623&gt;=Spravochnik!$H$6),"Ha","Yo'q"))</f>
        <v/>
      </c>
      <c r="Y623" s="13"/>
      <c r="Z623" s="13"/>
      <c r="AA623" s="13"/>
      <c r="AB623" s="13"/>
      <c r="AC623" s="14" t="str">
        <f aca="false">IF(AND($B623&lt;&gt;"",$AE623="",$AB623&lt;&gt;"",$AB623&lt;Boshqaruv!$C$12),"Ha","")</f>
        <v/>
      </c>
      <c r="AD623" s="25"/>
      <c r="AE623" s="13"/>
      <c r="AF623" s="12"/>
      <c r="AG623" s="14" t="str">
        <f aca="false">IF(OR($B623="",$C623="",$H623=""),"",IF(COUNTIFS($B$5:$B$804,$B623,$C$5:$C$804,$C623,$H$5:$H$804,$H623)&gt;1,"Takror",""))</f>
        <v/>
      </c>
      <c r="AH623" s="28" t="str">
        <f aca="false">IF(AND($B623&lt;&gt;"",$N623="Ha",$H623&lt;&gt;"",$H623&lt;=Boshqaruv!$C$12,OR($AE623="",$AE623&gt;Boshqaruv!$C$12)),MAX($AH$4:$AH622)+1,"")</f>
        <v/>
      </c>
    </row>
    <row r="624" customFormat="false" ht="15" hidden="false" customHeight="false" outlineLevel="0" collapsed="false">
      <c r="A624" s="20" t="n">
        <v>620</v>
      </c>
      <c r="B624" s="12"/>
      <c r="C624" s="13"/>
      <c r="D624" s="24"/>
      <c r="E624" s="12"/>
      <c r="F624" s="25"/>
      <c r="G624" s="27" t="str">
        <f aca="false">IF(OR($B624="",$C624=""),"",$B624&amp;" ("&amp;DAY($C624)&amp;"."&amp;MONTH($C624)&amp;"."&amp;YEAR($C624)&amp;")")</f>
        <v/>
      </c>
      <c r="H624" s="13"/>
      <c r="I624" s="13"/>
      <c r="J624" s="15" t="str">
        <f aca="false">IF($I624="","",$I624+280)</f>
        <v/>
      </c>
      <c r="K624" s="14" t="str">
        <f aca="false">IF(OR($I624="",$AE624&lt;&gt;""),"",INT((Boshqaruv!$C$12-$I624)/7))</f>
        <v/>
      </c>
      <c r="L624" s="14" t="str">
        <f aca="false">IF(OR($C624="",$H624=""),"",INT(($H624-$C624)/365.25))</f>
        <v/>
      </c>
      <c r="M624" s="14" t="str">
        <f aca="false">IF($L624="","",IF($L624&lt;18,"Ha","Yo'q"))</f>
        <v/>
      </c>
      <c r="N624" s="25"/>
      <c r="O624" s="25"/>
      <c r="P624" s="25"/>
      <c r="Q624" s="12"/>
      <c r="R624" s="25"/>
      <c r="S624" s="12"/>
      <c r="T624" s="13"/>
      <c r="U624" s="12"/>
      <c r="V624" s="25"/>
      <c r="W624" s="25"/>
      <c r="X624" s="14" t="str">
        <f aca="false">IF(OR($V624="",$W624=""),"",IF(AND($V624&gt;=Spravochnik!$H$5,$W624&gt;=Spravochnik!$H$6),"Ha","Yo'q"))</f>
        <v/>
      </c>
      <c r="Y624" s="13"/>
      <c r="Z624" s="13"/>
      <c r="AA624" s="13"/>
      <c r="AB624" s="13"/>
      <c r="AC624" s="14" t="str">
        <f aca="false">IF(AND($B624&lt;&gt;"",$AE624="",$AB624&lt;&gt;"",$AB624&lt;Boshqaruv!$C$12),"Ha","")</f>
        <v/>
      </c>
      <c r="AD624" s="25"/>
      <c r="AE624" s="13"/>
      <c r="AF624" s="12"/>
      <c r="AG624" s="14" t="str">
        <f aca="false">IF(OR($B624="",$C624="",$H624=""),"",IF(COUNTIFS($B$5:$B$804,$B624,$C$5:$C$804,$C624,$H$5:$H$804,$H624)&gt;1,"Takror",""))</f>
        <v/>
      </c>
      <c r="AH624" s="28" t="str">
        <f aca="false">IF(AND($B624&lt;&gt;"",$N624="Ha",$H624&lt;&gt;"",$H624&lt;=Boshqaruv!$C$12,OR($AE624="",$AE624&gt;Boshqaruv!$C$12)),MAX($AH$4:$AH623)+1,"")</f>
        <v/>
      </c>
    </row>
    <row r="625" customFormat="false" ht="15" hidden="false" customHeight="false" outlineLevel="0" collapsed="false">
      <c r="A625" s="20" t="n">
        <v>621</v>
      </c>
      <c r="B625" s="12"/>
      <c r="C625" s="13"/>
      <c r="D625" s="24"/>
      <c r="E625" s="12"/>
      <c r="F625" s="25"/>
      <c r="G625" s="27" t="str">
        <f aca="false">IF(OR($B625="",$C625=""),"",$B625&amp;" ("&amp;DAY($C625)&amp;"."&amp;MONTH($C625)&amp;"."&amp;YEAR($C625)&amp;")")</f>
        <v/>
      </c>
      <c r="H625" s="13"/>
      <c r="I625" s="13"/>
      <c r="J625" s="15" t="str">
        <f aca="false">IF($I625="","",$I625+280)</f>
        <v/>
      </c>
      <c r="K625" s="14" t="str">
        <f aca="false">IF(OR($I625="",$AE625&lt;&gt;""),"",INT((Boshqaruv!$C$12-$I625)/7))</f>
        <v/>
      </c>
      <c r="L625" s="14" t="str">
        <f aca="false">IF(OR($C625="",$H625=""),"",INT(($H625-$C625)/365.25))</f>
        <v/>
      </c>
      <c r="M625" s="14" t="str">
        <f aca="false">IF($L625="","",IF($L625&lt;18,"Ha","Yo'q"))</f>
        <v/>
      </c>
      <c r="N625" s="25"/>
      <c r="O625" s="25"/>
      <c r="P625" s="25"/>
      <c r="Q625" s="12"/>
      <c r="R625" s="25"/>
      <c r="S625" s="12"/>
      <c r="T625" s="13"/>
      <c r="U625" s="12"/>
      <c r="V625" s="25"/>
      <c r="W625" s="25"/>
      <c r="X625" s="14" t="str">
        <f aca="false">IF(OR($V625="",$W625=""),"",IF(AND($V625&gt;=Spravochnik!$H$5,$W625&gt;=Spravochnik!$H$6),"Ha","Yo'q"))</f>
        <v/>
      </c>
      <c r="Y625" s="13"/>
      <c r="Z625" s="13"/>
      <c r="AA625" s="13"/>
      <c r="AB625" s="13"/>
      <c r="AC625" s="14" t="str">
        <f aca="false">IF(AND($B625&lt;&gt;"",$AE625="",$AB625&lt;&gt;"",$AB625&lt;Boshqaruv!$C$12),"Ha","")</f>
        <v/>
      </c>
      <c r="AD625" s="25"/>
      <c r="AE625" s="13"/>
      <c r="AF625" s="12"/>
      <c r="AG625" s="14" t="str">
        <f aca="false">IF(OR($B625="",$C625="",$H625=""),"",IF(COUNTIFS($B$5:$B$804,$B625,$C$5:$C$804,$C625,$H$5:$H$804,$H625)&gt;1,"Takror",""))</f>
        <v/>
      </c>
      <c r="AH625" s="28" t="str">
        <f aca="false">IF(AND($B625&lt;&gt;"",$N625="Ha",$H625&lt;&gt;"",$H625&lt;=Boshqaruv!$C$12,OR($AE625="",$AE625&gt;Boshqaruv!$C$12)),MAX($AH$4:$AH624)+1,"")</f>
        <v/>
      </c>
    </row>
    <row r="626" customFormat="false" ht="15" hidden="false" customHeight="false" outlineLevel="0" collapsed="false">
      <c r="A626" s="20" t="n">
        <v>622</v>
      </c>
      <c r="B626" s="12"/>
      <c r="C626" s="13"/>
      <c r="D626" s="24"/>
      <c r="E626" s="12"/>
      <c r="F626" s="25"/>
      <c r="G626" s="27" t="str">
        <f aca="false">IF(OR($B626="",$C626=""),"",$B626&amp;" ("&amp;DAY($C626)&amp;"."&amp;MONTH($C626)&amp;"."&amp;YEAR($C626)&amp;")")</f>
        <v/>
      </c>
      <c r="H626" s="13"/>
      <c r="I626" s="13"/>
      <c r="J626" s="15" t="str">
        <f aca="false">IF($I626="","",$I626+280)</f>
        <v/>
      </c>
      <c r="K626" s="14" t="str">
        <f aca="false">IF(OR($I626="",$AE626&lt;&gt;""),"",INT((Boshqaruv!$C$12-$I626)/7))</f>
        <v/>
      </c>
      <c r="L626" s="14" t="str">
        <f aca="false">IF(OR($C626="",$H626=""),"",INT(($H626-$C626)/365.25))</f>
        <v/>
      </c>
      <c r="M626" s="14" t="str">
        <f aca="false">IF($L626="","",IF($L626&lt;18,"Ha","Yo'q"))</f>
        <v/>
      </c>
      <c r="N626" s="25"/>
      <c r="O626" s="25"/>
      <c r="P626" s="25"/>
      <c r="Q626" s="12"/>
      <c r="R626" s="25"/>
      <c r="S626" s="12"/>
      <c r="T626" s="13"/>
      <c r="U626" s="12"/>
      <c r="V626" s="25"/>
      <c r="W626" s="25"/>
      <c r="X626" s="14" t="str">
        <f aca="false">IF(OR($V626="",$W626=""),"",IF(AND($V626&gt;=Spravochnik!$H$5,$W626&gt;=Spravochnik!$H$6),"Ha","Yo'q"))</f>
        <v/>
      </c>
      <c r="Y626" s="13"/>
      <c r="Z626" s="13"/>
      <c r="AA626" s="13"/>
      <c r="AB626" s="13"/>
      <c r="AC626" s="14" t="str">
        <f aca="false">IF(AND($B626&lt;&gt;"",$AE626="",$AB626&lt;&gt;"",$AB626&lt;Boshqaruv!$C$12),"Ha","")</f>
        <v/>
      </c>
      <c r="AD626" s="25"/>
      <c r="AE626" s="13"/>
      <c r="AF626" s="12"/>
      <c r="AG626" s="14" t="str">
        <f aca="false">IF(OR($B626="",$C626="",$H626=""),"",IF(COUNTIFS($B$5:$B$804,$B626,$C$5:$C$804,$C626,$H$5:$H$804,$H626)&gt;1,"Takror",""))</f>
        <v/>
      </c>
      <c r="AH626" s="28" t="str">
        <f aca="false">IF(AND($B626&lt;&gt;"",$N626="Ha",$H626&lt;&gt;"",$H626&lt;=Boshqaruv!$C$12,OR($AE626="",$AE626&gt;Boshqaruv!$C$12)),MAX($AH$4:$AH625)+1,"")</f>
        <v/>
      </c>
    </row>
    <row r="627" customFormat="false" ht="15" hidden="false" customHeight="false" outlineLevel="0" collapsed="false">
      <c r="A627" s="20" t="n">
        <v>623</v>
      </c>
      <c r="B627" s="12"/>
      <c r="C627" s="13"/>
      <c r="D627" s="24"/>
      <c r="E627" s="12"/>
      <c r="F627" s="25"/>
      <c r="G627" s="27" t="str">
        <f aca="false">IF(OR($B627="",$C627=""),"",$B627&amp;" ("&amp;DAY($C627)&amp;"."&amp;MONTH($C627)&amp;"."&amp;YEAR($C627)&amp;")")</f>
        <v/>
      </c>
      <c r="H627" s="13"/>
      <c r="I627" s="13"/>
      <c r="J627" s="15" t="str">
        <f aca="false">IF($I627="","",$I627+280)</f>
        <v/>
      </c>
      <c r="K627" s="14" t="str">
        <f aca="false">IF(OR($I627="",$AE627&lt;&gt;""),"",INT((Boshqaruv!$C$12-$I627)/7))</f>
        <v/>
      </c>
      <c r="L627" s="14" t="str">
        <f aca="false">IF(OR($C627="",$H627=""),"",INT(($H627-$C627)/365.25))</f>
        <v/>
      </c>
      <c r="M627" s="14" t="str">
        <f aca="false">IF($L627="","",IF($L627&lt;18,"Ha","Yo'q"))</f>
        <v/>
      </c>
      <c r="N627" s="25"/>
      <c r="O627" s="25"/>
      <c r="P627" s="25"/>
      <c r="Q627" s="12"/>
      <c r="R627" s="25"/>
      <c r="S627" s="12"/>
      <c r="T627" s="13"/>
      <c r="U627" s="12"/>
      <c r="V627" s="25"/>
      <c r="W627" s="25"/>
      <c r="X627" s="14" t="str">
        <f aca="false">IF(OR($V627="",$W627=""),"",IF(AND($V627&gt;=Spravochnik!$H$5,$W627&gt;=Spravochnik!$H$6),"Ha","Yo'q"))</f>
        <v/>
      </c>
      <c r="Y627" s="13"/>
      <c r="Z627" s="13"/>
      <c r="AA627" s="13"/>
      <c r="AB627" s="13"/>
      <c r="AC627" s="14" t="str">
        <f aca="false">IF(AND($B627&lt;&gt;"",$AE627="",$AB627&lt;&gt;"",$AB627&lt;Boshqaruv!$C$12),"Ha","")</f>
        <v/>
      </c>
      <c r="AD627" s="25"/>
      <c r="AE627" s="13"/>
      <c r="AF627" s="12"/>
      <c r="AG627" s="14" t="str">
        <f aca="false">IF(OR($B627="",$C627="",$H627=""),"",IF(COUNTIFS($B$5:$B$804,$B627,$C$5:$C$804,$C627,$H$5:$H$804,$H627)&gt;1,"Takror",""))</f>
        <v/>
      </c>
      <c r="AH627" s="28" t="str">
        <f aca="false">IF(AND($B627&lt;&gt;"",$N627="Ha",$H627&lt;&gt;"",$H627&lt;=Boshqaruv!$C$12,OR($AE627="",$AE627&gt;Boshqaruv!$C$12)),MAX($AH$4:$AH626)+1,"")</f>
        <v/>
      </c>
    </row>
    <row r="628" customFormat="false" ht="15" hidden="false" customHeight="false" outlineLevel="0" collapsed="false">
      <c r="A628" s="20" t="n">
        <v>624</v>
      </c>
      <c r="B628" s="12"/>
      <c r="C628" s="13"/>
      <c r="D628" s="24"/>
      <c r="E628" s="12"/>
      <c r="F628" s="25"/>
      <c r="G628" s="27" t="str">
        <f aca="false">IF(OR($B628="",$C628=""),"",$B628&amp;" ("&amp;DAY($C628)&amp;"."&amp;MONTH($C628)&amp;"."&amp;YEAR($C628)&amp;")")</f>
        <v/>
      </c>
      <c r="H628" s="13"/>
      <c r="I628" s="13"/>
      <c r="J628" s="15" t="str">
        <f aca="false">IF($I628="","",$I628+280)</f>
        <v/>
      </c>
      <c r="K628" s="14" t="str">
        <f aca="false">IF(OR($I628="",$AE628&lt;&gt;""),"",INT((Boshqaruv!$C$12-$I628)/7))</f>
        <v/>
      </c>
      <c r="L628" s="14" t="str">
        <f aca="false">IF(OR($C628="",$H628=""),"",INT(($H628-$C628)/365.25))</f>
        <v/>
      </c>
      <c r="M628" s="14" t="str">
        <f aca="false">IF($L628="","",IF($L628&lt;18,"Ha","Yo'q"))</f>
        <v/>
      </c>
      <c r="N628" s="25"/>
      <c r="O628" s="25"/>
      <c r="P628" s="25"/>
      <c r="Q628" s="12"/>
      <c r="R628" s="25"/>
      <c r="S628" s="12"/>
      <c r="T628" s="13"/>
      <c r="U628" s="12"/>
      <c r="V628" s="25"/>
      <c r="W628" s="25"/>
      <c r="X628" s="14" t="str">
        <f aca="false">IF(OR($V628="",$W628=""),"",IF(AND($V628&gt;=Spravochnik!$H$5,$W628&gt;=Spravochnik!$H$6),"Ha","Yo'q"))</f>
        <v/>
      </c>
      <c r="Y628" s="13"/>
      <c r="Z628" s="13"/>
      <c r="AA628" s="13"/>
      <c r="AB628" s="13"/>
      <c r="AC628" s="14" t="str">
        <f aca="false">IF(AND($B628&lt;&gt;"",$AE628="",$AB628&lt;&gt;"",$AB628&lt;Boshqaruv!$C$12),"Ha","")</f>
        <v/>
      </c>
      <c r="AD628" s="25"/>
      <c r="AE628" s="13"/>
      <c r="AF628" s="12"/>
      <c r="AG628" s="14" t="str">
        <f aca="false">IF(OR($B628="",$C628="",$H628=""),"",IF(COUNTIFS($B$5:$B$804,$B628,$C$5:$C$804,$C628,$H$5:$H$804,$H628)&gt;1,"Takror",""))</f>
        <v/>
      </c>
      <c r="AH628" s="28" t="str">
        <f aca="false">IF(AND($B628&lt;&gt;"",$N628="Ha",$H628&lt;&gt;"",$H628&lt;=Boshqaruv!$C$12,OR($AE628="",$AE628&gt;Boshqaruv!$C$12)),MAX($AH$4:$AH627)+1,"")</f>
        <v/>
      </c>
    </row>
    <row r="629" customFormat="false" ht="15" hidden="false" customHeight="false" outlineLevel="0" collapsed="false">
      <c r="A629" s="20" t="n">
        <v>625</v>
      </c>
      <c r="B629" s="12"/>
      <c r="C629" s="13"/>
      <c r="D629" s="24"/>
      <c r="E629" s="12"/>
      <c r="F629" s="25"/>
      <c r="G629" s="27" t="str">
        <f aca="false">IF(OR($B629="",$C629=""),"",$B629&amp;" ("&amp;DAY($C629)&amp;"."&amp;MONTH($C629)&amp;"."&amp;YEAR($C629)&amp;")")</f>
        <v/>
      </c>
      <c r="H629" s="13"/>
      <c r="I629" s="13"/>
      <c r="J629" s="15" t="str">
        <f aca="false">IF($I629="","",$I629+280)</f>
        <v/>
      </c>
      <c r="K629" s="14" t="str">
        <f aca="false">IF(OR($I629="",$AE629&lt;&gt;""),"",INT((Boshqaruv!$C$12-$I629)/7))</f>
        <v/>
      </c>
      <c r="L629" s="14" t="str">
        <f aca="false">IF(OR($C629="",$H629=""),"",INT(($H629-$C629)/365.25))</f>
        <v/>
      </c>
      <c r="M629" s="14" t="str">
        <f aca="false">IF($L629="","",IF($L629&lt;18,"Ha","Yo'q"))</f>
        <v/>
      </c>
      <c r="N629" s="25"/>
      <c r="O629" s="25"/>
      <c r="P629" s="25"/>
      <c r="Q629" s="12"/>
      <c r="R629" s="25"/>
      <c r="S629" s="12"/>
      <c r="T629" s="13"/>
      <c r="U629" s="12"/>
      <c r="V629" s="25"/>
      <c r="W629" s="25"/>
      <c r="X629" s="14" t="str">
        <f aca="false">IF(OR($V629="",$W629=""),"",IF(AND($V629&gt;=Spravochnik!$H$5,$W629&gt;=Spravochnik!$H$6),"Ha","Yo'q"))</f>
        <v/>
      </c>
      <c r="Y629" s="13"/>
      <c r="Z629" s="13"/>
      <c r="AA629" s="13"/>
      <c r="AB629" s="13"/>
      <c r="AC629" s="14" t="str">
        <f aca="false">IF(AND($B629&lt;&gt;"",$AE629="",$AB629&lt;&gt;"",$AB629&lt;Boshqaruv!$C$12),"Ha","")</f>
        <v/>
      </c>
      <c r="AD629" s="25"/>
      <c r="AE629" s="13"/>
      <c r="AF629" s="12"/>
      <c r="AG629" s="14" t="str">
        <f aca="false">IF(OR($B629="",$C629="",$H629=""),"",IF(COUNTIFS($B$5:$B$804,$B629,$C$5:$C$804,$C629,$H$5:$H$804,$H629)&gt;1,"Takror",""))</f>
        <v/>
      </c>
      <c r="AH629" s="28" t="str">
        <f aca="false">IF(AND($B629&lt;&gt;"",$N629="Ha",$H629&lt;&gt;"",$H629&lt;=Boshqaruv!$C$12,OR($AE629="",$AE629&gt;Boshqaruv!$C$12)),MAX($AH$4:$AH628)+1,"")</f>
        <v/>
      </c>
    </row>
    <row r="630" customFormat="false" ht="15" hidden="false" customHeight="false" outlineLevel="0" collapsed="false">
      <c r="A630" s="20" t="n">
        <v>626</v>
      </c>
      <c r="B630" s="12"/>
      <c r="C630" s="13"/>
      <c r="D630" s="24"/>
      <c r="E630" s="12"/>
      <c r="F630" s="25"/>
      <c r="G630" s="27" t="str">
        <f aca="false">IF(OR($B630="",$C630=""),"",$B630&amp;" ("&amp;DAY($C630)&amp;"."&amp;MONTH($C630)&amp;"."&amp;YEAR($C630)&amp;")")</f>
        <v/>
      </c>
      <c r="H630" s="13"/>
      <c r="I630" s="13"/>
      <c r="J630" s="15" t="str">
        <f aca="false">IF($I630="","",$I630+280)</f>
        <v/>
      </c>
      <c r="K630" s="14" t="str">
        <f aca="false">IF(OR($I630="",$AE630&lt;&gt;""),"",INT((Boshqaruv!$C$12-$I630)/7))</f>
        <v/>
      </c>
      <c r="L630" s="14" t="str">
        <f aca="false">IF(OR($C630="",$H630=""),"",INT(($H630-$C630)/365.25))</f>
        <v/>
      </c>
      <c r="M630" s="14" t="str">
        <f aca="false">IF($L630="","",IF($L630&lt;18,"Ha","Yo'q"))</f>
        <v/>
      </c>
      <c r="N630" s="25"/>
      <c r="O630" s="25"/>
      <c r="P630" s="25"/>
      <c r="Q630" s="12"/>
      <c r="R630" s="25"/>
      <c r="S630" s="12"/>
      <c r="T630" s="13"/>
      <c r="U630" s="12"/>
      <c r="V630" s="25"/>
      <c r="W630" s="25"/>
      <c r="X630" s="14" t="str">
        <f aca="false">IF(OR($V630="",$W630=""),"",IF(AND($V630&gt;=Spravochnik!$H$5,$W630&gt;=Spravochnik!$H$6),"Ha","Yo'q"))</f>
        <v/>
      </c>
      <c r="Y630" s="13"/>
      <c r="Z630" s="13"/>
      <c r="AA630" s="13"/>
      <c r="AB630" s="13"/>
      <c r="AC630" s="14" t="str">
        <f aca="false">IF(AND($B630&lt;&gt;"",$AE630="",$AB630&lt;&gt;"",$AB630&lt;Boshqaruv!$C$12),"Ha","")</f>
        <v/>
      </c>
      <c r="AD630" s="25"/>
      <c r="AE630" s="13"/>
      <c r="AF630" s="12"/>
      <c r="AG630" s="14" t="str">
        <f aca="false">IF(OR($B630="",$C630="",$H630=""),"",IF(COUNTIFS($B$5:$B$804,$B630,$C$5:$C$804,$C630,$H$5:$H$804,$H630)&gt;1,"Takror",""))</f>
        <v/>
      </c>
      <c r="AH630" s="28" t="str">
        <f aca="false">IF(AND($B630&lt;&gt;"",$N630="Ha",$H630&lt;&gt;"",$H630&lt;=Boshqaruv!$C$12,OR($AE630="",$AE630&gt;Boshqaruv!$C$12)),MAX($AH$4:$AH629)+1,"")</f>
        <v/>
      </c>
    </row>
    <row r="631" customFormat="false" ht="15" hidden="false" customHeight="false" outlineLevel="0" collapsed="false">
      <c r="A631" s="20" t="n">
        <v>627</v>
      </c>
      <c r="B631" s="12"/>
      <c r="C631" s="13"/>
      <c r="D631" s="24"/>
      <c r="E631" s="12"/>
      <c r="F631" s="25"/>
      <c r="G631" s="27" t="str">
        <f aca="false">IF(OR($B631="",$C631=""),"",$B631&amp;" ("&amp;DAY($C631)&amp;"."&amp;MONTH($C631)&amp;"."&amp;YEAR($C631)&amp;")")</f>
        <v/>
      </c>
      <c r="H631" s="13"/>
      <c r="I631" s="13"/>
      <c r="J631" s="15" t="str">
        <f aca="false">IF($I631="","",$I631+280)</f>
        <v/>
      </c>
      <c r="K631" s="14" t="str">
        <f aca="false">IF(OR($I631="",$AE631&lt;&gt;""),"",INT((Boshqaruv!$C$12-$I631)/7))</f>
        <v/>
      </c>
      <c r="L631" s="14" t="str">
        <f aca="false">IF(OR($C631="",$H631=""),"",INT(($H631-$C631)/365.25))</f>
        <v/>
      </c>
      <c r="M631" s="14" t="str">
        <f aca="false">IF($L631="","",IF($L631&lt;18,"Ha","Yo'q"))</f>
        <v/>
      </c>
      <c r="N631" s="25"/>
      <c r="O631" s="25"/>
      <c r="P631" s="25"/>
      <c r="Q631" s="12"/>
      <c r="R631" s="25"/>
      <c r="S631" s="12"/>
      <c r="T631" s="13"/>
      <c r="U631" s="12"/>
      <c r="V631" s="25"/>
      <c r="W631" s="25"/>
      <c r="X631" s="14" t="str">
        <f aca="false">IF(OR($V631="",$W631=""),"",IF(AND($V631&gt;=Spravochnik!$H$5,$W631&gt;=Spravochnik!$H$6),"Ha","Yo'q"))</f>
        <v/>
      </c>
      <c r="Y631" s="13"/>
      <c r="Z631" s="13"/>
      <c r="AA631" s="13"/>
      <c r="AB631" s="13"/>
      <c r="AC631" s="14" t="str">
        <f aca="false">IF(AND($B631&lt;&gt;"",$AE631="",$AB631&lt;&gt;"",$AB631&lt;Boshqaruv!$C$12),"Ha","")</f>
        <v/>
      </c>
      <c r="AD631" s="25"/>
      <c r="AE631" s="13"/>
      <c r="AF631" s="12"/>
      <c r="AG631" s="14" t="str">
        <f aca="false">IF(OR($B631="",$C631="",$H631=""),"",IF(COUNTIFS($B$5:$B$804,$B631,$C$5:$C$804,$C631,$H$5:$H$804,$H631)&gt;1,"Takror",""))</f>
        <v/>
      </c>
      <c r="AH631" s="28" t="str">
        <f aca="false">IF(AND($B631&lt;&gt;"",$N631="Ha",$H631&lt;&gt;"",$H631&lt;=Boshqaruv!$C$12,OR($AE631="",$AE631&gt;Boshqaruv!$C$12)),MAX($AH$4:$AH630)+1,"")</f>
        <v/>
      </c>
    </row>
    <row r="632" customFormat="false" ht="15" hidden="false" customHeight="false" outlineLevel="0" collapsed="false">
      <c r="A632" s="20" t="n">
        <v>628</v>
      </c>
      <c r="B632" s="12"/>
      <c r="C632" s="13"/>
      <c r="D632" s="24"/>
      <c r="E632" s="12"/>
      <c r="F632" s="25"/>
      <c r="G632" s="27" t="str">
        <f aca="false">IF(OR($B632="",$C632=""),"",$B632&amp;" ("&amp;DAY($C632)&amp;"."&amp;MONTH($C632)&amp;"."&amp;YEAR($C632)&amp;")")</f>
        <v/>
      </c>
      <c r="H632" s="13"/>
      <c r="I632" s="13"/>
      <c r="J632" s="15" t="str">
        <f aca="false">IF($I632="","",$I632+280)</f>
        <v/>
      </c>
      <c r="K632" s="14" t="str">
        <f aca="false">IF(OR($I632="",$AE632&lt;&gt;""),"",INT((Boshqaruv!$C$12-$I632)/7))</f>
        <v/>
      </c>
      <c r="L632" s="14" t="str">
        <f aca="false">IF(OR($C632="",$H632=""),"",INT(($H632-$C632)/365.25))</f>
        <v/>
      </c>
      <c r="M632" s="14" t="str">
        <f aca="false">IF($L632="","",IF($L632&lt;18,"Ha","Yo'q"))</f>
        <v/>
      </c>
      <c r="N632" s="25"/>
      <c r="O632" s="25"/>
      <c r="P632" s="25"/>
      <c r="Q632" s="12"/>
      <c r="R632" s="25"/>
      <c r="S632" s="12"/>
      <c r="T632" s="13"/>
      <c r="U632" s="12"/>
      <c r="V632" s="25"/>
      <c r="W632" s="25"/>
      <c r="X632" s="14" t="str">
        <f aca="false">IF(OR($V632="",$W632=""),"",IF(AND($V632&gt;=Spravochnik!$H$5,$W632&gt;=Spravochnik!$H$6),"Ha","Yo'q"))</f>
        <v/>
      </c>
      <c r="Y632" s="13"/>
      <c r="Z632" s="13"/>
      <c r="AA632" s="13"/>
      <c r="AB632" s="13"/>
      <c r="AC632" s="14" t="str">
        <f aca="false">IF(AND($B632&lt;&gt;"",$AE632="",$AB632&lt;&gt;"",$AB632&lt;Boshqaruv!$C$12),"Ha","")</f>
        <v/>
      </c>
      <c r="AD632" s="25"/>
      <c r="AE632" s="13"/>
      <c r="AF632" s="12"/>
      <c r="AG632" s="14" t="str">
        <f aca="false">IF(OR($B632="",$C632="",$H632=""),"",IF(COUNTIFS($B$5:$B$804,$B632,$C$5:$C$804,$C632,$H$5:$H$804,$H632)&gt;1,"Takror",""))</f>
        <v/>
      </c>
      <c r="AH632" s="28" t="str">
        <f aca="false">IF(AND($B632&lt;&gt;"",$N632="Ha",$H632&lt;&gt;"",$H632&lt;=Boshqaruv!$C$12,OR($AE632="",$AE632&gt;Boshqaruv!$C$12)),MAX($AH$4:$AH631)+1,"")</f>
        <v/>
      </c>
    </row>
    <row r="633" customFormat="false" ht="15" hidden="false" customHeight="false" outlineLevel="0" collapsed="false">
      <c r="A633" s="20" t="n">
        <v>629</v>
      </c>
      <c r="B633" s="12"/>
      <c r="C633" s="13"/>
      <c r="D633" s="24"/>
      <c r="E633" s="12"/>
      <c r="F633" s="25"/>
      <c r="G633" s="27" t="str">
        <f aca="false">IF(OR($B633="",$C633=""),"",$B633&amp;" ("&amp;DAY($C633)&amp;"."&amp;MONTH($C633)&amp;"."&amp;YEAR($C633)&amp;")")</f>
        <v/>
      </c>
      <c r="H633" s="13"/>
      <c r="I633" s="13"/>
      <c r="J633" s="15" t="str">
        <f aca="false">IF($I633="","",$I633+280)</f>
        <v/>
      </c>
      <c r="K633" s="14" t="str">
        <f aca="false">IF(OR($I633="",$AE633&lt;&gt;""),"",INT((Boshqaruv!$C$12-$I633)/7))</f>
        <v/>
      </c>
      <c r="L633" s="14" t="str">
        <f aca="false">IF(OR($C633="",$H633=""),"",INT(($H633-$C633)/365.25))</f>
        <v/>
      </c>
      <c r="M633" s="14" t="str">
        <f aca="false">IF($L633="","",IF($L633&lt;18,"Ha","Yo'q"))</f>
        <v/>
      </c>
      <c r="N633" s="25"/>
      <c r="O633" s="25"/>
      <c r="P633" s="25"/>
      <c r="Q633" s="12"/>
      <c r="R633" s="25"/>
      <c r="S633" s="12"/>
      <c r="T633" s="13"/>
      <c r="U633" s="12"/>
      <c r="V633" s="25"/>
      <c r="W633" s="25"/>
      <c r="X633" s="14" t="str">
        <f aca="false">IF(OR($V633="",$W633=""),"",IF(AND($V633&gt;=Spravochnik!$H$5,$W633&gt;=Spravochnik!$H$6),"Ha","Yo'q"))</f>
        <v/>
      </c>
      <c r="Y633" s="13"/>
      <c r="Z633" s="13"/>
      <c r="AA633" s="13"/>
      <c r="AB633" s="13"/>
      <c r="AC633" s="14" t="str">
        <f aca="false">IF(AND($B633&lt;&gt;"",$AE633="",$AB633&lt;&gt;"",$AB633&lt;Boshqaruv!$C$12),"Ha","")</f>
        <v/>
      </c>
      <c r="AD633" s="25"/>
      <c r="AE633" s="13"/>
      <c r="AF633" s="12"/>
      <c r="AG633" s="14" t="str">
        <f aca="false">IF(OR($B633="",$C633="",$H633=""),"",IF(COUNTIFS($B$5:$B$804,$B633,$C$5:$C$804,$C633,$H$5:$H$804,$H633)&gt;1,"Takror",""))</f>
        <v/>
      </c>
      <c r="AH633" s="28" t="str">
        <f aca="false">IF(AND($B633&lt;&gt;"",$N633="Ha",$H633&lt;&gt;"",$H633&lt;=Boshqaruv!$C$12,OR($AE633="",$AE633&gt;Boshqaruv!$C$12)),MAX($AH$4:$AH632)+1,"")</f>
        <v/>
      </c>
    </row>
    <row r="634" customFormat="false" ht="15" hidden="false" customHeight="false" outlineLevel="0" collapsed="false">
      <c r="A634" s="20" t="n">
        <v>630</v>
      </c>
      <c r="B634" s="12"/>
      <c r="C634" s="13"/>
      <c r="D634" s="24"/>
      <c r="E634" s="12"/>
      <c r="F634" s="25"/>
      <c r="G634" s="27" t="str">
        <f aca="false">IF(OR($B634="",$C634=""),"",$B634&amp;" ("&amp;DAY($C634)&amp;"."&amp;MONTH($C634)&amp;"."&amp;YEAR($C634)&amp;")")</f>
        <v/>
      </c>
      <c r="H634" s="13"/>
      <c r="I634" s="13"/>
      <c r="J634" s="15" t="str">
        <f aca="false">IF($I634="","",$I634+280)</f>
        <v/>
      </c>
      <c r="K634" s="14" t="str">
        <f aca="false">IF(OR($I634="",$AE634&lt;&gt;""),"",INT((Boshqaruv!$C$12-$I634)/7))</f>
        <v/>
      </c>
      <c r="L634" s="14" t="str">
        <f aca="false">IF(OR($C634="",$H634=""),"",INT(($H634-$C634)/365.25))</f>
        <v/>
      </c>
      <c r="M634" s="14" t="str">
        <f aca="false">IF($L634="","",IF($L634&lt;18,"Ha","Yo'q"))</f>
        <v/>
      </c>
      <c r="N634" s="25"/>
      <c r="O634" s="25"/>
      <c r="P634" s="25"/>
      <c r="Q634" s="12"/>
      <c r="R634" s="25"/>
      <c r="S634" s="12"/>
      <c r="T634" s="13"/>
      <c r="U634" s="12"/>
      <c r="V634" s="25"/>
      <c r="W634" s="25"/>
      <c r="X634" s="14" t="str">
        <f aca="false">IF(OR($V634="",$W634=""),"",IF(AND($V634&gt;=Spravochnik!$H$5,$W634&gt;=Spravochnik!$H$6),"Ha","Yo'q"))</f>
        <v/>
      </c>
      <c r="Y634" s="13"/>
      <c r="Z634" s="13"/>
      <c r="AA634" s="13"/>
      <c r="AB634" s="13"/>
      <c r="AC634" s="14" t="str">
        <f aca="false">IF(AND($B634&lt;&gt;"",$AE634="",$AB634&lt;&gt;"",$AB634&lt;Boshqaruv!$C$12),"Ha","")</f>
        <v/>
      </c>
      <c r="AD634" s="25"/>
      <c r="AE634" s="13"/>
      <c r="AF634" s="12"/>
      <c r="AG634" s="14" t="str">
        <f aca="false">IF(OR($B634="",$C634="",$H634=""),"",IF(COUNTIFS($B$5:$B$804,$B634,$C$5:$C$804,$C634,$H$5:$H$804,$H634)&gt;1,"Takror",""))</f>
        <v/>
      </c>
      <c r="AH634" s="28" t="str">
        <f aca="false">IF(AND($B634&lt;&gt;"",$N634="Ha",$H634&lt;&gt;"",$H634&lt;=Boshqaruv!$C$12,OR($AE634="",$AE634&gt;Boshqaruv!$C$12)),MAX($AH$4:$AH633)+1,"")</f>
        <v/>
      </c>
    </row>
    <row r="635" customFormat="false" ht="15" hidden="false" customHeight="false" outlineLevel="0" collapsed="false">
      <c r="A635" s="20" t="n">
        <v>631</v>
      </c>
      <c r="B635" s="12"/>
      <c r="C635" s="13"/>
      <c r="D635" s="24"/>
      <c r="E635" s="12"/>
      <c r="F635" s="25"/>
      <c r="G635" s="27" t="str">
        <f aca="false">IF(OR($B635="",$C635=""),"",$B635&amp;" ("&amp;DAY($C635)&amp;"."&amp;MONTH($C635)&amp;"."&amp;YEAR($C635)&amp;")")</f>
        <v/>
      </c>
      <c r="H635" s="13"/>
      <c r="I635" s="13"/>
      <c r="J635" s="15" t="str">
        <f aca="false">IF($I635="","",$I635+280)</f>
        <v/>
      </c>
      <c r="K635" s="14" t="str">
        <f aca="false">IF(OR($I635="",$AE635&lt;&gt;""),"",INT((Boshqaruv!$C$12-$I635)/7))</f>
        <v/>
      </c>
      <c r="L635" s="14" t="str">
        <f aca="false">IF(OR($C635="",$H635=""),"",INT(($H635-$C635)/365.25))</f>
        <v/>
      </c>
      <c r="M635" s="14" t="str">
        <f aca="false">IF($L635="","",IF($L635&lt;18,"Ha","Yo'q"))</f>
        <v/>
      </c>
      <c r="N635" s="25"/>
      <c r="O635" s="25"/>
      <c r="P635" s="25"/>
      <c r="Q635" s="12"/>
      <c r="R635" s="25"/>
      <c r="S635" s="12"/>
      <c r="T635" s="13"/>
      <c r="U635" s="12"/>
      <c r="V635" s="25"/>
      <c r="W635" s="25"/>
      <c r="X635" s="14" t="str">
        <f aca="false">IF(OR($V635="",$W635=""),"",IF(AND($V635&gt;=Spravochnik!$H$5,$W635&gt;=Spravochnik!$H$6),"Ha","Yo'q"))</f>
        <v/>
      </c>
      <c r="Y635" s="13"/>
      <c r="Z635" s="13"/>
      <c r="AA635" s="13"/>
      <c r="AB635" s="13"/>
      <c r="AC635" s="14" t="str">
        <f aca="false">IF(AND($B635&lt;&gt;"",$AE635="",$AB635&lt;&gt;"",$AB635&lt;Boshqaruv!$C$12),"Ha","")</f>
        <v/>
      </c>
      <c r="AD635" s="25"/>
      <c r="AE635" s="13"/>
      <c r="AF635" s="12"/>
      <c r="AG635" s="14" t="str">
        <f aca="false">IF(OR($B635="",$C635="",$H635=""),"",IF(COUNTIFS($B$5:$B$804,$B635,$C$5:$C$804,$C635,$H$5:$H$804,$H635)&gt;1,"Takror",""))</f>
        <v/>
      </c>
      <c r="AH635" s="28" t="str">
        <f aca="false">IF(AND($B635&lt;&gt;"",$N635="Ha",$H635&lt;&gt;"",$H635&lt;=Boshqaruv!$C$12,OR($AE635="",$AE635&gt;Boshqaruv!$C$12)),MAX($AH$4:$AH634)+1,"")</f>
        <v/>
      </c>
    </row>
    <row r="636" customFormat="false" ht="15" hidden="false" customHeight="false" outlineLevel="0" collapsed="false">
      <c r="A636" s="20" t="n">
        <v>632</v>
      </c>
      <c r="B636" s="12"/>
      <c r="C636" s="13"/>
      <c r="D636" s="24"/>
      <c r="E636" s="12"/>
      <c r="F636" s="25"/>
      <c r="G636" s="27" t="str">
        <f aca="false">IF(OR($B636="",$C636=""),"",$B636&amp;" ("&amp;DAY($C636)&amp;"."&amp;MONTH($C636)&amp;"."&amp;YEAR($C636)&amp;")")</f>
        <v/>
      </c>
      <c r="H636" s="13"/>
      <c r="I636" s="13"/>
      <c r="J636" s="15" t="str">
        <f aca="false">IF($I636="","",$I636+280)</f>
        <v/>
      </c>
      <c r="K636" s="14" t="str">
        <f aca="false">IF(OR($I636="",$AE636&lt;&gt;""),"",INT((Boshqaruv!$C$12-$I636)/7))</f>
        <v/>
      </c>
      <c r="L636" s="14" t="str">
        <f aca="false">IF(OR($C636="",$H636=""),"",INT(($H636-$C636)/365.25))</f>
        <v/>
      </c>
      <c r="M636" s="14" t="str">
        <f aca="false">IF($L636="","",IF($L636&lt;18,"Ha","Yo'q"))</f>
        <v/>
      </c>
      <c r="N636" s="25"/>
      <c r="O636" s="25"/>
      <c r="P636" s="25"/>
      <c r="Q636" s="12"/>
      <c r="R636" s="25"/>
      <c r="S636" s="12"/>
      <c r="T636" s="13"/>
      <c r="U636" s="12"/>
      <c r="V636" s="25"/>
      <c r="W636" s="25"/>
      <c r="X636" s="14" t="str">
        <f aca="false">IF(OR($V636="",$W636=""),"",IF(AND($V636&gt;=Spravochnik!$H$5,$W636&gt;=Spravochnik!$H$6),"Ha","Yo'q"))</f>
        <v/>
      </c>
      <c r="Y636" s="13"/>
      <c r="Z636" s="13"/>
      <c r="AA636" s="13"/>
      <c r="AB636" s="13"/>
      <c r="AC636" s="14" t="str">
        <f aca="false">IF(AND($B636&lt;&gt;"",$AE636="",$AB636&lt;&gt;"",$AB636&lt;Boshqaruv!$C$12),"Ha","")</f>
        <v/>
      </c>
      <c r="AD636" s="25"/>
      <c r="AE636" s="13"/>
      <c r="AF636" s="12"/>
      <c r="AG636" s="14" t="str">
        <f aca="false">IF(OR($B636="",$C636="",$H636=""),"",IF(COUNTIFS($B$5:$B$804,$B636,$C$5:$C$804,$C636,$H$5:$H$804,$H636)&gt;1,"Takror",""))</f>
        <v/>
      </c>
      <c r="AH636" s="28" t="str">
        <f aca="false">IF(AND($B636&lt;&gt;"",$N636="Ha",$H636&lt;&gt;"",$H636&lt;=Boshqaruv!$C$12,OR($AE636="",$AE636&gt;Boshqaruv!$C$12)),MAX($AH$4:$AH635)+1,"")</f>
        <v/>
      </c>
    </row>
    <row r="637" customFormat="false" ht="15" hidden="false" customHeight="false" outlineLevel="0" collapsed="false">
      <c r="A637" s="20" t="n">
        <v>633</v>
      </c>
      <c r="B637" s="12"/>
      <c r="C637" s="13"/>
      <c r="D637" s="24"/>
      <c r="E637" s="12"/>
      <c r="F637" s="25"/>
      <c r="G637" s="27" t="str">
        <f aca="false">IF(OR($B637="",$C637=""),"",$B637&amp;" ("&amp;DAY($C637)&amp;"."&amp;MONTH($C637)&amp;"."&amp;YEAR($C637)&amp;")")</f>
        <v/>
      </c>
      <c r="H637" s="13"/>
      <c r="I637" s="13"/>
      <c r="J637" s="15" t="str">
        <f aca="false">IF($I637="","",$I637+280)</f>
        <v/>
      </c>
      <c r="K637" s="14" t="str">
        <f aca="false">IF(OR($I637="",$AE637&lt;&gt;""),"",INT((Boshqaruv!$C$12-$I637)/7))</f>
        <v/>
      </c>
      <c r="L637" s="14" t="str">
        <f aca="false">IF(OR($C637="",$H637=""),"",INT(($H637-$C637)/365.25))</f>
        <v/>
      </c>
      <c r="M637" s="14" t="str">
        <f aca="false">IF($L637="","",IF($L637&lt;18,"Ha","Yo'q"))</f>
        <v/>
      </c>
      <c r="N637" s="25"/>
      <c r="O637" s="25"/>
      <c r="P637" s="25"/>
      <c r="Q637" s="12"/>
      <c r="R637" s="25"/>
      <c r="S637" s="12"/>
      <c r="T637" s="13"/>
      <c r="U637" s="12"/>
      <c r="V637" s="25"/>
      <c r="W637" s="25"/>
      <c r="X637" s="14" t="str">
        <f aca="false">IF(OR($V637="",$W637=""),"",IF(AND($V637&gt;=Spravochnik!$H$5,$W637&gt;=Spravochnik!$H$6),"Ha","Yo'q"))</f>
        <v/>
      </c>
      <c r="Y637" s="13"/>
      <c r="Z637" s="13"/>
      <c r="AA637" s="13"/>
      <c r="AB637" s="13"/>
      <c r="AC637" s="14" t="str">
        <f aca="false">IF(AND($B637&lt;&gt;"",$AE637="",$AB637&lt;&gt;"",$AB637&lt;Boshqaruv!$C$12),"Ha","")</f>
        <v/>
      </c>
      <c r="AD637" s="25"/>
      <c r="AE637" s="13"/>
      <c r="AF637" s="12"/>
      <c r="AG637" s="14" t="str">
        <f aca="false">IF(OR($B637="",$C637="",$H637=""),"",IF(COUNTIFS($B$5:$B$804,$B637,$C$5:$C$804,$C637,$H$5:$H$804,$H637)&gt;1,"Takror",""))</f>
        <v/>
      </c>
      <c r="AH637" s="28" t="str">
        <f aca="false">IF(AND($B637&lt;&gt;"",$N637="Ha",$H637&lt;&gt;"",$H637&lt;=Boshqaruv!$C$12,OR($AE637="",$AE637&gt;Boshqaruv!$C$12)),MAX($AH$4:$AH636)+1,"")</f>
        <v/>
      </c>
    </row>
    <row r="638" customFormat="false" ht="15" hidden="false" customHeight="false" outlineLevel="0" collapsed="false">
      <c r="A638" s="20" t="n">
        <v>634</v>
      </c>
      <c r="B638" s="12"/>
      <c r="C638" s="13"/>
      <c r="D638" s="24"/>
      <c r="E638" s="12"/>
      <c r="F638" s="25"/>
      <c r="G638" s="27" t="str">
        <f aca="false">IF(OR($B638="",$C638=""),"",$B638&amp;" ("&amp;DAY($C638)&amp;"."&amp;MONTH($C638)&amp;"."&amp;YEAR($C638)&amp;")")</f>
        <v/>
      </c>
      <c r="H638" s="13"/>
      <c r="I638" s="13"/>
      <c r="J638" s="15" t="str">
        <f aca="false">IF($I638="","",$I638+280)</f>
        <v/>
      </c>
      <c r="K638" s="14" t="str">
        <f aca="false">IF(OR($I638="",$AE638&lt;&gt;""),"",INT((Boshqaruv!$C$12-$I638)/7))</f>
        <v/>
      </c>
      <c r="L638" s="14" t="str">
        <f aca="false">IF(OR($C638="",$H638=""),"",INT(($H638-$C638)/365.25))</f>
        <v/>
      </c>
      <c r="M638" s="14" t="str">
        <f aca="false">IF($L638="","",IF($L638&lt;18,"Ha","Yo'q"))</f>
        <v/>
      </c>
      <c r="N638" s="25"/>
      <c r="O638" s="25"/>
      <c r="P638" s="25"/>
      <c r="Q638" s="12"/>
      <c r="R638" s="25"/>
      <c r="S638" s="12"/>
      <c r="T638" s="13"/>
      <c r="U638" s="12"/>
      <c r="V638" s="25"/>
      <c r="W638" s="25"/>
      <c r="X638" s="14" t="str">
        <f aca="false">IF(OR($V638="",$W638=""),"",IF(AND($V638&gt;=Spravochnik!$H$5,$W638&gt;=Spravochnik!$H$6),"Ha","Yo'q"))</f>
        <v/>
      </c>
      <c r="Y638" s="13"/>
      <c r="Z638" s="13"/>
      <c r="AA638" s="13"/>
      <c r="AB638" s="13"/>
      <c r="AC638" s="14" t="str">
        <f aca="false">IF(AND($B638&lt;&gt;"",$AE638="",$AB638&lt;&gt;"",$AB638&lt;Boshqaruv!$C$12),"Ha","")</f>
        <v/>
      </c>
      <c r="AD638" s="25"/>
      <c r="AE638" s="13"/>
      <c r="AF638" s="12"/>
      <c r="AG638" s="14" t="str">
        <f aca="false">IF(OR($B638="",$C638="",$H638=""),"",IF(COUNTIFS($B$5:$B$804,$B638,$C$5:$C$804,$C638,$H$5:$H$804,$H638)&gt;1,"Takror",""))</f>
        <v/>
      </c>
      <c r="AH638" s="28" t="str">
        <f aca="false">IF(AND($B638&lt;&gt;"",$N638="Ha",$H638&lt;&gt;"",$H638&lt;=Boshqaruv!$C$12,OR($AE638="",$AE638&gt;Boshqaruv!$C$12)),MAX($AH$4:$AH637)+1,"")</f>
        <v/>
      </c>
    </row>
    <row r="639" customFormat="false" ht="15" hidden="false" customHeight="false" outlineLevel="0" collapsed="false">
      <c r="A639" s="20" t="n">
        <v>635</v>
      </c>
      <c r="B639" s="12"/>
      <c r="C639" s="13"/>
      <c r="D639" s="24"/>
      <c r="E639" s="12"/>
      <c r="F639" s="25"/>
      <c r="G639" s="27" t="str">
        <f aca="false">IF(OR($B639="",$C639=""),"",$B639&amp;" ("&amp;DAY($C639)&amp;"."&amp;MONTH($C639)&amp;"."&amp;YEAR($C639)&amp;")")</f>
        <v/>
      </c>
      <c r="H639" s="13"/>
      <c r="I639" s="13"/>
      <c r="J639" s="15" t="str">
        <f aca="false">IF($I639="","",$I639+280)</f>
        <v/>
      </c>
      <c r="K639" s="14" t="str">
        <f aca="false">IF(OR($I639="",$AE639&lt;&gt;""),"",INT((Boshqaruv!$C$12-$I639)/7))</f>
        <v/>
      </c>
      <c r="L639" s="14" t="str">
        <f aca="false">IF(OR($C639="",$H639=""),"",INT(($H639-$C639)/365.25))</f>
        <v/>
      </c>
      <c r="M639" s="14" t="str">
        <f aca="false">IF($L639="","",IF($L639&lt;18,"Ha","Yo'q"))</f>
        <v/>
      </c>
      <c r="N639" s="25"/>
      <c r="O639" s="25"/>
      <c r="P639" s="25"/>
      <c r="Q639" s="12"/>
      <c r="R639" s="25"/>
      <c r="S639" s="12"/>
      <c r="T639" s="13"/>
      <c r="U639" s="12"/>
      <c r="V639" s="25"/>
      <c r="W639" s="25"/>
      <c r="X639" s="14" t="str">
        <f aca="false">IF(OR($V639="",$W639=""),"",IF(AND($V639&gt;=Spravochnik!$H$5,$W639&gt;=Spravochnik!$H$6),"Ha","Yo'q"))</f>
        <v/>
      </c>
      <c r="Y639" s="13"/>
      <c r="Z639" s="13"/>
      <c r="AA639" s="13"/>
      <c r="AB639" s="13"/>
      <c r="AC639" s="14" t="str">
        <f aca="false">IF(AND($B639&lt;&gt;"",$AE639="",$AB639&lt;&gt;"",$AB639&lt;Boshqaruv!$C$12),"Ha","")</f>
        <v/>
      </c>
      <c r="AD639" s="25"/>
      <c r="AE639" s="13"/>
      <c r="AF639" s="12"/>
      <c r="AG639" s="14" t="str">
        <f aca="false">IF(OR($B639="",$C639="",$H639=""),"",IF(COUNTIFS($B$5:$B$804,$B639,$C$5:$C$804,$C639,$H$5:$H$804,$H639)&gt;1,"Takror",""))</f>
        <v/>
      </c>
      <c r="AH639" s="28" t="str">
        <f aca="false">IF(AND($B639&lt;&gt;"",$N639="Ha",$H639&lt;&gt;"",$H639&lt;=Boshqaruv!$C$12,OR($AE639="",$AE639&gt;Boshqaruv!$C$12)),MAX($AH$4:$AH638)+1,"")</f>
        <v/>
      </c>
    </row>
    <row r="640" customFormat="false" ht="15" hidden="false" customHeight="false" outlineLevel="0" collapsed="false">
      <c r="A640" s="20" t="n">
        <v>636</v>
      </c>
      <c r="B640" s="12"/>
      <c r="C640" s="13"/>
      <c r="D640" s="24"/>
      <c r="E640" s="12"/>
      <c r="F640" s="25"/>
      <c r="G640" s="27" t="str">
        <f aca="false">IF(OR($B640="",$C640=""),"",$B640&amp;" ("&amp;DAY($C640)&amp;"."&amp;MONTH($C640)&amp;"."&amp;YEAR($C640)&amp;")")</f>
        <v/>
      </c>
      <c r="H640" s="13"/>
      <c r="I640" s="13"/>
      <c r="J640" s="15" t="str">
        <f aca="false">IF($I640="","",$I640+280)</f>
        <v/>
      </c>
      <c r="K640" s="14" t="str">
        <f aca="false">IF(OR($I640="",$AE640&lt;&gt;""),"",INT((Boshqaruv!$C$12-$I640)/7))</f>
        <v/>
      </c>
      <c r="L640" s="14" t="str">
        <f aca="false">IF(OR($C640="",$H640=""),"",INT(($H640-$C640)/365.25))</f>
        <v/>
      </c>
      <c r="M640" s="14" t="str">
        <f aca="false">IF($L640="","",IF($L640&lt;18,"Ha","Yo'q"))</f>
        <v/>
      </c>
      <c r="N640" s="25"/>
      <c r="O640" s="25"/>
      <c r="P640" s="25"/>
      <c r="Q640" s="12"/>
      <c r="R640" s="25"/>
      <c r="S640" s="12"/>
      <c r="T640" s="13"/>
      <c r="U640" s="12"/>
      <c r="V640" s="25"/>
      <c r="W640" s="25"/>
      <c r="X640" s="14" t="str">
        <f aca="false">IF(OR($V640="",$W640=""),"",IF(AND($V640&gt;=Spravochnik!$H$5,$W640&gt;=Spravochnik!$H$6),"Ha","Yo'q"))</f>
        <v/>
      </c>
      <c r="Y640" s="13"/>
      <c r="Z640" s="13"/>
      <c r="AA640" s="13"/>
      <c r="AB640" s="13"/>
      <c r="AC640" s="14" t="str">
        <f aca="false">IF(AND($B640&lt;&gt;"",$AE640="",$AB640&lt;&gt;"",$AB640&lt;Boshqaruv!$C$12),"Ha","")</f>
        <v/>
      </c>
      <c r="AD640" s="25"/>
      <c r="AE640" s="13"/>
      <c r="AF640" s="12"/>
      <c r="AG640" s="14" t="str">
        <f aca="false">IF(OR($B640="",$C640="",$H640=""),"",IF(COUNTIFS($B$5:$B$804,$B640,$C$5:$C$804,$C640,$H$5:$H$804,$H640)&gt;1,"Takror",""))</f>
        <v/>
      </c>
      <c r="AH640" s="28" t="str">
        <f aca="false">IF(AND($B640&lt;&gt;"",$N640="Ha",$H640&lt;&gt;"",$H640&lt;=Boshqaruv!$C$12,OR($AE640="",$AE640&gt;Boshqaruv!$C$12)),MAX($AH$4:$AH639)+1,"")</f>
        <v/>
      </c>
    </row>
    <row r="641" customFormat="false" ht="15" hidden="false" customHeight="false" outlineLevel="0" collapsed="false">
      <c r="A641" s="20" t="n">
        <v>637</v>
      </c>
      <c r="B641" s="12"/>
      <c r="C641" s="13"/>
      <c r="D641" s="24"/>
      <c r="E641" s="12"/>
      <c r="F641" s="25"/>
      <c r="G641" s="27" t="str">
        <f aca="false">IF(OR($B641="",$C641=""),"",$B641&amp;" ("&amp;DAY($C641)&amp;"."&amp;MONTH($C641)&amp;"."&amp;YEAR($C641)&amp;")")</f>
        <v/>
      </c>
      <c r="H641" s="13"/>
      <c r="I641" s="13"/>
      <c r="J641" s="15" t="str">
        <f aca="false">IF($I641="","",$I641+280)</f>
        <v/>
      </c>
      <c r="K641" s="14" t="str">
        <f aca="false">IF(OR($I641="",$AE641&lt;&gt;""),"",INT((Boshqaruv!$C$12-$I641)/7))</f>
        <v/>
      </c>
      <c r="L641" s="14" t="str">
        <f aca="false">IF(OR($C641="",$H641=""),"",INT(($H641-$C641)/365.25))</f>
        <v/>
      </c>
      <c r="M641" s="14" t="str">
        <f aca="false">IF($L641="","",IF($L641&lt;18,"Ha","Yo'q"))</f>
        <v/>
      </c>
      <c r="N641" s="25"/>
      <c r="O641" s="25"/>
      <c r="P641" s="25"/>
      <c r="Q641" s="12"/>
      <c r="R641" s="25"/>
      <c r="S641" s="12"/>
      <c r="T641" s="13"/>
      <c r="U641" s="12"/>
      <c r="V641" s="25"/>
      <c r="W641" s="25"/>
      <c r="X641" s="14" t="str">
        <f aca="false">IF(OR($V641="",$W641=""),"",IF(AND($V641&gt;=Spravochnik!$H$5,$W641&gt;=Spravochnik!$H$6),"Ha","Yo'q"))</f>
        <v/>
      </c>
      <c r="Y641" s="13"/>
      <c r="Z641" s="13"/>
      <c r="AA641" s="13"/>
      <c r="AB641" s="13"/>
      <c r="AC641" s="14" t="str">
        <f aca="false">IF(AND($B641&lt;&gt;"",$AE641="",$AB641&lt;&gt;"",$AB641&lt;Boshqaruv!$C$12),"Ha","")</f>
        <v/>
      </c>
      <c r="AD641" s="25"/>
      <c r="AE641" s="13"/>
      <c r="AF641" s="12"/>
      <c r="AG641" s="14" t="str">
        <f aca="false">IF(OR($B641="",$C641="",$H641=""),"",IF(COUNTIFS($B$5:$B$804,$B641,$C$5:$C$804,$C641,$H$5:$H$804,$H641)&gt;1,"Takror",""))</f>
        <v/>
      </c>
      <c r="AH641" s="28" t="str">
        <f aca="false">IF(AND($B641&lt;&gt;"",$N641="Ha",$H641&lt;&gt;"",$H641&lt;=Boshqaruv!$C$12,OR($AE641="",$AE641&gt;Boshqaruv!$C$12)),MAX($AH$4:$AH640)+1,"")</f>
        <v/>
      </c>
    </row>
    <row r="642" customFormat="false" ht="15" hidden="false" customHeight="false" outlineLevel="0" collapsed="false">
      <c r="A642" s="20" t="n">
        <v>638</v>
      </c>
      <c r="B642" s="12"/>
      <c r="C642" s="13"/>
      <c r="D642" s="24"/>
      <c r="E642" s="12"/>
      <c r="F642" s="25"/>
      <c r="G642" s="27" t="str">
        <f aca="false">IF(OR($B642="",$C642=""),"",$B642&amp;" ("&amp;DAY($C642)&amp;"."&amp;MONTH($C642)&amp;"."&amp;YEAR($C642)&amp;")")</f>
        <v/>
      </c>
      <c r="H642" s="13"/>
      <c r="I642" s="13"/>
      <c r="J642" s="15" t="str">
        <f aca="false">IF($I642="","",$I642+280)</f>
        <v/>
      </c>
      <c r="K642" s="14" t="str">
        <f aca="false">IF(OR($I642="",$AE642&lt;&gt;""),"",INT((Boshqaruv!$C$12-$I642)/7))</f>
        <v/>
      </c>
      <c r="L642" s="14" t="str">
        <f aca="false">IF(OR($C642="",$H642=""),"",INT(($H642-$C642)/365.25))</f>
        <v/>
      </c>
      <c r="M642" s="14" t="str">
        <f aca="false">IF($L642="","",IF($L642&lt;18,"Ha","Yo'q"))</f>
        <v/>
      </c>
      <c r="N642" s="25"/>
      <c r="O642" s="25"/>
      <c r="P642" s="25"/>
      <c r="Q642" s="12"/>
      <c r="R642" s="25"/>
      <c r="S642" s="12"/>
      <c r="T642" s="13"/>
      <c r="U642" s="12"/>
      <c r="V642" s="25"/>
      <c r="W642" s="25"/>
      <c r="X642" s="14" t="str">
        <f aca="false">IF(OR($V642="",$W642=""),"",IF(AND($V642&gt;=Spravochnik!$H$5,$W642&gt;=Spravochnik!$H$6),"Ha","Yo'q"))</f>
        <v/>
      </c>
      <c r="Y642" s="13"/>
      <c r="Z642" s="13"/>
      <c r="AA642" s="13"/>
      <c r="AB642" s="13"/>
      <c r="AC642" s="14" t="str">
        <f aca="false">IF(AND($B642&lt;&gt;"",$AE642="",$AB642&lt;&gt;"",$AB642&lt;Boshqaruv!$C$12),"Ha","")</f>
        <v/>
      </c>
      <c r="AD642" s="25"/>
      <c r="AE642" s="13"/>
      <c r="AF642" s="12"/>
      <c r="AG642" s="14" t="str">
        <f aca="false">IF(OR($B642="",$C642="",$H642=""),"",IF(COUNTIFS($B$5:$B$804,$B642,$C$5:$C$804,$C642,$H$5:$H$804,$H642)&gt;1,"Takror",""))</f>
        <v/>
      </c>
      <c r="AH642" s="28" t="str">
        <f aca="false">IF(AND($B642&lt;&gt;"",$N642="Ha",$H642&lt;&gt;"",$H642&lt;=Boshqaruv!$C$12,OR($AE642="",$AE642&gt;Boshqaruv!$C$12)),MAX($AH$4:$AH641)+1,"")</f>
        <v/>
      </c>
    </row>
    <row r="643" customFormat="false" ht="15" hidden="false" customHeight="false" outlineLevel="0" collapsed="false">
      <c r="A643" s="20" t="n">
        <v>639</v>
      </c>
      <c r="B643" s="12"/>
      <c r="C643" s="13"/>
      <c r="D643" s="24"/>
      <c r="E643" s="12"/>
      <c r="F643" s="25"/>
      <c r="G643" s="27" t="str">
        <f aca="false">IF(OR($B643="",$C643=""),"",$B643&amp;" ("&amp;DAY($C643)&amp;"."&amp;MONTH($C643)&amp;"."&amp;YEAR($C643)&amp;")")</f>
        <v/>
      </c>
      <c r="H643" s="13"/>
      <c r="I643" s="13"/>
      <c r="J643" s="15" t="str">
        <f aca="false">IF($I643="","",$I643+280)</f>
        <v/>
      </c>
      <c r="K643" s="14" t="str">
        <f aca="false">IF(OR($I643="",$AE643&lt;&gt;""),"",INT((Boshqaruv!$C$12-$I643)/7))</f>
        <v/>
      </c>
      <c r="L643" s="14" t="str">
        <f aca="false">IF(OR($C643="",$H643=""),"",INT(($H643-$C643)/365.25))</f>
        <v/>
      </c>
      <c r="M643" s="14" t="str">
        <f aca="false">IF($L643="","",IF($L643&lt;18,"Ha","Yo'q"))</f>
        <v/>
      </c>
      <c r="N643" s="25"/>
      <c r="O643" s="25"/>
      <c r="P643" s="25"/>
      <c r="Q643" s="12"/>
      <c r="R643" s="25"/>
      <c r="S643" s="12"/>
      <c r="T643" s="13"/>
      <c r="U643" s="12"/>
      <c r="V643" s="25"/>
      <c r="W643" s="25"/>
      <c r="X643" s="14" t="str">
        <f aca="false">IF(OR($V643="",$W643=""),"",IF(AND($V643&gt;=Spravochnik!$H$5,$W643&gt;=Spravochnik!$H$6),"Ha","Yo'q"))</f>
        <v/>
      </c>
      <c r="Y643" s="13"/>
      <c r="Z643" s="13"/>
      <c r="AA643" s="13"/>
      <c r="AB643" s="13"/>
      <c r="AC643" s="14" t="str">
        <f aca="false">IF(AND($B643&lt;&gt;"",$AE643="",$AB643&lt;&gt;"",$AB643&lt;Boshqaruv!$C$12),"Ha","")</f>
        <v/>
      </c>
      <c r="AD643" s="25"/>
      <c r="AE643" s="13"/>
      <c r="AF643" s="12"/>
      <c r="AG643" s="14" t="str">
        <f aca="false">IF(OR($B643="",$C643="",$H643=""),"",IF(COUNTIFS($B$5:$B$804,$B643,$C$5:$C$804,$C643,$H$5:$H$804,$H643)&gt;1,"Takror",""))</f>
        <v/>
      </c>
      <c r="AH643" s="28" t="str">
        <f aca="false">IF(AND($B643&lt;&gt;"",$N643="Ha",$H643&lt;&gt;"",$H643&lt;=Boshqaruv!$C$12,OR($AE643="",$AE643&gt;Boshqaruv!$C$12)),MAX($AH$4:$AH642)+1,"")</f>
        <v/>
      </c>
    </row>
    <row r="644" customFormat="false" ht="15" hidden="false" customHeight="false" outlineLevel="0" collapsed="false">
      <c r="A644" s="20" t="n">
        <v>640</v>
      </c>
      <c r="B644" s="12"/>
      <c r="C644" s="13"/>
      <c r="D644" s="24"/>
      <c r="E644" s="12"/>
      <c r="F644" s="25"/>
      <c r="G644" s="27" t="str">
        <f aca="false">IF(OR($B644="",$C644=""),"",$B644&amp;" ("&amp;DAY($C644)&amp;"."&amp;MONTH($C644)&amp;"."&amp;YEAR($C644)&amp;")")</f>
        <v/>
      </c>
      <c r="H644" s="13"/>
      <c r="I644" s="13"/>
      <c r="J644" s="15" t="str">
        <f aca="false">IF($I644="","",$I644+280)</f>
        <v/>
      </c>
      <c r="K644" s="14" t="str">
        <f aca="false">IF(OR($I644="",$AE644&lt;&gt;""),"",INT((Boshqaruv!$C$12-$I644)/7))</f>
        <v/>
      </c>
      <c r="L644" s="14" t="str">
        <f aca="false">IF(OR($C644="",$H644=""),"",INT(($H644-$C644)/365.25))</f>
        <v/>
      </c>
      <c r="M644" s="14" t="str">
        <f aca="false">IF($L644="","",IF($L644&lt;18,"Ha","Yo'q"))</f>
        <v/>
      </c>
      <c r="N644" s="25"/>
      <c r="O644" s="25"/>
      <c r="P644" s="25"/>
      <c r="Q644" s="12"/>
      <c r="R644" s="25"/>
      <c r="S644" s="12"/>
      <c r="T644" s="13"/>
      <c r="U644" s="12"/>
      <c r="V644" s="25"/>
      <c r="W644" s="25"/>
      <c r="X644" s="14" t="str">
        <f aca="false">IF(OR($V644="",$W644=""),"",IF(AND($V644&gt;=Spravochnik!$H$5,$W644&gt;=Spravochnik!$H$6),"Ha","Yo'q"))</f>
        <v/>
      </c>
      <c r="Y644" s="13"/>
      <c r="Z644" s="13"/>
      <c r="AA644" s="13"/>
      <c r="AB644" s="13"/>
      <c r="AC644" s="14" t="str">
        <f aca="false">IF(AND($B644&lt;&gt;"",$AE644="",$AB644&lt;&gt;"",$AB644&lt;Boshqaruv!$C$12),"Ha","")</f>
        <v/>
      </c>
      <c r="AD644" s="25"/>
      <c r="AE644" s="13"/>
      <c r="AF644" s="12"/>
      <c r="AG644" s="14" t="str">
        <f aca="false">IF(OR($B644="",$C644="",$H644=""),"",IF(COUNTIFS($B$5:$B$804,$B644,$C$5:$C$804,$C644,$H$5:$H$804,$H644)&gt;1,"Takror",""))</f>
        <v/>
      </c>
      <c r="AH644" s="28" t="str">
        <f aca="false">IF(AND($B644&lt;&gt;"",$N644="Ha",$H644&lt;&gt;"",$H644&lt;=Boshqaruv!$C$12,OR($AE644="",$AE644&gt;Boshqaruv!$C$12)),MAX($AH$4:$AH643)+1,"")</f>
        <v/>
      </c>
    </row>
    <row r="645" customFormat="false" ht="15" hidden="false" customHeight="false" outlineLevel="0" collapsed="false">
      <c r="A645" s="20" t="n">
        <v>641</v>
      </c>
      <c r="B645" s="12"/>
      <c r="C645" s="13"/>
      <c r="D645" s="24"/>
      <c r="E645" s="12"/>
      <c r="F645" s="25"/>
      <c r="G645" s="27" t="str">
        <f aca="false">IF(OR($B645="",$C645=""),"",$B645&amp;" ("&amp;DAY($C645)&amp;"."&amp;MONTH($C645)&amp;"."&amp;YEAR($C645)&amp;")")</f>
        <v/>
      </c>
      <c r="H645" s="13"/>
      <c r="I645" s="13"/>
      <c r="J645" s="15" t="str">
        <f aca="false">IF($I645="","",$I645+280)</f>
        <v/>
      </c>
      <c r="K645" s="14" t="str">
        <f aca="false">IF(OR($I645="",$AE645&lt;&gt;""),"",INT((Boshqaruv!$C$12-$I645)/7))</f>
        <v/>
      </c>
      <c r="L645" s="14" t="str">
        <f aca="false">IF(OR($C645="",$H645=""),"",INT(($H645-$C645)/365.25))</f>
        <v/>
      </c>
      <c r="M645" s="14" t="str">
        <f aca="false">IF($L645="","",IF($L645&lt;18,"Ha","Yo'q"))</f>
        <v/>
      </c>
      <c r="N645" s="25"/>
      <c r="O645" s="25"/>
      <c r="P645" s="25"/>
      <c r="Q645" s="12"/>
      <c r="R645" s="25"/>
      <c r="S645" s="12"/>
      <c r="T645" s="13"/>
      <c r="U645" s="12"/>
      <c r="V645" s="25"/>
      <c r="W645" s="25"/>
      <c r="X645" s="14" t="str">
        <f aca="false">IF(OR($V645="",$W645=""),"",IF(AND($V645&gt;=Spravochnik!$H$5,$W645&gt;=Spravochnik!$H$6),"Ha","Yo'q"))</f>
        <v/>
      </c>
      <c r="Y645" s="13"/>
      <c r="Z645" s="13"/>
      <c r="AA645" s="13"/>
      <c r="AB645" s="13"/>
      <c r="AC645" s="14" t="str">
        <f aca="false">IF(AND($B645&lt;&gt;"",$AE645="",$AB645&lt;&gt;"",$AB645&lt;Boshqaruv!$C$12),"Ha","")</f>
        <v/>
      </c>
      <c r="AD645" s="25"/>
      <c r="AE645" s="13"/>
      <c r="AF645" s="12"/>
      <c r="AG645" s="14" t="str">
        <f aca="false">IF(OR($B645="",$C645="",$H645=""),"",IF(COUNTIFS($B$5:$B$804,$B645,$C$5:$C$804,$C645,$H$5:$H$804,$H645)&gt;1,"Takror",""))</f>
        <v/>
      </c>
      <c r="AH645" s="28" t="str">
        <f aca="false">IF(AND($B645&lt;&gt;"",$N645="Ha",$H645&lt;&gt;"",$H645&lt;=Boshqaruv!$C$12,OR($AE645="",$AE645&gt;Boshqaruv!$C$12)),MAX($AH$4:$AH644)+1,"")</f>
        <v/>
      </c>
    </row>
    <row r="646" customFormat="false" ht="15" hidden="false" customHeight="false" outlineLevel="0" collapsed="false">
      <c r="A646" s="20" t="n">
        <v>642</v>
      </c>
      <c r="B646" s="12"/>
      <c r="C646" s="13"/>
      <c r="D646" s="24"/>
      <c r="E646" s="12"/>
      <c r="F646" s="25"/>
      <c r="G646" s="27" t="str">
        <f aca="false">IF(OR($B646="",$C646=""),"",$B646&amp;" ("&amp;DAY($C646)&amp;"."&amp;MONTH($C646)&amp;"."&amp;YEAR($C646)&amp;")")</f>
        <v/>
      </c>
      <c r="H646" s="13"/>
      <c r="I646" s="13"/>
      <c r="J646" s="15" t="str">
        <f aca="false">IF($I646="","",$I646+280)</f>
        <v/>
      </c>
      <c r="K646" s="14" t="str">
        <f aca="false">IF(OR($I646="",$AE646&lt;&gt;""),"",INT((Boshqaruv!$C$12-$I646)/7))</f>
        <v/>
      </c>
      <c r="L646" s="14" t="str">
        <f aca="false">IF(OR($C646="",$H646=""),"",INT(($H646-$C646)/365.25))</f>
        <v/>
      </c>
      <c r="M646" s="14" t="str">
        <f aca="false">IF($L646="","",IF($L646&lt;18,"Ha","Yo'q"))</f>
        <v/>
      </c>
      <c r="N646" s="25"/>
      <c r="O646" s="25"/>
      <c r="P646" s="25"/>
      <c r="Q646" s="12"/>
      <c r="R646" s="25"/>
      <c r="S646" s="12"/>
      <c r="T646" s="13"/>
      <c r="U646" s="12"/>
      <c r="V646" s="25"/>
      <c r="W646" s="25"/>
      <c r="X646" s="14" t="str">
        <f aca="false">IF(OR($V646="",$W646=""),"",IF(AND($V646&gt;=Spravochnik!$H$5,$W646&gt;=Spravochnik!$H$6),"Ha","Yo'q"))</f>
        <v/>
      </c>
      <c r="Y646" s="13"/>
      <c r="Z646" s="13"/>
      <c r="AA646" s="13"/>
      <c r="AB646" s="13"/>
      <c r="AC646" s="14" t="str">
        <f aca="false">IF(AND($B646&lt;&gt;"",$AE646="",$AB646&lt;&gt;"",$AB646&lt;Boshqaruv!$C$12),"Ha","")</f>
        <v/>
      </c>
      <c r="AD646" s="25"/>
      <c r="AE646" s="13"/>
      <c r="AF646" s="12"/>
      <c r="AG646" s="14" t="str">
        <f aca="false">IF(OR($B646="",$C646="",$H646=""),"",IF(COUNTIFS($B$5:$B$804,$B646,$C$5:$C$804,$C646,$H$5:$H$804,$H646)&gt;1,"Takror",""))</f>
        <v/>
      </c>
      <c r="AH646" s="28" t="str">
        <f aca="false">IF(AND($B646&lt;&gt;"",$N646="Ha",$H646&lt;&gt;"",$H646&lt;=Boshqaruv!$C$12,OR($AE646="",$AE646&gt;Boshqaruv!$C$12)),MAX($AH$4:$AH645)+1,"")</f>
        <v/>
      </c>
    </row>
    <row r="647" customFormat="false" ht="15" hidden="false" customHeight="false" outlineLevel="0" collapsed="false">
      <c r="A647" s="20" t="n">
        <v>643</v>
      </c>
      <c r="B647" s="12"/>
      <c r="C647" s="13"/>
      <c r="D647" s="24"/>
      <c r="E647" s="12"/>
      <c r="F647" s="25"/>
      <c r="G647" s="27" t="str">
        <f aca="false">IF(OR($B647="",$C647=""),"",$B647&amp;" ("&amp;DAY($C647)&amp;"."&amp;MONTH($C647)&amp;"."&amp;YEAR($C647)&amp;")")</f>
        <v/>
      </c>
      <c r="H647" s="13"/>
      <c r="I647" s="13"/>
      <c r="J647" s="15" t="str">
        <f aca="false">IF($I647="","",$I647+280)</f>
        <v/>
      </c>
      <c r="K647" s="14" t="str">
        <f aca="false">IF(OR($I647="",$AE647&lt;&gt;""),"",INT((Boshqaruv!$C$12-$I647)/7))</f>
        <v/>
      </c>
      <c r="L647" s="14" t="str">
        <f aca="false">IF(OR($C647="",$H647=""),"",INT(($H647-$C647)/365.25))</f>
        <v/>
      </c>
      <c r="M647" s="14" t="str">
        <f aca="false">IF($L647="","",IF($L647&lt;18,"Ha","Yo'q"))</f>
        <v/>
      </c>
      <c r="N647" s="25"/>
      <c r="O647" s="25"/>
      <c r="P647" s="25"/>
      <c r="Q647" s="12"/>
      <c r="R647" s="25"/>
      <c r="S647" s="12"/>
      <c r="T647" s="13"/>
      <c r="U647" s="12"/>
      <c r="V647" s="25"/>
      <c r="W647" s="25"/>
      <c r="X647" s="14" t="str">
        <f aca="false">IF(OR($V647="",$W647=""),"",IF(AND($V647&gt;=Spravochnik!$H$5,$W647&gt;=Spravochnik!$H$6),"Ha","Yo'q"))</f>
        <v/>
      </c>
      <c r="Y647" s="13"/>
      <c r="Z647" s="13"/>
      <c r="AA647" s="13"/>
      <c r="AB647" s="13"/>
      <c r="AC647" s="14" t="str">
        <f aca="false">IF(AND($B647&lt;&gt;"",$AE647="",$AB647&lt;&gt;"",$AB647&lt;Boshqaruv!$C$12),"Ha","")</f>
        <v/>
      </c>
      <c r="AD647" s="25"/>
      <c r="AE647" s="13"/>
      <c r="AF647" s="12"/>
      <c r="AG647" s="14" t="str">
        <f aca="false">IF(OR($B647="",$C647="",$H647=""),"",IF(COUNTIFS($B$5:$B$804,$B647,$C$5:$C$804,$C647,$H$5:$H$804,$H647)&gt;1,"Takror",""))</f>
        <v/>
      </c>
      <c r="AH647" s="28" t="str">
        <f aca="false">IF(AND($B647&lt;&gt;"",$N647="Ha",$H647&lt;&gt;"",$H647&lt;=Boshqaruv!$C$12,OR($AE647="",$AE647&gt;Boshqaruv!$C$12)),MAX($AH$4:$AH646)+1,"")</f>
        <v/>
      </c>
    </row>
    <row r="648" customFormat="false" ht="15" hidden="false" customHeight="false" outlineLevel="0" collapsed="false">
      <c r="A648" s="20" t="n">
        <v>644</v>
      </c>
      <c r="B648" s="12"/>
      <c r="C648" s="13"/>
      <c r="D648" s="24"/>
      <c r="E648" s="12"/>
      <c r="F648" s="25"/>
      <c r="G648" s="27" t="str">
        <f aca="false">IF(OR($B648="",$C648=""),"",$B648&amp;" ("&amp;DAY($C648)&amp;"."&amp;MONTH($C648)&amp;"."&amp;YEAR($C648)&amp;")")</f>
        <v/>
      </c>
      <c r="H648" s="13"/>
      <c r="I648" s="13"/>
      <c r="J648" s="15" t="str">
        <f aca="false">IF($I648="","",$I648+280)</f>
        <v/>
      </c>
      <c r="K648" s="14" t="str">
        <f aca="false">IF(OR($I648="",$AE648&lt;&gt;""),"",INT((Boshqaruv!$C$12-$I648)/7))</f>
        <v/>
      </c>
      <c r="L648" s="14" t="str">
        <f aca="false">IF(OR($C648="",$H648=""),"",INT(($H648-$C648)/365.25))</f>
        <v/>
      </c>
      <c r="M648" s="14" t="str">
        <f aca="false">IF($L648="","",IF($L648&lt;18,"Ha","Yo'q"))</f>
        <v/>
      </c>
      <c r="N648" s="25"/>
      <c r="O648" s="25"/>
      <c r="P648" s="25"/>
      <c r="Q648" s="12"/>
      <c r="R648" s="25"/>
      <c r="S648" s="12"/>
      <c r="T648" s="13"/>
      <c r="U648" s="12"/>
      <c r="V648" s="25"/>
      <c r="W648" s="25"/>
      <c r="X648" s="14" t="str">
        <f aca="false">IF(OR($V648="",$W648=""),"",IF(AND($V648&gt;=Spravochnik!$H$5,$W648&gt;=Spravochnik!$H$6),"Ha","Yo'q"))</f>
        <v/>
      </c>
      <c r="Y648" s="13"/>
      <c r="Z648" s="13"/>
      <c r="AA648" s="13"/>
      <c r="AB648" s="13"/>
      <c r="AC648" s="14" t="str">
        <f aca="false">IF(AND($B648&lt;&gt;"",$AE648="",$AB648&lt;&gt;"",$AB648&lt;Boshqaruv!$C$12),"Ha","")</f>
        <v/>
      </c>
      <c r="AD648" s="25"/>
      <c r="AE648" s="13"/>
      <c r="AF648" s="12"/>
      <c r="AG648" s="14" t="str">
        <f aca="false">IF(OR($B648="",$C648="",$H648=""),"",IF(COUNTIFS($B$5:$B$804,$B648,$C$5:$C$804,$C648,$H$5:$H$804,$H648)&gt;1,"Takror",""))</f>
        <v/>
      </c>
      <c r="AH648" s="28" t="str">
        <f aca="false">IF(AND($B648&lt;&gt;"",$N648="Ha",$H648&lt;&gt;"",$H648&lt;=Boshqaruv!$C$12,OR($AE648="",$AE648&gt;Boshqaruv!$C$12)),MAX($AH$4:$AH647)+1,"")</f>
        <v/>
      </c>
    </row>
    <row r="649" customFormat="false" ht="15" hidden="false" customHeight="false" outlineLevel="0" collapsed="false">
      <c r="A649" s="20" t="n">
        <v>645</v>
      </c>
      <c r="B649" s="12"/>
      <c r="C649" s="13"/>
      <c r="D649" s="24"/>
      <c r="E649" s="12"/>
      <c r="F649" s="25"/>
      <c r="G649" s="27" t="str">
        <f aca="false">IF(OR($B649="",$C649=""),"",$B649&amp;" ("&amp;DAY($C649)&amp;"."&amp;MONTH($C649)&amp;"."&amp;YEAR($C649)&amp;")")</f>
        <v/>
      </c>
      <c r="H649" s="13"/>
      <c r="I649" s="13"/>
      <c r="J649" s="15" t="str">
        <f aca="false">IF($I649="","",$I649+280)</f>
        <v/>
      </c>
      <c r="K649" s="14" t="str">
        <f aca="false">IF(OR($I649="",$AE649&lt;&gt;""),"",INT((Boshqaruv!$C$12-$I649)/7))</f>
        <v/>
      </c>
      <c r="L649" s="14" t="str">
        <f aca="false">IF(OR($C649="",$H649=""),"",INT(($H649-$C649)/365.25))</f>
        <v/>
      </c>
      <c r="M649" s="14" t="str">
        <f aca="false">IF($L649="","",IF($L649&lt;18,"Ha","Yo'q"))</f>
        <v/>
      </c>
      <c r="N649" s="25"/>
      <c r="O649" s="25"/>
      <c r="P649" s="25"/>
      <c r="Q649" s="12"/>
      <c r="R649" s="25"/>
      <c r="S649" s="12"/>
      <c r="T649" s="13"/>
      <c r="U649" s="12"/>
      <c r="V649" s="25"/>
      <c r="W649" s="25"/>
      <c r="X649" s="14" t="str">
        <f aca="false">IF(OR($V649="",$W649=""),"",IF(AND($V649&gt;=Spravochnik!$H$5,$W649&gt;=Spravochnik!$H$6),"Ha","Yo'q"))</f>
        <v/>
      </c>
      <c r="Y649" s="13"/>
      <c r="Z649" s="13"/>
      <c r="AA649" s="13"/>
      <c r="AB649" s="13"/>
      <c r="AC649" s="14" t="str">
        <f aca="false">IF(AND($B649&lt;&gt;"",$AE649="",$AB649&lt;&gt;"",$AB649&lt;Boshqaruv!$C$12),"Ha","")</f>
        <v/>
      </c>
      <c r="AD649" s="25"/>
      <c r="AE649" s="13"/>
      <c r="AF649" s="12"/>
      <c r="AG649" s="14" t="str">
        <f aca="false">IF(OR($B649="",$C649="",$H649=""),"",IF(COUNTIFS($B$5:$B$804,$B649,$C$5:$C$804,$C649,$H$5:$H$804,$H649)&gt;1,"Takror",""))</f>
        <v/>
      </c>
      <c r="AH649" s="28" t="str">
        <f aca="false">IF(AND($B649&lt;&gt;"",$N649="Ha",$H649&lt;&gt;"",$H649&lt;=Boshqaruv!$C$12,OR($AE649="",$AE649&gt;Boshqaruv!$C$12)),MAX($AH$4:$AH648)+1,"")</f>
        <v/>
      </c>
    </row>
    <row r="650" customFormat="false" ht="15" hidden="false" customHeight="false" outlineLevel="0" collapsed="false">
      <c r="A650" s="20" t="n">
        <v>646</v>
      </c>
      <c r="B650" s="12"/>
      <c r="C650" s="13"/>
      <c r="D650" s="24"/>
      <c r="E650" s="12"/>
      <c r="F650" s="25"/>
      <c r="G650" s="27" t="str">
        <f aca="false">IF(OR($B650="",$C650=""),"",$B650&amp;" ("&amp;DAY($C650)&amp;"."&amp;MONTH($C650)&amp;"."&amp;YEAR($C650)&amp;")")</f>
        <v/>
      </c>
      <c r="H650" s="13"/>
      <c r="I650" s="13"/>
      <c r="J650" s="15" t="str">
        <f aca="false">IF($I650="","",$I650+280)</f>
        <v/>
      </c>
      <c r="K650" s="14" t="str">
        <f aca="false">IF(OR($I650="",$AE650&lt;&gt;""),"",INT((Boshqaruv!$C$12-$I650)/7))</f>
        <v/>
      </c>
      <c r="L650" s="14" t="str">
        <f aca="false">IF(OR($C650="",$H650=""),"",INT(($H650-$C650)/365.25))</f>
        <v/>
      </c>
      <c r="M650" s="14" t="str">
        <f aca="false">IF($L650="","",IF($L650&lt;18,"Ha","Yo'q"))</f>
        <v/>
      </c>
      <c r="N650" s="25"/>
      <c r="O650" s="25"/>
      <c r="P650" s="25"/>
      <c r="Q650" s="12"/>
      <c r="R650" s="25"/>
      <c r="S650" s="12"/>
      <c r="T650" s="13"/>
      <c r="U650" s="12"/>
      <c r="V650" s="25"/>
      <c r="W650" s="25"/>
      <c r="X650" s="14" t="str">
        <f aca="false">IF(OR($V650="",$W650=""),"",IF(AND($V650&gt;=Spravochnik!$H$5,$W650&gt;=Spravochnik!$H$6),"Ha","Yo'q"))</f>
        <v/>
      </c>
      <c r="Y650" s="13"/>
      <c r="Z650" s="13"/>
      <c r="AA650" s="13"/>
      <c r="AB650" s="13"/>
      <c r="AC650" s="14" t="str">
        <f aca="false">IF(AND($B650&lt;&gt;"",$AE650="",$AB650&lt;&gt;"",$AB650&lt;Boshqaruv!$C$12),"Ha","")</f>
        <v/>
      </c>
      <c r="AD650" s="25"/>
      <c r="AE650" s="13"/>
      <c r="AF650" s="12"/>
      <c r="AG650" s="14" t="str">
        <f aca="false">IF(OR($B650="",$C650="",$H650=""),"",IF(COUNTIFS($B$5:$B$804,$B650,$C$5:$C$804,$C650,$H$5:$H$804,$H650)&gt;1,"Takror",""))</f>
        <v/>
      </c>
      <c r="AH650" s="28" t="str">
        <f aca="false">IF(AND($B650&lt;&gt;"",$N650="Ha",$H650&lt;&gt;"",$H650&lt;=Boshqaruv!$C$12,OR($AE650="",$AE650&gt;Boshqaruv!$C$12)),MAX($AH$4:$AH649)+1,"")</f>
        <v/>
      </c>
    </row>
    <row r="651" customFormat="false" ht="15" hidden="false" customHeight="false" outlineLevel="0" collapsed="false">
      <c r="A651" s="20" t="n">
        <v>647</v>
      </c>
      <c r="B651" s="12"/>
      <c r="C651" s="13"/>
      <c r="D651" s="24"/>
      <c r="E651" s="12"/>
      <c r="F651" s="25"/>
      <c r="G651" s="27" t="str">
        <f aca="false">IF(OR($B651="",$C651=""),"",$B651&amp;" ("&amp;DAY($C651)&amp;"."&amp;MONTH($C651)&amp;"."&amp;YEAR($C651)&amp;")")</f>
        <v/>
      </c>
      <c r="H651" s="13"/>
      <c r="I651" s="13"/>
      <c r="J651" s="15" t="str">
        <f aca="false">IF($I651="","",$I651+280)</f>
        <v/>
      </c>
      <c r="K651" s="14" t="str">
        <f aca="false">IF(OR($I651="",$AE651&lt;&gt;""),"",INT((Boshqaruv!$C$12-$I651)/7))</f>
        <v/>
      </c>
      <c r="L651" s="14" t="str">
        <f aca="false">IF(OR($C651="",$H651=""),"",INT(($H651-$C651)/365.25))</f>
        <v/>
      </c>
      <c r="M651" s="14" t="str">
        <f aca="false">IF($L651="","",IF($L651&lt;18,"Ha","Yo'q"))</f>
        <v/>
      </c>
      <c r="N651" s="25"/>
      <c r="O651" s="25"/>
      <c r="P651" s="25"/>
      <c r="Q651" s="12"/>
      <c r="R651" s="25"/>
      <c r="S651" s="12"/>
      <c r="T651" s="13"/>
      <c r="U651" s="12"/>
      <c r="V651" s="25"/>
      <c r="W651" s="25"/>
      <c r="X651" s="14" t="str">
        <f aca="false">IF(OR($V651="",$W651=""),"",IF(AND($V651&gt;=Spravochnik!$H$5,$W651&gt;=Spravochnik!$H$6),"Ha","Yo'q"))</f>
        <v/>
      </c>
      <c r="Y651" s="13"/>
      <c r="Z651" s="13"/>
      <c r="AA651" s="13"/>
      <c r="AB651" s="13"/>
      <c r="AC651" s="14" t="str">
        <f aca="false">IF(AND($B651&lt;&gt;"",$AE651="",$AB651&lt;&gt;"",$AB651&lt;Boshqaruv!$C$12),"Ha","")</f>
        <v/>
      </c>
      <c r="AD651" s="25"/>
      <c r="AE651" s="13"/>
      <c r="AF651" s="12"/>
      <c r="AG651" s="14" t="str">
        <f aca="false">IF(OR($B651="",$C651="",$H651=""),"",IF(COUNTIFS($B$5:$B$804,$B651,$C$5:$C$804,$C651,$H$5:$H$804,$H651)&gt;1,"Takror",""))</f>
        <v/>
      </c>
      <c r="AH651" s="28" t="str">
        <f aca="false">IF(AND($B651&lt;&gt;"",$N651="Ha",$H651&lt;&gt;"",$H651&lt;=Boshqaruv!$C$12,OR($AE651="",$AE651&gt;Boshqaruv!$C$12)),MAX($AH$4:$AH650)+1,"")</f>
        <v/>
      </c>
    </row>
    <row r="652" customFormat="false" ht="15" hidden="false" customHeight="false" outlineLevel="0" collapsed="false">
      <c r="A652" s="20" t="n">
        <v>648</v>
      </c>
      <c r="B652" s="12"/>
      <c r="C652" s="13"/>
      <c r="D652" s="24"/>
      <c r="E652" s="12"/>
      <c r="F652" s="25"/>
      <c r="G652" s="27" t="str">
        <f aca="false">IF(OR($B652="",$C652=""),"",$B652&amp;" ("&amp;DAY($C652)&amp;"."&amp;MONTH($C652)&amp;"."&amp;YEAR($C652)&amp;")")</f>
        <v/>
      </c>
      <c r="H652" s="13"/>
      <c r="I652" s="13"/>
      <c r="J652" s="15" t="str">
        <f aca="false">IF($I652="","",$I652+280)</f>
        <v/>
      </c>
      <c r="K652" s="14" t="str">
        <f aca="false">IF(OR($I652="",$AE652&lt;&gt;""),"",INT((Boshqaruv!$C$12-$I652)/7))</f>
        <v/>
      </c>
      <c r="L652" s="14" t="str">
        <f aca="false">IF(OR($C652="",$H652=""),"",INT(($H652-$C652)/365.25))</f>
        <v/>
      </c>
      <c r="M652" s="14" t="str">
        <f aca="false">IF($L652="","",IF($L652&lt;18,"Ha","Yo'q"))</f>
        <v/>
      </c>
      <c r="N652" s="25"/>
      <c r="O652" s="25"/>
      <c r="P652" s="25"/>
      <c r="Q652" s="12"/>
      <c r="R652" s="25"/>
      <c r="S652" s="12"/>
      <c r="T652" s="13"/>
      <c r="U652" s="12"/>
      <c r="V652" s="25"/>
      <c r="W652" s="25"/>
      <c r="X652" s="14" t="str">
        <f aca="false">IF(OR($V652="",$W652=""),"",IF(AND($V652&gt;=Spravochnik!$H$5,$W652&gt;=Spravochnik!$H$6),"Ha","Yo'q"))</f>
        <v/>
      </c>
      <c r="Y652" s="13"/>
      <c r="Z652" s="13"/>
      <c r="AA652" s="13"/>
      <c r="AB652" s="13"/>
      <c r="AC652" s="14" t="str">
        <f aca="false">IF(AND($B652&lt;&gt;"",$AE652="",$AB652&lt;&gt;"",$AB652&lt;Boshqaruv!$C$12),"Ha","")</f>
        <v/>
      </c>
      <c r="AD652" s="25"/>
      <c r="AE652" s="13"/>
      <c r="AF652" s="12"/>
      <c r="AG652" s="14" t="str">
        <f aca="false">IF(OR($B652="",$C652="",$H652=""),"",IF(COUNTIFS($B$5:$B$804,$B652,$C$5:$C$804,$C652,$H$5:$H$804,$H652)&gt;1,"Takror",""))</f>
        <v/>
      </c>
      <c r="AH652" s="28" t="str">
        <f aca="false">IF(AND($B652&lt;&gt;"",$N652="Ha",$H652&lt;&gt;"",$H652&lt;=Boshqaruv!$C$12,OR($AE652="",$AE652&gt;Boshqaruv!$C$12)),MAX($AH$4:$AH651)+1,"")</f>
        <v/>
      </c>
    </row>
    <row r="653" customFormat="false" ht="15" hidden="false" customHeight="false" outlineLevel="0" collapsed="false">
      <c r="A653" s="20" t="n">
        <v>649</v>
      </c>
      <c r="B653" s="12"/>
      <c r="C653" s="13"/>
      <c r="D653" s="24"/>
      <c r="E653" s="12"/>
      <c r="F653" s="25"/>
      <c r="G653" s="27" t="str">
        <f aca="false">IF(OR($B653="",$C653=""),"",$B653&amp;" ("&amp;DAY($C653)&amp;"."&amp;MONTH($C653)&amp;"."&amp;YEAR($C653)&amp;")")</f>
        <v/>
      </c>
      <c r="H653" s="13"/>
      <c r="I653" s="13"/>
      <c r="J653" s="15" t="str">
        <f aca="false">IF($I653="","",$I653+280)</f>
        <v/>
      </c>
      <c r="K653" s="14" t="str">
        <f aca="false">IF(OR($I653="",$AE653&lt;&gt;""),"",INT((Boshqaruv!$C$12-$I653)/7))</f>
        <v/>
      </c>
      <c r="L653" s="14" t="str">
        <f aca="false">IF(OR($C653="",$H653=""),"",INT(($H653-$C653)/365.25))</f>
        <v/>
      </c>
      <c r="M653" s="14" t="str">
        <f aca="false">IF($L653="","",IF($L653&lt;18,"Ha","Yo'q"))</f>
        <v/>
      </c>
      <c r="N653" s="25"/>
      <c r="O653" s="25"/>
      <c r="P653" s="25"/>
      <c r="Q653" s="12"/>
      <c r="R653" s="25"/>
      <c r="S653" s="12"/>
      <c r="T653" s="13"/>
      <c r="U653" s="12"/>
      <c r="V653" s="25"/>
      <c r="W653" s="25"/>
      <c r="X653" s="14" t="str">
        <f aca="false">IF(OR($V653="",$W653=""),"",IF(AND($V653&gt;=Spravochnik!$H$5,$W653&gt;=Spravochnik!$H$6),"Ha","Yo'q"))</f>
        <v/>
      </c>
      <c r="Y653" s="13"/>
      <c r="Z653" s="13"/>
      <c r="AA653" s="13"/>
      <c r="AB653" s="13"/>
      <c r="AC653" s="14" t="str">
        <f aca="false">IF(AND($B653&lt;&gt;"",$AE653="",$AB653&lt;&gt;"",$AB653&lt;Boshqaruv!$C$12),"Ha","")</f>
        <v/>
      </c>
      <c r="AD653" s="25"/>
      <c r="AE653" s="13"/>
      <c r="AF653" s="12"/>
      <c r="AG653" s="14" t="str">
        <f aca="false">IF(OR($B653="",$C653="",$H653=""),"",IF(COUNTIFS($B$5:$B$804,$B653,$C$5:$C$804,$C653,$H$5:$H$804,$H653)&gt;1,"Takror",""))</f>
        <v/>
      </c>
      <c r="AH653" s="28" t="str">
        <f aca="false">IF(AND($B653&lt;&gt;"",$N653="Ha",$H653&lt;&gt;"",$H653&lt;=Boshqaruv!$C$12,OR($AE653="",$AE653&gt;Boshqaruv!$C$12)),MAX($AH$4:$AH652)+1,"")</f>
        <v/>
      </c>
    </row>
    <row r="654" customFormat="false" ht="15" hidden="false" customHeight="false" outlineLevel="0" collapsed="false">
      <c r="A654" s="20" t="n">
        <v>650</v>
      </c>
      <c r="B654" s="12"/>
      <c r="C654" s="13"/>
      <c r="D654" s="24"/>
      <c r="E654" s="12"/>
      <c r="F654" s="25"/>
      <c r="G654" s="27" t="str">
        <f aca="false">IF(OR($B654="",$C654=""),"",$B654&amp;" ("&amp;DAY($C654)&amp;"."&amp;MONTH($C654)&amp;"."&amp;YEAR($C654)&amp;")")</f>
        <v/>
      </c>
      <c r="H654" s="13"/>
      <c r="I654" s="13"/>
      <c r="J654" s="15" t="str">
        <f aca="false">IF($I654="","",$I654+280)</f>
        <v/>
      </c>
      <c r="K654" s="14" t="str">
        <f aca="false">IF(OR($I654="",$AE654&lt;&gt;""),"",INT((Boshqaruv!$C$12-$I654)/7))</f>
        <v/>
      </c>
      <c r="L654" s="14" t="str">
        <f aca="false">IF(OR($C654="",$H654=""),"",INT(($H654-$C654)/365.25))</f>
        <v/>
      </c>
      <c r="M654" s="14" t="str">
        <f aca="false">IF($L654="","",IF($L654&lt;18,"Ha","Yo'q"))</f>
        <v/>
      </c>
      <c r="N654" s="25"/>
      <c r="O654" s="25"/>
      <c r="P654" s="25"/>
      <c r="Q654" s="12"/>
      <c r="R654" s="25"/>
      <c r="S654" s="12"/>
      <c r="T654" s="13"/>
      <c r="U654" s="12"/>
      <c r="V654" s="25"/>
      <c r="W654" s="25"/>
      <c r="X654" s="14" t="str">
        <f aca="false">IF(OR($V654="",$W654=""),"",IF(AND($V654&gt;=Spravochnik!$H$5,$W654&gt;=Spravochnik!$H$6),"Ha","Yo'q"))</f>
        <v/>
      </c>
      <c r="Y654" s="13"/>
      <c r="Z654" s="13"/>
      <c r="AA654" s="13"/>
      <c r="AB654" s="13"/>
      <c r="AC654" s="14" t="str">
        <f aca="false">IF(AND($B654&lt;&gt;"",$AE654="",$AB654&lt;&gt;"",$AB654&lt;Boshqaruv!$C$12),"Ha","")</f>
        <v/>
      </c>
      <c r="AD654" s="25"/>
      <c r="AE654" s="13"/>
      <c r="AF654" s="12"/>
      <c r="AG654" s="14" t="str">
        <f aca="false">IF(OR($B654="",$C654="",$H654=""),"",IF(COUNTIFS($B$5:$B$804,$B654,$C$5:$C$804,$C654,$H$5:$H$804,$H654)&gt;1,"Takror",""))</f>
        <v/>
      </c>
      <c r="AH654" s="28" t="str">
        <f aca="false">IF(AND($B654&lt;&gt;"",$N654="Ha",$H654&lt;&gt;"",$H654&lt;=Boshqaruv!$C$12,OR($AE654="",$AE654&gt;Boshqaruv!$C$12)),MAX($AH$4:$AH653)+1,"")</f>
        <v/>
      </c>
    </row>
    <row r="655" customFormat="false" ht="15" hidden="false" customHeight="false" outlineLevel="0" collapsed="false">
      <c r="A655" s="20" t="n">
        <v>651</v>
      </c>
      <c r="B655" s="12"/>
      <c r="C655" s="13"/>
      <c r="D655" s="24"/>
      <c r="E655" s="12"/>
      <c r="F655" s="25"/>
      <c r="G655" s="27" t="str">
        <f aca="false">IF(OR($B655="",$C655=""),"",$B655&amp;" ("&amp;DAY($C655)&amp;"."&amp;MONTH($C655)&amp;"."&amp;YEAR($C655)&amp;")")</f>
        <v/>
      </c>
      <c r="H655" s="13"/>
      <c r="I655" s="13"/>
      <c r="J655" s="15" t="str">
        <f aca="false">IF($I655="","",$I655+280)</f>
        <v/>
      </c>
      <c r="K655" s="14" t="str">
        <f aca="false">IF(OR($I655="",$AE655&lt;&gt;""),"",INT((Boshqaruv!$C$12-$I655)/7))</f>
        <v/>
      </c>
      <c r="L655" s="14" t="str">
        <f aca="false">IF(OR($C655="",$H655=""),"",INT(($H655-$C655)/365.25))</f>
        <v/>
      </c>
      <c r="M655" s="14" t="str">
        <f aca="false">IF($L655="","",IF($L655&lt;18,"Ha","Yo'q"))</f>
        <v/>
      </c>
      <c r="N655" s="25"/>
      <c r="O655" s="25"/>
      <c r="P655" s="25"/>
      <c r="Q655" s="12"/>
      <c r="R655" s="25"/>
      <c r="S655" s="12"/>
      <c r="T655" s="13"/>
      <c r="U655" s="12"/>
      <c r="V655" s="25"/>
      <c r="W655" s="25"/>
      <c r="X655" s="14" t="str">
        <f aca="false">IF(OR($V655="",$W655=""),"",IF(AND($V655&gt;=Spravochnik!$H$5,$W655&gt;=Spravochnik!$H$6),"Ha","Yo'q"))</f>
        <v/>
      </c>
      <c r="Y655" s="13"/>
      <c r="Z655" s="13"/>
      <c r="AA655" s="13"/>
      <c r="AB655" s="13"/>
      <c r="AC655" s="14" t="str">
        <f aca="false">IF(AND($B655&lt;&gt;"",$AE655="",$AB655&lt;&gt;"",$AB655&lt;Boshqaruv!$C$12),"Ha","")</f>
        <v/>
      </c>
      <c r="AD655" s="25"/>
      <c r="AE655" s="13"/>
      <c r="AF655" s="12"/>
      <c r="AG655" s="14" t="str">
        <f aca="false">IF(OR($B655="",$C655="",$H655=""),"",IF(COUNTIFS($B$5:$B$804,$B655,$C$5:$C$804,$C655,$H$5:$H$804,$H655)&gt;1,"Takror",""))</f>
        <v/>
      </c>
      <c r="AH655" s="28" t="str">
        <f aca="false">IF(AND($B655&lt;&gt;"",$N655="Ha",$H655&lt;&gt;"",$H655&lt;=Boshqaruv!$C$12,OR($AE655="",$AE655&gt;Boshqaruv!$C$12)),MAX($AH$4:$AH654)+1,"")</f>
        <v/>
      </c>
    </row>
    <row r="656" customFormat="false" ht="15" hidden="false" customHeight="false" outlineLevel="0" collapsed="false">
      <c r="A656" s="20" t="n">
        <v>652</v>
      </c>
      <c r="B656" s="12"/>
      <c r="C656" s="13"/>
      <c r="D656" s="24"/>
      <c r="E656" s="12"/>
      <c r="F656" s="25"/>
      <c r="G656" s="27" t="str">
        <f aca="false">IF(OR($B656="",$C656=""),"",$B656&amp;" ("&amp;DAY($C656)&amp;"."&amp;MONTH($C656)&amp;"."&amp;YEAR($C656)&amp;")")</f>
        <v/>
      </c>
      <c r="H656" s="13"/>
      <c r="I656" s="13"/>
      <c r="J656" s="15" t="str">
        <f aca="false">IF($I656="","",$I656+280)</f>
        <v/>
      </c>
      <c r="K656" s="14" t="str">
        <f aca="false">IF(OR($I656="",$AE656&lt;&gt;""),"",INT((Boshqaruv!$C$12-$I656)/7))</f>
        <v/>
      </c>
      <c r="L656" s="14" t="str">
        <f aca="false">IF(OR($C656="",$H656=""),"",INT(($H656-$C656)/365.25))</f>
        <v/>
      </c>
      <c r="M656" s="14" t="str">
        <f aca="false">IF($L656="","",IF($L656&lt;18,"Ha","Yo'q"))</f>
        <v/>
      </c>
      <c r="N656" s="25"/>
      <c r="O656" s="25"/>
      <c r="P656" s="25"/>
      <c r="Q656" s="12"/>
      <c r="R656" s="25"/>
      <c r="S656" s="12"/>
      <c r="T656" s="13"/>
      <c r="U656" s="12"/>
      <c r="V656" s="25"/>
      <c r="W656" s="25"/>
      <c r="X656" s="14" t="str">
        <f aca="false">IF(OR($V656="",$W656=""),"",IF(AND($V656&gt;=Spravochnik!$H$5,$W656&gt;=Spravochnik!$H$6),"Ha","Yo'q"))</f>
        <v/>
      </c>
      <c r="Y656" s="13"/>
      <c r="Z656" s="13"/>
      <c r="AA656" s="13"/>
      <c r="AB656" s="13"/>
      <c r="AC656" s="14" t="str">
        <f aca="false">IF(AND($B656&lt;&gt;"",$AE656="",$AB656&lt;&gt;"",$AB656&lt;Boshqaruv!$C$12),"Ha","")</f>
        <v/>
      </c>
      <c r="AD656" s="25"/>
      <c r="AE656" s="13"/>
      <c r="AF656" s="12"/>
      <c r="AG656" s="14" t="str">
        <f aca="false">IF(OR($B656="",$C656="",$H656=""),"",IF(COUNTIFS($B$5:$B$804,$B656,$C$5:$C$804,$C656,$H$5:$H$804,$H656)&gt;1,"Takror",""))</f>
        <v/>
      </c>
      <c r="AH656" s="28" t="str">
        <f aca="false">IF(AND($B656&lt;&gt;"",$N656="Ha",$H656&lt;&gt;"",$H656&lt;=Boshqaruv!$C$12,OR($AE656="",$AE656&gt;Boshqaruv!$C$12)),MAX($AH$4:$AH655)+1,"")</f>
        <v/>
      </c>
    </row>
    <row r="657" customFormat="false" ht="15" hidden="false" customHeight="false" outlineLevel="0" collapsed="false">
      <c r="A657" s="20" t="n">
        <v>653</v>
      </c>
      <c r="B657" s="12"/>
      <c r="C657" s="13"/>
      <c r="D657" s="24"/>
      <c r="E657" s="12"/>
      <c r="F657" s="25"/>
      <c r="G657" s="27" t="str">
        <f aca="false">IF(OR($B657="",$C657=""),"",$B657&amp;" ("&amp;DAY($C657)&amp;"."&amp;MONTH($C657)&amp;"."&amp;YEAR($C657)&amp;")")</f>
        <v/>
      </c>
      <c r="H657" s="13"/>
      <c r="I657" s="13"/>
      <c r="J657" s="15" t="str">
        <f aca="false">IF($I657="","",$I657+280)</f>
        <v/>
      </c>
      <c r="K657" s="14" t="str">
        <f aca="false">IF(OR($I657="",$AE657&lt;&gt;""),"",INT((Boshqaruv!$C$12-$I657)/7))</f>
        <v/>
      </c>
      <c r="L657" s="14" t="str">
        <f aca="false">IF(OR($C657="",$H657=""),"",INT(($H657-$C657)/365.25))</f>
        <v/>
      </c>
      <c r="M657" s="14" t="str">
        <f aca="false">IF($L657="","",IF($L657&lt;18,"Ha","Yo'q"))</f>
        <v/>
      </c>
      <c r="N657" s="25"/>
      <c r="O657" s="25"/>
      <c r="P657" s="25"/>
      <c r="Q657" s="12"/>
      <c r="R657" s="25"/>
      <c r="S657" s="12"/>
      <c r="T657" s="13"/>
      <c r="U657" s="12"/>
      <c r="V657" s="25"/>
      <c r="W657" s="25"/>
      <c r="X657" s="14" t="str">
        <f aca="false">IF(OR($V657="",$W657=""),"",IF(AND($V657&gt;=Spravochnik!$H$5,$W657&gt;=Spravochnik!$H$6),"Ha","Yo'q"))</f>
        <v/>
      </c>
      <c r="Y657" s="13"/>
      <c r="Z657" s="13"/>
      <c r="AA657" s="13"/>
      <c r="AB657" s="13"/>
      <c r="AC657" s="14" t="str">
        <f aca="false">IF(AND($B657&lt;&gt;"",$AE657="",$AB657&lt;&gt;"",$AB657&lt;Boshqaruv!$C$12),"Ha","")</f>
        <v/>
      </c>
      <c r="AD657" s="25"/>
      <c r="AE657" s="13"/>
      <c r="AF657" s="12"/>
      <c r="AG657" s="14" t="str">
        <f aca="false">IF(OR($B657="",$C657="",$H657=""),"",IF(COUNTIFS($B$5:$B$804,$B657,$C$5:$C$804,$C657,$H$5:$H$804,$H657)&gt;1,"Takror",""))</f>
        <v/>
      </c>
      <c r="AH657" s="28" t="str">
        <f aca="false">IF(AND($B657&lt;&gt;"",$N657="Ha",$H657&lt;&gt;"",$H657&lt;=Boshqaruv!$C$12,OR($AE657="",$AE657&gt;Boshqaruv!$C$12)),MAX($AH$4:$AH656)+1,"")</f>
        <v/>
      </c>
    </row>
    <row r="658" customFormat="false" ht="15" hidden="false" customHeight="false" outlineLevel="0" collapsed="false">
      <c r="A658" s="20" t="n">
        <v>654</v>
      </c>
      <c r="B658" s="12"/>
      <c r="C658" s="13"/>
      <c r="D658" s="24"/>
      <c r="E658" s="12"/>
      <c r="F658" s="25"/>
      <c r="G658" s="27" t="str">
        <f aca="false">IF(OR($B658="",$C658=""),"",$B658&amp;" ("&amp;DAY($C658)&amp;"."&amp;MONTH($C658)&amp;"."&amp;YEAR($C658)&amp;")")</f>
        <v/>
      </c>
      <c r="H658" s="13"/>
      <c r="I658" s="13"/>
      <c r="J658" s="15" t="str">
        <f aca="false">IF($I658="","",$I658+280)</f>
        <v/>
      </c>
      <c r="K658" s="14" t="str">
        <f aca="false">IF(OR($I658="",$AE658&lt;&gt;""),"",INT((Boshqaruv!$C$12-$I658)/7))</f>
        <v/>
      </c>
      <c r="L658" s="14" t="str">
        <f aca="false">IF(OR($C658="",$H658=""),"",INT(($H658-$C658)/365.25))</f>
        <v/>
      </c>
      <c r="M658" s="14" t="str">
        <f aca="false">IF($L658="","",IF($L658&lt;18,"Ha","Yo'q"))</f>
        <v/>
      </c>
      <c r="N658" s="25"/>
      <c r="O658" s="25"/>
      <c r="P658" s="25"/>
      <c r="Q658" s="12"/>
      <c r="R658" s="25"/>
      <c r="S658" s="12"/>
      <c r="T658" s="13"/>
      <c r="U658" s="12"/>
      <c r="V658" s="25"/>
      <c r="W658" s="25"/>
      <c r="X658" s="14" t="str">
        <f aca="false">IF(OR($V658="",$W658=""),"",IF(AND($V658&gt;=Spravochnik!$H$5,$W658&gt;=Spravochnik!$H$6),"Ha","Yo'q"))</f>
        <v/>
      </c>
      <c r="Y658" s="13"/>
      <c r="Z658" s="13"/>
      <c r="AA658" s="13"/>
      <c r="AB658" s="13"/>
      <c r="AC658" s="14" t="str">
        <f aca="false">IF(AND($B658&lt;&gt;"",$AE658="",$AB658&lt;&gt;"",$AB658&lt;Boshqaruv!$C$12),"Ha","")</f>
        <v/>
      </c>
      <c r="AD658" s="25"/>
      <c r="AE658" s="13"/>
      <c r="AF658" s="12"/>
      <c r="AG658" s="14" t="str">
        <f aca="false">IF(OR($B658="",$C658="",$H658=""),"",IF(COUNTIFS($B$5:$B$804,$B658,$C$5:$C$804,$C658,$H$5:$H$804,$H658)&gt;1,"Takror",""))</f>
        <v/>
      </c>
      <c r="AH658" s="28" t="str">
        <f aca="false">IF(AND($B658&lt;&gt;"",$N658="Ha",$H658&lt;&gt;"",$H658&lt;=Boshqaruv!$C$12,OR($AE658="",$AE658&gt;Boshqaruv!$C$12)),MAX($AH$4:$AH657)+1,"")</f>
        <v/>
      </c>
    </row>
    <row r="659" customFormat="false" ht="15" hidden="false" customHeight="false" outlineLevel="0" collapsed="false">
      <c r="A659" s="20" t="n">
        <v>655</v>
      </c>
      <c r="B659" s="12"/>
      <c r="C659" s="13"/>
      <c r="D659" s="24"/>
      <c r="E659" s="12"/>
      <c r="F659" s="25"/>
      <c r="G659" s="27" t="str">
        <f aca="false">IF(OR($B659="",$C659=""),"",$B659&amp;" ("&amp;DAY($C659)&amp;"."&amp;MONTH($C659)&amp;"."&amp;YEAR($C659)&amp;")")</f>
        <v/>
      </c>
      <c r="H659" s="13"/>
      <c r="I659" s="13"/>
      <c r="J659" s="15" t="str">
        <f aca="false">IF($I659="","",$I659+280)</f>
        <v/>
      </c>
      <c r="K659" s="14" t="str">
        <f aca="false">IF(OR($I659="",$AE659&lt;&gt;""),"",INT((Boshqaruv!$C$12-$I659)/7))</f>
        <v/>
      </c>
      <c r="L659" s="14" t="str">
        <f aca="false">IF(OR($C659="",$H659=""),"",INT(($H659-$C659)/365.25))</f>
        <v/>
      </c>
      <c r="M659" s="14" t="str">
        <f aca="false">IF($L659="","",IF($L659&lt;18,"Ha","Yo'q"))</f>
        <v/>
      </c>
      <c r="N659" s="25"/>
      <c r="O659" s="25"/>
      <c r="P659" s="25"/>
      <c r="Q659" s="12"/>
      <c r="R659" s="25"/>
      <c r="S659" s="12"/>
      <c r="T659" s="13"/>
      <c r="U659" s="12"/>
      <c r="V659" s="25"/>
      <c r="W659" s="25"/>
      <c r="X659" s="14" t="str">
        <f aca="false">IF(OR($V659="",$W659=""),"",IF(AND($V659&gt;=Spravochnik!$H$5,$W659&gt;=Spravochnik!$H$6),"Ha","Yo'q"))</f>
        <v/>
      </c>
      <c r="Y659" s="13"/>
      <c r="Z659" s="13"/>
      <c r="AA659" s="13"/>
      <c r="AB659" s="13"/>
      <c r="AC659" s="14" t="str">
        <f aca="false">IF(AND($B659&lt;&gt;"",$AE659="",$AB659&lt;&gt;"",$AB659&lt;Boshqaruv!$C$12),"Ha","")</f>
        <v/>
      </c>
      <c r="AD659" s="25"/>
      <c r="AE659" s="13"/>
      <c r="AF659" s="12"/>
      <c r="AG659" s="14" t="str">
        <f aca="false">IF(OR($B659="",$C659="",$H659=""),"",IF(COUNTIFS($B$5:$B$804,$B659,$C$5:$C$804,$C659,$H$5:$H$804,$H659)&gt;1,"Takror",""))</f>
        <v/>
      </c>
      <c r="AH659" s="28" t="str">
        <f aca="false">IF(AND($B659&lt;&gt;"",$N659="Ha",$H659&lt;&gt;"",$H659&lt;=Boshqaruv!$C$12,OR($AE659="",$AE659&gt;Boshqaruv!$C$12)),MAX($AH$4:$AH658)+1,"")</f>
        <v/>
      </c>
    </row>
    <row r="660" customFormat="false" ht="15" hidden="false" customHeight="false" outlineLevel="0" collapsed="false">
      <c r="A660" s="20" t="n">
        <v>656</v>
      </c>
      <c r="B660" s="12"/>
      <c r="C660" s="13"/>
      <c r="D660" s="24"/>
      <c r="E660" s="12"/>
      <c r="F660" s="25"/>
      <c r="G660" s="27" t="str">
        <f aca="false">IF(OR($B660="",$C660=""),"",$B660&amp;" ("&amp;DAY($C660)&amp;"."&amp;MONTH($C660)&amp;"."&amp;YEAR($C660)&amp;")")</f>
        <v/>
      </c>
      <c r="H660" s="13"/>
      <c r="I660" s="13"/>
      <c r="J660" s="15" t="str">
        <f aca="false">IF($I660="","",$I660+280)</f>
        <v/>
      </c>
      <c r="K660" s="14" t="str">
        <f aca="false">IF(OR($I660="",$AE660&lt;&gt;""),"",INT((Boshqaruv!$C$12-$I660)/7))</f>
        <v/>
      </c>
      <c r="L660" s="14" t="str">
        <f aca="false">IF(OR($C660="",$H660=""),"",INT(($H660-$C660)/365.25))</f>
        <v/>
      </c>
      <c r="M660" s="14" t="str">
        <f aca="false">IF($L660="","",IF($L660&lt;18,"Ha","Yo'q"))</f>
        <v/>
      </c>
      <c r="N660" s="25"/>
      <c r="O660" s="25"/>
      <c r="P660" s="25"/>
      <c r="Q660" s="12"/>
      <c r="R660" s="25"/>
      <c r="S660" s="12"/>
      <c r="T660" s="13"/>
      <c r="U660" s="12"/>
      <c r="V660" s="25"/>
      <c r="W660" s="25"/>
      <c r="X660" s="14" t="str">
        <f aca="false">IF(OR($V660="",$W660=""),"",IF(AND($V660&gt;=Spravochnik!$H$5,$W660&gt;=Spravochnik!$H$6),"Ha","Yo'q"))</f>
        <v/>
      </c>
      <c r="Y660" s="13"/>
      <c r="Z660" s="13"/>
      <c r="AA660" s="13"/>
      <c r="AB660" s="13"/>
      <c r="AC660" s="14" t="str">
        <f aca="false">IF(AND($B660&lt;&gt;"",$AE660="",$AB660&lt;&gt;"",$AB660&lt;Boshqaruv!$C$12),"Ha","")</f>
        <v/>
      </c>
      <c r="AD660" s="25"/>
      <c r="AE660" s="13"/>
      <c r="AF660" s="12"/>
      <c r="AG660" s="14" t="str">
        <f aca="false">IF(OR($B660="",$C660="",$H660=""),"",IF(COUNTIFS($B$5:$B$804,$B660,$C$5:$C$804,$C660,$H$5:$H$804,$H660)&gt;1,"Takror",""))</f>
        <v/>
      </c>
      <c r="AH660" s="28" t="str">
        <f aca="false">IF(AND($B660&lt;&gt;"",$N660="Ha",$H660&lt;&gt;"",$H660&lt;=Boshqaruv!$C$12,OR($AE660="",$AE660&gt;Boshqaruv!$C$12)),MAX($AH$4:$AH659)+1,"")</f>
        <v/>
      </c>
    </row>
    <row r="661" customFormat="false" ht="15" hidden="false" customHeight="false" outlineLevel="0" collapsed="false">
      <c r="A661" s="20" t="n">
        <v>657</v>
      </c>
      <c r="B661" s="12"/>
      <c r="C661" s="13"/>
      <c r="D661" s="24"/>
      <c r="E661" s="12"/>
      <c r="F661" s="25"/>
      <c r="G661" s="27" t="str">
        <f aca="false">IF(OR($B661="",$C661=""),"",$B661&amp;" ("&amp;DAY($C661)&amp;"."&amp;MONTH($C661)&amp;"."&amp;YEAR($C661)&amp;")")</f>
        <v/>
      </c>
      <c r="H661" s="13"/>
      <c r="I661" s="13"/>
      <c r="J661" s="15" t="str">
        <f aca="false">IF($I661="","",$I661+280)</f>
        <v/>
      </c>
      <c r="K661" s="14" t="str">
        <f aca="false">IF(OR($I661="",$AE661&lt;&gt;""),"",INT((Boshqaruv!$C$12-$I661)/7))</f>
        <v/>
      </c>
      <c r="L661" s="14" t="str">
        <f aca="false">IF(OR($C661="",$H661=""),"",INT(($H661-$C661)/365.25))</f>
        <v/>
      </c>
      <c r="M661" s="14" t="str">
        <f aca="false">IF($L661="","",IF($L661&lt;18,"Ha","Yo'q"))</f>
        <v/>
      </c>
      <c r="N661" s="25"/>
      <c r="O661" s="25"/>
      <c r="P661" s="25"/>
      <c r="Q661" s="12"/>
      <c r="R661" s="25"/>
      <c r="S661" s="12"/>
      <c r="T661" s="13"/>
      <c r="U661" s="12"/>
      <c r="V661" s="25"/>
      <c r="W661" s="25"/>
      <c r="X661" s="14" t="str">
        <f aca="false">IF(OR($V661="",$W661=""),"",IF(AND($V661&gt;=Spravochnik!$H$5,$W661&gt;=Spravochnik!$H$6),"Ha","Yo'q"))</f>
        <v/>
      </c>
      <c r="Y661" s="13"/>
      <c r="Z661" s="13"/>
      <c r="AA661" s="13"/>
      <c r="AB661" s="13"/>
      <c r="AC661" s="14" t="str">
        <f aca="false">IF(AND($B661&lt;&gt;"",$AE661="",$AB661&lt;&gt;"",$AB661&lt;Boshqaruv!$C$12),"Ha","")</f>
        <v/>
      </c>
      <c r="AD661" s="25"/>
      <c r="AE661" s="13"/>
      <c r="AF661" s="12"/>
      <c r="AG661" s="14" t="str">
        <f aca="false">IF(OR($B661="",$C661="",$H661=""),"",IF(COUNTIFS($B$5:$B$804,$B661,$C$5:$C$804,$C661,$H$5:$H$804,$H661)&gt;1,"Takror",""))</f>
        <v/>
      </c>
      <c r="AH661" s="28" t="str">
        <f aca="false">IF(AND($B661&lt;&gt;"",$N661="Ha",$H661&lt;&gt;"",$H661&lt;=Boshqaruv!$C$12,OR($AE661="",$AE661&gt;Boshqaruv!$C$12)),MAX($AH$4:$AH660)+1,"")</f>
        <v/>
      </c>
    </row>
    <row r="662" customFormat="false" ht="15" hidden="false" customHeight="false" outlineLevel="0" collapsed="false">
      <c r="A662" s="20" t="n">
        <v>658</v>
      </c>
      <c r="B662" s="12"/>
      <c r="C662" s="13"/>
      <c r="D662" s="24"/>
      <c r="E662" s="12"/>
      <c r="F662" s="25"/>
      <c r="G662" s="27" t="str">
        <f aca="false">IF(OR($B662="",$C662=""),"",$B662&amp;" ("&amp;DAY($C662)&amp;"."&amp;MONTH($C662)&amp;"."&amp;YEAR($C662)&amp;")")</f>
        <v/>
      </c>
      <c r="H662" s="13"/>
      <c r="I662" s="13"/>
      <c r="J662" s="15" t="str">
        <f aca="false">IF($I662="","",$I662+280)</f>
        <v/>
      </c>
      <c r="K662" s="14" t="str">
        <f aca="false">IF(OR($I662="",$AE662&lt;&gt;""),"",INT((Boshqaruv!$C$12-$I662)/7))</f>
        <v/>
      </c>
      <c r="L662" s="14" t="str">
        <f aca="false">IF(OR($C662="",$H662=""),"",INT(($H662-$C662)/365.25))</f>
        <v/>
      </c>
      <c r="M662" s="14" t="str">
        <f aca="false">IF($L662="","",IF($L662&lt;18,"Ha","Yo'q"))</f>
        <v/>
      </c>
      <c r="N662" s="25"/>
      <c r="O662" s="25"/>
      <c r="P662" s="25"/>
      <c r="Q662" s="12"/>
      <c r="R662" s="25"/>
      <c r="S662" s="12"/>
      <c r="T662" s="13"/>
      <c r="U662" s="12"/>
      <c r="V662" s="25"/>
      <c r="W662" s="25"/>
      <c r="X662" s="14" t="str">
        <f aca="false">IF(OR($V662="",$W662=""),"",IF(AND($V662&gt;=Spravochnik!$H$5,$W662&gt;=Spravochnik!$H$6),"Ha","Yo'q"))</f>
        <v/>
      </c>
      <c r="Y662" s="13"/>
      <c r="Z662" s="13"/>
      <c r="AA662" s="13"/>
      <c r="AB662" s="13"/>
      <c r="AC662" s="14" t="str">
        <f aca="false">IF(AND($B662&lt;&gt;"",$AE662="",$AB662&lt;&gt;"",$AB662&lt;Boshqaruv!$C$12),"Ha","")</f>
        <v/>
      </c>
      <c r="AD662" s="25"/>
      <c r="AE662" s="13"/>
      <c r="AF662" s="12"/>
      <c r="AG662" s="14" t="str">
        <f aca="false">IF(OR($B662="",$C662="",$H662=""),"",IF(COUNTIFS($B$5:$B$804,$B662,$C$5:$C$804,$C662,$H$5:$H$804,$H662)&gt;1,"Takror",""))</f>
        <v/>
      </c>
      <c r="AH662" s="28" t="str">
        <f aca="false">IF(AND($B662&lt;&gt;"",$N662="Ha",$H662&lt;&gt;"",$H662&lt;=Boshqaruv!$C$12,OR($AE662="",$AE662&gt;Boshqaruv!$C$12)),MAX($AH$4:$AH661)+1,"")</f>
        <v/>
      </c>
    </row>
    <row r="663" customFormat="false" ht="15" hidden="false" customHeight="false" outlineLevel="0" collapsed="false">
      <c r="A663" s="20" t="n">
        <v>659</v>
      </c>
      <c r="B663" s="12"/>
      <c r="C663" s="13"/>
      <c r="D663" s="24"/>
      <c r="E663" s="12"/>
      <c r="F663" s="25"/>
      <c r="G663" s="27" t="str">
        <f aca="false">IF(OR($B663="",$C663=""),"",$B663&amp;" ("&amp;DAY($C663)&amp;"."&amp;MONTH($C663)&amp;"."&amp;YEAR($C663)&amp;")")</f>
        <v/>
      </c>
      <c r="H663" s="13"/>
      <c r="I663" s="13"/>
      <c r="J663" s="15" t="str">
        <f aca="false">IF($I663="","",$I663+280)</f>
        <v/>
      </c>
      <c r="K663" s="14" t="str">
        <f aca="false">IF(OR($I663="",$AE663&lt;&gt;""),"",INT((Boshqaruv!$C$12-$I663)/7))</f>
        <v/>
      </c>
      <c r="L663" s="14" t="str">
        <f aca="false">IF(OR($C663="",$H663=""),"",INT(($H663-$C663)/365.25))</f>
        <v/>
      </c>
      <c r="M663" s="14" t="str">
        <f aca="false">IF($L663="","",IF($L663&lt;18,"Ha","Yo'q"))</f>
        <v/>
      </c>
      <c r="N663" s="25"/>
      <c r="O663" s="25"/>
      <c r="P663" s="25"/>
      <c r="Q663" s="12"/>
      <c r="R663" s="25"/>
      <c r="S663" s="12"/>
      <c r="T663" s="13"/>
      <c r="U663" s="12"/>
      <c r="V663" s="25"/>
      <c r="W663" s="25"/>
      <c r="X663" s="14" t="str">
        <f aca="false">IF(OR($V663="",$W663=""),"",IF(AND($V663&gt;=Spravochnik!$H$5,$W663&gt;=Spravochnik!$H$6),"Ha","Yo'q"))</f>
        <v/>
      </c>
      <c r="Y663" s="13"/>
      <c r="Z663" s="13"/>
      <c r="AA663" s="13"/>
      <c r="AB663" s="13"/>
      <c r="AC663" s="14" t="str">
        <f aca="false">IF(AND($B663&lt;&gt;"",$AE663="",$AB663&lt;&gt;"",$AB663&lt;Boshqaruv!$C$12),"Ha","")</f>
        <v/>
      </c>
      <c r="AD663" s="25"/>
      <c r="AE663" s="13"/>
      <c r="AF663" s="12"/>
      <c r="AG663" s="14" t="str">
        <f aca="false">IF(OR($B663="",$C663="",$H663=""),"",IF(COUNTIFS($B$5:$B$804,$B663,$C$5:$C$804,$C663,$H$5:$H$804,$H663)&gt;1,"Takror",""))</f>
        <v/>
      </c>
      <c r="AH663" s="28" t="str">
        <f aca="false">IF(AND($B663&lt;&gt;"",$N663="Ha",$H663&lt;&gt;"",$H663&lt;=Boshqaruv!$C$12,OR($AE663="",$AE663&gt;Boshqaruv!$C$12)),MAX($AH$4:$AH662)+1,"")</f>
        <v/>
      </c>
    </row>
    <row r="664" customFormat="false" ht="15" hidden="false" customHeight="false" outlineLevel="0" collapsed="false">
      <c r="A664" s="20" t="n">
        <v>660</v>
      </c>
      <c r="B664" s="12"/>
      <c r="C664" s="13"/>
      <c r="D664" s="24"/>
      <c r="E664" s="12"/>
      <c r="F664" s="25"/>
      <c r="G664" s="27" t="str">
        <f aca="false">IF(OR($B664="",$C664=""),"",$B664&amp;" ("&amp;DAY($C664)&amp;"."&amp;MONTH($C664)&amp;"."&amp;YEAR($C664)&amp;")")</f>
        <v/>
      </c>
      <c r="H664" s="13"/>
      <c r="I664" s="13"/>
      <c r="J664" s="15" t="str">
        <f aca="false">IF($I664="","",$I664+280)</f>
        <v/>
      </c>
      <c r="K664" s="14" t="str">
        <f aca="false">IF(OR($I664="",$AE664&lt;&gt;""),"",INT((Boshqaruv!$C$12-$I664)/7))</f>
        <v/>
      </c>
      <c r="L664" s="14" t="str">
        <f aca="false">IF(OR($C664="",$H664=""),"",INT(($H664-$C664)/365.25))</f>
        <v/>
      </c>
      <c r="M664" s="14" t="str">
        <f aca="false">IF($L664="","",IF($L664&lt;18,"Ha","Yo'q"))</f>
        <v/>
      </c>
      <c r="N664" s="25"/>
      <c r="O664" s="25"/>
      <c r="P664" s="25"/>
      <c r="Q664" s="12"/>
      <c r="R664" s="25"/>
      <c r="S664" s="12"/>
      <c r="T664" s="13"/>
      <c r="U664" s="12"/>
      <c r="V664" s="25"/>
      <c r="W664" s="25"/>
      <c r="X664" s="14" t="str">
        <f aca="false">IF(OR($V664="",$W664=""),"",IF(AND($V664&gt;=Spravochnik!$H$5,$W664&gt;=Spravochnik!$H$6),"Ha","Yo'q"))</f>
        <v/>
      </c>
      <c r="Y664" s="13"/>
      <c r="Z664" s="13"/>
      <c r="AA664" s="13"/>
      <c r="AB664" s="13"/>
      <c r="AC664" s="14" t="str">
        <f aca="false">IF(AND($B664&lt;&gt;"",$AE664="",$AB664&lt;&gt;"",$AB664&lt;Boshqaruv!$C$12),"Ha","")</f>
        <v/>
      </c>
      <c r="AD664" s="25"/>
      <c r="AE664" s="13"/>
      <c r="AF664" s="12"/>
      <c r="AG664" s="14" t="str">
        <f aca="false">IF(OR($B664="",$C664="",$H664=""),"",IF(COUNTIFS($B$5:$B$804,$B664,$C$5:$C$804,$C664,$H$5:$H$804,$H664)&gt;1,"Takror",""))</f>
        <v/>
      </c>
      <c r="AH664" s="28" t="str">
        <f aca="false">IF(AND($B664&lt;&gt;"",$N664="Ha",$H664&lt;&gt;"",$H664&lt;=Boshqaruv!$C$12,OR($AE664="",$AE664&gt;Boshqaruv!$C$12)),MAX($AH$4:$AH663)+1,"")</f>
        <v/>
      </c>
    </row>
    <row r="665" customFormat="false" ht="15" hidden="false" customHeight="false" outlineLevel="0" collapsed="false">
      <c r="A665" s="20" t="n">
        <v>661</v>
      </c>
      <c r="B665" s="12"/>
      <c r="C665" s="13"/>
      <c r="D665" s="24"/>
      <c r="E665" s="12"/>
      <c r="F665" s="25"/>
      <c r="G665" s="27" t="str">
        <f aca="false">IF(OR($B665="",$C665=""),"",$B665&amp;" ("&amp;DAY($C665)&amp;"."&amp;MONTH($C665)&amp;"."&amp;YEAR($C665)&amp;")")</f>
        <v/>
      </c>
      <c r="H665" s="13"/>
      <c r="I665" s="13"/>
      <c r="J665" s="15" t="str">
        <f aca="false">IF($I665="","",$I665+280)</f>
        <v/>
      </c>
      <c r="K665" s="14" t="str">
        <f aca="false">IF(OR($I665="",$AE665&lt;&gt;""),"",INT((Boshqaruv!$C$12-$I665)/7))</f>
        <v/>
      </c>
      <c r="L665" s="14" t="str">
        <f aca="false">IF(OR($C665="",$H665=""),"",INT(($H665-$C665)/365.25))</f>
        <v/>
      </c>
      <c r="M665" s="14" t="str">
        <f aca="false">IF($L665="","",IF($L665&lt;18,"Ha","Yo'q"))</f>
        <v/>
      </c>
      <c r="N665" s="25"/>
      <c r="O665" s="25"/>
      <c r="P665" s="25"/>
      <c r="Q665" s="12"/>
      <c r="R665" s="25"/>
      <c r="S665" s="12"/>
      <c r="T665" s="13"/>
      <c r="U665" s="12"/>
      <c r="V665" s="25"/>
      <c r="W665" s="25"/>
      <c r="X665" s="14" t="str">
        <f aca="false">IF(OR($V665="",$W665=""),"",IF(AND($V665&gt;=Spravochnik!$H$5,$W665&gt;=Spravochnik!$H$6),"Ha","Yo'q"))</f>
        <v/>
      </c>
      <c r="Y665" s="13"/>
      <c r="Z665" s="13"/>
      <c r="AA665" s="13"/>
      <c r="AB665" s="13"/>
      <c r="AC665" s="14" t="str">
        <f aca="false">IF(AND($B665&lt;&gt;"",$AE665="",$AB665&lt;&gt;"",$AB665&lt;Boshqaruv!$C$12),"Ha","")</f>
        <v/>
      </c>
      <c r="AD665" s="25"/>
      <c r="AE665" s="13"/>
      <c r="AF665" s="12"/>
      <c r="AG665" s="14" t="str">
        <f aca="false">IF(OR($B665="",$C665="",$H665=""),"",IF(COUNTIFS($B$5:$B$804,$B665,$C$5:$C$804,$C665,$H$5:$H$804,$H665)&gt;1,"Takror",""))</f>
        <v/>
      </c>
      <c r="AH665" s="28" t="str">
        <f aca="false">IF(AND($B665&lt;&gt;"",$N665="Ha",$H665&lt;&gt;"",$H665&lt;=Boshqaruv!$C$12,OR($AE665="",$AE665&gt;Boshqaruv!$C$12)),MAX($AH$4:$AH664)+1,"")</f>
        <v/>
      </c>
    </row>
    <row r="666" customFormat="false" ht="15" hidden="false" customHeight="false" outlineLevel="0" collapsed="false">
      <c r="A666" s="20" t="n">
        <v>662</v>
      </c>
      <c r="B666" s="12"/>
      <c r="C666" s="13"/>
      <c r="D666" s="24"/>
      <c r="E666" s="12"/>
      <c r="F666" s="25"/>
      <c r="G666" s="27" t="str">
        <f aca="false">IF(OR($B666="",$C666=""),"",$B666&amp;" ("&amp;DAY($C666)&amp;"."&amp;MONTH($C666)&amp;"."&amp;YEAR($C666)&amp;")")</f>
        <v/>
      </c>
      <c r="H666" s="13"/>
      <c r="I666" s="13"/>
      <c r="J666" s="15" t="str">
        <f aca="false">IF($I666="","",$I666+280)</f>
        <v/>
      </c>
      <c r="K666" s="14" t="str">
        <f aca="false">IF(OR($I666="",$AE666&lt;&gt;""),"",INT((Boshqaruv!$C$12-$I666)/7))</f>
        <v/>
      </c>
      <c r="L666" s="14" t="str">
        <f aca="false">IF(OR($C666="",$H666=""),"",INT(($H666-$C666)/365.25))</f>
        <v/>
      </c>
      <c r="M666" s="14" t="str">
        <f aca="false">IF($L666="","",IF($L666&lt;18,"Ha","Yo'q"))</f>
        <v/>
      </c>
      <c r="N666" s="25"/>
      <c r="O666" s="25"/>
      <c r="P666" s="25"/>
      <c r="Q666" s="12"/>
      <c r="R666" s="25"/>
      <c r="S666" s="12"/>
      <c r="T666" s="13"/>
      <c r="U666" s="12"/>
      <c r="V666" s="25"/>
      <c r="W666" s="25"/>
      <c r="X666" s="14" t="str">
        <f aca="false">IF(OR($V666="",$W666=""),"",IF(AND($V666&gt;=Spravochnik!$H$5,$W666&gt;=Spravochnik!$H$6),"Ha","Yo'q"))</f>
        <v/>
      </c>
      <c r="Y666" s="13"/>
      <c r="Z666" s="13"/>
      <c r="AA666" s="13"/>
      <c r="AB666" s="13"/>
      <c r="AC666" s="14" t="str">
        <f aca="false">IF(AND($B666&lt;&gt;"",$AE666="",$AB666&lt;&gt;"",$AB666&lt;Boshqaruv!$C$12),"Ha","")</f>
        <v/>
      </c>
      <c r="AD666" s="25"/>
      <c r="AE666" s="13"/>
      <c r="AF666" s="12"/>
      <c r="AG666" s="14" t="str">
        <f aca="false">IF(OR($B666="",$C666="",$H666=""),"",IF(COUNTIFS($B$5:$B$804,$B666,$C$5:$C$804,$C666,$H$5:$H$804,$H666)&gt;1,"Takror",""))</f>
        <v/>
      </c>
      <c r="AH666" s="28" t="str">
        <f aca="false">IF(AND($B666&lt;&gt;"",$N666="Ha",$H666&lt;&gt;"",$H666&lt;=Boshqaruv!$C$12,OR($AE666="",$AE666&gt;Boshqaruv!$C$12)),MAX($AH$4:$AH665)+1,"")</f>
        <v/>
      </c>
    </row>
    <row r="667" customFormat="false" ht="15" hidden="false" customHeight="false" outlineLevel="0" collapsed="false">
      <c r="A667" s="20" t="n">
        <v>663</v>
      </c>
      <c r="B667" s="12"/>
      <c r="C667" s="13"/>
      <c r="D667" s="24"/>
      <c r="E667" s="12"/>
      <c r="F667" s="25"/>
      <c r="G667" s="27" t="str">
        <f aca="false">IF(OR($B667="",$C667=""),"",$B667&amp;" ("&amp;DAY($C667)&amp;"."&amp;MONTH($C667)&amp;"."&amp;YEAR($C667)&amp;")")</f>
        <v/>
      </c>
      <c r="H667" s="13"/>
      <c r="I667" s="13"/>
      <c r="J667" s="15" t="str">
        <f aca="false">IF($I667="","",$I667+280)</f>
        <v/>
      </c>
      <c r="K667" s="14" t="str">
        <f aca="false">IF(OR($I667="",$AE667&lt;&gt;""),"",INT((Boshqaruv!$C$12-$I667)/7))</f>
        <v/>
      </c>
      <c r="L667" s="14" t="str">
        <f aca="false">IF(OR($C667="",$H667=""),"",INT(($H667-$C667)/365.25))</f>
        <v/>
      </c>
      <c r="M667" s="14" t="str">
        <f aca="false">IF($L667="","",IF($L667&lt;18,"Ha","Yo'q"))</f>
        <v/>
      </c>
      <c r="N667" s="25"/>
      <c r="O667" s="25"/>
      <c r="P667" s="25"/>
      <c r="Q667" s="12"/>
      <c r="R667" s="25"/>
      <c r="S667" s="12"/>
      <c r="T667" s="13"/>
      <c r="U667" s="12"/>
      <c r="V667" s="25"/>
      <c r="W667" s="25"/>
      <c r="X667" s="14" t="str">
        <f aca="false">IF(OR($V667="",$W667=""),"",IF(AND($V667&gt;=Spravochnik!$H$5,$W667&gt;=Spravochnik!$H$6),"Ha","Yo'q"))</f>
        <v/>
      </c>
      <c r="Y667" s="13"/>
      <c r="Z667" s="13"/>
      <c r="AA667" s="13"/>
      <c r="AB667" s="13"/>
      <c r="AC667" s="14" t="str">
        <f aca="false">IF(AND($B667&lt;&gt;"",$AE667="",$AB667&lt;&gt;"",$AB667&lt;Boshqaruv!$C$12),"Ha","")</f>
        <v/>
      </c>
      <c r="AD667" s="25"/>
      <c r="AE667" s="13"/>
      <c r="AF667" s="12"/>
      <c r="AG667" s="14" t="str">
        <f aca="false">IF(OR($B667="",$C667="",$H667=""),"",IF(COUNTIFS($B$5:$B$804,$B667,$C$5:$C$804,$C667,$H$5:$H$804,$H667)&gt;1,"Takror",""))</f>
        <v/>
      </c>
      <c r="AH667" s="28" t="str">
        <f aca="false">IF(AND($B667&lt;&gt;"",$N667="Ha",$H667&lt;&gt;"",$H667&lt;=Boshqaruv!$C$12,OR($AE667="",$AE667&gt;Boshqaruv!$C$12)),MAX($AH$4:$AH666)+1,"")</f>
        <v/>
      </c>
    </row>
    <row r="668" customFormat="false" ht="15" hidden="false" customHeight="false" outlineLevel="0" collapsed="false">
      <c r="A668" s="20" t="n">
        <v>664</v>
      </c>
      <c r="B668" s="12"/>
      <c r="C668" s="13"/>
      <c r="D668" s="24"/>
      <c r="E668" s="12"/>
      <c r="F668" s="25"/>
      <c r="G668" s="27" t="str">
        <f aca="false">IF(OR($B668="",$C668=""),"",$B668&amp;" ("&amp;DAY($C668)&amp;"."&amp;MONTH($C668)&amp;"."&amp;YEAR($C668)&amp;")")</f>
        <v/>
      </c>
      <c r="H668" s="13"/>
      <c r="I668" s="13"/>
      <c r="J668" s="15" t="str">
        <f aca="false">IF($I668="","",$I668+280)</f>
        <v/>
      </c>
      <c r="K668" s="14" t="str">
        <f aca="false">IF(OR($I668="",$AE668&lt;&gt;""),"",INT((Boshqaruv!$C$12-$I668)/7))</f>
        <v/>
      </c>
      <c r="L668" s="14" t="str">
        <f aca="false">IF(OR($C668="",$H668=""),"",INT(($H668-$C668)/365.25))</f>
        <v/>
      </c>
      <c r="M668" s="14" t="str">
        <f aca="false">IF($L668="","",IF($L668&lt;18,"Ha","Yo'q"))</f>
        <v/>
      </c>
      <c r="N668" s="25"/>
      <c r="O668" s="25"/>
      <c r="P668" s="25"/>
      <c r="Q668" s="12"/>
      <c r="R668" s="25"/>
      <c r="S668" s="12"/>
      <c r="T668" s="13"/>
      <c r="U668" s="12"/>
      <c r="V668" s="25"/>
      <c r="W668" s="25"/>
      <c r="X668" s="14" t="str">
        <f aca="false">IF(OR($V668="",$W668=""),"",IF(AND($V668&gt;=Spravochnik!$H$5,$W668&gt;=Spravochnik!$H$6),"Ha","Yo'q"))</f>
        <v/>
      </c>
      <c r="Y668" s="13"/>
      <c r="Z668" s="13"/>
      <c r="AA668" s="13"/>
      <c r="AB668" s="13"/>
      <c r="AC668" s="14" t="str">
        <f aca="false">IF(AND($B668&lt;&gt;"",$AE668="",$AB668&lt;&gt;"",$AB668&lt;Boshqaruv!$C$12),"Ha","")</f>
        <v/>
      </c>
      <c r="AD668" s="25"/>
      <c r="AE668" s="13"/>
      <c r="AF668" s="12"/>
      <c r="AG668" s="14" t="str">
        <f aca="false">IF(OR($B668="",$C668="",$H668=""),"",IF(COUNTIFS($B$5:$B$804,$B668,$C$5:$C$804,$C668,$H$5:$H$804,$H668)&gt;1,"Takror",""))</f>
        <v/>
      </c>
      <c r="AH668" s="28" t="str">
        <f aca="false">IF(AND($B668&lt;&gt;"",$N668="Ha",$H668&lt;&gt;"",$H668&lt;=Boshqaruv!$C$12,OR($AE668="",$AE668&gt;Boshqaruv!$C$12)),MAX($AH$4:$AH667)+1,"")</f>
        <v/>
      </c>
    </row>
    <row r="669" customFormat="false" ht="15" hidden="false" customHeight="false" outlineLevel="0" collapsed="false">
      <c r="A669" s="20" t="n">
        <v>665</v>
      </c>
      <c r="B669" s="12"/>
      <c r="C669" s="13"/>
      <c r="D669" s="24"/>
      <c r="E669" s="12"/>
      <c r="F669" s="25"/>
      <c r="G669" s="27" t="str">
        <f aca="false">IF(OR($B669="",$C669=""),"",$B669&amp;" ("&amp;DAY($C669)&amp;"."&amp;MONTH($C669)&amp;"."&amp;YEAR($C669)&amp;")")</f>
        <v/>
      </c>
      <c r="H669" s="13"/>
      <c r="I669" s="13"/>
      <c r="J669" s="15" t="str">
        <f aca="false">IF($I669="","",$I669+280)</f>
        <v/>
      </c>
      <c r="K669" s="14" t="str">
        <f aca="false">IF(OR($I669="",$AE669&lt;&gt;""),"",INT((Boshqaruv!$C$12-$I669)/7))</f>
        <v/>
      </c>
      <c r="L669" s="14" t="str">
        <f aca="false">IF(OR($C669="",$H669=""),"",INT(($H669-$C669)/365.25))</f>
        <v/>
      </c>
      <c r="M669" s="14" t="str">
        <f aca="false">IF($L669="","",IF($L669&lt;18,"Ha","Yo'q"))</f>
        <v/>
      </c>
      <c r="N669" s="25"/>
      <c r="O669" s="25"/>
      <c r="P669" s="25"/>
      <c r="Q669" s="12"/>
      <c r="R669" s="25"/>
      <c r="S669" s="12"/>
      <c r="T669" s="13"/>
      <c r="U669" s="12"/>
      <c r="V669" s="25"/>
      <c r="W669" s="25"/>
      <c r="X669" s="14" t="str">
        <f aca="false">IF(OR($V669="",$W669=""),"",IF(AND($V669&gt;=Spravochnik!$H$5,$W669&gt;=Spravochnik!$H$6),"Ha","Yo'q"))</f>
        <v/>
      </c>
      <c r="Y669" s="13"/>
      <c r="Z669" s="13"/>
      <c r="AA669" s="13"/>
      <c r="AB669" s="13"/>
      <c r="AC669" s="14" t="str">
        <f aca="false">IF(AND($B669&lt;&gt;"",$AE669="",$AB669&lt;&gt;"",$AB669&lt;Boshqaruv!$C$12),"Ha","")</f>
        <v/>
      </c>
      <c r="AD669" s="25"/>
      <c r="AE669" s="13"/>
      <c r="AF669" s="12"/>
      <c r="AG669" s="14" t="str">
        <f aca="false">IF(OR($B669="",$C669="",$H669=""),"",IF(COUNTIFS($B$5:$B$804,$B669,$C$5:$C$804,$C669,$H$5:$H$804,$H669)&gt;1,"Takror",""))</f>
        <v/>
      </c>
      <c r="AH669" s="28" t="str">
        <f aca="false">IF(AND($B669&lt;&gt;"",$N669="Ha",$H669&lt;&gt;"",$H669&lt;=Boshqaruv!$C$12,OR($AE669="",$AE669&gt;Boshqaruv!$C$12)),MAX($AH$4:$AH668)+1,"")</f>
        <v/>
      </c>
    </row>
    <row r="670" customFormat="false" ht="15" hidden="false" customHeight="false" outlineLevel="0" collapsed="false">
      <c r="A670" s="20" t="n">
        <v>666</v>
      </c>
      <c r="B670" s="12"/>
      <c r="C670" s="13"/>
      <c r="D670" s="24"/>
      <c r="E670" s="12"/>
      <c r="F670" s="25"/>
      <c r="G670" s="27" t="str">
        <f aca="false">IF(OR($B670="",$C670=""),"",$B670&amp;" ("&amp;DAY($C670)&amp;"."&amp;MONTH($C670)&amp;"."&amp;YEAR($C670)&amp;")")</f>
        <v/>
      </c>
      <c r="H670" s="13"/>
      <c r="I670" s="13"/>
      <c r="J670" s="15" t="str">
        <f aca="false">IF($I670="","",$I670+280)</f>
        <v/>
      </c>
      <c r="K670" s="14" t="str">
        <f aca="false">IF(OR($I670="",$AE670&lt;&gt;""),"",INT((Boshqaruv!$C$12-$I670)/7))</f>
        <v/>
      </c>
      <c r="L670" s="14" t="str">
        <f aca="false">IF(OR($C670="",$H670=""),"",INT(($H670-$C670)/365.25))</f>
        <v/>
      </c>
      <c r="M670" s="14" t="str">
        <f aca="false">IF($L670="","",IF($L670&lt;18,"Ha","Yo'q"))</f>
        <v/>
      </c>
      <c r="N670" s="25"/>
      <c r="O670" s="25"/>
      <c r="P670" s="25"/>
      <c r="Q670" s="12"/>
      <c r="R670" s="25"/>
      <c r="S670" s="12"/>
      <c r="T670" s="13"/>
      <c r="U670" s="12"/>
      <c r="V670" s="25"/>
      <c r="W670" s="25"/>
      <c r="X670" s="14" t="str">
        <f aca="false">IF(OR($V670="",$W670=""),"",IF(AND($V670&gt;=Spravochnik!$H$5,$W670&gt;=Spravochnik!$H$6),"Ha","Yo'q"))</f>
        <v/>
      </c>
      <c r="Y670" s="13"/>
      <c r="Z670" s="13"/>
      <c r="AA670" s="13"/>
      <c r="AB670" s="13"/>
      <c r="AC670" s="14" t="str">
        <f aca="false">IF(AND($B670&lt;&gt;"",$AE670="",$AB670&lt;&gt;"",$AB670&lt;Boshqaruv!$C$12),"Ha","")</f>
        <v/>
      </c>
      <c r="AD670" s="25"/>
      <c r="AE670" s="13"/>
      <c r="AF670" s="12"/>
      <c r="AG670" s="14" t="str">
        <f aca="false">IF(OR($B670="",$C670="",$H670=""),"",IF(COUNTIFS($B$5:$B$804,$B670,$C$5:$C$804,$C670,$H$5:$H$804,$H670)&gt;1,"Takror",""))</f>
        <v/>
      </c>
      <c r="AH670" s="28" t="str">
        <f aca="false">IF(AND($B670&lt;&gt;"",$N670="Ha",$H670&lt;&gt;"",$H670&lt;=Boshqaruv!$C$12,OR($AE670="",$AE670&gt;Boshqaruv!$C$12)),MAX($AH$4:$AH669)+1,"")</f>
        <v/>
      </c>
    </row>
    <row r="671" customFormat="false" ht="15" hidden="false" customHeight="false" outlineLevel="0" collapsed="false">
      <c r="A671" s="20" t="n">
        <v>667</v>
      </c>
      <c r="B671" s="12"/>
      <c r="C671" s="13"/>
      <c r="D671" s="24"/>
      <c r="E671" s="12"/>
      <c r="F671" s="25"/>
      <c r="G671" s="27" t="str">
        <f aca="false">IF(OR($B671="",$C671=""),"",$B671&amp;" ("&amp;DAY($C671)&amp;"."&amp;MONTH($C671)&amp;"."&amp;YEAR($C671)&amp;")")</f>
        <v/>
      </c>
      <c r="H671" s="13"/>
      <c r="I671" s="13"/>
      <c r="J671" s="15" t="str">
        <f aca="false">IF($I671="","",$I671+280)</f>
        <v/>
      </c>
      <c r="K671" s="14" t="str">
        <f aca="false">IF(OR($I671="",$AE671&lt;&gt;""),"",INT((Boshqaruv!$C$12-$I671)/7))</f>
        <v/>
      </c>
      <c r="L671" s="14" t="str">
        <f aca="false">IF(OR($C671="",$H671=""),"",INT(($H671-$C671)/365.25))</f>
        <v/>
      </c>
      <c r="M671" s="14" t="str">
        <f aca="false">IF($L671="","",IF($L671&lt;18,"Ha","Yo'q"))</f>
        <v/>
      </c>
      <c r="N671" s="25"/>
      <c r="O671" s="25"/>
      <c r="P671" s="25"/>
      <c r="Q671" s="12"/>
      <c r="R671" s="25"/>
      <c r="S671" s="12"/>
      <c r="T671" s="13"/>
      <c r="U671" s="12"/>
      <c r="V671" s="25"/>
      <c r="W671" s="25"/>
      <c r="X671" s="14" t="str">
        <f aca="false">IF(OR($V671="",$W671=""),"",IF(AND($V671&gt;=Spravochnik!$H$5,$W671&gt;=Spravochnik!$H$6),"Ha","Yo'q"))</f>
        <v/>
      </c>
      <c r="Y671" s="13"/>
      <c r="Z671" s="13"/>
      <c r="AA671" s="13"/>
      <c r="AB671" s="13"/>
      <c r="AC671" s="14" t="str">
        <f aca="false">IF(AND($B671&lt;&gt;"",$AE671="",$AB671&lt;&gt;"",$AB671&lt;Boshqaruv!$C$12),"Ha","")</f>
        <v/>
      </c>
      <c r="AD671" s="25"/>
      <c r="AE671" s="13"/>
      <c r="AF671" s="12"/>
      <c r="AG671" s="14" t="str">
        <f aca="false">IF(OR($B671="",$C671="",$H671=""),"",IF(COUNTIFS($B$5:$B$804,$B671,$C$5:$C$804,$C671,$H$5:$H$804,$H671)&gt;1,"Takror",""))</f>
        <v/>
      </c>
      <c r="AH671" s="28" t="str">
        <f aca="false">IF(AND($B671&lt;&gt;"",$N671="Ha",$H671&lt;&gt;"",$H671&lt;=Boshqaruv!$C$12,OR($AE671="",$AE671&gt;Boshqaruv!$C$12)),MAX($AH$4:$AH670)+1,"")</f>
        <v/>
      </c>
    </row>
    <row r="672" customFormat="false" ht="15" hidden="false" customHeight="false" outlineLevel="0" collapsed="false">
      <c r="A672" s="20" t="n">
        <v>668</v>
      </c>
      <c r="B672" s="12"/>
      <c r="C672" s="13"/>
      <c r="D672" s="24"/>
      <c r="E672" s="12"/>
      <c r="F672" s="25"/>
      <c r="G672" s="27" t="str">
        <f aca="false">IF(OR($B672="",$C672=""),"",$B672&amp;" ("&amp;DAY($C672)&amp;"."&amp;MONTH($C672)&amp;"."&amp;YEAR($C672)&amp;")")</f>
        <v/>
      </c>
      <c r="H672" s="13"/>
      <c r="I672" s="13"/>
      <c r="J672" s="15" t="str">
        <f aca="false">IF($I672="","",$I672+280)</f>
        <v/>
      </c>
      <c r="K672" s="14" t="str">
        <f aca="false">IF(OR($I672="",$AE672&lt;&gt;""),"",INT((Boshqaruv!$C$12-$I672)/7))</f>
        <v/>
      </c>
      <c r="L672" s="14" t="str">
        <f aca="false">IF(OR($C672="",$H672=""),"",INT(($H672-$C672)/365.25))</f>
        <v/>
      </c>
      <c r="M672" s="14" t="str">
        <f aca="false">IF($L672="","",IF($L672&lt;18,"Ha","Yo'q"))</f>
        <v/>
      </c>
      <c r="N672" s="25"/>
      <c r="O672" s="25"/>
      <c r="P672" s="25"/>
      <c r="Q672" s="12"/>
      <c r="R672" s="25"/>
      <c r="S672" s="12"/>
      <c r="T672" s="13"/>
      <c r="U672" s="12"/>
      <c r="V672" s="25"/>
      <c r="W672" s="25"/>
      <c r="X672" s="14" t="str">
        <f aca="false">IF(OR($V672="",$W672=""),"",IF(AND($V672&gt;=Spravochnik!$H$5,$W672&gt;=Spravochnik!$H$6),"Ha","Yo'q"))</f>
        <v/>
      </c>
      <c r="Y672" s="13"/>
      <c r="Z672" s="13"/>
      <c r="AA672" s="13"/>
      <c r="AB672" s="13"/>
      <c r="AC672" s="14" t="str">
        <f aca="false">IF(AND($B672&lt;&gt;"",$AE672="",$AB672&lt;&gt;"",$AB672&lt;Boshqaruv!$C$12),"Ha","")</f>
        <v/>
      </c>
      <c r="AD672" s="25"/>
      <c r="AE672" s="13"/>
      <c r="AF672" s="12"/>
      <c r="AG672" s="14" t="str">
        <f aca="false">IF(OR($B672="",$C672="",$H672=""),"",IF(COUNTIFS($B$5:$B$804,$B672,$C$5:$C$804,$C672,$H$5:$H$804,$H672)&gt;1,"Takror",""))</f>
        <v/>
      </c>
      <c r="AH672" s="28" t="str">
        <f aca="false">IF(AND($B672&lt;&gt;"",$N672="Ha",$H672&lt;&gt;"",$H672&lt;=Boshqaruv!$C$12,OR($AE672="",$AE672&gt;Boshqaruv!$C$12)),MAX($AH$4:$AH671)+1,"")</f>
        <v/>
      </c>
    </row>
    <row r="673" customFormat="false" ht="15" hidden="false" customHeight="false" outlineLevel="0" collapsed="false">
      <c r="A673" s="20" t="n">
        <v>669</v>
      </c>
      <c r="B673" s="12"/>
      <c r="C673" s="13"/>
      <c r="D673" s="24"/>
      <c r="E673" s="12"/>
      <c r="F673" s="25"/>
      <c r="G673" s="27" t="str">
        <f aca="false">IF(OR($B673="",$C673=""),"",$B673&amp;" ("&amp;DAY($C673)&amp;"."&amp;MONTH($C673)&amp;"."&amp;YEAR($C673)&amp;")")</f>
        <v/>
      </c>
      <c r="H673" s="13"/>
      <c r="I673" s="13"/>
      <c r="J673" s="15" t="str">
        <f aca="false">IF($I673="","",$I673+280)</f>
        <v/>
      </c>
      <c r="K673" s="14" t="str">
        <f aca="false">IF(OR($I673="",$AE673&lt;&gt;""),"",INT((Boshqaruv!$C$12-$I673)/7))</f>
        <v/>
      </c>
      <c r="L673" s="14" t="str">
        <f aca="false">IF(OR($C673="",$H673=""),"",INT(($H673-$C673)/365.25))</f>
        <v/>
      </c>
      <c r="M673" s="14" t="str">
        <f aca="false">IF($L673="","",IF($L673&lt;18,"Ha","Yo'q"))</f>
        <v/>
      </c>
      <c r="N673" s="25"/>
      <c r="O673" s="25"/>
      <c r="P673" s="25"/>
      <c r="Q673" s="12"/>
      <c r="R673" s="25"/>
      <c r="S673" s="12"/>
      <c r="T673" s="13"/>
      <c r="U673" s="12"/>
      <c r="V673" s="25"/>
      <c r="W673" s="25"/>
      <c r="X673" s="14" t="str">
        <f aca="false">IF(OR($V673="",$W673=""),"",IF(AND($V673&gt;=Spravochnik!$H$5,$W673&gt;=Spravochnik!$H$6),"Ha","Yo'q"))</f>
        <v/>
      </c>
      <c r="Y673" s="13"/>
      <c r="Z673" s="13"/>
      <c r="AA673" s="13"/>
      <c r="AB673" s="13"/>
      <c r="AC673" s="14" t="str">
        <f aca="false">IF(AND($B673&lt;&gt;"",$AE673="",$AB673&lt;&gt;"",$AB673&lt;Boshqaruv!$C$12),"Ha","")</f>
        <v/>
      </c>
      <c r="AD673" s="25"/>
      <c r="AE673" s="13"/>
      <c r="AF673" s="12"/>
      <c r="AG673" s="14" t="str">
        <f aca="false">IF(OR($B673="",$C673="",$H673=""),"",IF(COUNTIFS($B$5:$B$804,$B673,$C$5:$C$804,$C673,$H$5:$H$804,$H673)&gt;1,"Takror",""))</f>
        <v/>
      </c>
      <c r="AH673" s="28" t="str">
        <f aca="false">IF(AND($B673&lt;&gt;"",$N673="Ha",$H673&lt;&gt;"",$H673&lt;=Boshqaruv!$C$12,OR($AE673="",$AE673&gt;Boshqaruv!$C$12)),MAX($AH$4:$AH672)+1,"")</f>
        <v/>
      </c>
    </row>
    <row r="674" customFormat="false" ht="15" hidden="false" customHeight="false" outlineLevel="0" collapsed="false">
      <c r="A674" s="20" t="n">
        <v>670</v>
      </c>
      <c r="B674" s="12"/>
      <c r="C674" s="13"/>
      <c r="D674" s="24"/>
      <c r="E674" s="12"/>
      <c r="F674" s="25"/>
      <c r="G674" s="27" t="str">
        <f aca="false">IF(OR($B674="",$C674=""),"",$B674&amp;" ("&amp;DAY($C674)&amp;"."&amp;MONTH($C674)&amp;"."&amp;YEAR($C674)&amp;")")</f>
        <v/>
      </c>
      <c r="H674" s="13"/>
      <c r="I674" s="13"/>
      <c r="J674" s="15" t="str">
        <f aca="false">IF($I674="","",$I674+280)</f>
        <v/>
      </c>
      <c r="K674" s="14" t="str">
        <f aca="false">IF(OR($I674="",$AE674&lt;&gt;""),"",INT((Boshqaruv!$C$12-$I674)/7))</f>
        <v/>
      </c>
      <c r="L674" s="14" t="str">
        <f aca="false">IF(OR($C674="",$H674=""),"",INT(($H674-$C674)/365.25))</f>
        <v/>
      </c>
      <c r="M674" s="14" t="str">
        <f aca="false">IF($L674="","",IF($L674&lt;18,"Ha","Yo'q"))</f>
        <v/>
      </c>
      <c r="N674" s="25"/>
      <c r="O674" s="25"/>
      <c r="P674" s="25"/>
      <c r="Q674" s="12"/>
      <c r="R674" s="25"/>
      <c r="S674" s="12"/>
      <c r="T674" s="13"/>
      <c r="U674" s="12"/>
      <c r="V674" s="25"/>
      <c r="W674" s="25"/>
      <c r="X674" s="14" t="str">
        <f aca="false">IF(OR($V674="",$W674=""),"",IF(AND($V674&gt;=Spravochnik!$H$5,$W674&gt;=Spravochnik!$H$6),"Ha","Yo'q"))</f>
        <v/>
      </c>
      <c r="Y674" s="13"/>
      <c r="Z674" s="13"/>
      <c r="AA674" s="13"/>
      <c r="AB674" s="13"/>
      <c r="AC674" s="14" t="str">
        <f aca="false">IF(AND($B674&lt;&gt;"",$AE674="",$AB674&lt;&gt;"",$AB674&lt;Boshqaruv!$C$12),"Ha","")</f>
        <v/>
      </c>
      <c r="AD674" s="25"/>
      <c r="AE674" s="13"/>
      <c r="AF674" s="12"/>
      <c r="AG674" s="14" t="str">
        <f aca="false">IF(OR($B674="",$C674="",$H674=""),"",IF(COUNTIFS($B$5:$B$804,$B674,$C$5:$C$804,$C674,$H$5:$H$804,$H674)&gt;1,"Takror",""))</f>
        <v/>
      </c>
      <c r="AH674" s="28" t="str">
        <f aca="false">IF(AND($B674&lt;&gt;"",$N674="Ha",$H674&lt;&gt;"",$H674&lt;=Boshqaruv!$C$12,OR($AE674="",$AE674&gt;Boshqaruv!$C$12)),MAX($AH$4:$AH673)+1,"")</f>
        <v/>
      </c>
    </row>
    <row r="675" customFormat="false" ht="15" hidden="false" customHeight="false" outlineLevel="0" collapsed="false">
      <c r="A675" s="20" t="n">
        <v>671</v>
      </c>
      <c r="B675" s="12"/>
      <c r="C675" s="13"/>
      <c r="D675" s="24"/>
      <c r="E675" s="12"/>
      <c r="F675" s="25"/>
      <c r="G675" s="27" t="str">
        <f aca="false">IF(OR($B675="",$C675=""),"",$B675&amp;" ("&amp;DAY($C675)&amp;"."&amp;MONTH($C675)&amp;"."&amp;YEAR($C675)&amp;")")</f>
        <v/>
      </c>
      <c r="H675" s="13"/>
      <c r="I675" s="13"/>
      <c r="J675" s="15" t="str">
        <f aca="false">IF($I675="","",$I675+280)</f>
        <v/>
      </c>
      <c r="K675" s="14" t="str">
        <f aca="false">IF(OR($I675="",$AE675&lt;&gt;""),"",INT((Boshqaruv!$C$12-$I675)/7))</f>
        <v/>
      </c>
      <c r="L675" s="14" t="str">
        <f aca="false">IF(OR($C675="",$H675=""),"",INT(($H675-$C675)/365.25))</f>
        <v/>
      </c>
      <c r="M675" s="14" t="str">
        <f aca="false">IF($L675="","",IF($L675&lt;18,"Ha","Yo'q"))</f>
        <v/>
      </c>
      <c r="N675" s="25"/>
      <c r="O675" s="25"/>
      <c r="P675" s="25"/>
      <c r="Q675" s="12"/>
      <c r="R675" s="25"/>
      <c r="S675" s="12"/>
      <c r="T675" s="13"/>
      <c r="U675" s="12"/>
      <c r="V675" s="25"/>
      <c r="W675" s="25"/>
      <c r="X675" s="14" t="str">
        <f aca="false">IF(OR($V675="",$W675=""),"",IF(AND($V675&gt;=Spravochnik!$H$5,$W675&gt;=Spravochnik!$H$6),"Ha","Yo'q"))</f>
        <v/>
      </c>
      <c r="Y675" s="13"/>
      <c r="Z675" s="13"/>
      <c r="AA675" s="13"/>
      <c r="AB675" s="13"/>
      <c r="AC675" s="14" t="str">
        <f aca="false">IF(AND($B675&lt;&gt;"",$AE675="",$AB675&lt;&gt;"",$AB675&lt;Boshqaruv!$C$12),"Ha","")</f>
        <v/>
      </c>
      <c r="AD675" s="25"/>
      <c r="AE675" s="13"/>
      <c r="AF675" s="12"/>
      <c r="AG675" s="14" t="str">
        <f aca="false">IF(OR($B675="",$C675="",$H675=""),"",IF(COUNTIFS($B$5:$B$804,$B675,$C$5:$C$804,$C675,$H$5:$H$804,$H675)&gt;1,"Takror",""))</f>
        <v/>
      </c>
      <c r="AH675" s="28" t="str">
        <f aca="false">IF(AND($B675&lt;&gt;"",$N675="Ha",$H675&lt;&gt;"",$H675&lt;=Boshqaruv!$C$12,OR($AE675="",$AE675&gt;Boshqaruv!$C$12)),MAX($AH$4:$AH674)+1,"")</f>
        <v/>
      </c>
    </row>
    <row r="676" customFormat="false" ht="15" hidden="false" customHeight="false" outlineLevel="0" collapsed="false">
      <c r="A676" s="20" t="n">
        <v>672</v>
      </c>
      <c r="B676" s="12"/>
      <c r="C676" s="13"/>
      <c r="D676" s="24"/>
      <c r="E676" s="12"/>
      <c r="F676" s="25"/>
      <c r="G676" s="27" t="str">
        <f aca="false">IF(OR($B676="",$C676=""),"",$B676&amp;" ("&amp;DAY($C676)&amp;"."&amp;MONTH($C676)&amp;"."&amp;YEAR($C676)&amp;")")</f>
        <v/>
      </c>
      <c r="H676" s="13"/>
      <c r="I676" s="13"/>
      <c r="J676" s="15" t="str">
        <f aca="false">IF($I676="","",$I676+280)</f>
        <v/>
      </c>
      <c r="K676" s="14" t="str">
        <f aca="false">IF(OR($I676="",$AE676&lt;&gt;""),"",INT((Boshqaruv!$C$12-$I676)/7))</f>
        <v/>
      </c>
      <c r="L676" s="14" t="str">
        <f aca="false">IF(OR($C676="",$H676=""),"",INT(($H676-$C676)/365.25))</f>
        <v/>
      </c>
      <c r="M676" s="14" t="str">
        <f aca="false">IF($L676="","",IF($L676&lt;18,"Ha","Yo'q"))</f>
        <v/>
      </c>
      <c r="N676" s="25"/>
      <c r="O676" s="25"/>
      <c r="P676" s="25"/>
      <c r="Q676" s="12"/>
      <c r="R676" s="25"/>
      <c r="S676" s="12"/>
      <c r="T676" s="13"/>
      <c r="U676" s="12"/>
      <c r="V676" s="25"/>
      <c r="W676" s="25"/>
      <c r="X676" s="14" t="str">
        <f aca="false">IF(OR($V676="",$W676=""),"",IF(AND($V676&gt;=Spravochnik!$H$5,$W676&gt;=Spravochnik!$H$6),"Ha","Yo'q"))</f>
        <v/>
      </c>
      <c r="Y676" s="13"/>
      <c r="Z676" s="13"/>
      <c r="AA676" s="13"/>
      <c r="AB676" s="13"/>
      <c r="AC676" s="14" t="str">
        <f aca="false">IF(AND($B676&lt;&gt;"",$AE676="",$AB676&lt;&gt;"",$AB676&lt;Boshqaruv!$C$12),"Ha","")</f>
        <v/>
      </c>
      <c r="AD676" s="25"/>
      <c r="AE676" s="13"/>
      <c r="AF676" s="12"/>
      <c r="AG676" s="14" t="str">
        <f aca="false">IF(OR($B676="",$C676="",$H676=""),"",IF(COUNTIFS($B$5:$B$804,$B676,$C$5:$C$804,$C676,$H$5:$H$804,$H676)&gt;1,"Takror",""))</f>
        <v/>
      </c>
      <c r="AH676" s="28" t="str">
        <f aca="false">IF(AND($B676&lt;&gt;"",$N676="Ha",$H676&lt;&gt;"",$H676&lt;=Boshqaruv!$C$12,OR($AE676="",$AE676&gt;Boshqaruv!$C$12)),MAX($AH$4:$AH675)+1,"")</f>
        <v/>
      </c>
    </row>
    <row r="677" customFormat="false" ht="15" hidden="false" customHeight="false" outlineLevel="0" collapsed="false">
      <c r="A677" s="20" t="n">
        <v>673</v>
      </c>
      <c r="B677" s="12"/>
      <c r="C677" s="13"/>
      <c r="D677" s="24"/>
      <c r="E677" s="12"/>
      <c r="F677" s="25"/>
      <c r="G677" s="27" t="str">
        <f aca="false">IF(OR($B677="",$C677=""),"",$B677&amp;" ("&amp;DAY($C677)&amp;"."&amp;MONTH($C677)&amp;"."&amp;YEAR($C677)&amp;")")</f>
        <v/>
      </c>
      <c r="H677" s="13"/>
      <c r="I677" s="13"/>
      <c r="J677" s="15" t="str">
        <f aca="false">IF($I677="","",$I677+280)</f>
        <v/>
      </c>
      <c r="K677" s="14" t="str">
        <f aca="false">IF(OR($I677="",$AE677&lt;&gt;""),"",INT((Boshqaruv!$C$12-$I677)/7))</f>
        <v/>
      </c>
      <c r="L677" s="14" t="str">
        <f aca="false">IF(OR($C677="",$H677=""),"",INT(($H677-$C677)/365.25))</f>
        <v/>
      </c>
      <c r="M677" s="14" t="str">
        <f aca="false">IF($L677="","",IF($L677&lt;18,"Ha","Yo'q"))</f>
        <v/>
      </c>
      <c r="N677" s="25"/>
      <c r="O677" s="25"/>
      <c r="P677" s="25"/>
      <c r="Q677" s="12"/>
      <c r="R677" s="25"/>
      <c r="S677" s="12"/>
      <c r="T677" s="13"/>
      <c r="U677" s="12"/>
      <c r="V677" s="25"/>
      <c r="W677" s="25"/>
      <c r="X677" s="14" t="str">
        <f aca="false">IF(OR($V677="",$W677=""),"",IF(AND($V677&gt;=Spravochnik!$H$5,$W677&gt;=Spravochnik!$H$6),"Ha","Yo'q"))</f>
        <v/>
      </c>
      <c r="Y677" s="13"/>
      <c r="Z677" s="13"/>
      <c r="AA677" s="13"/>
      <c r="AB677" s="13"/>
      <c r="AC677" s="14" t="str">
        <f aca="false">IF(AND($B677&lt;&gt;"",$AE677="",$AB677&lt;&gt;"",$AB677&lt;Boshqaruv!$C$12),"Ha","")</f>
        <v/>
      </c>
      <c r="AD677" s="25"/>
      <c r="AE677" s="13"/>
      <c r="AF677" s="12"/>
      <c r="AG677" s="14" t="str">
        <f aca="false">IF(OR($B677="",$C677="",$H677=""),"",IF(COUNTIFS($B$5:$B$804,$B677,$C$5:$C$804,$C677,$H$5:$H$804,$H677)&gt;1,"Takror",""))</f>
        <v/>
      </c>
      <c r="AH677" s="28" t="str">
        <f aca="false">IF(AND($B677&lt;&gt;"",$N677="Ha",$H677&lt;&gt;"",$H677&lt;=Boshqaruv!$C$12,OR($AE677="",$AE677&gt;Boshqaruv!$C$12)),MAX($AH$4:$AH676)+1,"")</f>
        <v/>
      </c>
    </row>
    <row r="678" customFormat="false" ht="15" hidden="false" customHeight="false" outlineLevel="0" collapsed="false">
      <c r="A678" s="20" t="n">
        <v>674</v>
      </c>
      <c r="B678" s="12"/>
      <c r="C678" s="13"/>
      <c r="D678" s="24"/>
      <c r="E678" s="12"/>
      <c r="F678" s="25"/>
      <c r="G678" s="27" t="str">
        <f aca="false">IF(OR($B678="",$C678=""),"",$B678&amp;" ("&amp;DAY($C678)&amp;"."&amp;MONTH($C678)&amp;"."&amp;YEAR($C678)&amp;")")</f>
        <v/>
      </c>
      <c r="H678" s="13"/>
      <c r="I678" s="13"/>
      <c r="J678" s="15" t="str">
        <f aca="false">IF($I678="","",$I678+280)</f>
        <v/>
      </c>
      <c r="K678" s="14" t="str">
        <f aca="false">IF(OR($I678="",$AE678&lt;&gt;""),"",INT((Boshqaruv!$C$12-$I678)/7))</f>
        <v/>
      </c>
      <c r="L678" s="14" t="str">
        <f aca="false">IF(OR($C678="",$H678=""),"",INT(($H678-$C678)/365.25))</f>
        <v/>
      </c>
      <c r="M678" s="14" t="str">
        <f aca="false">IF($L678="","",IF($L678&lt;18,"Ha","Yo'q"))</f>
        <v/>
      </c>
      <c r="N678" s="25"/>
      <c r="O678" s="25"/>
      <c r="P678" s="25"/>
      <c r="Q678" s="12"/>
      <c r="R678" s="25"/>
      <c r="S678" s="12"/>
      <c r="T678" s="13"/>
      <c r="U678" s="12"/>
      <c r="V678" s="25"/>
      <c r="W678" s="25"/>
      <c r="X678" s="14" t="str">
        <f aca="false">IF(OR($V678="",$W678=""),"",IF(AND($V678&gt;=Spravochnik!$H$5,$W678&gt;=Spravochnik!$H$6),"Ha","Yo'q"))</f>
        <v/>
      </c>
      <c r="Y678" s="13"/>
      <c r="Z678" s="13"/>
      <c r="AA678" s="13"/>
      <c r="AB678" s="13"/>
      <c r="AC678" s="14" t="str">
        <f aca="false">IF(AND($B678&lt;&gt;"",$AE678="",$AB678&lt;&gt;"",$AB678&lt;Boshqaruv!$C$12),"Ha","")</f>
        <v/>
      </c>
      <c r="AD678" s="25"/>
      <c r="AE678" s="13"/>
      <c r="AF678" s="12"/>
      <c r="AG678" s="14" t="str">
        <f aca="false">IF(OR($B678="",$C678="",$H678=""),"",IF(COUNTIFS($B$5:$B$804,$B678,$C$5:$C$804,$C678,$H$5:$H$804,$H678)&gt;1,"Takror",""))</f>
        <v/>
      </c>
      <c r="AH678" s="28" t="str">
        <f aca="false">IF(AND($B678&lt;&gt;"",$N678="Ha",$H678&lt;&gt;"",$H678&lt;=Boshqaruv!$C$12,OR($AE678="",$AE678&gt;Boshqaruv!$C$12)),MAX($AH$4:$AH677)+1,"")</f>
        <v/>
      </c>
    </row>
    <row r="679" customFormat="false" ht="15" hidden="false" customHeight="false" outlineLevel="0" collapsed="false">
      <c r="A679" s="20" t="n">
        <v>675</v>
      </c>
      <c r="B679" s="12"/>
      <c r="C679" s="13"/>
      <c r="D679" s="24"/>
      <c r="E679" s="12"/>
      <c r="F679" s="25"/>
      <c r="G679" s="27" t="str">
        <f aca="false">IF(OR($B679="",$C679=""),"",$B679&amp;" ("&amp;DAY($C679)&amp;"."&amp;MONTH($C679)&amp;"."&amp;YEAR($C679)&amp;")")</f>
        <v/>
      </c>
      <c r="H679" s="13"/>
      <c r="I679" s="13"/>
      <c r="J679" s="15" t="str">
        <f aca="false">IF($I679="","",$I679+280)</f>
        <v/>
      </c>
      <c r="K679" s="14" t="str">
        <f aca="false">IF(OR($I679="",$AE679&lt;&gt;""),"",INT((Boshqaruv!$C$12-$I679)/7))</f>
        <v/>
      </c>
      <c r="L679" s="14" t="str">
        <f aca="false">IF(OR($C679="",$H679=""),"",INT(($H679-$C679)/365.25))</f>
        <v/>
      </c>
      <c r="M679" s="14" t="str">
        <f aca="false">IF($L679="","",IF($L679&lt;18,"Ha","Yo'q"))</f>
        <v/>
      </c>
      <c r="N679" s="25"/>
      <c r="O679" s="25"/>
      <c r="P679" s="25"/>
      <c r="Q679" s="12"/>
      <c r="R679" s="25"/>
      <c r="S679" s="12"/>
      <c r="T679" s="13"/>
      <c r="U679" s="12"/>
      <c r="V679" s="25"/>
      <c r="W679" s="25"/>
      <c r="X679" s="14" t="str">
        <f aca="false">IF(OR($V679="",$W679=""),"",IF(AND($V679&gt;=Spravochnik!$H$5,$W679&gt;=Spravochnik!$H$6),"Ha","Yo'q"))</f>
        <v/>
      </c>
      <c r="Y679" s="13"/>
      <c r="Z679" s="13"/>
      <c r="AA679" s="13"/>
      <c r="AB679" s="13"/>
      <c r="AC679" s="14" t="str">
        <f aca="false">IF(AND($B679&lt;&gt;"",$AE679="",$AB679&lt;&gt;"",$AB679&lt;Boshqaruv!$C$12),"Ha","")</f>
        <v/>
      </c>
      <c r="AD679" s="25"/>
      <c r="AE679" s="13"/>
      <c r="AF679" s="12"/>
      <c r="AG679" s="14" t="str">
        <f aca="false">IF(OR($B679="",$C679="",$H679=""),"",IF(COUNTIFS($B$5:$B$804,$B679,$C$5:$C$804,$C679,$H$5:$H$804,$H679)&gt;1,"Takror",""))</f>
        <v/>
      </c>
      <c r="AH679" s="28" t="str">
        <f aca="false">IF(AND($B679&lt;&gt;"",$N679="Ha",$H679&lt;&gt;"",$H679&lt;=Boshqaruv!$C$12,OR($AE679="",$AE679&gt;Boshqaruv!$C$12)),MAX($AH$4:$AH678)+1,"")</f>
        <v/>
      </c>
    </row>
    <row r="680" customFormat="false" ht="15" hidden="false" customHeight="false" outlineLevel="0" collapsed="false">
      <c r="A680" s="20" t="n">
        <v>676</v>
      </c>
      <c r="B680" s="12"/>
      <c r="C680" s="13"/>
      <c r="D680" s="24"/>
      <c r="E680" s="12"/>
      <c r="F680" s="25"/>
      <c r="G680" s="27" t="str">
        <f aca="false">IF(OR($B680="",$C680=""),"",$B680&amp;" ("&amp;DAY($C680)&amp;"."&amp;MONTH($C680)&amp;"."&amp;YEAR($C680)&amp;")")</f>
        <v/>
      </c>
      <c r="H680" s="13"/>
      <c r="I680" s="13"/>
      <c r="J680" s="15" t="str">
        <f aca="false">IF($I680="","",$I680+280)</f>
        <v/>
      </c>
      <c r="K680" s="14" t="str">
        <f aca="false">IF(OR($I680="",$AE680&lt;&gt;""),"",INT((Boshqaruv!$C$12-$I680)/7))</f>
        <v/>
      </c>
      <c r="L680" s="14" t="str">
        <f aca="false">IF(OR($C680="",$H680=""),"",INT(($H680-$C680)/365.25))</f>
        <v/>
      </c>
      <c r="M680" s="14" t="str">
        <f aca="false">IF($L680="","",IF($L680&lt;18,"Ha","Yo'q"))</f>
        <v/>
      </c>
      <c r="N680" s="25"/>
      <c r="O680" s="25"/>
      <c r="P680" s="25"/>
      <c r="Q680" s="12"/>
      <c r="R680" s="25"/>
      <c r="S680" s="12"/>
      <c r="T680" s="13"/>
      <c r="U680" s="12"/>
      <c r="V680" s="25"/>
      <c r="W680" s="25"/>
      <c r="X680" s="14" t="str">
        <f aca="false">IF(OR($V680="",$W680=""),"",IF(AND($V680&gt;=Spravochnik!$H$5,$W680&gt;=Spravochnik!$H$6),"Ha","Yo'q"))</f>
        <v/>
      </c>
      <c r="Y680" s="13"/>
      <c r="Z680" s="13"/>
      <c r="AA680" s="13"/>
      <c r="AB680" s="13"/>
      <c r="AC680" s="14" t="str">
        <f aca="false">IF(AND($B680&lt;&gt;"",$AE680="",$AB680&lt;&gt;"",$AB680&lt;Boshqaruv!$C$12),"Ha","")</f>
        <v/>
      </c>
      <c r="AD680" s="25"/>
      <c r="AE680" s="13"/>
      <c r="AF680" s="12"/>
      <c r="AG680" s="14" t="str">
        <f aca="false">IF(OR($B680="",$C680="",$H680=""),"",IF(COUNTIFS($B$5:$B$804,$B680,$C$5:$C$804,$C680,$H$5:$H$804,$H680)&gt;1,"Takror",""))</f>
        <v/>
      </c>
      <c r="AH680" s="28" t="str">
        <f aca="false">IF(AND($B680&lt;&gt;"",$N680="Ha",$H680&lt;&gt;"",$H680&lt;=Boshqaruv!$C$12,OR($AE680="",$AE680&gt;Boshqaruv!$C$12)),MAX($AH$4:$AH679)+1,"")</f>
        <v/>
      </c>
    </row>
    <row r="681" customFormat="false" ht="15" hidden="false" customHeight="false" outlineLevel="0" collapsed="false">
      <c r="A681" s="20" t="n">
        <v>677</v>
      </c>
      <c r="B681" s="12"/>
      <c r="C681" s="13"/>
      <c r="D681" s="24"/>
      <c r="E681" s="12"/>
      <c r="F681" s="25"/>
      <c r="G681" s="27" t="str">
        <f aca="false">IF(OR($B681="",$C681=""),"",$B681&amp;" ("&amp;DAY($C681)&amp;"."&amp;MONTH($C681)&amp;"."&amp;YEAR($C681)&amp;")")</f>
        <v/>
      </c>
      <c r="H681" s="13"/>
      <c r="I681" s="13"/>
      <c r="J681" s="15" t="str">
        <f aca="false">IF($I681="","",$I681+280)</f>
        <v/>
      </c>
      <c r="K681" s="14" t="str">
        <f aca="false">IF(OR($I681="",$AE681&lt;&gt;""),"",INT((Boshqaruv!$C$12-$I681)/7))</f>
        <v/>
      </c>
      <c r="L681" s="14" t="str">
        <f aca="false">IF(OR($C681="",$H681=""),"",INT(($H681-$C681)/365.25))</f>
        <v/>
      </c>
      <c r="M681" s="14" t="str">
        <f aca="false">IF($L681="","",IF($L681&lt;18,"Ha","Yo'q"))</f>
        <v/>
      </c>
      <c r="N681" s="25"/>
      <c r="O681" s="25"/>
      <c r="P681" s="25"/>
      <c r="Q681" s="12"/>
      <c r="R681" s="25"/>
      <c r="S681" s="12"/>
      <c r="T681" s="13"/>
      <c r="U681" s="12"/>
      <c r="V681" s="25"/>
      <c r="W681" s="25"/>
      <c r="X681" s="14" t="str">
        <f aca="false">IF(OR($V681="",$W681=""),"",IF(AND($V681&gt;=Spravochnik!$H$5,$W681&gt;=Spravochnik!$H$6),"Ha","Yo'q"))</f>
        <v/>
      </c>
      <c r="Y681" s="13"/>
      <c r="Z681" s="13"/>
      <c r="AA681" s="13"/>
      <c r="AB681" s="13"/>
      <c r="AC681" s="14" t="str">
        <f aca="false">IF(AND($B681&lt;&gt;"",$AE681="",$AB681&lt;&gt;"",$AB681&lt;Boshqaruv!$C$12),"Ha","")</f>
        <v/>
      </c>
      <c r="AD681" s="25"/>
      <c r="AE681" s="13"/>
      <c r="AF681" s="12"/>
      <c r="AG681" s="14" t="str">
        <f aca="false">IF(OR($B681="",$C681="",$H681=""),"",IF(COUNTIFS($B$5:$B$804,$B681,$C$5:$C$804,$C681,$H$5:$H$804,$H681)&gt;1,"Takror",""))</f>
        <v/>
      </c>
      <c r="AH681" s="28" t="str">
        <f aca="false">IF(AND($B681&lt;&gt;"",$N681="Ha",$H681&lt;&gt;"",$H681&lt;=Boshqaruv!$C$12,OR($AE681="",$AE681&gt;Boshqaruv!$C$12)),MAX($AH$4:$AH680)+1,"")</f>
        <v/>
      </c>
    </row>
    <row r="682" customFormat="false" ht="15" hidden="false" customHeight="false" outlineLevel="0" collapsed="false">
      <c r="A682" s="20" t="n">
        <v>678</v>
      </c>
      <c r="B682" s="12"/>
      <c r="C682" s="13"/>
      <c r="D682" s="24"/>
      <c r="E682" s="12"/>
      <c r="F682" s="25"/>
      <c r="G682" s="27" t="str">
        <f aca="false">IF(OR($B682="",$C682=""),"",$B682&amp;" ("&amp;DAY($C682)&amp;"."&amp;MONTH($C682)&amp;"."&amp;YEAR($C682)&amp;")")</f>
        <v/>
      </c>
      <c r="H682" s="13"/>
      <c r="I682" s="13"/>
      <c r="J682" s="15" t="str">
        <f aca="false">IF($I682="","",$I682+280)</f>
        <v/>
      </c>
      <c r="K682" s="14" t="str">
        <f aca="false">IF(OR($I682="",$AE682&lt;&gt;""),"",INT((Boshqaruv!$C$12-$I682)/7))</f>
        <v/>
      </c>
      <c r="L682" s="14" t="str">
        <f aca="false">IF(OR($C682="",$H682=""),"",INT(($H682-$C682)/365.25))</f>
        <v/>
      </c>
      <c r="M682" s="14" t="str">
        <f aca="false">IF($L682="","",IF($L682&lt;18,"Ha","Yo'q"))</f>
        <v/>
      </c>
      <c r="N682" s="25"/>
      <c r="O682" s="25"/>
      <c r="P682" s="25"/>
      <c r="Q682" s="12"/>
      <c r="R682" s="25"/>
      <c r="S682" s="12"/>
      <c r="T682" s="13"/>
      <c r="U682" s="12"/>
      <c r="V682" s="25"/>
      <c r="W682" s="25"/>
      <c r="X682" s="14" t="str">
        <f aca="false">IF(OR($V682="",$W682=""),"",IF(AND($V682&gt;=Spravochnik!$H$5,$W682&gt;=Spravochnik!$H$6),"Ha","Yo'q"))</f>
        <v/>
      </c>
      <c r="Y682" s="13"/>
      <c r="Z682" s="13"/>
      <c r="AA682" s="13"/>
      <c r="AB682" s="13"/>
      <c r="AC682" s="14" t="str">
        <f aca="false">IF(AND($B682&lt;&gt;"",$AE682="",$AB682&lt;&gt;"",$AB682&lt;Boshqaruv!$C$12),"Ha","")</f>
        <v/>
      </c>
      <c r="AD682" s="25"/>
      <c r="AE682" s="13"/>
      <c r="AF682" s="12"/>
      <c r="AG682" s="14" t="str">
        <f aca="false">IF(OR($B682="",$C682="",$H682=""),"",IF(COUNTIFS($B$5:$B$804,$B682,$C$5:$C$804,$C682,$H$5:$H$804,$H682)&gt;1,"Takror",""))</f>
        <v/>
      </c>
      <c r="AH682" s="28" t="str">
        <f aca="false">IF(AND($B682&lt;&gt;"",$N682="Ha",$H682&lt;&gt;"",$H682&lt;=Boshqaruv!$C$12,OR($AE682="",$AE682&gt;Boshqaruv!$C$12)),MAX($AH$4:$AH681)+1,"")</f>
        <v/>
      </c>
    </row>
    <row r="683" customFormat="false" ht="15" hidden="false" customHeight="false" outlineLevel="0" collapsed="false">
      <c r="A683" s="20" t="n">
        <v>679</v>
      </c>
      <c r="B683" s="12"/>
      <c r="C683" s="13"/>
      <c r="D683" s="24"/>
      <c r="E683" s="12"/>
      <c r="F683" s="25"/>
      <c r="G683" s="27" t="str">
        <f aca="false">IF(OR($B683="",$C683=""),"",$B683&amp;" ("&amp;DAY($C683)&amp;"."&amp;MONTH($C683)&amp;"."&amp;YEAR($C683)&amp;")")</f>
        <v/>
      </c>
      <c r="H683" s="13"/>
      <c r="I683" s="13"/>
      <c r="J683" s="15" t="str">
        <f aca="false">IF($I683="","",$I683+280)</f>
        <v/>
      </c>
      <c r="K683" s="14" t="str">
        <f aca="false">IF(OR($I683="",$AE683&lt;&gt;""),"",INT((Boshqaruv!$C$12-$I683)/7))</f>
        <v/>
      </c>
      <c r="L683" s="14" t="str">
        <f aca="false">IF(OR($C683="",$H683=""),"",INT(($H683-$C683)/365.25))</f>
        <v/>
      </c>
      <c r="M683" s="14" t="str">
        <f aca="false">IF($L683="","",IF($L683&lt;18,"Ha","Yo'q"))</f>
        <v/>
      </c>
      <c r="N683" s="25"/>
      <c r="O683" s="25"/>
      <c r="P683" s="25"/>
      <c r="Q683" s="12"/>
      <c r="R683" s="25"/>
      <c r="S683" s="12"/>
      <c r="T683" s="13"/>
      <c r="U683" s="12"/>
      <c r="V683" s="25"/>
      <c r="W683" s="25"/>
      <c r="X683" s="14" t="str">
        <f aca="false">IF(OR($V683="",$W683=""),"",IF(AND($V683&gt;=Spravochnik!$H$5,$W683&gt;=Spravochnik!$H$6),"Ha","Yo'q"))</f>
        <v/>
      </c>
      <c r="Y683" s="13"/>
      <c r="Z683" s="13"/>
      <c r="AA683" s="13"/>
      <c r="AB683" s="13"/>
      <c r="AC683" s="14" t="str">
        <f aca="false">IF(AND($B683&lt;&gt;"",$AE683="",$AB683&lt;&gt;"",$AB683&lt;Boshqaruv!$C$12),"Ha","")</f>
        <v/>
      </c>
      <c r="AD683" s="25"/>
      <c r="AE683" s="13"/>
      <c r="AF683" s="12"/>
      <c r="AG683" s="14" t="str">
        <f aca="false">IF(OR($B683="",$C683="",$H683=""),"",IF(COUNTIFS($B$5:$B$804,$B683,$C$5:$C$804,$C683,$H$5:$H$804,$H683)&gt;1,"Takror",""))</f>
        <v/>
      </c>
      <c r="AH683" s="28" t="str">
        <f aca="false">IF(AND($B683&lt;&gt;"",$N683="Ha",$H683&lt;&gt;"",$H683&lt;=Boshqaruv!$C$12,OR($AE683="",$AE683&gt;Boshqaruv!$C$12)),MAX($AH$4:$AH682)+1,"")</f>
        <v/>
      </c>
    </row>
    <row r="684" customFormat="false" ht="15" hidden="false" customHeight="false" outlineLevel="0" collapsed="false">
      <c r="A684" s="20" t="n">
        <v>680</v>
      </c>
      <c r="B684" s="12"/>
      <c r="C684" s="13"/>
      <c r="D684" s="24"/>
      <c r="E684" s="12"/>
      <c r="F684" s="25"/>
      <c r="G684" s="27" t="str">
        <f aca="false">IF(OR($B684="",$C684=""),"",$B684&amp;" ("&amp;DAY($C684)&amp;"."&amp;MONTH($C684)&amp;"."&amp;YEAR($C684)&amp;")")</f>
        <v/>
      </c>
      <c r="H684" s="13"/>
      <c r="I684" s="13"/>
      <c r="J684" s="15" t="str">
        <f aca="false">IF($I684="","",$I684+280)</f>
        <v/>
      </c>
      <c r="K684" s="14" t="str">
        <f aca="false">IF(OR($I684="",$AE684&lt;&gt;""),"",INT((Boshqaruv!$C$12-$I684)/7))</f>
        <v/>
      </c>
      <c r="L684" s="14" t="str">
        <f aca="false">IF(OR($C684="",$H684=""),"",INT(($H684-$C684)/365.25))</f>
        <v/>
      </c>
      <c r="M684" s="14" t="str">
        <f aca="false">IF($L684="","",IF($L684&lt;18,"Ha","Yo'q"))</f>
        <v/>
      </c>
      <c r="N684" s="25"/>
      <c r="O684" s="25"/>
      <c r="P684" s="25"/>
      <c r="Q684" s="12"/>
      <c r="R684" s="25"/>
      <c r="S684" s="12"/>
      <c r="T684" s="13"/>
      <c r="U684" s="12"/>
      <c r="V684" s="25"/>
      <c r="W684" s="25"/>
      <c r="X684" s="14" t="str">
        <f aca="false">IF(OR($V684="",$W684=""),"",IF(AND($V684&gt;=Spravochnik!$H$5,$W684&gt;=Spravochnik!$H$6),"Ha","Yo'q"))</f>
        <v/>
      </c>
      <c r="Y684" s="13"/>
      <c r="Z684" s="13"/>
      <c r="AA684" s="13"/>
      <c r="AB684" s="13"/>
      <c r="AC684" s="14" t="str">
        <f aca="false">IF(AND($B684&lt;&gt;"",$AE684="",$AB684&lt;&gt;"",$AB684&lt;Boshqaruv!$C$12),"Ha","")</f>
        <v/>
      </c>
      <c r="AD684" s="25"/>
      <c r="AE684" s="13"/>
      <c r="AF684" s="12"/>
      <c r="AG684" s="14" t="str">
        <f aca="false">IF(OR($B684="",$C684="",$H684=""),"",IF(COUNTIFS($B$5:$B$804,$B684,$C$5:$C$804,$C684,$H$5:$H$804,$H684)&gt;1,"Takror",""))</f>
        <v/>
      </c>
      <c r="AH684" s="28" t="str">
        <f aca="false">IF(AND($B684&lt;&gt;"",$N684="Ha",$H684&lt;&gt;"",$H684&lt;=Boshqaruv!$C$12,OR($AE684="",$AE684&gt;Boshqaruv!$C$12)),MAX($AH$4:$AH683)+1,"")</f>
        <v/>
      </c>
    </row>
    <row r="685" customFormat="false" ht="15" hidden="false" customHeight="false" outlineLevel="0" collapsed="false">
      <c r="A685" s="20" t="n">
        <v>681</v>
      </c>
      <c r="B685" s="12"/>
      <c r="C685" s="13"/>
      <c r="D685" s="24"/>
      <c r="E685" s="12"/>
      <c r="F685" s="25"/>
      <c r="G685" s="27" t="str">
        <f aca="false">IF(OR($B685="",$C685=""),"",$B685&amp;" ("&amp;DAY($C685)&amp;"."&amp;MONTH($C685)&amp;"."&amp;YEAR($C685)&amp;")")</f>
        <v/>
      </c>
      <c r="H685" s="13"/>
      <c r="I685" s="13"/>
      <c r="J685" s="15" t="str">
        <f aca="false">IF($I685="","",$I685+280)</f>
        <v/>
      </c>
      <c r="K685" s="14" t="str">
        <f aca="false">IF(OR($I685="",$AE685&lt;&gt;""),"",INT((Boshqaruv!$C$12-$I685)/7))</f>
        <v/>
      </c>
      <c r="L685" s="14" t="str">
        <f aca="false">IF(OR($C685="",$H685=""),"",INT(($H685-$C685)/365.25))</f>
        <v/>
      </c>
      <c r="M685" s="14" t="str">
        <f aca="false">IF($L685="","",IF($L685&lt;18,"Ha","Yo'q"))</f>
        <v/>
      </c>
      <c r="N685" s="25"/>
      <c r="O685" s="25"/>
      <c r="P685" s="25"/>
      <c r="Q685" s="12"/>
      <c r="R685" s="25"/>
      <c r="S685" s="12"/>
      <c r="T685" s="13"/>
      <c r="U685" s="12"/>
      <c r="V685" s="25"/>
      <c r="W685" s="25"/>
      <c r="X685" s="14" t="str">
        <f aca="false">IF(OR($V685="",$W685=""),"",IF(AND($V685&gt;=Spravochnik!$H$5,$W685&gt;=Spravochnik!$H$6),"Ha","Yo'q"))</f>
        <v/>
      </c>
      <c r="Y685" s="13"/>
      <c r="Z685" s="13"/>
      <c r="AA685" s="13"/>
      <c r="AB685" s="13"/>
      <c r="AC685" s="14" t="str">
        <f aca="false">IF(AND($B685&lt;&gt;"",$AE685="",$AB685&lt;&gt;"",$AB685&lt;Boshqaruv!$C$12),"Ha","")</f>
        <v/>
      </c>
      <c r="AD685" s="25"/>
      <c r="AE685" s="13"/>
      <c r="AF685" s="12"/>
      <c r="AG685" s="14" t="str">
        <f aca="false">IF(OR($B685="",$C685="",$H685=""),"",IF(COUNTIFS($B$5:$B$804,$B685,$C$5:$C$804,$C685,$H$5:$H$804,$H685)&gt;1,"Takror",""))</f>
        <v/>
      </c>
      <c r="AH685" s="28" t="str">
        <f aca="false">IF(AND($B685&lt;&gt;"",$N685="Ha",$H685&lt;&gt;"",$H685&lt;=Boshqaruv!$C$12,OR($AE685="",$AE685&gt;Boshqaruv!$C$12)),MAX($AH$4:$AH684)+1,"")</f>
        <v/>
      </c>
    </row>
    <row r="686" customFormat="false" ht="15" hidden="false" customHeight="false" outlineLevel="0" collapsed="false">
      <c r="A686" s="20" t="n">
        <v>682</v>
      </c>
      <c r="B686" s="12"/>
      <c r="C686" s="13"/>
      <c r="D686" s="24"/>
      <c r="E686" s="12"/>
      <c r="F686" s="25"/>
      <c r="G686" s="27" t="str">
        <f aca="false">IF(OR($B686="",$C686=""),"",$B686&amp;" ("&amp;DAY($C686)&amp;"."&amp;MONTH($C686)&amp;"."&amp;YEAR($C686)&amp;")")</f>
        <v/>
      </c>
      <c r="H686" s="13"/>
      <c r="I686" s="13"/>
      <c r="J686" s="15" t="str">
        <f aca="false">IF($I686="","",$I686+280)</f>
        <v/>
      </c>
      <c r="K686" s="14" t="str">
        <f aca="false">IF(OR($I686="",$AE686&lt;&gt;""),"",INT((Boshqaruv!$C$12-$I686)/7))</f>
        <v/>
      </c>
      <c r="L686" s="14" t="str">
        <f aca="false">IF(OR($C686="",$H686=""),"",INT(($H686-$C686)/365.25))</f>
        <v/>
      </c>
      <c r="M686" s="14" t="str">
        <f aca="false">IF($L686="","",IF($L686&lt;18,"Ha","Yo'q"))</f>
        <v/>
      </c>
      <c r="N686" s="25"/>
      <c r="O686" s="25"/>
      <c r="P686" s="25"/>
      <c r="Q686" s="12"/>
      <c r="R686" s="25"/>
      <c r="S686" s="12"/>
      <c r="T686" s="13"/>
      <c r="U686" s="12"/>
      <c r="V686" s="25"/>
      <c r="W686" s="25"/>
      <c r="X686" s="14" t="str">
        <f aca="false">IF(OR($V686="",$W686=""),"",IF(AND($V686&gt;=Spravochnik!$H$5,$W686&gt;=Spravochnik!$H$6),"Ha","Yo'q"))</f>
        <v/>
      </c>
      <c r="Y686" s="13"/>
      <c r="Z686" s="13"/>
      <c r="AA686" s="13"/>
      <c r="AB686" s="13"/>
      <c r="AC686" s="14" t="str">
        <f aca="false">IF(AND($B686&lt;&gt;"",$AE686="",$AB686&lt;&gt;"",$AB686&lt;Boshqaruv!$C$12),"Ha","")</f>
        <v/>
      </c>
      <c r="AD686" s="25"/>
      <c r="AE686" s="13"/>
      <c r="AF686" s="12"/>
      <c r="AG686" s="14" t="str">
        <f aca="false">IF(OR($B686="",$C686="",$H686=""),"",IF(COUNTIFS($B$5:$B$804,$B686,$C$5:$C$804,$C686,$H$5:$H$804,$H686)&gt;1,"Takror",""))</f>
        <v/>
      </c>
      <c r="AH686" s="28" t="str">
        <f aca="false">IF(AND($B686&lt;&gt;"",$N686="Ha",$H686&lt;&gt;"",$H686&lt;=Boshqaruv!$C$12,OR($AE686="",$AE686&gt;Boshqaruv!$C$12)),MAX($AH$4:$AH685)+1,"")</f>
        <v/>
      </c>
    </row>
    <row r="687" customFormat="false" ht="15" hidden="false" customHeight="false" outlineLevel="0" collapsed="false">
      <c r="A687" s="20" t="n">
        <v>683</v>
      </c>
      <c r="B687" s="12"/>
      <c r="C687" s="13"/>
      <c r="D687" s="24"/>
      <c r="E687" s="12"/>
      <c r="F687" s="25"/>
      <c r="G687" s="27" t="str">
        <f aca="false">IF(OR($B687="",$C687=""),"",$B687&amp;" ("&amp;DAY($C687)&amp;"."&amp;MONTH($C687)&amp;"."&amp;YEAR($C687)&amp;")")</f>
        <v/>
      </c>
      <c r="H687" s="13"/>
      <c r="I687" s="13"/>
      <c r="J687" s="15" t="str">
        <f aca="false">IF($I687="","",$I687+280)</f>
        <v/>
      </c>
      <c r="K687" s="14" t="str">
        <f aca="false">IF(OR($I687="",$AE687&lt;&gt;""),"",INT((Boshqaruv!$C$12-$I687)/7))</f>
        <v/>
      </c>
      <c r="L687" s="14" t="str">
        <f aca="false">IF(OR($C687="",$H687=""),"",INT(($H687-$C687)/365.25))</f>
        <v/>
      </c>
      <c r="M687" s="14" t="str">
        <f aca="false">IF($L687="","",IF($L687&lt;18,"Ha","Yo'q"))</f>
        <v/>
      </c>
      <c r="N687" s="25"/>
      <c r="O687" s="25"/>
      <c r="P687" s="25"/>
      <c r="Q687" s="12"/>
      <c r="R687" s="25"/>
      <c r="S687" s="12"/>
      <c r="T687" s="13"/>
      <c r="U687" s="12"/>
      <c r="V687" s="25"/>
      <c r="W687" s="25"/>
      <c r="X687" s="14" t="str">
        <f aca="false">IF(OR($V687="",$W687=""),"",IF(AND($V687&gt;=Spravochnik!$H$5,$W687&gt;=Spravochnik!$H$6),"Ha","Yo'q"))</f>
        <v/>
      </c>
      <c r="Y687" s="13"/>
      <c r="Z687" s="13"/>
      <c r="AA687" s="13"/>
      <c r="AB687" s="13"/>
      <c r="AC687" s="14" t="str">
        <f aca="false">IF(AND($B687&lt;&gt;"",$AE687="",$AB687&lt;&gt;"",$AB687&lt;Boshqaruv!$C$12),"Ha","")</f>
        <v/>
      </c>
      <c r="AD687" s="25"/>
      <c r="AE687" s="13"/>
      <c r="AF687" s="12"/>
      <c r="AG687" s="14" t="str">
        <f aca="false">IF(OR($B687="",$C687="",$H687=""),"",IF(COUNTIFS($B$5:$B$804,$B687,$C$5:$C$804,$C687,$H$5:$H$804,$H687)&gt;1,"Takror",""))</f>
        <v/>
      </c>
      <c r="AH687" s="28" t="str">
        <f aca="false">IF(AND($B687&lt;&gt;"",$N687="Ha",$H687&lt;&gt;"",$H687&lt;=Boshqaruv!$C$12,OR($AE687="",$AE687&gt;Boshqaruv!$C$12)),MAX($AH$4:$AH686)+1,"")</f>
        <v/>
      </c>
    </row>
    <row r="688" customFormat="false" ht="15" hidden="false" customHeight="false" outlineLevel="0" collapsed="false">
      <c r="A688" s="20" t="n">
        <v>684</v>
      </c>
      <c r="B688" s="12"/>
      <c r="C688" s="13"/>
      <c r="D688" s="24"/>
      <c r="E688" s="12"/>
      <c r="F688" s="25"/>
      <c r="G688" s="27" t="str">
        <f aca="false">IF(OR($B688="",$C688=""),"",$B688&amp;" ("&amp;DAY($C688)&amp;"."&amp;MONTH($C688)&amp;"."&amp;YEAR($C688)&amp;")")</f>
        <v/>
      </c>
      <c r="H688" s="13"/>
      <c r="I688" s="13"/>
      <c r="J688" s="15" t="str">
        <f aca="false">IF($I688="","",$I688+280)</f>
        <v/>
      </c>
      <c r="K688" s="14" t="str">
        <f aca="false">IF(OR($I688="",$AE688&lt;&gt;""),"",INT((Boshqaruv!$C$12-$I688)/7))</f>
        <v/>
      </c>
      <c r="L688" s="14" t="str">
        <f aca="false">IF(OR($C688="",$H688=""),"",INT(($H688-$C688)/365.25))</f>
        <v/>
      </c>
      <c r="M688" s="14" t="str">
        <f aca="false">IF($L688="","",IF($L688&lt;18,"Ha","Yo'q"))</f>
        <v/>
      </c>
      <c r="N688" s="25"/>
      <c r="O688" s="25"/>
      <c r="P688" s="25"/>
      <c r="Q688" s="12"/>
      <c r="R688" s="25"/>
      <c r="S688" s="12"/>
      <c r="T688" s="13"/>
      <c r="U688" s="12"/>
      <c r="V688" s="25"/>
      <c r="W688" s="25"/>
      <c r="X688" s="14" t="str">
        <f aca="false">IF(OR($V688="",$W688=""),"",IF(AND($V688&gt;=Spravochnik!$H$5,$W688&gt;=Spravochnik!$H$6),"Ha","Yo'q"))</f>
        <v/>
      </c>
      <c r="Y688" s="13"/>
      <c r="Z688" s="13"/>
      <c r="AA688" s="13"/>
      <c r="AB688" s="13"/>
      <c r="AC688" s="14" t="str">
        <f aca="false">IF(AND($B688&lt;&gt;"",$AE688="",$AB688&lt;&gt;"",$AB688&lt;Boshqaruv!$C$12),"Ha","")</f>
        <v/>
      </c>
      <c r="AD688" s="25"/>
      <c r="AE688" s="13"/>
      <c r="AF688" s="12"/>
      <c r="AG688" s="14" t="str">
        <f aca="false">IF(OR($B688="",$C688="",$H688=""),"",IF(COUNTIFS($B$5:$B$804,$B688,$C$5:$C$804,$C688,$H$5:$H$804,$H688)&gt;1,"Takror",""))</f>
        <v/>
      </c>
      <c r="AH688" s="28" t="str">
        <f aca="false">IF(AND($B688&lt;&gt;"",$N688="Ha",$H688&lt;&gt;"",$H688&lt;=Boshqaruv!$C$12,OR($AE688="",$AE688&gt;Boshqaruv!$C$12)),MAX($AH$4:$AH687)+1,"")</f>
        <v/>
      </c>
    </row>
    <row r="689" customFormat="false" ht="15" hidden="false" customHeight="false" outlineLevel="0" collapsed="false">
      <c r="A689" s="20" t="n">
        <v>685</v>
      </c>
      <c r="B689" s="12"/>
      <c r="C689" s="13"/>
      <c r="D689" s="24"/>
      <c r="E689" s="12"/>
      <c r="F689" s="25"/>
      <c r="G689" s="27" t="str">
        <f aca="false">IF(OR($B689="",$C689=""),"",$B689&amp;" ("&amp;DAY($C689)&amp;"."&amp;MONTH($C689)&amp;"."&amp;YEAR($C689)&amp;")")</f>
        <v/>
      </c>
      <c r="H689" s="13"/>
      <c r="I689" s="13"/>
      <c r="J689" s="15" t="str">
        <f aca="false">IF($I689="","",$I689+280)</f>
        <v/>
      </c>
      <c r="K689" s="14" t="str">
        <f aca="false">IF(OR($I689="",$AE689&lt;&gt;""),"",INT((Boshqaruv!$C$12-$I689)/7))</f>
        <v/>
      </c>
      <c r="L689" s="14" t="str">
        <f aca="false">IF(OR($C689="",$H689=""),"",INT(($H689-$C689)/365.25))</f>
        <v/>
      </c>
      <c r="M689" s="14" t="str">
        <f aca="false">IF($L689="","",IF($L689&lt;18,"Ha","Yo'q"))</f>
        <v/>
      </c>
      <c r="N689" s="25"/>
      <c r="O689" s="25"/>
      <c r="P689" s="25"/>
      <c r="Q689" s="12"/>
      <c r="R689" s="25"/>
      <c r="S689" s="12"/>
      <c r="T689" s="13"/>
      <c r="U689" s="12"/>
      <c r="V689" s="25"/>
      <c r="W689" s="25"/>
      <c r="X689" s="14" t="str">
        <f aca="false">IF(OR($V689="",$W689=""),"",IF(AND($V689&gt;=Spravochnik!$H$5,$W689&gt;=Spravochnik!$H$6),"Ha","Yo'q"))</f>
        <v/>
      </c>
      <c r="Y689" s="13"/>
      <c r="Z689" s="13"/>
      <c r="AA689" s="13"/>
      <c r="AB689" s="13"/>
      <c r="AC689" s="14" t="str">
        <f aca="false">IF(AND($B689&lt;&gt;"",$AE689="",$AB689&lt;&gt;"",$AB689&lt;Boshqaruv!$C$12),"Ha","")</f>
        <v/>
      </c>
      <c r="AD689" s="25"/>
      <c r="AE689" s="13"/>
      <c r="AF689" s="12"/>
      <c r="AG689" s="14" t="str">
        <f aca="false">IF(OR($B689="",$C689="",$H689=""),"",IF(COUNTIFS($B$5:$B$804,$B689,$C$5:$C$804,$C689,$H$5:$H$804,$H689)&gt;1,"Takror",""))</f>
        <v/>
      </c>
      <c r="AH689" s="28" t="str">
        <f aca="false">IF(AND($B689&lt;&gt;"",$N689="Ha",$H689&lt;&gt;"",$H689&lt;=Boshqaruv!$C$12,OR($AE689="",$AE689&gt;Boshqaruv!$C$12)),MAX($AH$4:$AH688)+1,"")</f>
        <v/>
      </c>
    </row>
    <row r="690" customFormat="false" ht="15" hidden="false" customHeight="false" outlineLevel="0" collapsed="false">
      <c r="A690" s="20" t="n">
        <v>686</v>
      </c>
      <c r="B690" s="12"/>
      <c r="C690" s="13"/>
      <c r="D690" s="24"/>
      <c r="E690" s="12"/>
      <c r="F690" s="25"/>
      <c r="G690" s="27" t="str">
        <f aca="false">IF(OR($B690="",$C690=""),"",$B690&amp;" ("&amp;DAY($C690)&amp;"."&amp;MONTH($C690)&amp;"."&amp;YEAR($C690)&amp;")")</f>
        <v/>
      </c>
      <c r="H690" s="13"/>
      <c r="I690" s="13"/>
      <c r="J690" s="15" t="str">
        <f aca="false">IF($I690="","",$I690+280)</f>
        <v/>
      </c>
      <c r="K690" s="14" t="str">
        <f aca="false">IF(OR($I690="",$AE690&lt;&gt;""),"",INT((Boshqaruv!$C$12-$I690)/7))</f>
        <v/>
      </c>
      <c r="L690" s="14" t="str">
        <f aca="false">IF(OR($C690="",$H690=""),"",INT(($H690-$C690)/365.25))</f>
        <v/>
      </c>
      <c r="M690" s="14" t="str">
        <f aca="false">IF($L690="","",IF($L690&lt;18,"Ha","Yo'q"))</f>
        <v/>
      </c>
      <c r="N690" s="25"/>
      <c r="O690" s="25"/>
      <c r="P690" s="25"/>
      <c r="Q690" s="12"/>
      <c r="R690" s="25"/>
      <c r="S690" s="12"/>
      <c r="T690" s="13"/>
      <c r="U690" s="12"/>
      <c r="V690" s="25"/>
      <c r="W690" s="25"/>
      <c r="X690" s="14" t="str">
        <f aca="false">IF(OR($V690="",$W690=""),"",IF(AND($V690&gt;=Spravochnik!$H$5,$W690&gt;=Spravochnik!$H$6),"Ha","Yo'q"))</f>
        <v/>
      </c>
      <c r="Y690" s="13"/>
      <c r="Z690" s="13"/>
      <c r="AA690" s="13"/>
      <c r="AB690" s="13"/>
      <c r="AC690" s="14" t="str">
        <f aca="false">IF(AND($B690&lt;&gt;"",$AE690="",$AB690&lt;&gt;"",$AB690&lt;Boshqaruv!$C$12),"Ha","")</f>
        <v/>
      </c>
      <c r="AD690" s="25"/>
      <c r="AE690" s="13"/>
      <c r="AF690" s="12"/>
      <c r="AG690" s="14" t="str">
        <f aca="false">IF(OR($B690="",$C690="",$H690=""),"",IF(COUNTIFS($B$5:$B$804,$B690,$C$5:$C$804,$C690,$H$5:$H$804,$H690)&gt;1,"Takror",""))</f>
        <v/>
      </c>
      <c r="AH690" s="28" t="str">
        <f aca="false">IF(AND($B690&lt;&gt;"",$N690="Ha",$H690&lt;&gt;"",$H690&lt;=Boshqaruv!$C$12,OR($AE690="",$AE690&gt;Boshqaruv!$C$12)),MAX($AH$4:$AH689)+1,"")</f>
        <v/>
      </c>
    </row>
    <row r="691" customFormat="false" ht="15" hidden="false" customHeight="false" outlineLevel="0" collapsed="false">
      <c r="A691" s="20" t="n">
        <v>687</v>
      </c>
      <c r="B691" s="12"/>
      <c r="C691" s="13"/>
      <c r="D691" s="24"/>
      <c r="E691" s="12"/>
      <c r="F691" s="25"/>
      <c r="G691" s="27" t="str">
        <f aca="false">IF(OR($B691="",$C691=""),"",$B691&amp;" ("&amp;DAY($C691)&amp;"."&amp;MONTH($C691)&amp;"."&amp;YEAR($C691)&amp;")")</f>
        <v/>
      </c>
      <c r="H691" s="13"/>
      <c r="I691" s="13"/>
      <c r="J691" s="15" t="str">
        <f aca="false">IF($I691="","",$I691+280)</f>
        <v/>
      </c>
      <c r="K691" s="14" t="str">
        <f aca="false">IF(OR($I691="",$AE691&lt;&gt;""),"",INT((Boshqaruv!$C$12-$I691)/7))</f>
        <v/>
      </c>
      <c r="L691" s="14" t="str">
        <f aca="false">IF(OR($C691="",$H691=""),"",INT(($H691-$C691)/365.25))</f>
        <v/>
      </c>
      <c r="M691" s="14" t="str">
        <f aca="false">IF($L691="","",IF($L691&lt;18,"Ha","Yo'q"))</f>
        <v/>
      </c>
      <c r="N691" s="25"/>
      <c r="O691" s="25"/>
      <c r="P691" s="25"/>
      <c r="Q691" s="12"/>
      <c r="R691" s="25"/>
      <c r="S691" s="12"/>
      <c r="T691" s="13"/>
      <c r="U691" s="12"/>
      <c r="V691" s="25"/>
      <c r="W691" s="25"/>
      <c r="X691" s="14" t="str">
        <f aca="false">IF(OR($V691="",$W691=""),"",IF(AND($V691&gt;=Spravochnik!$H$5,$W691&gt;=Spravochnik!$H$6),"Ha","Yo'q"))</f>
        <v/>
      </c>
      <c r="Y691" s="13"/>
      <c r="Z691" s="13"/>
      <c r="AA691" s="13"/>
      <c r="AB691" s="13"/>
      <c r="AC691" s="14" t="str">
        <f aca="false">IF(AND($B691&lt;&gt;"",$AE691="",$AB691&lt;&gt;"",$AB691&lt;Boshqaruv!$C$12),"Ha","")</f>
        <v/>
      </c>
      <c r="AD691" s="25"/>
      <c r="AE691" s="13"/>
      <c r="AF691" s="12"/>
      <c r="AG691" s="14" t="str">
        <f aca="false">IF(OR($B691="",$C691="",$H691=""),"",IF(COUNTIFS($B$5:$B$804,$B691,$C$5:$C$804,$C691,$H$5:$H$804,$H691)&gt;1,"Takror",""))</f>
        <v/>
      </c>
      <c r="AH691" s="28" t="str">
        <f aca="false">IF(AND($B691&lt;&gt;"",$N691="Ha",$H691&lt;&gt;"",$H691&lt;=Boshqaruv!$C$12,OR($AE691="",$AE691&gt;Boshqaruv!$C$12)),MAX($AH$4:$AH690)+1,"")</f>
        <v/>
      </c>
    </row>
    <row r="692" customFormat="false" ht="15" hidden="false" customHeight="false" outlineLevel="0" collapsed="false">
      <c r="A692" s="20" t="n">
        <v>688</v>
      </c>
      <c r="B692" s="12"/>
      <c r="C692" s="13"/>
      <c r="D692" s="24"/>
      <c r="E692" s="12"/>
      <c r="F692" s="25"/>
      <c r="G692" s="27" t="str">
        <f aca="false">IF(OR($B692="",$C692=""),"",$B692&amp;" ("&amp;DAY($C692)&amp;"."&amp;MONTH($C692)&amp;"."&amp;YEAR($C692)&amp;")")</f>
        <v/>
      </c>
      <c r="H692" s="13"/>
      <c r="I692" s="13"/>
      <c r="J692" s="15" t="str">
        <f aca="false">IF($I692="","",$I692+280)</f>
        <v/>
      </c>
      <c r="K692" s="14" t="str">
        <f aca="false">IF(OR($I692="",$AE692&lt;&gt;""),"",INT((Boshqaruv!$C$12-$I692)/7))</f>
        <v/>
      </c>
      <c r="L692" s="14" t="str">
        <f aca="false">IF(OR($C692="",$H692=""),"",INT(($H692-$C692)/365.25))</f>
        <v/>
      </c>
      <c r="M692" s="14" t="str">
        <f aca="false">IF($L692="","",IF($L692&lt;18,"Ha","Yo'q"))</f>
        <v/>
      </c>
      <c r="N692" s="25"/>
      <c r="O692" s="25"/>
      <c r="P692" s="25"/>
      <c r="Q692" s="12"/>
      <c r="R692" s="25"/>
      <c r="S692" s="12"/>
      <c r="T692" s="13"/>
      <c r="U692" s="12"/>
      <c r="V692" s="25"/>
      <c r="W692" s="25"/>
      <c r="X692" s="14" t="str">
        <f aca="false">IF(OR($V692="",$W692=""),"",IF(AND($V692&gt;=Spravochnik!$H$5,$W692&gt;=Spravochnik!$H$6),"Ha","Yo'q"))</f>
        <v/>
      </c>
      <c r="Y692" s="13"/>
      <c r="Z692" s="13"/>
      <c r="AA692" s="13"/>
      <c r="AB692" s="13"/>
      <c r="AC692" s="14" t="str">
        <f aca="false">IF(AND($B692&lt;&gt;"",$AE692="",$AB692&lt;&gt;"",$AB692&lt;Boshqaruv!$C$12),"Ha","")</f>
        <v/>
      </c>
      <c r="AD692" s="25"/>
      <c r="AE692" s="13"/>
      <c r="AF692" s="12"/>
      <c r="AG692" s="14" t="str">
        <f aca="false">IF(OR($B692="",$C692="",$H692=""),"",IF(COUNTIFS($B$5:$B$804,$B692,$C$5:$C$804,$C692,$H$5:$H$804,$H692)&gt;1,"Takror",""))</f>
        <v/>
      </c>
      <c r="AH692" s="28" t="str">
        <f aca="false">IF(AND($B692&lt;&gt;"",$N692="Ha",$H692&lt;&gt;"",$H692&lt;=Boshqaruv!$C$12,OR($AE692="",$AE692&gt;Boshqaruv!$C$12)),MAX($AH$4:$AH691)+1,"")</f>
        <v/>
      </c>
    </row>
    <row r="693" customFormat="false" ht="15" hidden="false" customHeight="false" outlineLevel="0" collapsed="false">
      <c r="A693" s="20" t="n">
        <v>689</v>
      </c>
      <c r="B693" s="12"/>
      <c r="C693" s="13"/>
      <c r="D693" s="24"/>
      <c r="E693" s="12"/>
      <c r="F693" s="25"/>
      <c r="G693" s="27" t="str">
        <f aca="false">IF(OR($B693="",$C693=""),"",$B693&amp;" ("&amp;DAY($C693)&amp;"."&amp;MONTH($C693)&amp;"."&amp;YEAR($C693)&amp;")")</f>
        <v/>
      </c>
      <c r="H693" s="13"/>
      <c r="I693" s="13"/>
      <c r="J693" s="15" t="str">
        <f aca="false">IF($I693="","",$I693+280)</f>
        <v/>
      </c>
      <c r="K693" s="14" t="str">
        <f aca="false">IF(OR($I693="",$AE693&lt;&gt;""),"",INT((Boshqaruv!$C$12-$I693)/7))</f>
        <v/>
      </c>
      <c r="L693" s="14" t="str">
        <f aca="false">IF(OR($C693="",$H693=""),"",INT(($H693-$C693)/365.25))</f>
        <v/>
      </c>
      <c r="M693" s="14" t="str">
        <f aca="false">IF($L693="","",IF($L693&lt;18,"Ha","Yo'q"))</f>
        <v/>
      </c>
      <c r="N693" s="25"/>
      <c r="O693" s="25"/>
      <c r="P693" s="25"/>
      <c r="Q693" s="12"/>
      <c r="R693" s="25"/>
      <c r="S693" s="12"/>
      <c r="T693" s="13"/>
      <c r="U693" s="12"/>
      <c r="V693" s="25"/>
      <c r="W693" s="25"/>
      <c r="X693" s="14" t="str">
        <f aca="false">IF(OR($V693="",$W693=""),"",IF(AND($V693&gt;=Spravochnik!$H$5,$W693&gt;=Spravochnik!$H$6),"Ha","Yo'q"))</f>
        <v/>
      </c>
      <c r="Y693" s="13"/>
      <c r="Z693" s="13"/>
      <c r="AA693" s="13"/>
      <c r="AB693" s="13"/>
      <c r="AC693" s="14" t="str">
        <f aca="false">IF(AND($B693&lt;&gt;"",$AE693="",$AB693&lt;&gt;"",$AB693&lt;Boshqaruv!$C$12),"Ha","")</f>
        <v/>
      </c>
      <c r="AD693" s="25"/>
      <c r="AE693" s="13"/>
      <c r="AF693" s="12"/>
      <c r="AG693" s="14" t="str">
        <f aca="false">IF(OR($B693="",$C693="",$H693=""),"",IF(COUNTIFS($B$5:$B$804,$B693,$C$5:$C$804,$C693,$H$5:$H$804,$H693)&gt;1,"Takror",""))</f>
        <v/>
      </c>
      <c r="AH693" s="28" t="str">
        <f aca="false">IF(AND($B693&lt;&gt;"",$N693="Ha",$H693&lt;&gt;"",$H693&lt;=Boshqaruv!$C$12,OR($AE693="",$AE693&gt;Boshqaruv!$C$12)),MAX($AH$4:$AH692)+1,"")</f>
        <v/>
      </c>
    </row>
    <row r="694" customFormat="false" ht="15" hidden="false" customHeight="false" outlineLevel="0" collapsed="false">
      <c r="A694" s="20" t="n">
        <v>690</v>
      </c>
      <c r="B694" s="12"/>
      <c r="C694" s="13"/>
      <c r="D694" s="24"/>
      <c r="E694" s="12"/>
      <c r="F694" s="25"/>
      <c r="G694" s="27" t="str">
        <f aca="false">IF(OR($B694="",$C694=""),"",$B694&amp;" ("&amp;DAY($C694)&amp;"."&amp;MONTH($C694)&amp;"."&amp;YEAR($C694)&amp;")")</f>
        <v/>
      </c>
      <c r="H694" s="13"/>
      <c r="I694" s="13"/>
      <c r="J694" s="15" t="str">
        <f aca="false">IF($I694="","",$I694+280)</f>
        <v/>
      </c>
      <c r="K694" s="14" t="str">
        <f aca="false">IF(OR($I694="",$AE694&lt;&gt;""),"",INT((Boshqaruv!$C$12-$I694)/7))</f>
        <v/>
      </c>
      <c r="L694" s="14" t="str">
        <f aca="false">IF(OR($C694="",$H694=""),"",INT(($H694-$C694)/365.25))</f>
        <v/>
      </c>
      <c r="M694" s="14" t="str">
        <f aca="false">IF($L694="","",IF($L694&lt;18,"Ha","Yo'q"))</f>
        <v/>
      </c>
      <c r="N694" s="25"/>
      <c r="O694" s="25"/>
      <c r="P694" s="25"/>
      <c r="Q694" s="12"/>
      <c r="R694" s="25"/>
      <c r="S694" s="12"/>
      <c r="T694" s="13"/>
      <c r="U694" s="12"/>
      <c r="V694" s="25"/>
      <c r="W694" s="25"/>
      <c r="X694" s="14" t="str">
        <f aca="false">IF(OR($V694="",$W694=""),"",IF(AND($V694&gt;=Spravochnik!$H$5,$W694&gt;=Spravochnik!$H$6),"Ha","Yo'q"))</f>
        <v/>
      </c>
      <c r="Y694" s="13"/>
      <c r="Z694" s="13"/>
      <c r="AA694" s="13"/>
      <c r="AB694" s="13"/>
      <c r="AC694" s="14" t="str">
        <f aca="false">IF(AND($B694&lt;&gt;"",$AE694="",$AB694&lt;&gt;"",$AB694&lt;Boshqaruv!$C$12),"Ha","")</f>
        <v/>
      </c>
      <c r="AD694" s="25"/>
      <c r="AE694" s="13"/>
      <c r="AF694" s="12"/>
      <c r="AG694" s="14" t="str">
        <f aca="false">IF(OR($B694="",$C694="",$H694=""),"",IF(COUNTIFS($B$5:$B$804,$B694,$C$5:$C$804,$C694,$H$5:$H$804,$H694)&gt;1,"Takror",""))</f>
        <v/>
      </c>
      <c r="AH694" s="28" t="str">
        <f aca="false">IF(AND($B694&lt;&gt;"",$N694="Ha",$H694&lt;&gt;"",$H694&lt;=Boshqaruv!$C$12,OR($AE694="",$AE694&gt;Boshqaruv!$C$12)),MAX($AH$4:$AH693)+1,"")</f>
        <v/>
      </c>
    </row>
    <row r="695" customFormat="false" ht="15" hidden="false" customHeight="false" outlineLevel="0" collapsed="false">
      <c r="A695" s="20" t="n">
        <v>691</v>
      </c>
      <c r="B695" s="12"/>
      <c r="C695" s="13"/>
      <c r="D695" s="24"/>
      <c r="E695" s="12"/>
      <c r="F695" s="25"/>
      <c r="G695" s="27" t="str">
        <f aca="false">IF(OR($B695="",$C695=""),"",$B695&amp;" ("&amp;DAY($C695)&amp;"."&amp;MONTH($C695)&amp;"."&amp;YEAR($C695)&amp;")")</f>
        <v/>
      </c>
      <c r="H695" s="13"/>
      <c r="I695" s="13"/>
      <c r="J695" s="15" t="str">
        <f aca="false">IF($I695="","",$I695+280)</f>
        <v/>
      </c>
      <c r="K695" s="14" t="str">
        <f aca="false">IF(OR($I695="",$AE695&lt;&gt;""),"",INT((Boshqaruv!$C$12-$I695)/7))</f>
        <v/>
      </c>
      <c r="L695" s="14" t="str">
        <f aca="false">IF(OR($C695="",$H695=""),"",INT(($H695-$C695)/365.25))</f>
        <v/>
      </c>
      <c r="M695" s="14" t="str">
        <f aca="false">IF($L695="","",IF($L695&lt;18,"Ha","Yo'q"))</f>
        <v/>
      </c>
      <c r="N695" s="25"/>
      <c r="O695" s="25"/>
      <c r="P695" s="25"/>
      <c r="Q695" s="12"/>
      <c r="R695" s="25"/>
      <c r="S695" s="12"/>
      <c r="T695" s="13"/>
      <c r="U695" s="12"/>
      <c r="V695" s="25"/>
      <c r="W695" s="25"/>
      <c r="X695" s="14" t="str">
        <f aca="false">IF(OR($V695="",$W695=""),"",IF(AND($V695&gt;=Spravochnik!$H$5,$W695&gt;=Spravochnik!$H$6),"Ha","Yo'q"))</f>
        <v/>
      </c>
      <c r="Y695" s="13"/>
      <c r="Z695" s="13"/>
      <c r="AA695" s="13"/>
      <c r="AB695" s="13"/>
      <c r="AC695" s="14" t="str">
        <f aca="false">IF(AND($B695&lt;&gt;"",$AE695="",$AB695&lt;&gt;"",$AB695&lt;Boshqaruv!$C$12),"Ha","")</f>
        <v/>
      </c>
      <c r="AD695" s="25"/>
      <c r="AE695" s="13"/>
      <c r="AF695" s="12"/>
      <c r="AG695" s="14" t="str">
        <f aca="false">IF(OR($B695="",$C695="",$H695=""),"",IF(COUNTIFS($B$5:$B$804,$B695,$C$5:$C$804,$C695,$H$5:$H$804,$H695)&gt;1,"Takror",""))</f>
        <v/>
      </c>
      <c r="AH695" s="28" t="str">
        <f aca="false">IF(AND($B695&lt;&gt;"",$N695="Ha",$H695&lt;&gt;"",$H695&lt;=Boshqaruv!$C$12,OR($AE695="",$AE695&gt;Boshqaruv!$C$12)),MAX($AH$4:$AH694)+1,"")</f>
        <v/>
      </c>
    </row>
    <row r="696" customFormat="false" ht="15" hidden="false" customHeight="false" outlineLevel="0" collapsed="false">
      <c r="A696" s="20" t="n">
        <v>692</v>
      </c>
      <c r="B696" s="12"/>
      <c r="C696" s="13"/>
      <c r="D696" s="24"/>
      <c r="E696" s="12"/>
      <c r="F696" s="25"/>
      <c r="G696" s="27" t="str">
        <f aca="false">IF(OR($B696="",$C696=""),"",$B696&amp;" ("&amp;DAY($C696)&amp;"."&amp;MONTH($C696)&amp;"."&amp;YEAR($C696)&amp;")")</f>
        <v/>
      </c>
      <c r="H696" s="13"/>
      <c r="I696" s="13"/>
      <c r="J696" s="15" t="str">
        <f aca="false">IF($I696="","",$I696+280)</f>
        <v/>
      </c>
      <c r="K696" s="14" t="str">
        <f aca="false">IF(OR($I696="",$AE696&lt;&gt;""),"",INT((Boshqaruv!$C$12-$I696)/7))</f>
        <v/>
      </c>
      <c r="L696" s="14" t="str">
        <f aca="false">IF(OR($C696="",$H696=""),"",INT(($H696-$C696)/365.25))</f>
        <v/>
      </c>
      <c r="M696" s="14" t="str">
        <f aca="false">IF($L696="","",IF($L696&lt;18,"Ha","Yo'q"))</f>
        <v/>
      </c>
      <c r="N696" s="25"/>
      <c r="O696" s="25"/>
      <c r="P696" s="25"/>
      <c r="Q696" s="12"/>
      <c r="R696" s="25"/>
      <c r="S696" s="12"/>
      <c r="T696" s="13"/>
      <c r="U696" s="12"/>
      <c r="V696" s="25"/>
      <c r="W696" s="25"/>
      <c r="X696" s="14" t="str">
        <f aca="false">IF(OR($V696="",$W696=""),"",IF(AND($V696&gt;=Spravochnik!$H$5,$W696&gt;=Spravochnik!$H$6),"Ha","Yo'q"))</f>
        <v/>
      </c>
      <c r="Y696" s="13"/>
      <c r="Z696" s="13"/>
      <c r="AA696" s="13"/>
      <c r="AB696" s="13"/>
      <c r="AC696" s="14" t="str">
        <f aca="false">IF(AND($B696&lt;&gt;"",$AE696="",$AB696&lt;&gt;"",$AB696&lt;Boshqaruv!$C$12),"Ha","")</f>
        <v/>
      </c>
      <c r="AD696" s="25"/>
      <c r="AE696" s="13"/>
      <c r="AF696" s="12"/>
      <c r="AG696" s="14" t="str">
        <f aca="false">IF(OR($B696="",$C696="",$H696=""),"",IF(COUNTIFS($B$5:$B$804,$B696,$C$5:$C$804,$C696,$H$5:$H$804,$H696)&gt;1,"Takror",""))</f>
        <v/>
      </c>
      <c r="AH696" s="28" t="str">
        <f aca="false">IF(AND($B696&lt;&gt;"",$N696="Ha",$H696&lt;&gt;"",$H696&lt;=Boshqaruv!$C$12,OR($AE696="",$AE696&gt;Boshqaruv!$C$12)),MAX($AH$4:$AH695)+1,"")</f>
        <v/>
      </c>
    </row>
    <row r="697" customFormat="false" ht="15" hidden="false" customHeight="false" outlineLevel="0" collapsed="false">
      <c r="A697" s="20" t="n">
        <v>693</v>
      </c>
      <c r="B697" s="12"/>
      <c r="C697" s="13"/>
      <c r="D697" s="24"/>
      <c r="E697" s="12"/>
      <c r="F697" s="25"/>
      <c r="G697" s="27" t="str">
        <f aca="false">IF(OR($B697="",$C697=""),"",$B697&amp;" ("&amp;DAY($C697)&amp;"."&amp;MONTH($C697)&amp;"."&amp;YEAR($C697)&amp;")")</f>
        <v/>
      </c>
      <c r="H697" s="13"/>
      <c r="I697" s="13"/>
      <c r="J697" s="15" t="str">
        <f aca="false">IF($I697="","",$I697+280)</f>
        <v/>
      </c>
      <c r="K697" s="14" t="str">
        <f aca="false">IF(OR($I697="",$AE697&lt;&gt;""),"",INT((Boshqaruv!$C$12-$I697)/7))</f>
        <v/>
      </c>
      <c r="L697" s="14" t="str">
        <f aca="false">IF(OR($C697="",$H697=""),"",INT(($H697-$C697)/365.25))</f>
        <v/>
      </c>
      <c r="M697" s="14" t="str">
        <f aca="false">IF($L697="","",IF($L697&lt;18,"Ha","Yo'q"))</f>
        <v/>
      </c>
      <c r="N697" s="25"/>
      <c r="O697" s="25"/>
      <c r="P697" s="25"/>
      <c r="Q697" s="12"/>
      <c r="R697" s="25"/>
      <c r="S697" s="12"/>
      <c r="T697" s="13"/>
      <c r="U697" s="12"/>
      <c r="V697" s="25"/>
      <c r="W697" s="25"/>
      <c r="X697" s="14" t="str">
        <f aca="false">IF(OR($V697="",$W697=""),"",IF(AND($V697&gt;=Spravochnik!$H$5,$W697&gt;=Spravochnik!$H$6),"Ha","Yo'q"))</f>
        <v/>
      </c>
      <c r="Y697" s="13"/>
      <c r="Z697" s="13"/>
      <c r="AA697" s="13"/>
      <c r="AB697" s="13"/>
      <c r="AC697" s="14" t="str">
        <f aca="false">IF(AND($B697&lt;&gt;"",$AE697="",$AB697&lt;&gt;"",$AB697&lt;Boshqaruv!$C$12),"Ha","")</f>
        <v/>
      </c>
      <c r="AD697" s="25"/>
      <c r="AE697" s="13"/>
      <c r="AF697" s="12"/>
      <c r="AG697" s="14" t="str">
        <f aca="false">IF(OR($B697="",$C697="",$H697=""),"",IF(COUNTIFS($B$5:$B$804,$B697,$C$5:$C$804,$C697,$H$5:$H$804,$H697)&gt;1,"Takror",""))</f>
        <v/>
      </c>
      <c r="AH697" s="28" t="str">
        <f aca="false">IF(AND($B697&lt;&gt;"",$N697="Ha",$H697&lt;&gt;"",$H697&lt;=Boshqaruv!$C$12,OR($AE697="",$AE697&gt;Boshqaruv!$C$12)),MAX($AH$4:$AH696)+1,"")</f>
        <v/>
      </c>
    </row>
    <row r="698" customFormat="false" ht="15" hidden="false" customHeight="false" outlineLevel="0" collapsed="false">
      <c r="A698" s="20" t="n">
        <v>694</v>
      </c>
      <c r="B698" s="12"/>
      <c r="C698" s="13"/>
      <c r="D698" s="24"/>
      <c r="E698" s="12"/>
      <c r="F698" s="25"/>
      <c r="G698" s="27" t="str">
        <f aca="false">IF(OR($B698="",$C698=""),"",$B698&amp;" ("&amp;DAY($C698)&amp;"."&amp;MONTH($C698)&amp;"."&amp;YEAR($C698)&amp;")")</f>
        <v/>
      </c>
      <c r="H698" s="13"/>
      <c r="I698" s="13"/>
      <c r="J698" s="15" t="str">
        <f aca="false">IF($I698="","",$I698+280)</f>
        <v/>
      </c>
      <c r="K698" s="14" t="str">
        <f aca="false">IF(OR($I698="",$AE698&lt;&gt;""),"",INT((Boshqaruv!$C$12-$I698)/7))</f>
        <v/>
      </c>
      <c r="L698" s="14" t="str">
        <f aca="false">IF(OR($C698="",$H698=""),"",INT(($H698-$C698)/365.25))</f>
        <v/>
      </c>
      <c r="M698" s="14" t="str">
        <f aca="false">IF($L698="","",IF($L698&lt;18,"Ha","Yo'q"))</f>
        <v/>
      </c>
      <c r="N698" s="25"/>
      <c r="O698" s="25"/>
      <c r="P698" s="25"/>
      <c r="Q698" s="12"/>
      <c r="R698" s="25"/>
      <c r="S698" s="12"/>
      <c r="T698" s="13"/>
      <c r="U698" s="12"/>
      <c r="V698" s="25"/>
      <c r="W698" s="25"/>
      <c r="X698" s="14" t="str">
        <f aca="false">IF(OR($V698="",$W698=""),"",IF(AND($V698&gt;=Spravochnik!$H$5,$W698&gt;=Spravochnik!$H$6),"Ha","Yo'q"))</f>
        <v/>
      </c>
      <c r="Y698" s="13"/>
      <c r="Z698" s="13"/>
      <c r="AA698" s="13"/>
      <c r="AB698" s="13"/>
      <c r="AC698" s="14" t="str">
        <f aca="false">IF(AND($B698&lt;&gt;"",$AE698="",$AB698&lt;&gt;"",$AB698&lt;Boshqaruv!$C$12),"Ha","")</f>
        <v/>
      </c>
      <c r="AD698" s="25"/>
      <c r="AE698" s="13"/>
      <c r="AF698" s="12"/>
      <c r="AG698" s="14" t="str">
        <f aca="false">IF(OR($B698="",$C698="",$H698=""),"",IF(COUNTIFS($B$5:$B$804,$B698,$C$5:$C$804,$C698,$H$5:$H$804,$H698)&gt;1,"Takror",""))</f>
        <v/>
      </c>
      <c r="AH698" s="28" t="str">
        <f aca="false">IF(AND($B698&lt;&gt;"",$N698="Ha",$H698&lt;&gt;"",$H698&lt;=Boshqaruv!$C$12,OR($AE698="",$AE698&gt;Boshqaruv!$C$12)),MAX($AH$4:$AH697)+1,"")</f>
        <v/>
      </c>
    </row>
    <row r="699" customFormat="false" ht="15" hidden="false" customHeight="false" outlineLevel="0" collapsed="false">
      <c r="A699" s="20" t="n">
        <v>695</v>
      </c>
      <c r="B699" s="12"/>
      <c r="C699" s="13"/>
      <c r="D699" s="24"/>
      <c r="E699" s="12"/>
      <c r="F699" s="25"/>
      <c r="G699" s="27" t="str">
        <f aca="false">IF(OR($B699="",$C699=""),"",$B699&amp;" ("&amp;DAY($C699)&amp;"."&amp;MONTH($C699)&amp;"."&amp;YEAR($C699)&amp;")")</f>
        <v/>
      </c>
      <c r="H699" s="13"/>
      <c r="I699" s="13"/>
      <c r="J699" s="15" t="str">
        <f aca="false">IF($I699="","",$I699+280)</f>
        <v/>
      </c>
      <c r="K699" s="14" t="str">
        <f aca="false">IF(OR($I699="",$AE699&lt;&gt;""),"",INT((Boshqaruv!$C$12-$I699)/7))</f>
        <v/>
      </c>
      <c r="L699" s="14" t="str">
        <f aca="false">IF(OR($C699="",$H699=""),"",INT(($H699-$C699)/365.25))</f>
        <v/>
      </c>
      <c r="M699" s="14" t="str">
        <f aca="false">IF($L699="","",IF($L699&lt;18,"Ha","Yo'q"))</f>
        <v/>
      </c>
      <c r="N699" s="25"/>
      <c r="O699" s="25"/>
      <c r="P699" s="25"/>
      <c r="Q699" s="12"/>
      <c r="R699" s="25"/>
      <c r="S699" s="12"/>
      <c r="T699" s="13"/>
      <c r="U699" s="12"/>
      <c r="V699" s="25"/>
      <c r="W699" s="25"/>
      <c r="X699" s="14" t="str">
        <f aca="false">IF(OR($V699="",$W699=""),"",IF(AND($V699&gt;=Spravochnik!$H$5,$W699&gt;=Spravochnik!$H$6),"Ha","Yo'q"))</f>
        <v/>
      </c>
      <c r="Y699" s="13"/>
      <c r="Z699" s="13"/>
      <c r="AA699" s="13"/>
      <c r="AB699" s="13"/>
      <c r="AC699" s="14" t="str">
        <f aca="false">IF(AND($B699&lt;&gt;"",$AE699="",$AB699&lt;&gt;"",$AB699&lt;Boshqaruv!$C$12),"Ha","")</f>
        <v/>
      </c>
      <c r="AD699" s="25"/>
      <c r="AE699" s="13"/>
      <c r="AF699" s="12"/>
      <c r="AG699" s="14" t="str">
        <f aca="false">IF(OR($B699="",$C699="",$H699=""),"",IF(COUNTIFS($B$5:$B$804,$B699,$C$5:$C$804,$C699,$H$5:$H$804,$H699)&gt;1,"Takror",""))</f>
        <v/>
      </c>
      <c r="AH699" s="28" t="str">
        <f aca="false">IF(AND($B699&lt;&gt;"",$N699="Ha",$H699&lt;&gt;"",$H699&lt;=Boshqaruv!$C$12,OR($AE699="",$AE699&gt;Boshqaruv!$C$12)),MAX($AH$4:$AH698)+1,"")</f>
        <v/>
      </c>
    </row>
    <row r="700" customFormat="false" ht="15" hidden="false" customHeight="false" outlineLevel="0" collapsed="false">
      <c r="A700" s="20" t="n">
        <v>696</v>
      </c>
      <c r="B700" s="12"/>
      <c r="C700" s="13"/>
      <c r="D700" s="24"/>
      <c r="E700" s="12"/>
      <c r="F700" s="25"/>
      <c r="G700" s="27" t="str">
        <f aca="false">IF(OR($B700="",$C700=""),"",$B700&amp;" ("&amp;DAY($C700)&amp;"."&amp;MONTH($C700)&amp;"."&amp;YEAR($C700)&amp;")")</f>
        <v/>
      </c>
      <c r="H700" s="13"/>
      <c r="I700" s="13"/>
      <c r="J700" s="15" t="str">
        <f aca="false">IF($I700="","",$I700+280)</f>
        <v/>
      </c>
      <c r="K700" s="14" t="str">
        <f aca="false">IF(OR($I700="",$AE700&lt;&gt;""),"",INT((Boshqaruv!$C$12-$I700)/7))</f>
        <v/>
      </c>
      <c r="L700" s="14" t="str">
        <f aca="false">IF(OR($C700="",$H700=""),"",INT(($H700-$C700)/365.25))</f>
        <v/>
      </c>
      <c r="M700" s="14" t="str">
        <f aca="false">IF($L700="","",IF($L700&lt;18,"Ha","Yo'q"))</f>
        <v/>
      </c>
      <c r="N700" s="25"/>
      <c r="O700" s="25"/>
      <c r="P700" s="25"/>
      <c r="Q700" s="12"/>
      <c r="R700" s="25"/>
      <c r="S700" s="12"/>
      <c r="T700" s="13"/>
      <c r="U700" s="12"/>
      <c r="V700" s="25"/>
      <c r="W700" s="25"/>
      <c r="X700" s="14" t="str">
        <f aca="false">IF(OR($V700="",$W700=""),"",IF(AND($V700&gt;=Spravochnik!$H$5,$W700&gt;=Spravochnik!$H$6),"Ha","Yo'q"))</f>
        <v/>
      </c>
      <c r="Y700" s="13"/>
      <c r="Z700" s="13"/>
      <c r="AA700" s="13"/>
      <c r="AB700" s="13"/>
      <c r="AC700" s="14" t="str">
        <f aca="false">IF(AND($B700&lt;&gt;"",$AE700="",$AB700&lt;&gt;"",$AB700&lt;Boshqaruv!$C$12),"Ha","")</f>
        <v/>
      </c>
      <c r="AD700" s="25"/>
      <c r="AE700" s="13"/>
      <c r="AF700" s="12"/>
      <c r="AG700" s="14" t="str">
        <f aca="false">IF(OR($B700="",$C700="",$H700=""),"",IF(COUNTIFS($B$5:$B$804,$B700,$C$5:$C$804,$C700,$H$5:$H$804,$H700)&gt;1,"Takror",""))</f>
        <v/>
      </c>
      <c r="AH700" s="28" t="str">
        <f aca="false">IF(AND($B700&lt;&gt;"",$N700="Ha",$H700&lt;&gt;"",$H700&lt;=Boshqaruv!$C$12,OR($AE700="",$AE700&gt;Boshqaruv!$C$12)),MAX($AH$4:$AH699)+1,"")</f>
        <v/>
      </c>
    </row>
    <row r="701" customFormat="false" ht="15" hidden="false" customHeight="false" outlineLevel="0" collapsed="false">
      <c r="A701" s="20" t="n">
        <v>697</v>
      </c>
      <c r="B701" s="12"/>
      <c r="C701" s="13"/>
      <c r="D701" s="24"/>
      <c r="E701" s="12"/>
      <c r="F701" s="25"/>
      <c r="G701" s="27" t="str">
        <f aca="false">IF(OR($B701="",$C701=""),"",$B701&amp;" ("&amp;DAY($C701)&amp;"."&amp;MONTH($C701)&amp;"."&amp;YEAR($C701)&amp;")")</f>
        <v/>
      </c>
      <c r="H701" s="13"/>
      <c r="I701" s="13"/>
      <c r="J701" s="15" t="str">
        <f aca="false">IF($I701="","",$I701+280)</f>
        <v/>
      </c>
      <c r="K701" s="14" t="str">
        <f aca="false">IF(OR($I701="",$AE701&lt;&gt;""),"",INT((Boshqaruv!$C$12-$I701)/7))</f>
        <v/>
      </c>
      <c r="L701" s="14" t="str">
        <f aca="false">IF(OR($C701="",$H701=""),"",INT(($H701-$C701)/365.25))</f>
        <v/>
      </c>
      <c r="M701" s="14" t="str">
        <f aca="false">IF($L701="","",IF($L701&lt;18,"Ha","Yo'q"))</f>
        <v/>
      </c>
      <c r="N701" s="25"/>
      <c r="O701" s="25"/>
      <c r="P701" s="25"/>
      <c r="Q701" s="12"/>
      <c r="R701" s="25"/>
      <c r="S701" s="12"/>
      <c r="T701" s="13"/>
      <c r="U701" s="12"/>
      <c r="V701" s="25"/>
      <c r="W701" s="25"/>
      <c r="X701" s="14" t="str">
        <f aca="false">IF(OR($V701="",$W701=""),"",IF(AND($V701&gt;=Spravochnik!$H$5,$W701&gt;=Spravochnik!$H$6),"Ha","Yo'q"))</f>
        <v/>
      </c>
      <c r="Y701" s="13"/>
      <c r="Z701" s="13"/>
      <c r="AA701" s="13"/>
      <c r="AB701" s="13"/>
      <c r="AC701" s="14" t="str">
        <f aca="false">IF(AND($B701&lt;&gt;"",$AE701="",$AB701&lt;&gt;"",$AB701&lt;Boshqaruv!$C$12),"Ha","")</f>
        <v/>
      </c>
      <c r="AD701" s="25"/>
      <c r="AE701" s="13"/>
      <c r="AF701" s="12"/>
      <c r="AG701" s="14" t="str">
        <f aca="false">IF(OR($B701="",$C701="",$H701=""),"",IF(COUNTIFS($B$5:$B$804,$B701,$C$5:$C$804,$C701,$H$5:$H$804,$H701)&gt;1,"Takror",""))</f>
        <v/>
      </c>
      <c r="AH701" s="28" t="str">
        <f aca="false">IF(AND($B701&lt;&gt;"",$N701="Ha",$H701&lt;&gt;"",$H701&lt;=Boshqaruv!$C$12,OR($AE701="",$AE701&gt;Boshqaruv!$C$12)),MAX($AH$4:$AH700)+1,"")</f>
        <v/>
      </c>
    </row>
    <row r="702" customFormat="false" ht="15" hidden="false" customHeight="false" outlineLevel="0" collapsed="false">
      <c r="A702" s="20" t="n">
        <v>698</v>
      </c>
      <c r="B702" s="12"/>
      <c r="C702" s="13"/>
      <c r="D702" s="24"/>
      <c r="E702" s="12"/>
      <c r="F702" s="25"/>
      <c r="G702" s="27" t="str">
        <f aca="false">IF(OR($B702="",$C702=""),"",$B702&amp;" ("&amp;DAY($C702)&amp;"."&amp;MONTH($C702)&amp;"."&amp;YEAR($C702)&amp;")")</f>
        <v/>
      </c>
      <c r="H702" s="13"/>
      <c r="I702" s="13"/>
      <c r="J702" s="15" t="str">
        <f aca="false">IF($I702="","",$I702+280)</f>
        <v/>
      </c>
      <c r="K702" s="14" t="str">
        <f aca="false">IF(OR($I702="",$AE702&lt;&gt;""),"",INT((Boshqaruv!$C$12-$I702)/7))</f>
        <v/>
      </c>
      <c r="L702" s="14" t="str">
        <f aca="false">IF(OR($C702="",$H702=""),"",INT(($H702-$C702)/365.25))</f>
        <v/>
      </c>
      <c r="M702" s="14" t="str">
        <f aca="false">IF($L702="","",IF($L702&lt;18,"Ha","Yo'q"))</f>
        <v/>
      </c>
      <c r="N702" s="25"/>
      <c r="O702" s="25"/>
      <c r="P702" s="25"/>
      <c r="Q702" s="12"/>
      <c r="R702" s="25"/>
      <c r="S702" s="12"/>
      <c r="T702" s="13"/>
      <c r="U702" s="12"/>
      <c r="V702" s="25"/>
      <c r="W702" s="25"/>
      <c r="X702" s="14" t="str">
        <f aca="false">IF(OR($V702="",$W702=""),"",IF(AND($V702&gt;=Spravochnik!$H$5,$W702&gt;=Spravochnik!$H$6),"Ha","Yo'q"))</f>
        <v/>
      </c>
      <c r="Y702" s="13"/>
      <c r="Z702" s="13"/>
      <c r="AA702" s="13"/>
      <c r="AB702" s="13"/>
      <c r="AC702" s="14" t="str">
        <f aca="false">IF(AND($B702&lt;&gt;"",$AE702="",$AB702&lt;&gt;"",$AB702&lt;Boshqaruv!$C$12),"Ha","")</f>
        <v/>
      </c>
      <c r="AD702" s="25"/>
      <c r="AE702" s="13"/>
      <c r="AF702" s="12"/>
      <c r="AG702" s="14" t="str">
        <f aca="false">IF(OR($B702="",$C702="",$H702=""),"",IF(COUNTIFS($B$5:$B$804,$B702,$C$5:$C$804,$C702,$H$5:$H$804,$H702)&gt;1,"Takror",""))</f>
        <v/>
      </c>
      <c r="AH702" s="28" t="str">
        <f aca="false">IF(AND($B702&lt;&gt;"",$N702="Ha",$H702&lt;&gt;"",$H702&lt;=Boshqaruv!$C$12,OR($AE702="",$AE702&gt;Boshqaruv!$C$12)),MAX($AH$4:$AH701)+1,"")</f>
        <v/>
      </c>
    </row>
    <row r="703" customFormat="false" ht="15" hidden="false" customHeight="false" outlineLevel="0" collapsed="false">
      <c r="A703" s="20" t="n">
        <v>699</v>
      </c>
      <c r="B703" s="12"/>
      <c r="C703" s="13"/>
      <c r="D703" s="24"/>
      <c r="E703" s="12"/>
      <c r="F703" s="25"/>
      <c r="G703" s="27" t="str">
        <f aca="false">IF(OR($B703="",$C703=""),"",$B703&amp;" ("&amp;DAY($C703)&amp;"."&amp;MONTH($C703)&amp;"."&amp;YEAR($C703)&amp;")")</f>
        <v/>
      </c>
      <c r="H703" s="13"/>
      <c r="I703" s="13"/>
      <c r="J703" s="15" t="str">
        <f aca="false">IF($I703="","",$I703+280)</f>
        <v/>
      </c>
      <c r="K703" s="14" t="str">
        <f aca="false">IF(OR($I703="",$AE703&lt;&gt;""),"",INT((Boshqaruv!$C$12-$I703)/7))</f>
        <v/>
      </c>
      <c r="L703" s="14" t="str">
        <f aca="false">IF(OR($C703="",$H703=""),"",INT(($H703-$C703)/365.25))</f>
        <v/>
      </c>
      <c r="M703" s="14" t="str">
        <f aca="false">IF($L703="","",IF($L703&lt;18,"Ha","Yo'q"))</f>
        <v/>
      </c>
      <c r="N703" s="25"/>
      <c r="O703" s="25"/>
      <c r="P703" s="25"/>
      <c r="Q703" s="12"/>
      <c r="R703" s="25"/>
      <c r="S703" s="12"/>
      <c r="T703" s="13"/>
      <c r="U703" s="12"/>
      <c r="V703" s="25"/>
      <c r="W703" s="25"/>
      <c r="X703" s="14" t="str">
        <f aca="false">IF(OR($V703="",$W703=""),"",IF(AND($V703&gt;=Spravochnik!$H$5,$W703&gt;=Spravochnik!$H$6),"Ha","Yo'q"))</f>
        <v/>
      </c>
      <c r="Y703" s="13"/>
      <c r="Z703" s="13"/>
      <c r="AA703" s="13"/>
      <c r="AB703" s="13"/>
      <c r="AC703" s="14" t="str">
        <f aca="false">IF(AND($B703&lt;&gt;"",$AE703="",$AB703&lt;&gt;"",$AB703&lt;Boshqaruv!$C$12),"Ha","")</f>
        <v/>
      </c>
      <c r="AD703" s="25"/>
      <c r="AE703" s="13"/>
      <c r="AF703" s="12"/>
      <c r="AG703" s="14" t="str">
        <f aca="false">IF(OR($B703="",$C703="",$H703=""),"",IF(COUNTIFS($B$5:$B$804,$B703,$C$5:$C$804,$C703,$H$5:$H$804,$H703)&gt;1,"Takror",""))</f>
        <v/>
      </c>
      <c r="AH703" s="28" t="str">
        <f aca="false">IF(AND($B703&lt;&gt;"",$N703="Ha",$H703&lt;&gt;"",$H703&lt;=Boshqaruv!$C$12,OR($AE703="",$AE703&gt;Boshqaruv!$C$12)),MAX($AH$4:$AH702)+1,"")</f>
        <v/>
      </c>
    </row>
    <row r="704" customFormat="false" ht="15" hidden="false" customHeight="false" outlineLevel="0" collapsed="false">
      <c r="A704" s="20" t="n">
        <v>700</v>
      </c>
      <c r="B704" s="12"/>
      <c r="C704" s="13"/>
      <c r="D704" s="24"/>
      <c r="E704" s="12"/>
      <c r="F704" s="25"/>
      <c r="G704" s="27" t="str">
        <f aca="false">IF(OR($B704="",$C704=""),"",$B704&amp;" ("&amp;DAY($C704)&amp;"."&amp;MONTH($C704)&amp;"."&amp;YEAR($C704)&amp;")")</f>
        <v/>
      </c>
      <c r="H704" s="13"/>
      <c r="I704" s="13"/>
      <c r="J704" s="15" t="str">
        <f aca="false">IF($I704="","",$I704+280)</f>
        <v/>
      </c>
      <c r="K704" s="14" t="str">
        <f aca="false">IF(OR($I704="",$AE704&lt;&gt;""),"",INT((Boshqaruv!$C$12-$I704)/7))</f>
        <v/>
      </c>
      <c r="L704" s="14" t="str">
        <f aca="false">IF(OR($C704="",$H704=""),"",INT(($H704-$C704)/365.25))</f>
        <v/>
      </c>
      <c r="M704" s="14" t="str">
        <f aca="false">IF($L704="","",IF($L704&lt;18,"Ha","Yo'q"))</f>
        <v/>
      </c>
      <c r="N704" s="25"/>
      <c r="O704" s="25"/>
      <c r="P704" s="25"/>
      <c r="Q704" s="12"/>
      <c r="R704" s="25"/>
      <c r="S704" s="12"/>
      <c r="T704" s="13"/>
      <c r="U704" s="12"/>
      <c r="V704" s="25"/>
      <c r="W704" s="25"/>
      <c r="X704" s="14" t="str">
        <f aca="false">IF(OR($V704="",$W704=""),"",IF(AND($V704&gt;=Spravochnik!$H$5,$W704&gt;=Spravochnik!$H$6),"Ha","Yo'q"))</f>
        <v/>
      </c>
      <c r="Y704" s="13"/>
      <c r="Z704" s="13"/>
      <c r="AA704" s="13"/>
      <c r="AB704" s="13"/>
      <c r="AC704" s="14" t="str">
        <f aca="false">IF(AND($B704&lt;&gt;"",$AE704="",$AB704&lt;&gt;"",$AB704&lt;Boshqaruv!$C$12),"Ha","")</f>
        <v/>
      </c>
      <c r="AD704" s="25"/>
      <c r="AE704" s="13"/>
      <c r="AF704" s="12"/>
      <c r="AG704" s="14" t="str">
        <f aca="false">IF(OR($B704="",$C704="",$H704=""),"",IF(COUNTIFS($B$5:$B$804,$B704,$C$5:$C$804,$C704,$H$5:$H$804,$H704)&gt;1,"Takror",""))</f>
        <v/>
      </c>
      <c r="AH704" s="28" t="str">
        <f aca="false">IF(AND($B704&lt;&gt;"",$N704="Ha",$H704&lt;&gt;"",$H704&lt;=Boshqaruv!$C$12,OR($AE704="",$AE704&gt;Boshqaruv!$C$12)),MAX($AH$4:$AH703)+1,"")</f>
        <v/>
      </c>
    </row>
    <row r="705" customFormat="false" ht="15" hidden="false" customHeight="false" outlineLevel="0" collapsed="false">
      <c r="A705" s="20" t="n">
        <v>701</v>
      </c>
      <c r="B705" s="12"/>
      <c r="C705" s="13"/>
      <c r="D705" s="24"/>
      <c r="E705" s="12"/>
      <c r="F705" s="25"/>
      <c r="G705" s="27" t="str">
        <f aca="false">IF(OR($B705="",$C705=""),"",$B705&amp;" ("&amp;DAY($C705)&amp;"."&amp;MONTH($C705)&amp;"."&amp;YEAR($C705)&amp;")")</f>
        <v/>
      </c>
      <c r="H705" s="13"/>
      <c r="I705" s="13"/>
      <c r="J705" s="15" t="str">
        <f aca="false">IF($I705="","",$I705+280)</f>
        <v/>
      </c>
      <c r="K705" s="14" t="str">
        <f aca="false">IF(OR($I705="",$AE705&lt;&gt;""),"",INT((Boshqaruv!$C$12-$I705)/7))</f>
        <v/>
      </c>
      <c r="L705" s="14" t="str">
        <f aca="false">IF(OR($C705="",$H705=""),"",INT(($H705-$C705)/365.25))</f>
        <v/>
      </c>
      <c r="M705" s="14" t="str">
        <f aca="false">IF($L705="","",IF($L705&lt;18,"Ha","Yo'q"))</f>
        <v/>
      </c>
      <c r="N705" s="25"/>
      <c r="O705" s="25"/>
      <c r="P705" s="25"/>
      <c r="Q705" s="12"/>
      <c r="R705" s="25"/>
      <c r="S705" s="12"/>
      <c r="T705" s="13"/>
      <c r="U705" s="12"/>
      <c r="V705" s="25"/>
      <c r="W705" s="25"/>
      <c r="X705" s="14" t="str">
        <f aca="false">IF(OR($V705="",$W705=""),"",IF(AND($V705&gt;=Spravochnik!$H$5,$W705&gt;=Spravochnik!$H$6),"Ha","Yo'q"))</f>
        <v/>
      </c>
      <c r="Y705" s="13"/>
      <c r="Z705" s="13"/>
      <c r="AA705" s="13"/>
      <c r="AB705" s="13"/>
      <c r="AC705" s="14" t="str">
        <f aca="false">IF(AND($B705&lt;&gt;"",$AE705="",$AB705&lt;&gt;"",$AB705&lt;Boshqaruv!$C$12),"Ha","")</f>
        <v/>
      </c>
      <c r="AD705" s="25"/>
      <c r="AE705" s="13"/>
      <c r="AF705" s="12"/>
      <c r="AG705" s="14" t="str">
        <f aca="false">IF(OR($B705="",$C705="",$H705=""),"",IF(COUNTIFS($B$5:$B$804,$B705,$C$5:$C$804,$C705,$H$5:$H$804,$H705)&gt;1,"Takror",""))</f>
        <v/>
      </c>
      <c r="AH705" s="28" t="str">
        <f aca="false">IF(AND($B705&lt;&gt;"",$N705="Ha",$H705&lt;&gt;"",$H705&lt;=Boshqaruv!$C$12,OR($AE705="",$AE705&gt;Boshqaruv!$C$12)),MAX($AH$4:$AH704)+1,"")</f>
        <v/>
      </c>
    </row>
    <row r="706" customFormat="false" ht="15" hidden="false" customHeight="false" outlineLevel="0" collapsed="false">
      <c r="A706" s="20" t="n">
        <v>702</v>
      </c>
      <c r="B706" s="12"/>
      <c r="C706" s="13"/>
      <c r="D706" s="24"/>
      <c r="E706" s="12"/>
      <c r="F706" s="25"/>
      <c r="G706" s="27" t="str">
        <f aca="false">IF(OR($B706="",$C706=""),"",$B706&amp;" ("&amp;DAY($C706)&amp;"."&amp;MONTH($C706)&amp;"."&amp;YEAR($C706)&amp;")")</f>
        <v/>
      </c>
      <c r="H706" s="13"/>
      <c r="I706" s="13"/>
      <c r="J706" s="15" t="str">
        <f aca="false">IF($I706="","",$I706+280)</f>
        <v/>
      </c>
      <c r="K706" s="14" t="str">
        <f aca="false">IF(OR($I706="",$AE706&lt;&gt;""),"",INT((Boshqaruv!$C$12-$I706)/7))</f>
        <v/>
      </c>
      <c r="L706" s="14" t="str">
        <f aca="false">IF(OR($C706="",$H706=""),"",INT(($H706-$C706)/365.25))</f>
        <v/>
      </c>
      <c r="M706" s="14" t="str">
        <f aca="false">IF($L706="","",IF($L706&lt;18,"Ha","Yo'q"))</f>
        <v/>
      </c>
      <c r="N706" s="25"/>
      <c r="O706" s="25"/>
      <c r="P706" s="25"/>
      <c r="Q706" s="12"/>
      <c r="R706" s="25"/>
      <c r="S706" s="12"/>
      <c r="T706" s="13"/>
      <c r="U706" s="12"/>
      <c r="V706" s="25"/>
      <c r="W706" s="25"/>
      <c r="X706" s="14" t="str">
        <f aca="false">IF(OR($V706="",$W706=""),"",IF(AND($V706&gt;=Spravochnik!$H$5,$W706&gt;=Spravochnik!$H$6),"Ha","Yo'q"))</f>
        <v/>
      </c>
      <c r="Y706" s="13"/>
      <c r="Z706" s="13"/>
      <c r="AA706" s="13"/>
      <c r="AB706" s="13"/>
      <c r="AC706" s="14" t="str">
        <f aca="false">IF(AND($B706&lt;&gt;"",$AE706="",$AB706&lt;&gt;"",$AB706&lt;Boshqaruv!$C$12),"Ha","")</f>
        <v/>
      </c>
      <c r="AD706" s="25"/>
      <c r="AE706" s="13"/>
      <c r="AF706" s="12"/>
      <c r="AG706" s="14" t="str">
        <f aca="false">IF(OR($B706="",$C706="",$H706=""),"",IF(COUNTIFS($B$5:$B$804,$B706,$C$5:$C$804,$C706,$H$5:$H$804,$H706)&gt;1,"Takror",""))</f>
        <v/>
      </c>
      <c r="AH706" s="28" t="str">
        <f aca="false">IF(AND($B706&lt;&gt;"",$N706="Ha",$H706&lt;&gt;"",$H706&lt;=Boshqaruv!$C$12,OR($AE706="",$AE706&gt;Boshqaruv!$C$12)),MAX($AH$4:$AH705)+1,"")</f>
        <v/>
      </c>
    </row>
    <row r="707" customFormat="false" ht="15" hidden="false" customHeight="false" outlineLevel="0" collapsed="false">
      <c r="A707" s="20" t="n">
        <v>703</v>
      </c>
      <c r="B707" s="12"/>
      <c r="C707" s="13"/>
      <c r="D707" s="24"/>
      <c r="E707" s="12"/>
      <c r="F707" s="25"/>
      <c r="G707" s="27" t="str">
        <f aca="false">IF(OR($B707="",$C707=""),"",$B707&amp;" ("&amp;DAY($C707)&amp;"."&amp;MONTH($C707)&amp;"."&amp;YEAR($C707)&amp;")")</f>
        <v/>
      </c>
      <c r="H707" s="13"/>
      <c r="I707" s="13"/>
      <c r="J707" s="15" t="str">
        <f aca="false">IF($I707="","",$I707+280)</f>
        <v/>
      </c>
      <c r="K707" s="14" t="str">
        <f aca="false">IF(OR($I707="",$AE707&lt;&gt;""),"",INT((Boshqaruv!$C$12-$I707)/7))</f>
        <v/>
      </c>
      <c r="L707" s="14" t="str">
        <f aca="false">IF(OR($C707="",$H707=""),"",INT(($H707-$C707)/365.25))</f>
        <v/>
      </c>
      <c r="M707" s="14" t="str">
        <f aca="false">IF($L707="","",IF($L707&lt;18,"Ha","Yo'q"))</f>
        <v/>
      </c>
      <c r="N707" s="25"/>
      <c r="O707" s="25"/>
      <c r="P707" s="25"/>
      <c r="Q707" s="12"/>
      <c r="R707" s="25"/>
      <c r="S707" s="12"/>
      <c r="T707" s="13"/>
      <c r="U707" s="12"/>
      <c r="V707" s="25"/>
      <c r="W707" s="25"/>
      <c r="X707" s="14" t="str">
        <f aca="false">IF(OR($V707="",$W707=""),"",IF(AND($V707&gt;=Spravochnik!$H$5,$W707&gt;=Spravochnik!$H$6),"Ha","Yo'q"))</f>
        <v/>
      </c>
      <c r="Y707" s="13"/>
      <c r="Z707" s="13"/>
      <c r="AA707" s="13"/>
      <c r="AB707" s="13"/>
      <c r="AC707" s="14" t="str">
        <f aca="false">IF(AND($B707&lt;&gt;"",$AE707="",$AB707&lt;&gt;"",$AB707&lt;Boshqaruv!$C$12),"Ha","")</f>
        <v/>
      </c>
      <c r="AD707" s="25"/>
      <c r="AE707" s="13"/>
      <c r="AF707" s="12"/>
      <c r="AG707" s="14" t="str">
        <f aca="false">IF(OR($B707="",$C707="",$H707=""),"",IF(COUNTIFS($B$5:$B$804,$B707,$C$5:$C$804,$C707,$H$5:$H$804,$H707)&gt;1,"Takror",""))</f>
        <v/>
      </c>
      <c r="AH707" s="28" t="str">
        <f aca="false">IF(AND($B707&lt;&gt;"",$N707="Ha",$H707&lt;&gt;"",$H707&lt;=Boshqaruv!$C$12,OR($AE707="",$AE707&gt;Boshqaruv!$C$12)),MAX($AH$4:$AH706)+1,"")</f>
        <v/>
      </c>
    </row>
    <row r="708" customFormat="false" ht="15" hidden="false" customHeight="false" outlineLevel="0" collapsed="false">
      <c r="A708" s="20" t="n">
        <v>704</v>
      </c>
      <c r="B708" s="12"/>
      <c r="C708" s="13"/>
      <c r="D708" s="24"/>
      <c r="E708" s="12"/>
      <c r="F708" s="25"/>
      <c r="G708" s="27" t="str">
        <f aca="false">IF(OR($B708="",$C708=""),"",$B708&amp;" ("&amp;DAY($C708)&amp;"."&amp;MONTH($C708)&amp;"."&amp;YEAR($C708)&amp;")")</f>
        <v/>
      </c>
      <c r="H708" s="13"/>
      <c r="I708" s="13"/>
      <c r="J708" s="15" t="str">
        <f aca="false">IF($I708="","",$I708+280)</f>
        <v/>
      </c>
      <c r="K708" s="14" t="str">
        <f aca="false">IF(OR($I708="",$AE708&lt;&gt;""),"",INT((Boshqaruv!$C$12-$I708)/7))</f>
        <v/>
      </c>
      <c r="L708" s="14" t="str">
        <f aca="false">IF(OR($C708="",$H708=""),"",INT(($H708-$C708)/365.25))</f>
        <v/>
      </c>
      <c r="M708" s="14" t="str">
        <f aca="false">IF($L708="","",IF($L708&lt;18,"Ha","Yo'q"))</f>
        <v/>
      </c>
      <c r="N708" s="25"/>
      <c r="O708" s="25"/>
      <c r="P708" s="25"/>
      <c r="Q708" s="12"/>
      <c r="R708" s="25"/>
      <c r="S708" s="12"/>
      <c r="T708" s="13"/>
      <c r="U708" s="12"/>
      <c r="V708" s="25"/>
      <c r="W708" s="25"/>
      <c r="X708" s="14" t="str">
        <f aca="false">IF(OR($V708="",$W708=""),"",IF(AND($V708&gt;=Spravochnik!$H$5,$W708&gt;=Spravochnik!$H$6),"Ha","Yo'q"))</f>
        <v/>
      </c>
      <c r="Y708" s="13"/>
      <c r="Z708" s="13"/>
      <c r="AA708" s="13"/>
      <c r="AB708" s="13"/>
      <c r="AC708" s="14" t="str">
        <f aca="false">IF(AND($B708&lt;&gt;"",$AE708="",$AB708&lt;&gt;"",$AB708&lt;Boshqaruv!$C$12),"Ha","")</f>
        <v/>
      </c>
      <c r="AD708" s="25"/>
      <c r="AE708" s="13"/>
      <c r="AF708" s="12"/>
      <c r="AG708" s="14" t="str">
        <f aca="false">IF(OR($B708="",$C708="",$H708=""),"",IF(COUNTIFS($B$5:$B$804,$B708,$C$5:$C$804,$C708,$H$5:$H$804,$H708)&gt;1,"Takror",""))</f>
        <v/>
      </c>
      <c r="AH708" s="28" t="str">
        <f aca="false">IF(AND($B708&lt;&gt;"",$N708="Ha",$H708&lt;&gt;"",$H708&lt;=Boshqaruv!$C$12,OR($AE708="",$AE708&gt;Boshqaruv!$C$12)),MAX($AH$4:$AH707)+1,"")</f>
        <v/>
      </c>
    </row>
    <row r="709" customFormat="false" ht="15" hidden="false" customHeight="false" outlineLevel="0" collapsed="false">
      <c r="A709" s="20" t="n">
        <v>705</v>
      </c>
      <c r="B709" s="12"/>
      <c r="C709" s="13"/>
      <c r="D709" s="24"/>
      <c r="E709" s="12"/>
      <c r="F709" s="25"/>
      <c r="G709" s="27" t="str">
        <f aca="false">IF(OR($B709="",$C709=""),"",$B709&amp;" ("&amp;DAY($C709)&amp;"."&amp;MONTH($C709)&amp;"."&amp;YEAR($C709)&amp;")")</f>
        <v/>
      </c>
      <c r="H709" s="13"/>
      <c r="I709" s="13"/>
      <c r="J709" s="15" t="str">
        <f aca="false">IF($I709="","",$I709+280)</f>
        <v/>
      </c>
      <c r="K709" s="14" t="str">
        <f aca="false">IF(OR($I709="",$AE709&lt;&gt;""),"",INT((Boshqaruv!$C$12-$I709)/7))</f>
        <v/>
      </c>
      <c r="L709" s="14" t="str">
        <f aca="false">IF(OR($C709="",$H709=""),"",INT(($H709-$C709)/365.25))</f>
        <v/>
      </c>
      <c r="M709" s="14" t="str">
        <f aca="false">IF($L709="","",IF($L709&lt;18,"Ha","Yo'q"))</f>
        <v/>
      </c>
      <c r="N709" s="25"/>
      <c r="O709" s="25"/>
      <c r="P709" s="25"/>
      <c r="Q709" s="12"/>
      <c r="R709" s="25"/>
      <c r="S709" s="12"/>
      <c r="T709" s="13"/>
      <c r="U709" s="12"/>
      <c r="V709" s="25"/>
      <c r="W709" s="25"/>
      <c r="X709" s="14" t="str">
        <f aca="false">IF(OR($V709="",$W709=""),"",IF(AND($V709&gt;=Spravochnik!$H$5,$W709&gt;=Spravochnik!$H$6),"Ha","Yo'q"))</f>
        <v/>
      </c>
      <c r="Y709" s="13"/>
      <c r="Z709" s="13"/>
      <c r="AA709" s="13"/>
      <c r="AB709" s="13"/>
      <c r="AC709" s="14" t="str">
        <f aca="false">IF(AND($B709&lt;&gt;"",$AE709="",$AB709&lt;&gt;"",$AB709&lt;Boshqaruv!$C$12),"Ha","")</f>
        <v/>
      </c>
      <c r="AD709" s="25"/>
      <c r="AE709" s="13"/>
      <c r="AF709" s="12"/>
      <c r="AG709" s="14" t="str">
        <f aca="false">IF(OR($B709="",$C709="",$H709=""),"",IF(COUNTIFS($B$5:$B$804,$B709,$C$5:$C$804,$C709,$H$5:$H$804,$H709)&gt;1,"Takror",""))</f>
        <v/>
      </c>
      <c r="AH709" s="28" t="str">
        <f aca="false">IF(AND($B709&lt;&gt;"",$N709="Ha",$H709&lt;&gt;"",$H709&lt;=Boshqaruv!$C$12,OR($AE709="",$AE709&gt;Boshqaruv!$C$12)),MAX($AH$4:$AH708)+1,"")</f>
        <v/>
      </c>
    </row>
    <row r="710" customFormat="false" ht="15" hidden="false" customHeight="false" outlineLevel="0" collapsed="false">
      <c r="A710" s="20" t="n">
        <v>706</v>
      </c>
      <c r="B710" s="12"/>
      <c r="C710" s="13"/>
      <c r="D710" s="24"/>
      <c r="E710" s="12"/>
      <c r="F710" s="25"/>
      <c r="G710" s="27" t="str">
        <f aca="false">IF(OR($B710="",$C710=""),"",$B710&amp;" ("&amp;DAY($C710)&amp;"."&amp;MONTH($C710)&amp;"."&amp;YEAR($C710)&amp;")")</f>
        <v/>
      </c>
      <c r="H710" s="13"/>
      <c r="I710" s="13"/>
      <c r="J710" s="15" t="str">
        <f aca="false">IF($I710="","",$I710+280)</f>
        <v/>
      </c>
      <c r="K710" s="14" t="str">
        <f aca="false">IF(OR($I710="",$AE710&lt;&gt;""),"",INT((Boshqaruv!$C$12-$I710)/7))</f>
        <v/>
      </c>
      <c r="L710" s="14" t="str">
        <f aca="false">IF(OR($C710="",$H710=""),"",INT(($H710-$C710)/365.25))</f>
        <v/>
      </c>
      <c r="M710" s="14" t="str">
        <f aca="false">IF($L710="","",IF($L710&lt;18,"Ha","Yo'q"))</f>
        <v/>
      </c>
      <c r="N710" s="25"/>
      <c r="O710" s="25"/>
      <c r="P710" s="25"/>
      <c r="Q710" s="12"/>
      <c r="R710" s="25"/>
      <c r="S710" s="12"/>
      <c r="T710" s="13"/>
      <c r="U710" s="12"/>
      <c r="V710" s="25"/>
      <c r="W710" s="25"/>
      <c r="X710" s="14" t="str">
        <f aca="false">IF(OR($V710="",$W710=""),"",IF(AND($V710&gt;=Spravochnik!$H$5,$W710&gt;=Spravochnik!$H$6),"Ha","Yo'q"))</f>
        <v/>
      </c>
      <c r="Y710" s="13"/>
      <c r="Z710" s="13"/>
      <c r="AA710" s="13"/>
      <c r="AB710" s="13"/>
      <c r="AC710" s="14" t="str">
        <f aca="false">IF(AND($B710&lt;&gt;"",$AE710="",$AB710&lt;&gt;"",$AB710&lt;Boshqaruv!$C$12),"Ha","")</f>
        <v/>
      </c>
      <c r="AD710" s="25"/>
      <c r="AE710" s="13"/>
      <c r="AF710" s="12"/>
      <c r="AG710" s="14" t="str">
        <f aca="false">IF(OR($B710="",$C710="",$H710=""),"",IF(COUNTIFS($B$5:$B$804,$B710,$C$5:$C$804,$C710,$H$5:$H$804,$H710)&gt;1,"Takror",""))</f>
        <v/>
      </c>
      <c r="AH710" s="28" t="str">
        <f aca="false">IF(AND($B710&lt;&gt;"",$N710="Ha",$H710&lt;&gt;"",$H710&lt;=Boshqaruv!$C$12,OR($AE710="",$AE710&gt;Boshqaruv!$C$12)),MAX($AH$4:$AH709)+1,"")</f>
        <v/>
      </c>
    </row>
    <row r="711" customFormat="false" ht="15" hidden="false" customHeight="false" outlineLevel="0" collapsed="false">
      <c r="A711" s="20" t="n">
        <v>707</v>
      </c>
      <c r="B711" s="12"/>
      <c r="C711" s="13"/>
      <c r="D711" s="24"/>
      <c r="E711" s="12"/>
      <c r="F711" s="25"/>
      <c r="G711" s="27" t="str">
        <f aca="false">IF(OR($B711="",$C711=""),"",$B711&amp;" ("&amp;DAY($C711)&amp;"."&amp;MONTH($C711)&amp;"."&amp;YEAR($C711)&amp;")")</f>
        <v/>
      </c>
      <c r="H711" s="13"/>
      <c r="I711" s="13"/>
      <c r="J711" s="15" t="str">
        <f aca="false">IF($I711="","",$I711+280)</f>
        <v/>
      </c>
      <c r="K711" s="14" t="str">
        <f aca="false">IF(OR($I711="",$AE711&lt;&gt;""),"",INT((Boshqaruv!$C$12-$I711)/7))</f>
        <v/>
      </c>
      <c r="L711" s="14" t="str">
        <f aca="false">IF(OR($C711="",$H711=""),"",INT(($H711-$C711)/365.25))</f>
        <v/>
      </c>
      <c r="M711" s="14" t="str">
        <f aca="false">IF($L711="","",IF($L711&lt;18,"Ha","Yo'q"))</f>
        <v/>
      </c>
      <c r="N711" s="25"/>
      <c r="O711" s="25"/>
      <c r="P711" s="25"/>
      <c r="Q711" s="12"/>
      <c r="R711" s="25"/>
      <c r="S711" s="12"/>
      <c r="T711" s="13"/>
      <c r="U711" s="12"/>
      <c r="V711" s="25"/>
      <c r="W711" s="25"/>
      <c r="X711" s="14" t="str">
        <f aca="false">IF(OR($V711="",$W711=""),"",IF(AND($V711&gt;=Spravochnik!$H$5,$W711&gt;=Spravochnik!$H$6),"Ha","Yo'q"))</f>
        <v/>
      </c>
      <c r="Y711" s="13"/>
      <c r="Z711" s="13"/>
      <c r="AA711" s="13"/>
      <c r="AB711" s="13"/>
      <c r="AC711" s="14" t="str">
        <f aca="false">IF(AND($B711&lt;&gt;"",$AE711="",$AB711&lt;&gt;"",$AB711&lt;Boshqaruv!$C$12),"Ha","")</f>
        <v/>
      </c>
      <c r="AD711" s="25"/>
      <c r="AE711" s="13"/>
      <c r="AF711" s="12"/>
      <c r="AG711" s="14" t="str">
        <f aca="false">IF(OR($B711="",$C711="",$H711=""),"",IF(COUNTIFS($B$5:$B$804,$B711,$C$5:$C$804,$C711,$H$5:$H$804,$H711)&gt;1,"Takror",""))</f>
        <v/>
      </c>
      <c r="AH711" s="28" t="str">
        <f aca="false">IF(AND($B711&lt;&gt;"",$N711="Ha",$H711&lt;&gt;"",$H711&lt;=Boshqaruv!$C$12,OR($AE711="",$AE711&gt;Boshqaruv!$C$12)),MAX($AH$4:$AH710)+1,"")</f>
        <v/>
      </c>
    </row>
    <row r="712" customFormat="false" ht="15" hidden="false" customHeight="false" outlineLevel="0" collapsed="false">
      <c r="A712" s="20" t="n">
        <v>708</v>
      </c>
      <c r="B712" s="12"/>
      <c r="C712" s="13"/>
      <c r="D712" s="24"/>
      <c r="E712" s="12"/>
      <c r="F712" s="25"/>
      <c r="G712" s="27" t="str">
        <f aca="false">IF(OR($B712="",$C712=""),"",$B712&amp;" ("&amp;DAY($C712)&amp;"."&amp;MONTH($C712)&amp;"."&amp;YEAR($C712)&amp;")")</f>
        <v/>
      </c>
      <c r="H712" s="13"/>
      <c r="I712" s="13"/>
      <c r="J712" s="15" t="str">
        <f aca="false">IF($I712="","",$I712+280)</f>
        <v/>
      </c>
      <c r="K712" s="14" t="str">
        <f aca="false">IF(OR($I712="",$AE712&lt;&gt;""),"",INT((Boshqaruv!$C$12-$I712)/7))</f>
        <v/>
      </c>
      <c r="L712" s="14" t="str">
        <f aca="false">IF(OR($C712="",$H712=""),"",INT(($H712-$C712)/365.25))</f>
        <v/>
      </c>
      <c r="M712" s="14" t="str">
        <f aca="false">IF($L712="","",IF($L712&lt;18,"Ha","Yo'q"))</f>
        <v/>
      </c>
      <c r="N712" s="25"/>
      <c r="O712" s="25"/>
      <c r="P712" s="25"/>
      <c r="Q712" s="12"/>
      <c r="R712" s="25"/>
      <c r="S712" s="12"/>
      <c r="T712" s="13"/>
      <c r="U712" s="12"/>
      <c r="V712" s="25"/>
      <c r="W712" s="25"/>
      <c r="X712" s="14" t="str">
        <f aca="false">IF(OR($V712="",$W712=""),"",IF(AND($V712&gt;=Spravochnik!$H$5,$W712&gt;=Spravochnik!$H$6),"Ha","Yo'q"))</f>
        <v/>
      </c>
      <c r="Y712" s="13"/>
      <c r="Z712" s="13"/>
      <c r="AA712" s="13"/>
      <c r="AB712" s="13"/>
      <c r="AC712" s="14" t="str">
        <f aca="false">IF(AND($B712&lt;&gt;"",$AE712="",$AB712&lt;&gt;"",$AB712&lt;Boshqaruv!$C$12),"Ha","")</f>
        <v/>
      </c>
      <c r="AD712" s="25"/>
      <c r="AE712" s="13"/>
      <c r="AF712" s="12"/>
      <c r="AG712" s="14" t="str">
        <f aca="false">IF(OR($B712="",$C712="",$H712=""),"",IF(COUNTIFS($B$5:$B$804,$B712,$C$5:$C$804,$C712,$H$5:$H$804,$H712)&gt;1,"Takror",""))</f>
        <v/>
      </c>
      <c r="AH712" s="28" t="str">
        <f aca="false">IF(AND($B712&lt;&gt;"",$N712="Ha",$H712&lt;&gt;"",$H712&lt;=Boshqaruv!$C$12,OR($AE712="",$AE712&gt;Boshqaruv!$C$12)),MAX($AH$4:$AH711)+1,"")</f>
        <v/>
      </c>
    </row>
    <row r="713" customFormat="false" ht="15" hidden="false" customHeight="false" outlineLevel="0" collapsed="false">
      <c r="A713" s="20" t="n">
        <v>709</v>
      </c>
      <c r="B713" s="12"/>
      <c r="C713" s="13"/>
      <c r="D713" s="24"/>
      <c r="E713" s="12"/>
      <c r="F713" s="25"/>
      <c r="G713" s="27" t="str">
        <f aca="false">IF(OR($B713="",$C713=""),"",$B713&amp;" ("&amp;DAY($C713)&amp;"."&amp;MONTH($C713)&amp;"."&amp;YEAR($C713)&amp;")")</f>
        <v/>
      </c>
      <c r="H713" s="13"/>
      <c r="I713" s="13"/>
      <c r="J713" s="15" t="str">
        <f aca="false">IF($I713="","",$I713+280)</f>
        <v/>
      </c>
      <c r="K713" s="14" t="str">
        <f aca="false">IF(OR($I713="",$AE713&lt;&gt;""),"",INT((Boshqaruv!$C$12-$I713)/7))</f>
        <v/>
      </c>
      <c r="L713" s="14" t="str">
        <f aca="false">IF(OR($C713="",$H713=""),"",INT(($H713-$C713)/365.25))</f>
        <v/>
      </c>
      <c r="M713" s="14" t="str">
        <f aca="false">IF($L713="","",IF($L713&lt;18,"Ha","Yo'q"))</f>
        <v/>
      </c>
      <c r="N713" s="25"/>
      <c r="O713" s="25"/>
      <c r="P713" s="25"/>
      <c r="Q713" s="12"/>
      <c r="R713" s="25"/>
      <c r="S713" s="12"/>
      <c r="T713" s="13"/>
      <c r="U713" s="12"/>
      <c r="V713" s="25"/>
      <c r="W713" s="25"/>
      <c r="X713" s="14" t="str">
        <f aca="false">IF(OR($V713="",$W713=""),"",IF(AND($V713&gt;=Spravochnik!$H$5,$W713&gt;=Spravochnik!$H$6),"Ha","Yo'q"))</f>
        <v/>
      </c>
      <c r="Y713" s="13"/>
      <c r="Z713" s="13"/>
      <c r="AA713" s="13"/>
      <c r="AB713" s="13"/>
      <c r="AC713" s="14" t="str">
        <f aca="false">IF(AND($B713&lt;&gt;"",$AE713="",$AB713&lt;&gt;"",$AB713&lt;Boshqaruv!$C$12),"Ha","")</f>
        <v/>
      </c>
      <c r="AD713" s="25"/>
      <c r="AE713" s="13"/>
      <c r="AF713" s="12"/>
      <c r="AG713" s="14" t="str">
        <f aca="false">IF(OR($B713="",$C713="",$H713=""),"",IF(COUNTIFS($B$5:$B$804,$B713,$C$5:$C$804,$C713,$H$5:$H$804,$H713)&gt;1,"Takror",""))</f>
        <v/>
      </c>
      <c r="AH713" s="28" t="str">
        <f aca="false">IF(AND($B713&lt;&gt;"",$N713="Ha",$H713&lt;&gt;"",$H713&lt;=Boshqaruv!$C$12,OR($AE713="",$AE713&gt;Boshqaruv!$C$12)),MAX($AH$4:$AH712)+1,"")</f>
        <v/>
      </c>
    </row>
    <row r="714" customFormat="false" ht="15" hidden="false" customHeight="false" outlineLevel="0" collapsed="false">
      <c r="A714" s="20" t="n">
        <v>710</v>
      </c>
      <c r="B714" s="12"/>
      <c r="C714" s="13"/>
      <c r="D714" s="24"/>
      <c r="E714" s="12"/>
      <c r="F714" s="25"/>
      <c r="G714" s="27" t="str">
        <f aca="false">IF(OR($B714="",$C714=""),"",$B714&amp;" ("&amp;DAY($C714)&amp;"."&amp;MONTH($C714)&amp;"."&amp;YEAR($C714)&amp;")")</f>
        <v/>
      </c>
      <c r="H714" s="13"/>
      <c r="I714" s="13"/>
      <c r="J714" s="15" t="str">
        <f aca="false">IF($I714="","",$I714+280)</f>
        <v/>
      </c>
      <c r="K714" s="14" t="str">
        <f aca="false">IF(OR($I714="",$AE714&lt;&gt;""),"",INT((Boshqaruv!$C$12-$I714)/7))</f>
        <v/>
      </c>
      <c r="L714" s="14" t="str">
        <f aca="false">IF(OR($C714="",$H714=""),"",INT(($H714-$C714)/365.25))</f>
        <v/>
      </c>
      <c r="M714" s="14" t="str">
        <f aca="false">IF($L714="","",IF($L714&lt;18,"Ha","Yo'q"))</f>
        <v/>
      </c>
      <c r="N714" s="25"/>
      <c r="O714" s="25"/>
      <c r="P714" s="25"/>
      <c r="Q714" s="12"/>
      <c r="R714" s="25"/>
      <c r="S714" s="12"/>
      <c r="T714" s="13"/>
      <c r="U714" s="12"/>
      <c r="V714" s="25"/>
      <c r="W714" s="25"/>
      <c r="X714" s="14" t="str">
        <f aca="false">IF(OR($V714="",$W714=""),"",IF(AND($V714&gt;=Spravochnik!$H$5,$W714&gt;=Spravochnik!$H$6),"Ha","Yo'q"))</f>
        <v/>
      </c>
      <c r="Y714" s="13"/>
      <c r="Z714" s="13"/>
      <c r="AA714" s="13"/>
      <c r="AB714" s="13"/>
      <c r="AC714" s="14" t="str">
        <f aca="false">IF(AND($B714&lt;&gt;"",$AE714="",$AB714&lt;&gt;"",$AB714&lt;Boshqaruv!$C$12),"Ha","")</f>
        <v/>
      </c>
      <c r="AD714" s="25"/>
      <c r="AE714" s="13"/>
      <c r="AF714" s="12"/>
      <c r="AG714" s="14" t="str">
        <f aca="false">IF(OR($B714="",$C714="",$H714=""),"",IF(COUNTIFS($B$5:$B$804,$B714,$C$5:$C$804,$C714,$H$5:$H$804,$H714)&gt;1,"Takror",""))</f>
        <v/>
      </c>
      <c r="AH714" s="28" t="str">
        <f aca="false">IF(AND($B714&lt;&gt;"",$N714="Ha",$H714&lt;&gt;"",$H714&lt;=Boshqaruv!$C$12,OR($AE714="",$AE714&gt;Boshqaruv!$C$12)),MAX($AH$4:$AH713)+1,"")</f>
        <v/>
      </c>
    </row>
    <row r="715" customFormat="false" ht="15" hidden="false" customHeight="false" outlineLevel="0" collapsed="false">
      <c r="A715" s="20" t="n">
        <v>711</v>
      </c>
      <c r="B715" s="12"/>
      <c r="C715" s="13"/>
      <c r="D715" s="24"/>
      <c r="E715" s="12"/>
      <c r="F715" s="25"/>
      <c r="G715" s="27" t="str">
        <f aca="false">IF(OR($B715="",$C715=""),"",$B715&amp;" ("&amp;DAY($C715)&amp;"."&amp;MONTH($C715)&amp;"."&amp;YEAR($C715)&amp;")")</f>
        <v/>
      </c>
      <c r="H715" s="13"/>
      <c r="I715" s="13"/>
      <c r="J715" s="15" t="str">
        <f aca="false">IF($I715="","",$I715+280)</f>
        <v/>
      </c>
      <c r="K715" s="14" t="str">
        <f aca="false">IF(OR($I715="",$AE715&lt;&gt;""),"",INT((Boshqaruv!$C$12-$I715)/7))</f>
        <v/>
      </c>
      <c r="L715" s="14" t="str">
        <f aca="false">IF(OR($C715="",$H715=""),"",INT(($H715-$C715)/365.25))</f>
        <v/>
      </c>
      <c r="M715" s="14" t="str">
        <f aca="false">IF($L715="","",IF($L715&lt;18,"Ha","Yo'q"))</f>
        <v/>
      </c>
      <c r="N715" s="25"/>
      <c r="O715" s="25"/>
      <c r="P715" s="25"/>
      <c r="Q715" s="12"/>
      <c r="R715" s="25"/>
      <c r="S715" s="12"/>
      <c r="T715" s="13"/>
      <c r="U715" s="12"/>
      <c r="V715" s="25"/>
      <c r="W715" s="25"/>
      <c r="X715" s="14" t="str">
        <f aca="false">IF(OR($V715="",$W715=""),"",IF(AND($V715&gt;=Spravochnik!$H$5,$W715&gt;=Spravochnik!$H$6),"Ha","Yo'q"))</f>
        <v/>
      </c>
      <c r="Y715" s="13"/>
      <c r="Z715" s="13"/>
      <c r="AA715" s="13"/>
      <c r="AB715" s="13"/>
      <c r="AC715" s="14" t="str">
        <f aca="false">IF(AND($B715&lt;&gt;"",$AE715="",$AB715&lt;&gt;"",$AB715&lt;Boshqaruv!$C$12),"Ha","")</f>
        <v/>
      </c>
      <c r="AD715" s="25"/>
      <c r="AE715" s="13"/>
      <c r="AF715" s="12"/>
      <c r="AG715" s="14" t="str">
        <f aca="false">IF(OR($B715="",$C715="",$H715=""),"",IF(COUNTIFS($B$5:$B$804,$B715,$C$5:$C$804,$C715,$H$5:$H$804,$H715)&gt;1,"Takror",""))</f>
        <v/>
      </c>
      <c r="AH715" s="28" t="str">
        <f aca="false">IF(AND($B715&lt;&gt;"",$N715="Ha",$H715&lt;&gt;"",$H715&lt;=Boshqaruv!$C$12,OR($AE715="",$AE715&gt;Boshqaruv!$C$12)),MAX($AH$4:$AH714)+1,"")</f>
        <v/>
      </c>
    </row>
    <row r="716" customFormat="false" ht="15" hidden="false" customHeight="false" outlineLevel="0" collapsed="false">
      <c r="A716" s="20" t="n">
        <v>712</v>
      </c>
      <c r="B716" s="12"/>
      <c r="C716" s="13"/>
      <c r="D716" s="24"/>
      <c r="E716" s="12"/>
      <c r="F716" s="25"/>
      <c r="G716" s="27" t="str">
        <f aca="false">IF(OR($B716="",$C716=""),"",$B716&amp;" ("&amp;DAY($C716)&amp;"."&amp;MONTH($C716)&amp;"."&amp;YEAR($C716)&amp;")")</f>
        <v/>
      </c>
      <c r="H716" s="13"/>
      <c r="I716" s="13"/>
      <c r="J716" s="15" t="str">
        <f aca="false">IF($I716="","",$I716+280)</f>
        <v/>
      </c>
      <c r="K716" s="14" t="str">
        <f aca="false">IF(OR($I716="",$AE716&lt;&gt;""),"",INT((Boshqaruv!$C$12-$I716)/7))</f>
        <v/>
      </c>
      <c r="L716" s="14" t="str">
        <f aca="false">IF(OR($C716="",$H716=""),"",INT(($H716-$C716)/365.25))</f>
        <v/>
      </c>
      <c r="M716" s="14" t="str">
        <f aca="false">IF($L716="","",IF($L716&lt;18,"Ha","Yo'q"))</f>
        <v/>
      </c>
      <c r="N716" s="25"/>
      <c r="O716" s="25"/>
      <c r="P716" s="25"/>
      <c r="Q716" s="12"/>
      <c r="R716" s="25"/>
      <c r="S716" s="12"/>
      <c r="T716" s="13"/>
      <c r="U716" s="12"/>
      <c r="V716" s="25"/>
      <c r="W716" s="25"/>
      <c r="X716" s="14" t="str">
        <f aca="false">IF(OR($V716="",$W716=""),"",IF(AND($V716&gt;=Spravochnik!$H$5,$W716&gt;=Spravochnik!$H$6),"Ha","Yo'q"))</f>
        <v/>
      </c>
      <c r="Y716" s="13"/>
      <c r="Z716" s="13"/>
      <c r="AA716" s="13"/>
      <c r="AB716" s="13"/>
      <c r="AC716" s="14" t="str">
        <f aca="false">IF(AND($B716&lt;&gt;"",$AE716="",$AB716&lt;&gt;"",$AB716&lt;Boshqaruv!$C$12),"Ha","")</f>
        <v/>
      </c>
      <c r="AD716" s="25"/>
      <c r="AE716" s="13"/>
      <c r="AF716" s="12"/>
      <c r="AG716" s="14" t="str">
        <f aca="false">IF(OR($B716="",$C716="",$H716=""),"",IF(COUNTIFS($B$5:$B$804,$B716,$C$5:$C$804,$C716,$H$5:$H$804,$H716)&gt;1,"Takror",""))</f>
        <v/>
      </c>
      <c r="AH716" s="28" t="str">
        <f aca="false">IF(AND($B716&lt;&gt;"",$N716="Ha",$H716&lt;&gt;"",$H716&lt;=Boshqaruv!$C$12,OR($AE716="",$AE716&gt;Boshqaruv!$C$12)),MAX($AH$4:$AH715)+1,"")</f>
        <v/>
      </c>
    </row>
    <row r="717" customFormat="false" ht="15" hidden="false" customHeight="false" outlineLevel="0" collapsed="false">
      <c r="A717" s="20" t="n">
        <v>713</v>
      </c>
      <c r="B717" s="12"/>
      <c r="C717" s="13"/>
      <c r="D717" s="24"/>
      <c r="E717" s="12"/>
      <c r="F717" s="25"/>
      <c r="G717" s="27" t="str">
        <f aca="false">IF(OR($B717="",$C717=""),"",$B717&amp;" ("&amp;DAY($C717)&amp;"."&amp;MONTH($C717)&amp;"."&amp;YEAR($C717)&amp;")")</f>
        <v/>
      </c>
      <c r="H717" s="13"/>
      <c r="I717" s="13"/>
      <c r="J717" s="15" t="str">
        <f aca="false">IF($I717="","",$I717+280)</f>
        <v/>
      </c>
      <c r="K717" s="14" t="str">
        <f aca="false">IF(OR($I717="",$AE717&lt;&gt;""),"",INT((Boshqaruv!$C$12-$I717)/7))</f>
        <v/>
      </c>
      <c r="L717" s="14" t="str">
        <f aca="false">IF(OR($C717="",$H717=""),"",INT(($H717-$C717)/365.25))</f>
        <v/>
      </c>
      <c r="M717" s="14" t="str">
        <f aca="false">IF($L717="","",IF($L717&lt;18,"Ha","Yo'q"))</f>
        <v/>
      </c>
      <c r="N717" s="25"/>
      <c r="O717" s="25"/>
      <c r="P717" s="25"/>
      <c r="Q717" s="12"/>
      <c r="R717" s="25"/>
      <c r="S717" s="12"/>
      <c r="T717" s="13"/>
      <c r="U717" s="12"/>
      <c r="V717" s="25"/>
      <c r="W717" s="25"/>
      <c r="X717" s="14" t="str">
        <f aca="false">IF(OR($V717="",$W717=""),"",IF(AND($V717&gt;=Spravochnik!$H$5,$W717&gt;=Spravochnik!$H$6),"Ha","Yo'q"))</f>
        <v/>
      </c>
      <c r="Y717" s="13"/>
      <c r="Z717" s="13"/>
      <c r="AA717" s="13"/>
      <c r="AB717" s="13"/>
      <c r="AC717" s="14" t="str">
        <f aca="false">IF(AND($B717&lt;&gt;"",$AE717="",$AB717&lt;&gt;"",$AB717&lt;Boshqaruv!$C$12),"Ha","")</f>
        <v/>
      </c>
      <c r="AD717" s="25"/>
      <c r="AE717" s="13"/>
      <c r="AF717" s="12"/>
      <c r="AG717" s="14" t="str">
        <f aca="false">IF(OR($B717="",$C717="",$H717=""),"",IF(COUNTIFS($B$5:$B$804,$B717,$C$5:$C$804,$C717,$H$5:$H$804,$H717)&gt;1,"Takror",""))</f>
        <v/>
      </c>
      <c r="AH717" s="28" t="str">
        <f aca="false">IF(AND($B717&lt;&gt;"",$N717="Ha",$H717&lt;&gt;"",$H717&lt;=Boshqaruv!$C$12,OR($AE717="",$AE717&gt;Boshqaruv!$C$12)),MAX($AH$4:$AH716)+1,"")</f>
        <v/>
      </c>
    </row>
    <row r="718" customFormat="false" ht="15" hidden="false" customHeight="false" outlineLevel="0" collapsed="false">
      <c r="A718" s="20" t="n">
        <v>714</v>
      </c>
      <c r="B718" s="12"/>
      <c r="C718" s="13"/>
      <c r="D718" s="24"/>
      <c r="E718" s="12"/>
      <c r="F718" s="25"/>
      <c r="G718" s="27" t="str">
        <f aca="false">IF(OR($B718="",$C718=""),"",$B718&amp;" ("&amp;DAY($C718)&amp;"."&amp;MONTH($C718)&amp;"."&amp;YEAR($C718)&amp;")")</f>
        <v/>
      </c>
      <c r="H718" s="13"/>
      <c r="I718" s="13"/>
      <c r="J718" s="15" t="str">
        <f aca="false">IF($I718="","",$I718+280)</f>
        <v/>
      </c>
      <c r="K718" s="14" t="str">
        <f aca="false">IF(OR($I718="",$AE718&lt;&gt;""),"",INT((Boshqaruv!$C$12-$I718)/7))</f>
        <v/>
      </c>
      <c r="L718" s="14" t="str">
        <f aca="false">IF(OR($C718="",$H718=""),"",INT(($H718-$C718)/365.25))</f>
        <v/>
      </c>
      <c r="M718" s="14" t="str">
        <f aca="false">IF($L718="","",IF($L718&lt;18,"Ha","Yo'q"))</f>
        <v/>
      </c>
      <c r="N718" s="25"/>
      <c r="O718" s="25"/>
      <c r="P718" s="25"/>
      <c r="Q718" s="12"/>
      <c r="R718" s="25"/>
      <c r="S718" s="12"/>
      <c r="T718" s="13"/>
      <c r="U718" s="12"/>
      <c r="V718" s="25"/>
      <c r="W718" s="25"/>
      <c r="X718" s="14" t="str">
        <f aca="false">IF(OR($V718="",$W718=""),"",IF(AND($V718&gt;=Spravochnik!$H$5,$W718&gt;=Spravochnik!$H$6),"Ha","Yo'q"))</f>
        <v/>
      </c>
      <c r="Y718" s="13"/>
      <c r="Z718" s="13"/>
      <c r="AA718" s="13"/>
      <c r="AB718" s="13"/>
      <c r="AC718" s="14" t="str">
        <f aca="false">IF(AND($B718&lt;&gt;"",$AE718="",$AB718&lt;&gt;"",$AB718&lt;Boshqaruv!$C$12),"Ha","")</f>
        <v/>
      </c>
      <c r="AD718" s="25"/>
      <c r="AE718" s="13"/>
      <c r="AF718" s="12"/>
      <c r="AG718" s="14" t="str">
        <f aca="false">IF(OR($B718="",$C718="",$H718=""),"",IF(COUNTIFS($B$5:$B$804,$B718,$C$5:$C$804,$C718,$H$5:$H$804,$H718)&gt;1,"Takror",""))</f>
        <v/>
      </c>
      <c r="AH718" s="28" t="str">
        <f aca="false">IF(AND($B718&lt;&gt;"",$N718="Ha",$H718&lt;&gt;"",$H718&lt;=Boshqaruv!$C$12,OR($AE718="",$AE718&gt;Boshqaruv!$C$12)),MAX($AH$4:$AH717)+1,"")</f>
        <v/>
      </c>
    </row>
    <row r="719" customFormat="false" ht="15" hidden="false" customHeight="false" outlineLevel="0" collapsed="false">
      <c r="A719" s="20" t="n">
        <v>715</v>
      </c>
      <c r="B719" s="12"/>
      <c r="C719" s="13"/>
      <c r="D719" s="24"/>
      <c r="E719" s="12"/>
      <c r="F719" s="25"/>
      <c r="G719" s="27" t="str">
        <f aca="false">IF(OR($B719="",$C719=""),"",$B719&amp;" ("&amp;DAY($C719)&amp;"."&amp;MONTH($C719)&amp;"."&amp;YEAR($C719)&amp;")")</f>
        <v/>
      </c>
      <c r="H719" s="13"/>
      <c r="I719" s="13"/>
      <c r="J719" s="15" t="str">
        <f aca="false">IF($I719="","",$I719+280)</f>
        <v/>
      </c>
      <c r="K719" s="14" t="str">
        <f aca="false">IF(OR($I719="",$AE719&lt;&gt;""),"",INT((Boshqaruv!$C$12-$I719)/7))</f>
        <v/>
      </c>
      <c r="L719" s="14" t="str">
        <f aca="false">IF(OR($C719="",$H719=""),"",INT(($H719-$C719)/365.25))</f>
        <v/>
      </c>
      <c r="M719" s="14" t="str">
        <f aca="false">IF($L719="","",IF($L719&lt;18,"Ha","Yo'q"))</f>
        <v/>
      </c>
      <c r="N719" s="25"/>
      <c r="O719" s="25"/>
      <c r="P719" s="25"/>
      <c r="Q719" s="12"/>
      <c r="R719" s="25"/>
      <c r="S719" s="12"/>
      <c r="T719" s="13"/>
      <c r="U719" s="12"/>
      <c r="V719" s="25"/>
      <c r="W719" s="25"/>
      <c r="X719" s="14" t="str">
        <f aca="false">IF(OR($V719="",$W719=""),"",IF(AND($V719&gt;=Spravochnik!$H$5,$W719&gt;=Spravochnik!$H$6),"Ha","Yo'q"))</f>
        <v/>
      </c>
      <c r="Y719" s="13"/>
      <c r="Z719" s="13"/>
      <c r="AA719" s="13"/>
      <c r="AB719" s="13"/>
      <c r="AC719" s="14" t="str">
        <f aca="false">IF(AND($B719&lt;&gt;"",$AE719="",$AB719&lt;&gt;"",$AB719&lt;Boshqaruv!$C$12),"Ha","")</f>
        <v/>
      </c>
      <c r="AD719" s="25"/>
      <c r="AE719" s="13"/>
      <c r="AF719" s="12"/>
      <c r="AG719" s="14" t="str">
        <f aca="false">IF(OR($B719="",$C719="",$H719=""),"",IF(COUNTIFS($B$5:$B$804,$B719,$C$5:$C$804,$C719,$H$5:$H$804,$H719)&gt;1,"Takror",""))</f>
        <v/>
      </c>
      <c r="AH719" s="28" t="str">
        <f aca="false">IF(AND($B719&lt;&gt;"",$N719="Ha",$H719&lt;&gt;"",$H719&lt;=Boshqaruv!$C$12,OR($AE719="",$AE719&gt;Boshqaruv!$C$12)),MAX($AH$4:$AH718)+1,"")</f>
        <v/>
      </c>
    </row>
    <row r="720" customFormat="false" ht="15" hidden="false" customHeight="false" outlineLevel="0" collapsed="false">
      <c r="A720" s="20" t="n">
        <v>716</v>
      </c>
      <c r="B720" s="12"/>
      <c r="C720" s="13"/>
      <c r="D720" s="24"/>
      <c r="E720" s="12"/>
      <c r="F720" s="25"/>
      <c r="G720" s="27" t="str">
        <f aca="false">IF(OR($B720="",$C720=""),"",$B720&amp;" ("&amp;DAY($C720)&amp;"."&amp;MONTH($C720)&amp;"."&amp;YEAR($C720)&amp;")")</f>
        <v/>
      </c>
      <c r="H720" s="13"/>
      <c r="I720" s="13"/>
      <c r="J720" s="15" t="str">
        <f aca="false">IF($I720="","",$I720+280)</f>
        <v/>
      </c>
      <c r="K720" s="14" t="str">
        <f aca="false">IF(OR($I720="",$AE720&lt;&gt;""),"",INT((Boshqaruv!$C$12-$I720)/7))</f>
        <v/>
      </c>
      <c r="L720" s="14" t="str">
        <f aca="false">IF(OR($C720="",$H720=""),"",INT(($H720-$C720)/365.25))</f>
        <v/>
      </c>
      <c r="M720" s="14" t="str">
        <f aca="false">IF($L720="","",IF($L720&lt;18,"Ha","Yo'q"))</f>
        <v/>
      </c>
      <c r="N720" s="25"/>
      <c r="O720" s="25"/>
      <c r="P720" s="25"/>
      <c r="Q720" s="12"/>
      <c r="R720" s="25"/>
      <c r="S720" s="12"/>
      <c r="T720" s="13"/>
      <c r="U720" s="12"/>
      <c r="V720" s="25"/>
      <c r="W720" s="25"/>
      <c r="X720" s="14" t="str">
        <f aca="false">IF(OR($V720="",$W720=""),"",IF(AND($V720&gt;=Spravochnik!$H$5,$W720&gt;=Spravochnik!$H$6),"Ha","Yo'q"))</f>
        <v/>
      </c>
      <c r="Y720" s="13"/>
      <c r="Z720" s="13"/>
      <c r="AA720" s="13"/>
      <c r="AB720" s="13"/>
      <c r="AC720" s="14" t="str">
        <f aca="false">IF(AND($B720&lt;&gt;"",$AE720="",$AB720&lt;&gt;"",$AB720&lt;Boshqaruv!$C$12),"Ha","")</f>
        <v/>
      </c>
      <c r="AD720" s="25"/>
      <c r="AE720" s="13"/>
      <c r="AF720" s="12"/>
      <c r="AG720" s="14" t="str">
        <f aca="false">IF(OR($B720="",$C720="",$H720=""),"",IF(COUNTIFS($B$5:$B$804,$B720,$C$5:$C$804,$C720,$H$5:$H$804,$H720)&gt;1,"Takror",""))</f>
        <v/>
      </c>
      <c r="AH720" s="28" t="str">
        <f aca="false">IF(AND($B720&lt;&gt;"",$N720="Ha",$H720&lt;&gt;"",$H720&lt;=Boshqaruv!$C$12,OR($AE720="",$AE720&gt;Boshqaruv!$C$12)),MAX($AH$4:$AH719)+1,"")</f>
        <v/>
      </c>
    </row>
    <row r="721" customFormat="false" ht="15" hidden="false" customHeight="false" outlineLevel="0" collapsed="false">
      <c r="A721" s="20" t="n">
        <v>717</v>
      </c>
      <c r="B721" s="12"/>
      <c r="C721" s="13"/>
      <c r="D721" s="24"/>
      <c r="E721" s="12"/>
      <c r="F721" s="25"/>
      <c r="G721" s="27" t="str">
        <f aca="false">IF(OR($B721="",$C721=""),"",$B721&amp;" ("&amp;DAY($C721)&amp;"."&amp;MONTH($C721)&amp;"."&amp;YEAR($C721)&amp;")")</f>
        <v/>
      </c>
      <c r="H721" s="13"/>
      <c r="I721" s="13"/>
      <c r="J721" s="15" t="str">
        <f aca="false">IF($I721="","",$I721+280)</f>
        <v/>
      </c>
      <c r="K721" s="14" t="str">
        <f aca="false">IF(OR($I721="",$AE721&lt;&gt;""),"",INT((Boshqaruv!$C$12-$I721)/7))</f>
        <v/>
      </c>
      <c r="L721" s="14" t="str">
        <f aca="false">IF(OR($C721="",$H721=""),"",INT(($H721-$C721)/365.25))</f>
        <v/>
      </c>
      <c r="M721" s="14" t="str">
        <f aca="false">IF($L721="","",IF($L721&lt;18,"Ha","Yo'q"))</f>
        <v/>
      </c>
      <c r="N721" s="25"/>
      <c r="O721" s="25"/>
      <c r="P721" s="25"/>
      <c r="Q721" s="12"/>
      <c r="R721" s="25"/>
      <c r="S721" s="12"/>
      <c r="T721" s="13"/>
      <c r="U721" s="12"/>
      <c r="V721" s="25"/>
      <c r="W721" s="25"/>
      <c r="X721" s="14" t="str">
        <f aca="false">IF(OR($V721="",$W721=""),"",IF(AND($V721&gt;=Spravochnik!$H$5,$W721&gt;=Spravochnik!$H$6),"Ha","Yo'q"))</f>
        <v/>
      </c>
      <c r="Y721" s="13"/>
      <c r="Z721" s="13"/>
      <c r="AA721" s="13"/>
      <c r="AB721" s="13"/>
      <c r="AC721" s="14" t="str">
        <f aca="false">IF(AND($B721&lt;&gt;"",$AE721="",$AB721&lt;&gt;"",$AB721&lt;Boshqaruv!$C$12),"Ha","")</f>
        <v/>
      </c>
      <c r="AD721" s="25"/>
      <c r="AE721" s="13"/>
      <c r="AF721" s="12"/>
      <c r="AG721" s="14" t="str">
        <f aca="false">IF(OR($B721="",$C721="",$H721=""),"",IF(COUNTIFS($B$5:$B$804,$B721,$C$5:$C$804,$C721,$H$5:$H$804,$H721)&gt;1,"Takror",""))</f>
        <v/>
      </c>
      <c r="AH721" s="28" t="str">
        <f aca="false">IF(AND($B721&lt;&gt;"",$N721="Ha",$H721&lt;&gt;"",$H721&lt;=Boshqaruv!$C$12,OR($AE721="",$AE721&gt;Boshqaruv!$C$12)),MAX($AH$4:$AH720)+1,"")</f>
        <v/>
      </c>
    </row>
    <row r="722" customFormat="false" ht="15" hidden="false" customHeight="false" outlineLevel="0" collapsed="false">
      <c r="A722" s="20" t="n">
        <v>718</v>
      </c>
      <c r="B722" s="12"/>
      <c r="C722" s="13"/>
      <c r="D722" s="24"/>
      <c r="E722" s="12"/>
      <c r="F722" s="25"/>
      <c r="G722" s="27" t="str">
        <f aca="false">IF(OR($B722="",$C722=""),"",$B722&amp;" ("&amp;DAY($C722)&amp;"."&amp;MONTH($C722)&amp;"."&amp;YEAR($C722)&amp;")")</f>
        <v/>
      </c>
      <c r="H722" s="13"/>
      <c r="I722" s="13"/>
      <c r="J722" s="15" t="str">
        <f aca="false">IF($I722="","",$I722+280)</f>
        <v/>
      </c>
      <c r="K722" s="14" t="str">
        <f aca="false">IF(OR($I722="",$AE722&lt;&gt;""),"",INT((Boshqaruv!$C$12-$I722)/7))</f>
        <v/>
      </c>
      <c r="L722" s="14" t="str">
        <f aca="false">IF(OR($C722="",$H722=""),"",INT(($H722-$C722)/365.25))</f>
        <v/>
      </c>
      <c r="M722" s="14" t="str">
        <f aca="false">IF($L722="","",IF($L722&lt;18,"Ha","Yo'q"))</f>
        <v/>
      </c>
      <c r="N722" s="25"/>
      <c r="O722" s="25"/>
      <c r="P722" s="25"/>
      <c r="Q722" s="12"/>
      <c r="R722" s="25"/>
      <c r="S722" s="12"/>
      <c r="T722" s="13"/>
      <c r="U722" s="12"/>
      <c r="V722" s="25"/>
      <c r="W722" s="25"/>
      <c r="X722" s="14" t="str">
        <f aca="false">IF(OR($V722="",$W722=""),"",IF(AND($V722&gt;=Spravochnik!$H$5,$W722&gt;=Spravochnik!$H$6),"Ha","Yo'q"))</f>
        <v/>
      </c>
      <c r="Y722" s="13"/>
      <c r="Z722" s="13"/>
      <c r="AA722" s="13"/>
      <c r="AB722" s="13"/>
      <c r="AC722" s="14" t="str">
        <f aca="false">IF(AND($B722&lt;&gt;"",$AE722="",$AB722&lt;&gt;"",$AB722&lt;Boshqaruv!$C$12),"Ha","")</f>
        <v/>
      </c>
      <c r="AD722" s="25"/>
      <c r="AE722" s="13"/>
      <c r="AF722" s="12"/>
      <c r="AG722" s="14" t="str">
        <f aca="false">IF(OR($B722="",$C722="",$H722=""),"",IF(COUNTIFS($B$5:$B$804,$B722,$C$5:$C$804,$C722,$H$5:$H$804,$H722)&gt;1,"Takror",""))</f>
        <v/>
      </c>
      <c r="AH722" s="28" t="str">
        <f aca="false">IF(AND($B722&lt;&gt;"",$N722="Ha",$H722&lt;&gt;"",$H722&lt;=Boshqaruv!$C$12,OR($AE722="",$AE722&gt;Boshqaruv!$C$12)),MAX($AH$4:$AH721)+1,"")</f>
        <v/>
      </c>
    </row>
    <row r="723" customFormat="false" ht="15" hidden="false" customHeight="false" outlineLevel="0" collapsed="false">
      <c r="A723" s="20" t="n">
        <v>719</v>
      </c>
      <c r="B723" s="12"/>
      <c r="C723" s="13"/>
      <c r="D723" s="24"/>
      <c r="E723" s="12"/>
      <c r="F723" s="25"/>
      <c r="G723" s="27" t="str">
        <f aca="false">IF(OR($B723="",$C723=""),"",$B723&amp;" ("&amp;DAY($C723)&amp;"."&amp;MONTH($C723)&amp;"."&amp;YEAR($C723)&amp;")")</f>
        <v/>
      </c>
      <c r="H723" s="13"/>
      <c r="I723" s="13"/>
      <c r="J723" s="15" t="str">
        <f aca="false">IF($I723="","",$I723+280)</f>
        <v/>
      </c>
      <c r="K723" s="14" t="str">
        <f aca="false">IF(OR($I723="",$AE723&lt;&gt;""),"",INT((Boshqaruv!$C$12-$I723)/7))</f>
        <v/>
      </c>
      <c r="L723" s="14" t="str">
        <f aca="false">IF(OR($C723="",$H723=""),"",INT(($H723-$C723)/365.25))</f>
        <v/>
      </c>
      <c r="M723" s="14" t="str">
        <f aca="false">IF($L723="","",IF($L723&lt;18,"Ha","Yo'q"))</f>
        <v/>
      </c>
      <c r="N723" s="25"/>
      <c r="O723" s="25"/>
      <c r="P723" s="25"/>
      <c r="Q723" s="12"/>
      <c r="R723" s="25"/>
      <c r="S723" s="12"/>
      <c r="T723" s="13"/>
      <c r="U723" s="12"/>
      <c r="V723" s="25"/>
      <c r="W723" s="25"/>
      <c r="X723" s="14" t="str">
        <f aca="false">IF(OR($V723="",$W723=""),"",IF(AND($V723&gt;=Spravochnik!$H$5,$W723&gt;=Spravochnik!$H$6),"Ha","Yo'q"))</f>
        <v/>
      </c>
      <c r="Y723" s="13"/>
      <c r="Z723" s="13"/>
      <c r="AA723" s="13"/>
      <c r="AB723" s="13"/>
      <c r="AC723" s="14" t="str">
        <f aca="false">IF(AND($B723&lt;&gt;"",$AE723="",$AB723&lt;&gt;"",$AB723&lt;Boshqaruv!$C$12),"Ha","")</f>
        <v/>
      </c>
      <c r="AD723" s="25"/>
      <c r="AE723" s="13"/>
      <c r="AF723" s="12"/>
      <c r="AG723" s="14" t="str">
        <f aca="false">IF(OR($B723="",$C723="",$H723=""),"",IF(COUNTIFS($B$5:$B$804,$B723,$C$5:$C$804,$C723,$H$5:$H$804,$H723)&gt;1,"Takror",""))</f>
        <v/>
      </c>
      <c r="AH723" s="28" t="str">
        <f aca="false">IF(AND($B723&lt;&gt;"",$N723="Ha",$H723&lt;&gt;"",$H723&lt;=Boshqaruv!$C$12,OR($AE723="",$AE723&gt;Boshqaruv!$C$12)),MAX($AH$4:$AH722)+1,"")</f>
        <v/>
      </c>
    </row>
    <row r="724" customFormat="false" ht="15" hidden="false" customHeight="false" outlineLevel="0" collapsed="false">
      <c r="A724" s="20" t="n">
        <v>720</v>
      </c>
      <c r="B724" s="12"/>
      <c r="C724" s="13"/>
      <c r="D724" s="24"/>
      <c r="E724" s="12"/>
      <c r="F724" s="25"/>
      <c r="G724" s="27" t="str">
        <f aca="false">IF(OR($B724="",$C724=""),"",$B724&amp;" ("&amp;DAY($C724)&amp;"."&amp;MONTH($C724)&amp;"."&amp;YEAR($C724)&amp;")")</f>
        <v/>
      </c>
      <c r="H724" s="13"/>
      <c r="I724" s="13"/>
      <c r="J724" s="15" t="str">
        <f aca="false">IF($I724="","",$I724+280)</f>
        <v/>
      </c>
      <c r="K724" s="14" t="str">
        <f aca="false">IF(OR($I724="",$AE724&lt;&gt;""),"",INT((Boshqaruv!$C$12-$I724)/7))</f>
        <v/>
      </c>
      <c r="L724" s="14" t="str">
        <f aca="false">IF(OR($C724="",$H724=""),"",INT(($H724-$C724)/365.25))</f>
        <v/>
      </c>
      <c r="M724" s="14" t="str">
        <f aca="false">IF($L724="","",IF($L724&lt;18,"Ha","Yo'q"))</f>
        <v/>
      </c>
      <c r="N724" s="25"/>
      <c r="O724" s="25"/>
      <c r="P724" s="25"/>
      <c r="Q724" s="12"/>
      <c r="R724" s="25"/>
      <c r="S724" s="12"/>
      <c r="T724" s="13"/>
      <c r="U724" s="12"/>
      <c r="V724" s="25"/>
      <c r="W724" s="25"/>
      <c r="X724" s="14" t="str">
        <f aca="false">IF(OR($V724="",$W724=""),"",IF(AND($V724&gt;=Spravochnik!$H$5,$W724&gt;=Spravochnik!$H$6),"Ha","Yo'q"))</f>
        <v/>
      </c>
      <c r="Y724" s="13"/>
      <c r="Z724" s="13"/>
      <c r="AA724" s="13"/>
      <c r="AB724" s="13"/>
      <c r="AC724" s="14" t="str">
        <f aca="false">IF(AND($B724&lt;&gt;"",$AE724="",$AB724&lt;&gt;"",$AB724&lt;Boshqaruv!$C$12),"Ha","")</f>
        <v/>
      </c>
      <c r="AD724" s="25"/>
      <c r="AE724" s="13"/>
      <c r="AF724" s="12"/>
      <c r="AG724" s="14" t="str">
        <f aca="false">IF(OR($B724="",$C724="",$H724=""),"",IF(COUNTIFS($B$5:$B$804,$B724,$C$5:$C$804,$C724,$H$5:$H$804,$H724)&gt;1,"Takror",""))</f>
        <v/>
      </c>
      <c r="AH724" s="28" t="str">
        <f aca="false">IF(AND($B724&lt;&gt;"",$N724="Ha",$H724&lt;&gt;"",$H724&lt;=Boshqaruv!$C$12,OR($AE724="",$AE724&gt;Boshqaruv!$C$12)),MAX($AH$4:$AH723)+1,"")</f>
        <v/>
      </c>
    </row>
    <row r="725" customFormat="false" ht="15" hidden="false" customHeight="false" outlineLevel="0" collapsed="false">
      <c r="A725" s="20" t="n">
        <v>721</v>
      </c>
      <c r="B725" s="12"/>
      <c r="C725" s="13"/>
      <c r="D725" s="24"/>
      <c r="E725" s="12"/>
      <c r="F725" s="25"/>
      <c r="G725" s="27" t="str">
        <f aca="false">IF(OR($B725="",$C725=""),"",$B725&amp;" ("&amp;DAY($C725)&amp;"."&amp;MONTH($C725)&amp;"."&amp;YEAR($C725)&amp;")")</f>
        <v/>
      </c>
      <c r="H725" s="13"/>
      <c r="I725" s="13"/>
      <c r="J725" s="15" t="str">
        <f aca="false">IF($I725="","",$I725+280)</f>
        <v/>
      </c>
      <c r="K725" s="14" t="str">
        <f aca="false">IF(OR($I725="",$AE725&lt;&gt;""),"",INT((Boshqaruv!$C$12-$I725)/7))</f>
        <v/>
      </c>
      <c r="L725" s="14" t="str">
        <f aca="false">IF(OR($C725="",$H725=""),"",INT(($H725-$C725)/365.25))</f>
        <v/>
      </c>
      <c r="M725" s="14" t="str">
        <f aca="false">IF($L725="","",IF($L725&lt;18,"Ha","Yo'q"))</f>
        <v/>
      </c>
      <c r="N725" s="25"/>
      <c r="O725" s="25"/>
      <c r="P725" s="25"/>
      <c r="Q725" s="12"/>
      <c r="R725" s="25"/>
      <c r="S725" s="12"/>
      <c r="T725" s="13"/>
      <c r="U725" s="12"/>
      <c r="V725" s="25"/>
      <c r="W725" s="25"/>
      <c r="X725" s="14" t="str">
        <f aca="false">IF(OR($V725="",$W725=""),"",IF(AND($V725&gt;=Spravochnik!$H$5,$W725&gt;=Spravochnik!$H$6),"Ha","Yo'q"))</f>
        <v/>
      </c>
      <c r="Y725" s="13"/>
      <c r="Z725" s="13"/>
      <c r="AA725" s="13"/>
      <c r="AB725" s="13"/>
      <c r="AC725" s="14" t="str">
        <f aca="false">IF(AND($B725&lt;&gt;"",$AE725="",$AB725&lt;&gt;"",$AB725&lt;Boshqaruv!$C$12),"Ha","")</f>
        <v/>
      </c>
      <c r="AD725" s="25"/>
      <c r="AE725" s="13"/>
      <c r="AF725" s="12"/>
      <c r="AG725" s="14" t="str">
        <f aca="false">IF(OR($B725="",$C725="",$H725=""),"",IF(COUNTIFS($B$5:$B$804,$B725,$C$5:$C$804,$C725,$H$5:$H$804,$H725)&gt;1,"Takror",""))</f>
        <v/>
      </c>
      <c r="AH725" s="28" t="str">
        <f aca="false">IF(AND($B725&lt;&gt;"",$N725="Ha",$H725&lt;&gt;"",$H725&lt;=Boshqaruv!$C$12,OR($AE725="",$AE725&gt;Boshqaruv!$C$12)),MAX($AH$4:$AH724)+1,"")</f>
        <v/>
      </c>
    </row>
    <row r="726" customFormat="false" ht="15" hidden="false" customHeight="false" outlineLevel="0" collapsed="false">
      <c r="A726" s="20" t="n">
        <v>722</v>
      </c>
      <c r="B726" s="12"/>
      <c r="C726" s="13"/>
      <c r="D726" s="24"/>
      <c r="E726" s="12"/>
      <c r="F726" s="25"/>
      <c r="G726" s="27" t="str">
        <f aca="false">IF(OR($B726="",$C726=""),"",$B726&amp;" ("&amp;DAY($C726)&amp;"."&amp;MONTH($C726)&amp;"."&amp;YEAR($C726)&amp;")")</f>
        <v/>
      </c>
      <c r="H726" s="13"/>
      <c r="I726" s="13"/>
      <c r="J726" s="15" t="str">
        <f aca="false">IF($I726="","",$I726+280)</f>
        <v/>
      </c>
      <c r="K726" s="14" t="str">
        <f aca="false">IF(OR($I726="",$AE726&lt;&gt;""),"",INT((Boshqaruv!$C$12-$I726)/7))</f>
        <v/>
      </c>
      <c r="L726" s="14" t="str">
        <f aca="false">IF(OR($C726="",$H726=""),"",INT(($H726-$C726)/365.25))</f>
        <v/>
      </c>
      <c r="M726" s="14" t="str">
        <f aca="false">IF($L726="","",IF($L726&lt;18,"Ha","Yo'q"))</f>
        <v/>
      </c>
      <c r="N726" s="25"/>
      <c r="O726" s="25"/>
      <c r="P726" s="25"/>
      <c r="Q726" s="12"/>
      <c r="R726" s="25"/>
      <c r="S726" s="12"/>
      <c r="T726" s="13"/>
      <c r="U726" s="12"/>
      <c r="V726" s="25"/>
      <c r="W726" s="25"/>
      <c r="X726" s="14" t="str">
        <f aca="false">IF(OR($V726="",$W726=""),"",IF(AND($V726&gt;=Spravochnik!$H$5,$W726&gt;=Spravochnik!$H$6),"Ha","Yo'q"))</f>
        <v/>
      </c>
      <c r="Y726" s="13"/>
      <c r="Z726" s="13"/>
      <c r="AA726" s="13"/>
      <c r="AB726" s="13"/>
      <c r="AC726" s="14" t="str">
        <f aca="false">IF(AND($B726&lt;&gt;"",$AE726="",$AB726&lt;&gt;"",$AB726&lt;Boshqaruv!$C$12),"Ha","")</f>
        <v/>
      </c>
      <c r="AD726" s="25"/>
      <c r="AE726" s="13"/>
      <c r="AF726" s="12"/>
      <c r="AG726" s="14" t="str">
        <f aca="false">IF(OR($B726="",$C726="",$H726=""),"",IF(COUNTIFS($B$5:$B$804,$B726,$C$5:$C$804,$C726,$H$5:$H$804,$H726)&gt;1,"Takror",""))</f>
        <v/>
      </c>
      <c r="AH726" s="28" t="str">
        <f aca="false">IF(AND($B726&lt;&gt;"",$N726="Ha",$H726&lt;&gt;"",$H726&lt;=Boshqaruv!$C$12,OR($AE726="",$AE726&gt;Boshqaruv!$C$12)),MAX($AH$4:$AH725)+1,"")</f>
        <v/>
      </c>
    </row>
    <row r="727" customFormat="false" ht="15" hidden="false" customHeight="false" outlineLevel="0" collapsed="false">
      <c r="A727" s="20" t="n">
        <v>723</v>
      </c>
      <c r="B727" s="12"/>
      <c r="C727" s="13"/>
      <c r="D727" s="24"/>
      <c r="E727" s="12"/>
      <c r="F727" s="25"/>
      <c r="G727" s="27" t="str">
        <f aca="false">IF(OR($B727="",$C727=""),"",$B727&amp;" ("&amp;DAY($C727)&amp;"."&amp;MONTH($C727)&amp;"."&amp;YEAR($C727)&amp;")")</f>
        <v/>
      </c>
      <c r="H727" s="13"/>
      <c r="I727" s="13"/>
      <c r="J727" s="15" t="str">
        <f aca="false">IF($I727="","",$I727+280)</f>
        <v/>
      </c>
      <c r="K727" s="14" t="str">
        <f aca="false">IF(OR($I727="",$AE727&lt;&gt;""),"",INT((Boshqaruv!$C$12-$I727)/7))</f>
        <v/>
      </c>
      <c r="L727" s="14" t="str">
        <f aca="false">IF(OR($C727="",$H727=""),"",INT(($H727-$C727)/365.25))</f>
        <v/>
      </c>
      <c r="M727" s="14" t="str">
        <f aca="false">IF($L727="","",IF($L727&lt;18,"Ha","Yo'q"))</f>
        <v/>
      </c>
      <c r="N727" s="25"/>
      <c r="O727" s="25"/>
      <c r="P727" s="25"/>
      <c r="Q727" s="12"/>
      <c r="R727" s="25"/>
      <c r="S727" s="12"/>
      <c r="T727" s="13"/>
      <c r="U727" s="12"/>
      <c r="V727" s="25"/>
      <c r="W727" s="25"/>
      <c r="X727" s="14" t="str">
        <f aca="false">IF(OR($V727="",$W727=""),"",IF(AND($V727&gt;=Spravochnik!$H$5,$W727&gt;=Spravochnik!$H$6),"Ha","Yo'q"))</f>
        <v/>
      </c>
      <c r="Y727" s="13"/>
      <c r="Z727" s="13"/>
      <c r="AA727" s="13"/>
      <c r="AB727" s="13"/>
      <c r="AC727" s="14" t="str">
        <f aca="false">IF(AND($B727&lt;&gt;"",$AE727="",$AB727&lt;&gt;"",$AB727&lt;Boshqaruv!$C$12),"Ha","")</f>
        <v/>
      </c>
      <c r="AD727" s="25"/>
      <c r="AE727" s="13"/>
      <c r="AF727" s="12"/>
      <c r="AG727" s="14" t="str">
        <f aca="false">IF(OR($B727="",$C727="",$H727=""),"",IF(COUNTIFS($B$5:$B$804,$B727,$C$5:$C$804,$C727,$H$5:$H$804,$H727)&gt;1,"Takror",""))</f>
        <v/>
      </c>
      <c r="AH727" s="28" t="str">
        <f aca="false">IF(AND($B727&lt;&gt;"",$N727="Ha",$H727&lt;&gt;"",$H727&lt;=Boshqaruv!$C$12,OR($AE727="",$AE727&gt;Boshqaruv!$C$12)),MAX($AH$4:$AH726)+1,"")</f>
        <v/>
      </c>
    </row>
    <row r="728" customFormat="false" ht="15" hidden="false" customHeight="false" outlineLevel="0" collapsed="false">
      <c r="A728" s="20" t="n">
        <v>724</v>
      </c>
      <c r="B728" s="12"/>
      <c r="C728" s="13"/>
      <c r="D728" s="24"/>
      <c r="E728" s="12"/>
      <c r="F728" s="25"/>
      <c r="G728" s="27" t="str">
        <f aca="false">IF(OR($B728="",$C728=""),"",$B728&amp;" ("&amp;DAY($C728)&amp;"."&amp;MONTH($C728)&amp;"."&amp;YEAR($C728)&amp;")")</f>
        <v/>
      </c>
      <c r="H728" s="13"/>
      <c r="I728" s="13"/>
      <c r="J728" s="15" t="str">
        <f aca="false">IF($I728="","",$I728+280)</f>
        <v/>
      </c>
      <c r="K728" s="14" t="str">
        <f aca="false">IF(OR($I728="",$AE728&lt;&gt;""),"",INT((Boshqaruv!$C$12-$I728)/7))</f>
        <v/>
      </c>
      <c r="L728" s="14" t="str">
        <f aca="false">IF(OR($C728="",$H728=""),"",INT(($H728-$C728)/365.25))</f>
        <v/>
      </c>
      <c r="M728" s="14" t="str">
        <f aca="false">IF($L728="","",IF($L728&lt;18,"Ha","Yo'q"))</f>
        <v/>
      </c>
      <c r="N728" s="25"/>
      <c r="O728" s="25"/>
      <c r="P728" s="25"/>
      <c r="Q728" s="12"/>
      <c r="R728" s="25"/>
      <c r="S728" s="12"/>
      <c r="T728" s="13"/>
      <c r="U728" s="12"/>
      <c r="V728" s="25"/>
      <c r="W728" s="25"/>
      <c r="X728" s="14" t="str">
        <f aca="false">IF(OR($V728="",$W728=""),"",IF(AND($V728&gt;=Spravochnik!$H$5,$W728&gt;=Spravochnik!$H$6),"Ha","Yo'q"))</f>
        <v/>
      </c>
      <c r="Y728" s="13"/>
      <c r="Z728" s="13"/>
      <c r="AA728" s="13"/>
      <c r="AB728" s="13"/>
      <c r="AC728" s="14" t="str">
        <f aca="false">IF(AND($B728&lt;&gt;"",$AE728="",$AB728&lt;&gt;"",$AB728&lt;Boshqaruv!$C$12),"Ha","")</f>
        <v/>
      </c>
      <c r="AD728" s="25"/>
      <c r="AE728" s="13"/>
      <c r="AF728" s="12"/>
      <c r="AG728" s="14" t="str">
        <f aca="false">IF(OR($B728="",$C728="",$H728=""),"",IF(COUNTIFS($B$5:$B$804,$B728,$C$5:$C$804,$C728,$H$5:$H$804,$H728)&gt;1,"Takror",""))</f>
        <v/>
      </c>
      <c r="AH728" s="28" t="str">
        <f aca="false">IF(AND($B728&lt;&gt;"",$N728="Ha",$H728&lt;&gt;"",$H728&lt;=Boshqaruv!$C$12,OR($AE728="",$AE728&gt;Boshqaruv!$C$12)),MAX($AH$4:$AH727)+1,"")</f>
        <v/>
      </c>
    </row>
    <row r="729" customFormat="false" ht="15" hidden="false" customHeight="false" outlineLevel="0" collapsed="false">
      <c r="A729" s="20" t="n">
        <v>725</v>
      </c>
      <c r="B729" s="12"/>
      <c r="C729" s="13"/>
      <c r="D729" s="24"/>
      <c r="E729" s="12"/>
      <c r="F729" s="25"/>
      <c r="G729" s="27" t="str">
        <f aca="false">IF(OR($B729="",$C729=""),"",$B729&amp;" ("&amp;DAY($C729)&amp;"."&amp;MONTH($C729)&amp;"."&amp;YEAR($C729)&amp;")")</f>
        <v/>
      </c>
      <c r="H729" s="13"/>
      <c r="I729" s="13"/>
      <c r="J729" s="15" t="str">
        <f aca="false">IF($I729="","",$I729+280)</f>
        <v/>
      </c>
      <c r="K729" s="14" t="str">
        <f aca="false">IF(OR($I729="",$AE729&lt;&gt;""),"",INT((Boshqaruv!$C$12-$I729)/7))</f>
        <v/>
      </c>
      <c r="L729" s="14" t="str">
        <f aca="false">IF(OR($C729="",$H729=""),"",INT(($H729-$C729)/365.25))</f>
        <v/>
      </c>
      <c r="M729" s="14" t="str">
        <f aca="false">IF($L729="","",IF($L729&lt;18,"Ha","Yo'q"))</f>
        <v/>
      </c>
      <c r="N729" s="25"/>
      <c r="O729" s="25"/>
      <c r="P729" s="25"/>
      <c r="Q729" s="12"/>
      <c r="R729" s="25"/>
      <c r="S729" s="12"/>
      <c r="T729" s="13"/>
      <c r="U729" s="12"/>
      <c r="V729" s="25"/>
      <c r="W729" s="25"/>
      <c r="X729" s="14" t="str">
        <f aca="false">IF(OR($V729="",$W729=""),"",IF(AND($V729&gt;=Spravochnik!$H$5,$W729&gt;=Spravochnik!$H$6),"Ha","Yo'q"))</f>
        <v/>
      </c>
      <c r="Y729" s="13"/>
      <c r="Z729" s="13"/>
      <c r="AA729" s="13"/>
      <c r="AB729" s="13"/>
      <c r="AC729" s="14" t="str">
        <f aca="false">IF(AND($B729&lt;&gt;"",$AE729="",$AB729&lt;&gt;"",$AB729&lt;Boshqaruv!$C$12),"Ha","")</f>
        <v/>
      </c>
      <c r="AD729" s="25"/>
      <c r="AE729" s="13"/>
      <c r="AF729" s="12"/>
      <c r="AG729" s="14" t="str">
        <f aca="false">IF(OR($B729="",$C729="",$H729=""),"",IF(COUNTIFS($B$5:$B$804,$B729,$C$5:$C$804,$C729,$H$5:$H$804,$H729)&gt;1,"Takror",""))</f>
        <v/>
      </c>
      <c r="AH729" s="28" t="str">
        <f aca="false">IF(AND($B729&lt;&gt;"",$N729="Ha",$H729&lt;&gt;"",$H729&lt;=Boshqaruv!$C$12,OR($AE729="",$AE729&gt;Boshqaruv!$C$12)),MAX($AH$4:$AH728)+1,"")</f>
        <v/>
      </c>
    </row>
    <row r="730" customFormat="false" ht="15" hidden="false" customHeight="false" outlineLevel="0" collapsed="false">
      <c r="A730" s="20" t="n">
        <v>726</v>
      </c>
      <c r="B730" s="12"/>
      <c r="C730" s="13"/>
      <c r="D730" s="24"/>
      <c r="E730" s="12"/>
      <c r="F730" s="25"/>
      <c r="G730" s="27" t="str">
        <f aca="false">IF(OR($B730="",$C730=""),"",$B730&amp;" ("&amp;DAY($C730)&amp;"."&amp;MONTH($C730)&amp;"."&amp;YEAR($C730)&amp;")")</f>
        <v/>
      </c>
      <c r="H730" s="13"/>
      <c r="I730" s="13"/>
      <c r="J730" s="15" t="str">
        <f aca="false">IF($I730="","",$I730+280)</f>
        <v/>
      </c>
      <c r="K730" s="14" t="str">
        <f aca="false">IF(OR($I730="",$AE730&lt;&gt;""),"",INT((Boshqaruv!$C$12-$I730)/7))</f>
        <v/>
      </c>
      <c r="L730" s="14" t="str">
        <f aca="false">IF(OR($C730="",$H730=""),"",INT(($H730-$C730)/365.25))</f>
        <v/>
      </c>
      <c r="M730" s="14" t="str">
        <f aca="false">IF($L730="","",IF($L730&lt;18,"Ha","Yo'q"))</f>
        <v/>
      </c>
      <c r="N730" s="25"/>
      <c r="O730" s="25"/>
      <c r="P730" s="25"/>
      <c r="Q730" s="12"/>
      <c r="R730" s="25"/>
      <c r="S730" s="12"/>
      <c r="T730" s="13"/>
      <c r="U730" s="12"/>
      <c r="V730" s="25"/>
      <c r="W730" s="25"/>
      <c r="X730" s="14" t="str">
        <f aca="false">IF(OR($V730="",$W730=""),"",IF(AND($V730&gt;=Spravochnik!$H$5,$W730&gt;=Spravochnik!$H$6),"Ha","Yo'q"))</f>
        <v/>
      </c>
      <c r="Y730" s="13"/>
      <c r="Z730" s="13"/>
      <c r="AA730" s="13"/>
      <c r="AB730" s="13"/>
      <c r="AC730" s="14" t="str">
        <f aca="false">IF(AND($B730&lt;&gt;"",$AE730="",$AB730&lt;&gt;"",$AB730&lt;Boshqaruv!$C$12),"Ha","")</f>
        <v/>
      </c>
      <c r="AD730" s="25"/>
      <c r="AE730" s="13"/>
      <c r="AF730" s="12"/>
      <c r="AG730" s="14" t="str">
        <f aca="false">IF(OR($B730="",$C730="",$H730=""),"",IF(COUNTIFS($B$5:$B$804,$B730,$C$5:$C$804,$C730,$H$5:$H$804,$H730)&gt;1,"Takror",""))</f>
        <v/>
      </c>
      <c r="AH730" s="28" t="str">
        <f aca="false">IF(AND($B730&lt;&gt;"",$N730="Ha",$H730&lt;&gt;"",$H730&lt;=Boshqaruv!$C$12,OR($AE730="",$AE730&gt;Boshqaruv!$C$12)),MAX($AH$4:$AH729)+1,"")</f>
        <v/>
      </c>
    </row>
    <row r="731" customFormat="false" ht="15" hidden="false" customHeight="false" outlineLevel="0" collapsed="false">
      <c r="A731" s="20" t="n">
        <v>727</v>
      </c>
      <c r="B731" s="12"/>
      <c r="C731" s="13"/>
      <c r="D731" s="24"/>
      <c r="E731" s="12"/>
      <c r="F731" s="25"/>
      <c r="G731" s="27" t="str">
        <f aca="false">IF(OR($B731="",$C731=""),"",$B731&amp;" ("&amp;DAY($C731)&amp;"."&amp;MONTH($C731)&amp;"."&amp;YEAR($C731)&amp;")")</f>
        <v/>
      </c>
      <c r="H731" s="13"/>
      <c r="I731" s="13"/>
      <c r="J731" s="15" t="str">
        <f aca="false">IF($I731="","",$I731+280)</f>
        <v/>
      </c>
      <c r="K731" s="14" t="str">
        <f aca="false">IF(OR($I731="",$AE731&lt;&gt;""),"",INT((Boshqaruv!$C$12-$I731)/7))</f>
        <v/>
      </c>
      <c r="L731" s="14" t="str">
        <f aca="false">IF(OR($C731="",$H731=""),"",INT(($H731-$C731)/365.25))</f>
        <v/>
      </c>
      <c r="M731" s="14" t="str">
        <f aca="false">IF($L731="","",IF($L731&lt;18,"Ha","Yo'q"))</f>
        <v/>
      </c>
      <c r="N731" s="25"/>
      <c r="O731" s="25"/>
      <c r="P731" s="25"/>
      <c r="Q731" s="12"/>
      <c r="R731" s="25"/>
      <c r="S731" s="12"/>
      <c r="T731" s="13"/>
      <c r="U731" s="12"/>
      <c r="V731" s="25"/>
      <c r="W731" s="25"/>
      <c r="X731" s="14" t="str">
        <f aca="false">IF(OR($V731="",$W731=""),"",IF(AND($V731&gt;=Spravochnik!$H$5,$W731&gt;=Spravochnik!$H$6),"Ha","Yo'q"))</f>
        <v/>
      </c>
      <c r="Y731" s="13"/>
      <c r="Z731" s="13"/>
      <c r="AA731" s="13"/>
      <c r="AB731" s="13"/>
      <c r="AC731" s="14" t="str">
        <f aca="false">IF(AND($B731&lt;&gt;"",$AE731="",$AB731&lt;&gt;"",$AB731&lt;Boshqaruv!$C$12),"Ha","")</f>
        <v/>
      </c>
      <c r="AD731" s="25"/>
      <c r="AE731" s="13"/>
      <c r="AF731" s="12"/>
      <c r="AG731" s="14" t="str">
        <f aca="false">IF(OR($B731="",$C731="",$H731=""),"",IF(COUNTIFS($B$5:$B$804,$B731,$C$5:$C$804,$C731,$H$5:$H$804,$H731)&gt;1,"Takror",""))</f>
        <v/>
      </c>
      <c r="AH731" s="28" t="str">
        <f aca="false">IF(AND($B731&lt;&gt;"",$N731="Ha",$H731&lt;&gt;"",$H731&lt;=Boshqaruv!$C$12,OR($AE731="",$AE731&gt;Boshqaruv!$C$12)),MAX($AH$4:$AH730)+1,"")</f>
        <v/>
      </c>
    </row>
    <row r="732" customFormat="false" ht="15" hidden="false" customHeight="false" outlineLevel="0" collapsed="false">
      <c r="A732" s="20" t="n">
        <v>728</v>
      </c>
      <c r="B732" s="12"/>
      <c r="C732" s="13"/>
      <c r="D732" s="24"/>
      <c r="E732" s="12"/>
      <c r="F732" s="25"/>
      <c r="G732" s="27" t="str">
        <f aca="false">IF(OR($B732="",$C732=""),"",$B732&amp;" ("&amp;DAY($C732)&amp;"."&amp;MONTH($C732)&amp;"."&amp;YEAR($C732)&amp;")")</f>
        <v/>
      </c>
      <c r="H732" s="13"/>
      <c r="I732" s="13"/>
      <c r="J732" s="15" t="str">
        <f aca="false">IF($I732="","",$I732+280)</f>
        <v/>
      </c>
      <c r="K732" s="14" t="str">
        <f aca="false">IF(OR($I732="",$AE732&lt;&gt;""),"",INT((Boshqaruv!$C$12-$I732)/7))</f>
        <v/>
      </c>
      <c r="L732" s="14" t="str">
        <f aca="false">IF(OR($C732="",$H732=""),"",INT(($H732-$C732)/365.25))</f>
        <v/>
      </c>
      <c r="M732" s="14" t="str">
        <f aca="false">IF($L732="","",IF($L732&lt;18,"Ha","Yo'q"))</f>
        <v/>
      </c>
      <c r="N732" s="25"/>
      <c r="O732" s="25"/>
      <c r="P732" s="25"/>
      <c r="Q732" s="12"/>
      <c r="R732" s="25"/>
      <c r="S732" s="12"/>
      <c r="T732" s="13"/>
      <c r="U732" s="12"/>
      <c r="V732" s="25"/>
      <c r="W732" s="25"/>
      <c r="X732" s="14" t="str">
        <f aca="false">IF(OR($V732="",$W732=""),"",IF(AND($V732&gt;=Spravochnik!$H$5,$W732&gt;=Spravochnik!$H$6),"Ha","Yo'q"))</f>
        <v/>
      </c>
      <c r="Y732" s="13"/>
      <c r="Z732" s="13"/>
      <c r="AA732" s="13"/>
      <c r="AB732" s="13"/>
      <c r="AC732" s="14" t="str">
        <f aca="false">IF(AND($B732&lt;&gt;"",$AE732="",$AB732&lt;&gt;"",$AB732&lt;Boshqaruv!$C$12),"Ha","")</f>
        <v/>
      </c>
      <c r="AD732" s="25"/>
      <c r="AE732" s="13"/>
      <c r="AF732" s="12"/>
      <c r="AG732" s="14" t="str">
        <f aca="false">IF(OR($B732="",$C732="",$H732=""),"",IF(COUNTIFS($B$5:$B$804,$B732,$C$5:$C$804,$C732,$H$5:$H$804,$H732)&gt;1,"Takror",""))</f>
        <v/>
      </c>
      <c r="AH732" s="28" t="str">
        <f aca="false">IF(AND($B732&lt;&gt;"",$N732="Ha",$H732&lt;&gt;"",$H732&lt;=Boshqaruv!$C$12,OR($AE732="",$AE732&gt;Boshqaruv!$C$12)),MAX($AH$4:$AH731)+1,"")</f>
        <v/>
      </c>
    </row>
    <row r="733" customFormat="false" ht="15" hidden="false" customHeight="false" outlineLevel="0" collapsed="false">
      <c r="A733" s="20" t="n">
        <v>729</v>
      </c>
      <c r="B733" s="12"/>
      <c r="C733" s="13"/>
      <c r="D733" s="24"/>
      <c r="E733" s="12"/>
      <c r="F733" s="25"/>
      <c r="G733" s="27" t="str">
        <f aca="false">IF(OR($B733="",$C733=""),"",$B733&amp;" ("&amp;DAY($C733)&amp;"."&amp;MONTH($C733)&amp;"."&amp;YEAR($C733)&amp;")")</f>
        <v/>
      </c>
      <c r="H733" s="13"/>
      <c r="I733" s="13"/>
      <c r="J733" s="15" t="str">
        <f aca="false">IF($I733="","",$I733+280)</f>
        <v/>
      </c>
      <c r="K733" s="14" t="str">
        <f aca="false">IF(OR($I733="",$AE733&lt;&gt;""),"",INT((Boshqaruv!$C$12-$I733)/7))</f>
        <v/>
      </c>
      <c r="L733" s="14" t="str">
        <f aca="false">IF(OR($C733="",$H733=""),"",INT(($H733-$C733)/365.25))</f>
        <v/>
      </c>
      <c r="M733" s="14" t="str">
        <f aca="false">IF($L733="","",IF($L733&lt;18,"Ha","Yo'q"))</f>
        <v/>
      </c>
      <c r="N733" s="25"/>
      <c r="O733" s="25"/>
      <c r="P733" s="25"/>
      <c r="Q733" s="12"/>
      <c r="R733" s="25"/>
      <c r="S733" s="12"/>
      <c r="T733" s="13"/>
      <c r="U733" s="12"/>
      <c r="V733" s="25"/>
      <c r="W733" s="25"/>
      <c r="X733" s="14" t="str">
        <f aca="false">IF(OR($V733="",$W733=""),"",IF(AND($V733&gt;=Spravochnik!$H$5,$W733&gt;=Spravochnik!$H$6),"Ha","Yo'q"))</f>
        <v/>
      </c>
      <c r="Y733" s="13"/>
      <c r="Z733" s="13"/>
      <c r="AA733" s="13"/>
      <c r="AB733" s="13"/>
      <c r="AC733" s="14" t="str">
        <f aca="false">IF(AND($B733&lt;&gt;"",$AE733="",$AB733&lt;&gt;"",$AB733&lt;Boshqaruv!$C$12),"Ha","")</f>
        <v/>
      </c>
      <c r="AD733" s="25"/>
      <c r="AE733" s="13"/>
      <c r="AF733" s="12"/>
      <c r="AG733" s="14" t="str">
        <f aca="false">IF(OR($B733="",$C733="",$H733=""),"",IF(COUNTIFS($B$5:$B$804,$B733,$C$5:$C$804,$C733,$H$5:$H$804,$H733)&gt;1,"Takror",""))</f>
        <v/>
      </c>
      <c r="AH733" s="28" t="str">
        <f aca="false">IF(AND($B733&lt;&gt;"",$N733="Ha",$H733&lt;&gt;"",$H733&lt;=Boshqaruv!$C$12,OR($AE733="",$AE733&gt;Boshqaruv!$C$12)),MAX($AH$4:$AH732)+1,"")</f>
        <v/>
      </c>
    </row>
    <row r="734" customFormat="false" ht="15" hidden="false" customHeight="false" outlineLevel="0" collapsed="false">
      <c r="A734" s="20" t="n">
        <v>730</v>
      </c>
      <c r="B734" s="12"/>
      <c r="C734" s="13"/>
      <c r="D734" s="24"/>
      <c r="E734" s="12"/>
      <c r="F734" s="25"/>
      <c r="G734" s="27" t="str">
        <f aca="false">IF(OR($B734="",$C734=""),"",$B734&amp;" ("&amp;DAY($C734)&amp;"."&amp;MONTH($C734)&amp;"."&amp;YEAR($C734)&amp;")")</f>
        <v/>
      </c>
      <c r="H734" s="13"/>
      <c r="I734" s="13"/>
      <c r="J734" s="15" t="str">
        <f aca="false">IF($I734="","",$I734+280)</f>
        <v/>
      </c>
      <c r="K734" s="14" t="str">
        <f aca="false">IF(OR($I734="",$AE734&lt;&gt;""),"",INT((Boshqaruv!$C$12-$I734)/7))</f>
        <v/>
      </c>
      <c r="L734" s="14" t="str">
        <f aca="false">IF(OR($C734="",$H734=""),"",INT(($H734-$C734)/365.25))</f>
        <v/>
      </c>
      <c r="M734" s="14" t="str">
        <f aca="false">IF($L734="","",IF($L734&lt;18,"Ha","Yo'q"))</f>
        <v/>
      </c>
      <c r="N734" s="25"/>
      <c r="O734" s="25"/>
      <c r="P734" s="25"/>
      <c r="Q734" s="12"/>
      <c r="R734" s="25"/>
      <c r="S734" s="12"/>
      <c r="T734" s="13"/>
      <c r="U734" s="12"/>
      <c r="V734" s="25"/>
      <c r="W734" s="25"/>
      <c r="X734" s="14" t="str">
        <f aca="false">IF(OR($V734="",$W734=""),"",IF(AND($V734&gt;=Spravochnik!$H$5,$W734&gt;=Spravochnik!$H$6),"Ha","Yo'q"))</f>
        <v/>
      </c>
      <c r="Y734" s="13"/>
      <c r="Z734" s="13"/>
      <c r="AA734" s="13"/>
      <c r="AB734" s="13"/>
      <c r="AC734" s="14" t="str">
        <f aca="false">IF(AND($B734&lt;&gt;"",$AE734="",$AB734&lt;&gt;"",$AB734&lt;Boshqaruv!$C$12),"Ha","")</f>
        <v/>
      </c>
      <c r="AD734" s="25"/>
      <c r="AE734" s="13"/>
      <c r="AF734" s="12"/>
      <c r="AG734" s="14" t="str">
        <f aca="false">IF(OR($B734="",$C734="",$H734=""),"",IF(COUNTIFS($B$5:$B$804,$B734,$C$5:$C$804,$C734,$H$5:$H$804,$H734)&gt;1,"Takror",""))</f>
        <v/>
      </c>
      <c r="AH734" s="28" t="str">
        <f aca="false">IF(AND($B734&lt;&gt;"",$N734="Ha",$H734&lt;&gt;"",$H734&lt;=Boshqaruv!$C$12,OR($AE734="",$AE734&gt;Boshqaruv!$C$12)),MAX($AH$4:$AH733)+1,"")</f>
        <v/>
      </c>
    </row>
    <row r="735" customFormat="false" ht="15" hidden="false" customHeight="false" outlineLevel="0" collapsed="false">
      <c r="A735" s="20" t="n">
        <v>731</v>
      </c>
      <c r="B735" s="12"/>
      <c r="C735" s="13"/>
      <c r="D735" s="24"/>
      <c r="E735" s="12"/>
      <c r="F735" s="25"/>
      <c r="G735" s="27" t="str">
        <f aca="false">IF(OR($B735="",$C735=""),"",$B735&amp;" ("&amp;DAY($C735)&amp;"."&amp;MONTH($C735)&amp;"."&amp;YEAR($C735)&amp;")")</f>
        <v/>
      </c>
      <c r="H735" s="13"/>
      <c r="I735" s="13"/>
      <c r="J735" s="15" t="str">
        <f aca="false">IF($I735="","",$I735+280)</f>
        <v/>
      </c>
      <c r="K735" s="14" t="str">
        <f aca="false">IF(OR($I735="",$AE735&lt;&gt;""),"",INT((Boshqaruv!$C$12-$I735)/7))</f>
        <v/>
      </c>
      <c r="L735" s="14" t="str">
        <f aca="false">IF(OR($C735="",$H735=""),"",INT(($H735-$C735)/365.25))</f>
        <v/>
      </c>
      <c r="M735" s="14" t="str">
        <f aca="false">IF($L735="","",IF($L735&lt;18,"Ha","Yo'q"))</f>
        <v/>
      </c>
      <c r="N735" s="25"/>
      <c r="O735" s="25"/>
      <c r="P735" s="25"/>
      <c r="Q735" s="12"/>
      <c r="R735" s="25"/>
      <c r="S735" s="12"/>
      <c r="T735" s="13"/>
      <c r="U735" s="12"/>
      <c r="V735" s="25"/>
      <c r="W735" s="25"/>
      <c r="X735" s="14" t="str">
        <f aca="false">IF(OR($V735="",$W735=""),"",IF(AND($V735&gt;=Spravochnik!$H$5,$W735&gt;=Spravochnik!$H$6),"Ha","Yo'q"))</f>
        <v/>
      </c>
      <c r="Y735" s="13"/>
      <c r="Z735" s="13"/>
      <c r="AA735" s="13"/>
      <c r="AB735" s="13"/>
      <c r="AC735" s="14" t="str">
        <f aca="false">IF(AND($B735&lt;&gt;"",$AE735="",$AB735&lt;&gt;"",$AB735&lt;Boshqaruv!$C$12),"Ha","")</f>
        <v/>
      </c>
      <c r="AD735" s="25"/>
      <c r="AE735" s="13"/>
      <c r="AF735" s="12"/>
      <c r="AG735" s="14" t="str">
        <f aca="false">IF(OR($B735="",$C735="",$H735=""),"",IF(COUNTIFS($B$5:$B$804,$B735,$C$5:$C$804,$C735,$H$5:$H$804,$H735)&gt;1,"Takror",""))</f>
        <v/>
      </c>
      <c r="AH735" s="28" t="str">
        <f aca="false">IF(AND($B735&lt;&gt;"",$N735="Ha",$H735&lt;&gt;"",$H735&lt;=Boshqaruv!$C$12,OR($AE735="",$AE735&gt;Boshqaruv!$C$12)),MAX($AH$4:$AH734)+1,"")</f>
        <v/>
      </c>
    </row>
    <row r="736" customFormat="false" ht="15" hidden="false" customHeight="false" outlineLevel="0" collapsed="false">
      <c r="A736" s="20" t="n">
        <v>732</v>
      </c>
      <c r="B736" s="12"/>
      <c r="C736" s="13"/>
      <c r="D736" s="24"/>
      <c r="E736" s="12"/>
      <c r="F736" s="25"/>
      <c r="G736" s="27" t="str">
        <f aca="false">IF(OR($B736="",$C736=""),"",$B736&amp;" ("&amp;DAY($C736)&amp;"."&amp;MONTH($C736)&amp;"."&amp;YEAR($C736)&amp;")")</f>
        <v/>
      </c>
      <c r="H736" s="13"/>
      <c r="I736" s="13"/>
      <c r="J736" s="15" t="str">
        <f aca="false">IF($I736="","",$I736+280)</f>
        <v/>
      </c>
      <c r="K736" s="14" t="str">
        <f aca="false">IF(OR($I736="",$AE736&lt;&gt;""),"",INT((Boshqaruv!$C$12-$I736)/7))</f>
        <v/>
      </c>
      <c r="L736" s="14" t="str">
        <f aca="false">IF(OR($C736="",$H736=""),"",INT(($H736-$C736)/365.25))</f>
        <v/>
      </c>
      <c r="M736" s="14" t="str">
        <f aca="false">IF($L736="","",IF($L736&lt;18,"Ha","Yo'q"))</f>
        <v/>
      </c>
      <c r="N736" s="25"/>
      <c r="O736" s="25"/>
      <c r="P736" s="25"/>
      <c r="Q736" s="12"/>
      <c r="R736" s="25"/>
      <c r="S736" s="12"/>
      <c r="T736" s="13"/>
      <c r="U736" s="12"/>
      <c r="V736" s="25"/>
      <c r="W736" s="25"/>
      <c r="X736" s="14" t="str">
        <f aca="false">IF(OR($V736="",$W736=""),"",IF(AND($V736&gt;=Spravochnik!$H$5,$W736&gt;=Spravochnik!$H$6),"Ha","Yo'q"))</f>
        <v/>
      </c>
      <c r="Y736" s="13"/>
      <c r="Z736" s="13"/>
      <c r="AA736" s="13"/>
      <c r="AB736" s="13"/>
      <c r="AC736" s="14" t="str">
        <f aca="false">IF(AND($B736&lt;&gt;"",$AE736="",$AB736&lt;&gt;"",$AB736&lt;Boshqaruv!$C$12),"Ha","")</f>
        <v/>
      </c>
      <c r="AD736" s="25"/>
      <c r="AE736" s="13"/>
      <c r="AF736" s="12"/>
      <c r="AG736" s="14" t="str">
        <f aca="false">IF(OR($B736="",$C736="",$H736=""),"",IF(COUNTIFS($B$5:$B$804,$B736,$C$5:$C$804,$C736,$H$5:$H$804,$H736)&gt;1,"Takror",""))</f>
        <v/>
      </c>
      <c r="AH736" s="28" t="str">
        <f aca="false">IF(AND($B736&lt;&gt;"",$N736="Ha",$H736&lt;&gt;"",$H736&lt;=Boshqaruv!$C$12,OR($AE736="",$AE736&gt;Boshqaruv!$C$12)),MAX($AH$4:$AH735)+1,"")</f>
        <v/>
      </c>
    </row>
    <row r="737" customFormat="false" ht="15" hidden="false" customHeight="false" outlineLevel="0" collapsed="false">
      <c r="A737" s="20" t="n">
        <v>733</v>
      </c>
      <c r="B737" s="12"/>
      <c r="C737" s="13"/>
      <c r="D737" s="24"/>
      <c r="E737" s="12"/>
      <c r="F737" s="25"/>
      <c r="G737" s="27" t="str">
        <f aca="false">IF(OR($B737="",$C737=""),"",$B737&amp;" ("&amp;DAY($C737)&amp;"."&amp;MONTH($C737)&amp;"."&amp;YEAR($C737)&amp;")")</f>
        <v/>
      </c>
      <c r="H737" s="13"/>
      <c r="I737" s="13"/>
      <c r="J737" s="15" t="str">
        <f aca="false">IF($I737="","",$I737+280)</f>
        <v/>
      </c>
      <c r="K737" s="14" t="str">
        <f aca="false">IF(OR($I737="",$AE737&lt;&gt;""),"",INT((Boshqaruv!$C$12-$I737)/7))</f>
        <v/>
      </c>
      <c r="L737" s="14" t="str">
        <f aca="false">IF(OR($C737="",$H737=""),"",INT(($H737-$C737)/365.25))</f>
        <v/>
      </c>
      <c r="M737" s="14" t="str">
        <f aca="false">IF($L737="","",IF($L737&lt;18,"Ha","Yo'q"))</f>
        <v/>
      </c>
      <c r="N737" s="25"/>
      <c r="O737" s="25"/>
      <c r="P737" s="25"/>
      <c r="Q737" s="12"/>
      <c r="R737" s="25"/>
      <c r="S737" s="12"/>
      <c r="T737" s="13"/>
      <c r="U737" s="12"/>
      <c r="V737" s="25"/>
      <c r="W737" s="25"/>
      <c r="X737" s="14" t="str">
        <f aca="false">IF(OR($V737="",$W737=""),"",IF(AND($V737&gt;=Spravochnik!$H$5,$W737&gt;=Spravochnik!$H$6),"Ha","Yo'q"))</f>
        <v/>
      </c>
      <c r="Y737" s="13"/>
      <c r="Z737" s="13"/>
      <c r="AA737" s="13"/>
      <c r="AB737" s="13"/>
      <c r="AC737" s="14" t="str">
        <f aca="false">IF(AND($B737&lt;&gt;"",$AE737="",$AB737&lt;&gt;"",$AB737&lt;Boshqaruv!$C$12),"Ha","")</f>
        <v/>
      </c>
      <c r="AD737" s="25"/>
      <c r="AE737" s="13"/>
      <c r="AF737" s="12"/>
      <c r="AG737" s="14" t="str">
        <f aca="false">IF(OR($B737="",$C737="",$H737=""),"",IF(COUNTIFS($B$5:$B$804,$B737,$C$5:$C$804,$C737,$H$5:$H$804,$H737)&gt;1,"Takror",""))</f>
        <v/>
      </c>
      <c r="AH737" s="28" t="str">
        <f aca="false">IF(AND($B737&lt;&gt;"",$N737="Ha",$H737&lt;&gt;"",$H737&lt;=Boshqaruv!$C$12,OR($AE737="",$AE737&gt;Boshqaruv!$C$12)),MAX($AH$4:$AH736)+1,"")</f>
        <v/>
      </c>
    </row>
    <row r="738" customFormat="false" ht="15" hidden="false" customHeight="false" outlineLevel="0" collapsed="false">
      <c r="A738" s="20" t="n">
        <v>734</v>
      </c>
      <c r="B738" s="12"/>
      <c r="C738" s="13"/>
      <c r="D738" s="24"/>
      <c r="E738" s="12"/>
      <c r="F738" s="25"/>
      <c r="G738" s="27" t="str">
        <f aca="false">IF(OR($B738="",$C738=""),"",$B738&amp;" ("&amp;DAY($C738)&amp;"."&amp;MONTH($C738)&amp;"."&amp;YEAR($C738)&amp;")")</f>
        <v/>
      </c>
      <c r="H738" s="13"/>
      <c r="I738" s="13"/>
      <c r="J738" s="15" t="str">
        <f aca="false">IF($I738="","",$I738+280)</f>
        <v/>
      </c>
      <c r="K738" s="14" t="str">
        <f aca="false">IF(OR($I738="",$AE738&lt;&gt;""),"",INT((Boshqaruv!$C$12-$I738)/7))</f>
        <v/>
      </c>
      <c r="L738" s="14" t="str">
        <f aca="false">IF(OR($C738="",$H738=""),"",INT(($H738-$C738)/365.25))</f>
        <v/>
      </c>
      <c r="M738" s="14" t="str">
        <f aca="false">IF($L738="","",IF($L738&lt;18,"Ha","Yo'q"))</f>
        <v/>
      </c>
      <c r="N738" s="25"/>
      <c r="O738" s="25"/>
      <c r="P738" s="25"/>
      <c r="Q738" s="12"/>
      <c r="R738" s="25"/>
      <c r="S738" s="12"/>
      <c r="T738" s="13"/>
      <c r="U738" s="12"/>
      <c r="V738" s="25"/>
      <c r="W738" s="25"/>
      <c r="X738" s="14" t="str">
        <f aca="false">IF(OR($V738="",$W738=""),"",IF(AND($V738&gt;=Spravochnik!$H$5,$W738&gt;=Spravochnik!$H$6),"Ha","Yo'q"))</f>
        <v/>
      </c>
      <c r="Y738" s="13"/>
      <c r="Z738" s="13"/>
      <c r="AA738" s="13"/>
      <c r="AB738" s="13"/>
      <c r="AC738" s="14" t="str">
        <f aca="false">IF(AND($B738&lt;&gt;"",$AE738="",$AB738&lt;&gt;"",$AB738&lt;Boshqaruv!$C$12),"Ha","")</f>
        <v/>
      </c>
      <c r="AD738" s="25"/>
      <c r="AE738" s="13"/>
      <c r="AF738" s="12"/>
      <c r="AG738" s="14" t="str">
        <f aca="false">IF(OR($B738="",$C738="",$H738=""),"",IF(COUNTIFS($B$5:$B$804,$B738,$C$5:$C$804,$C738,$H$5:$H$804,$H738)&gt;1,"Takror",""))</f>
        <v/>
      </c>
      <c r="AH738" s="28" t="str">
        <f aca="false">IF(AND($B738&lt;&gt;"",$N738="Ha",$H738&lt;&gt;"",$H738&lt;=Boshqaruv!$C$12,OR($AE738="",$AE738&gt;Boshqaruv!$C$12)),MAX($AH$4:$AH737)+1,"")</f>
        <v/>
      </c>
    </row>
    <row r="739" customFormat="false" ht="15" hidden="false" customHeight="false" outlineLevel="0" collapsed="false">
      <c r="A739" s="20" t="n">
        <v>735</v>
      </c>
      <c r="B739" s="12"/>
      <c r="C739" s="13"/>
      <c r="D739" s="24"/>
      <c r="E739" s="12"/>
      <c r="F739" s="25"/>
      <c r="G739" s="27" t="str">
        <f aca="false">IF(OR($B739="",$C739=""),"",$B739&amp;" ("&amp;DAY($C739)&amp;"."&amp;MONTH($C739)&amp;"."&amp;YEAR($C739)&amp;")")</f>
        <v/>
      </c>
      <c r="H739" s="13"/>
      <c r="I739" s="13"/>
      <c r="J739" s="15" t="str">
        <f aca="false">IF($I739="","",$I739+280)</f>
        <v/>
      </c>
      <c r="K739" s="14" t="str">
        <f aca="false">IF(OR($I739="",$AE739&lt;&gt;""),"",INT((Boshqaruv!$C$12-$I739)/7))</f>
        <v/>
      </c>
      <c r="L739" s="14" t="str">
        <f aca="false">IF(OR($C739="",$H739=""),"",INT(($H739-$C739)/365.25))</f>
        <v/>
      </c>
      <c r="M739" s="14" t="str">
        <f aca="false">IF($L739="","",IF($L739&lt;18,"Ha","Yo'q"))</f>
        <v/>
      </c>
      <c r="N739" s="25"/>
      <c r="O739" s="25"/>
      <c r="P739" s="25"/>
      <c r="Q739" s="12"/>
      <c r="R739" s="25"/>
      <c r="S739" s="12"/>
      <c r="T739" s="13"/>
      <c r="U739" s="12"/>
      <c r="V739" s="25"/>
      <c r="W739" s="25"/>
      <c r="X739" s="14" t="str">
        <f aca="false">IF(OR($V739="",$W739=""),"",IF(AND($V739&gt;=Spravochnik!$H$5,$W739&gt;=Spravochnik!$H$6),"Ha","Yo'q"))</f>
        <v/>
      </c>
      <c r="Y739" s="13"/>
      <c r="Z739" s="13"/>
      <c r="AA739" s="13"/>
      <c r="AB739" s="13"/>
      <c r="AC739" s="14" t="str">
        <f aca="false">IF(AND($B739&lt;&gt;"",$AE739="",$AB739&lt;&gt;"",$AB739&lt;Boshqaruv!$C$12),"Ha","")</f>
        <v/>
      </c>
      <c r="AD739" s="25"/>
      <c r="AE739" s="13"/>
      <c r="AF739" s="12"/>
      <c r="AG739" s="14" t="str">
        <f aca="false">IF(OR($B739="",$C739="",$H739=""),"",IF(COUNTIFS($B$5:$B$804,$B739,$C$5:$C$804,$C739,$H$5:$H$804,$H739)&gt;1,"Takror",""))</f>
        <v/>
      </c>
      <c r="AH739" s="28" t="str">
        <f aca="false">IF(AND($B739&lt;&gt;"",$N739="Ha",$H739&lt;&gt;"",$H739&lt;=Boshqaruv!$C$12,OR($AE739="",$AE739&gt;Boshqaruv!$C$12)),MAX($AH$4:$AH738)+1,"")</f>
        <v/>
      </c>
    </row>
    <row r="740" customFormat="false" ht="15" hidden="false" customHeight="false" outlineLevel="0" collapsed="false">
      <c r="A740" s="20" t="n">
        <v>736</v>
      </c>
      <c r="B740" s="12"/>
      <c r="C740" s="13"/>
      <c r="D740" s="24"/>
      <c r="E740" s="12"/>
      <c r="F740" s="25"/>
      <c r="G740" s="27" t="str">
        <f aca="false">IF(OR($B740="",$C740=""),"",$B740&amp;" ("&amp;DAY($C740)&amp;"."&amp;MONTH($C740)&amp;"."&amp;YEAR($C740)&amp;")")</f>
        <v/>
      </c>
      <c r="H740" s="13"/>
      <c r="I740" s="13"/>
      <c r="J740" s="15" t="str">
        <f aca="false">IF($I740="","",$I740+280)</f>
        <v/>
      </c>
      <c r="K740" s="14" t="str">
        <f aca="false">IF(OR($I740="",$AE740&lt;&gt;""),"",INT((Boshqaruv!$C$12-$I740)/7))</f>
        <v/>
      </c>
      <c r="L740" s="14" t="str">
        <f aca="false">IF(OR($C740="",$H740=""),"",INT(($H740-$C740)/365.25))</f>
        <v/>
      </c>
      <c r="M740" s="14" t="str">
        <f aca="false">IF($L740="","",IF($L740&lt;18,"Ha","Yo'q"))</f>
        <v/>
      </c>
      <c r="N740" s="25"/>
      <c r="O740" s="25"/>
      <c r="P740" s="25"/>
      <c r="Q740" s="12"/>
      <c r="R740" s="25"/>
      <c r="S740" s="12"/>
      <c r="T740" s="13"/>
      <c r="U740" s="12"/>
      <c r="V740" s="25"/>
      <c r="W740" s="25"/>
      <c r="X740" s="14" t="str">
        <f aca="false">IF(OR($V740="",$W740=""),"",IF(AND($V740&gt;=Spravochnik!$H$5,$W740&gt;=Spravochnik!$H$6),"Ha","Yo'q"))</f>
        <v/>
      </c>
      <c r="Y740" s="13"/>
      <c r="Z740" s="13"/>
      <c r="AA740" s="13"/>
      <c r="AB740" s="13"/>
      <c r="AC740" s="14" t="str">
        <f aca="false">IF(AND($B740&lt;&gt;"",$AE740="",$AB740&lt;&gt;"",$AB740&lt;Boshqaruv!$C$12),"Ha","")</f>
        <v/>
      </c>
      <c r="AD740" s="25"/>
      <c r="AE740" s="13"/>
      <c r="AF740" s="12"/>
      <c r="AG740" s="14" t="str">
        <f aca="false">IF(OR($B740="",$C740="",$H740=""),"",IF(COUNTIFS($B$5:$B$804,$B740,$C$5:$C$804,$C740,$H$5:$H$804,$H740)&gt;1,"Takror",""))</f>
        <v/>
      </c>
      <c r="AH740" s="28" t="str">
        <f aca="false">IF(AND($B740&lt;&gt;"",$N740="Ha",$H740&lt;&gt;"",$H740&lt;=Boshqaruv!$C$12,OR($AE740="",$AE740&gt;Boshqaruv!$C$12)),MAX($AH$4:$AH739)+1,"")</f>
        <v/>
      </c>
    </row>
    <row r="741" customFormat="false" ht="15" hidden="false" customHeight="false" outlineLevel="0" collapsed="false">
      <c r="A741" s="20" t="n">
        <v>737</v>
      </c>
      <c r="B741" s="12"/>
      <c r="C741" s="13"/>
      <c r="D741" s="24"/>
      <c r="E741" s="12"/>
      <c r="F741" s="25"/>
      <c r="G741" s="27" t="str">
        <f aca="false">IF(OR($B741="",$C741=""),"",$B741&amp;" ("&amp;DAY($C741)&amp;"."&amp;MONTH($C741)&amp;"."&amp;YEAR($C741)&amp;")")</f>
        <v/>
      </c>
      <c r="H741" s="13"/>
      <c r="I741" s="13"/>
      <c r="J741" s="15" t="str">
        <f aca="false">IF($I741="","",$I741+280)</f>
        <v/>
      </c>
      <c r="K741" s="14" t="str">
        <f aca="false">IF(OR($I741="",$AE741&lt;&gt;""),"",INT((Boshqaruv!$C$12-$I741)/7))</f>
        <v/>
      </c>
      <c r="L741" s="14" t="str">
        <f aca="false">IF(OR($C741="",$H741=""),"",INT(($H741-$C741)/365.25))</f>
        <v/>
      </c>
      <c r="M741" s="14" t="str">
        <f aca="false">IF($L741="","",IF($L741&lt;18,"Ha","Yo'q"))</f>
        <v/>
      </c>
      <c r="N741" s="25"/>
      <c r="O741" s="25"/>
      <c r="P741" s="25"/>
      <c r="Q741" s="12"/>
      <c r="R741" s="25"/>
      <c r="S741" s="12"/>
      <c r="T741" s="13"/>
      <c r="U741" s="12"/>
      <c r="V741" s="25"/>
      <c r="W741" s="25"/>
      <c r="X741" s="14" t="str">
        <f aca="false">IF(OR($V741="",$W741=""),"",IF(AND($V741&gt;=Spravochnik!$H$5,$W741&gt;=Spravochnik!$H$6),"Ha","Yo'q"))</f>
        <v/>
      </c>
      <c r="Y741" s="13"/>
      <c r="Z741" s="13"/>
      <c r="AA741" s="13"/>
      <c r="AB741" s="13"/>
      <c r="AC741" s="14" t="str">
        <f aca="false">IF(AND($B741&lt;&gt;"",$AE741="",$AB741&lt;&gt;"",$AB741&lt;Boshqaruv!$C$12),"Ha","")</f>
        <v/>
      </c>
      <c r="AD741" s="25"/>
      <c r="AE741" s="13"/>
      <c r="AF741" s="12"/>
      <c r="AG741" s="14" t="str">
        <f aca="false">IF(OR($B741="",$C741="",$H741=""),"",IF(COUNTIFS($B$5:$B$804,$B741,$C$5:$C$804,$C741,$H$5:$H$804,$H741)&gt;1,"Takror",""))</f>
        <v/>
      </c>
      <c r="AH741" s="28" t="str">
        <f aca="false">IF(AND($B741&lt;&gt;"",$N741="Ha",$H741&lt;&gt;"",$H741&lt;=Boshqaruv!$C$12,OR($AE741="",$AE741&gt;Boshqaruv!$C$12)),MAX($AH$4:$AH740)+1,"")</f>
        <v/>
      </c>
    </row>
    <row r="742" customFormat="false" ht="15" hidden="false" customHeight="false" outlineLevel="0" collapsed="false">
      <c r="A742" s="20" t="n">
        <v>738</v>
      </c>
      <c r="B742" s="12"/>
      <c r="C742" s="13"/>
      <c r="D742" s="24"/>
      <c r="E742" s="12"/>
      <c r="F742" s="25"/>
      <c r="G742" s="27" t="str">
        <f aca="false">IF(OR($B742="",$C742=""),"",$B742&amp;" ("&amp;DAY($C742)&amp;"."&amp;MONTH($C742)&amp;"."&amp;YEAR($C742)&amp;")")</f>
        <v/>
      </c>
      <c r="H742" s="13"/>
      <c r="I742" s="13"/>
      <c r="J742" s="15" t="str">
        <f aca="false">IF($I742="","",$I742+280)</f>
        <v/>
      </c>
      <c r="K742" s="14" t="str">
        <f aca="false">IF(OR($I742="",$AE742&lt;&gt;""),"",INT((Boshqaruv!$C$12-$I742)/7))</f>
        <v/>
      </c>
      <c r="L742" s="14" t="str">
        <f aca="false">IF(OR($C742="",$H742=""),"",INT(($H742-$C742)/365.25))</f>
        <v/>
      </c>
      <c r="M742" s="14" t="str">
        <f aca="false">IF($L742="","",IF($L742&lt;18,"Ha","Yo'q"))</f>
        <v/>
      </c>
      <c r="N742" s="25"/>
      <c r="O742" s="25"/>
      <c r="P742" s="25"/>
      <c r="Q742" s="12"/>
      <c r="R742" s="25"/>
      <c r="S742" s="12"/>
      <c r="T742" s="13"/>
      <c r="U742" s="12"/>
      <c r="V742" s="25"/>
      <c r="W742" s="25"/>
      <c r="X742" s="14" t="str">
        <f aca="false">IF(OR($V742="",$W742=""),"",IF(AND($V742&gt;=Spravochnik!$H$5,$W742&gt;=Spravochnik!$H$6),"Ha","Yo'q"))</f>
        <v/>
      </c>
      <c r="Y742" s="13"/>
      <c r="Z742" s="13"/>
      <c r="AA742" s="13"/>
      <c r="AB742" s="13"/>
      <c r="AC742" s="14" t="str">
        <f aca="false">IF(AND($B742&lt;&gt;"",$AE742="",$AB742&lt;&gt;"",$AB742&lt;Boshqaruv!$C$12),"Ha","")</f>
        <v/>
      </c>
      <c r="AD742" s="25"/>
      <c r="AE742" s="13"/>
      <c r="AF742" s="12"/>
      <c r="AG742" s="14" t="str">
        <f aca="false">IF(OR($B742="",$C742="",$H742=""),"",IF(COUNTIFS($B$5:$B$804,$B742,$C$5:$C$804,$C742,$H$5:$H$804,$H742)&gt;1,"Takror",""))</f>
        <v/>
      </c>
      <c r="AH742" s="28" t="str">
        <f aca="false">IF(AND($B742&lt;&gt;"",$N742="Ha",$H742&lt;&gt;"",$H742&lt;=Boshqaruv!$C$12,OR($AE742="",$AE742&gt;Boshqaruv!$C$12)),MAX($AH$4:$AH741)+1,"")</f>
        <v/>
      </c>
    </row>
    <row r="743" customFormat="false" ht="15" hidden="false" customHeight="false" outlineLevel="0" collapsed="false">
      <c r="A743" s="20" t="n">
        <v>739</v>
      </c>
      <c r="B743" s="12"/>
      <c r="C743" s="13"/>
      <c r="D743" s="24"/>
      <c r="E743" s="12"/>
      <c r="F743" s="25"/>
      <c r="G743" s="27" t="str">
        <f aca="false">IF(OR($B743="",$C743=""),"",$B743&amp;" ("&amp;DAY($C743)&amp;"."&amp;MONTH($C743)&amp;"."&amp;YEAR($C743)&amp;")")</f>
        <v/>
      </c>
      <c r="H743" s="13"/>
      <c r="I743" s="13"/>
      <c r="J743" s="15" t="str">
        <f aca="false">IF($I743="","",$I743+280)</f>
        <v/>
      </c>
      <c r="K743" s="14" t="str">
        <f aca="false">IF(OR($I743="",$AE743&lt;&gt;""),"",INT((Boshqaruv!$C$12-$I743)/7))</f>
        <v/>
      </c>
      <c r="L743" s="14" t="str">
        <f aca="false">IF(OR($C743="",$H743=""),"",INT(($H743-$C743)/365.25))</f>
        <v/>
      </c>
      <c r="M743" s="14" t="str">
        <f aca="false">IF($L743="","",IF($L743&lt;18,"Ha","Yo'q"))</f>
        <v/>
      </c>
      <c r="N743" s="25"/>
      <c r="O743" s="25"/>
      <c r="P743" s="25"/>
      <c r="Q743" s="12"/>
      <c r="R743" s="25"/>
      <c r="S743" s="12"/>
      <c r="T743" s="13"/>
      <c r="U743" s="12"/>
      <c r="V743" s="25"/>
      <c r="W743" s="25"/>
      <c r="X743" s="14" t="str">
        <f aca="false">IF(OR($V743="",$W743=""),"",IF(AND($V743&gt;=Spravochnik!$H$5,$W743&gt;=Spravochnik!$H$6),"Ha","Yo'q"))</f>
        <v/>
      </c>
      <c r="Y743" s="13"/>
      <c r="Z743" s="13"/>
      <c r="AA743" s="13"/>
      <c r="AB743" s="13"/>
      <c r="AC743" s="14" t="str">
        <f aca="false">IF(AND($B743&lt;&gt;"",$AE743="",$AB743&lt;&gt;"",$AB743&lt;Boshqaruv!$C$12),"Ha","")</f>
        <v/>
      </c>
      <c r="AD743" s="25"/>
      <c r="AE743" s="13"/>
      <c r="AF743" s="12"/>
      <c r="AG743" s="14" t="str">
        <f aca="false">IF(OR($B743="",$C743="",$H743=""),"",IF(COUNTIFS($B$5:$B$804,$B743,$C$5:$C$804,$C743,$H$5:$H$804,$H743)&gt;1,"Takror",""))</f>
        <v/>
      </c>
      <c r="AH743" s="28" t="str">
        <f aca="false">IF(AND($B743&lt;&gt;"",$N743="Ha",$H743&lt;&gt;"",$H743&lt;=Boshqaruv!$C$12,OR($AE743="",$AE743&gt;Boshqaruv!$C$12)),MAX($AH$4:$AH742)+1,"")</f>
        <v/>
      </c>
    </row>
    <row r="744" customFormat="false" ht="15" hidden="false" customHeight="false" outlineLevel="0" collapsed="false">
      <c r="A744" s="20" t="n">
        <v>740</v>
      </c>
      <c r="B744" s="12"/>
      <c r="C744" s="13"/>
      <c r="D744" s="24"/>
      <c r="E744" s="12"/>
      <c r="F744" s="25"/>
      <c r="G744" s="27" t="str">
        <f aca="false">IF(OR($B744="",$C744=""),"",$B744&amp;" ("&amp;DAY($C744)&amp;"."&amp;MONTH($C744)&amp;"."&amp;YEAR($C744)&amp;")")</f>
        <v/>
      </c>
      <c r="H744" s="13"/>
      <c r="I744" s="13"/>
      <c r="J744" s="15" t="str">
        <f aca="false">IF($I744="","",$I744+280)</f>
        <v/>
      </c>
      <c r="K744" s="14" t="str">
        <f aca="false">IF(OR($I744="",$AE744&lt;&gt;""),"",INT((Boshqaruv!$C$12-$I744)/7))</f>
        <v/>
      </c>
      <c r="L744" s="14" t="str">
        <f aca="false">IF(OR($C744="",$H744=""),"",INT(($H744-$C744)/365.25))</f>
        <v/>
      </c>
      <c r="M744" s="14" t="str">
        <f aca="false">IF($L744="","",IF($L744&lt;18,"Ha","Yo'q"))</f>
        <v/>
      </c>
      <c r="N744" s="25"/>
      <c r="O744" s="25"/>
      <c r="P744" s="25"/>
      <c r="Q744" s="12"/>
      <c r="R744" s="25"/>
      <c r="S744" s="12"/>
      <c r="T744" s="13"/>
      <c r="U744" s="12"/>
      <c r="V744" s="25"/>
      <c r="W744" s="25"/>
      <c r="X744" s="14" t="str">
        <f aca="false">IF(OR($V744="",$W744=""),"",IF(AND($V744&gt;=Spravochnik!$H$5,$W744&gt;=Spravochnik!$H$6),"Ha","Yo'q"))</f>
        <v/>
      </c>
      <c r="Y744" s="13"/>
      <c r="Z744" s="13"/>
      <c r="AA744" s="13"/>
      <c r="AB744" s="13"/>
      <c r="AC744" s="14" t="str">
        <f aca="false">IF(AND($B744&lt;&gt;"",$AE744="",$AB744&lt;&gt;"",$AB744&lt;Boshqaruv!$C$12),"Ha","")</f>
        <v/>
      </c>
      <c r="AD744" s="25"/>
      <c r="AE744" s="13"/>
      <c r="AF744" s="12"/>
      <c r="AG744" s="14" t="str">
        <f aca="false">IF(OR($B744="",$C744="",$H744=""),"",IF(COUNTIFS($B$5:$B$804,$B744,$C$5:$C$804,$C744,$H$5:$H$804,$H744)&gt;1,"Takror",""))</f>
        <v/>
      </c>
      <c r="AH744" s="28" t="str">
        <f aca="false">IF(AND($B744&lt;&gt;"",$N744="Ha",$H744&lt;&gt;"",$H744&lt;=Boshqaruv!$C$12,OR($AE744="",$AE744&gt;Boshqaruv!$C$12)),MAX($AH$4:$AH743)+1,"")</f>
        <v/>
      </c>
    </row>
    <row r="745" customFormat="false" ht="15" hidden="false" customHeight="false" outlineLevel="0" collapsed="false">
      <c r="A745" s="20" t="n">
        <v>741</v>
      </c>
      <c r="B745" s="12"/>
      <c r="C745" s="13"/>
      <c r="D745" s="24"/>
      <c r="E745" s="12"/>
      <c r="F745" s="25"/>
      <c r="G745" s="27" t="str">
        <f aca="false">IF(OR($B745="",$C745=""),"",$B745&amp;" ("&amp;DAY($C745)&amp;"."&amp;MONTH($C745)&amp;"."&amp;YEAR($C745)&amp;")")</f>
        <v/>
      </c>
      <c r="H745" s="13"/>
      <c r="I745" s="13"/>
      <c r="J745" s="15" t="str">
        <f aca="false">IF($I745="","",$I745+280)</f>
        <v/>
      </c>
      <c r="K745" s="14" t="str">
        <f aca="false">IF(OR($I745="",$AE745&lt;&gt;""),"",INT((Boshqaruv!$C$12-$I745)/7))</f>
        <v/>
      </c>
      <c r="L745" s="14" t="str">
        <f aca="false">IF(OR($C745="",$H745=""),"",INT(($H745-$C745)/365.25))</f>
        <v/>
      </c>
      <c r="M745" s="14" t="str">
        <f aca="false">IF($L745="","",IF($L745&lt;18,"Ha","Yo'q"))</f>
        <v/>
      </c>
      <c r="N745" s="25"/>
      <c r="O745" s="25"/>
      <c r="P745" s="25"/>
      <c r="Q745" s="12"/>
      <c r="R745" s="25"/>
      <c r="S745" s="12"/>
      <c r="T745" s="13"/>
      <c r="U745" s="12"/>
      <c r="V745" s="25"/>
      <c r="W745" s="25"/>
      <c r="X745" s="14" t="str">
        <f aca="false">IF(OR($V745="",$W745=""),"",IF(AND($V745&gt;=Spravochnik!$H$5,$W745&gt;=Spravochnik!$H$6),"Ha","Yo'q"))</f>
        <v/>
      </c>
      <c r="Y745" s="13"/>
      <c r="Z745" s="13"/>
      <c r="AA745" s="13"/>
      <c r="AB745" s="13"/>
      <c r="AC745" s="14" t="str">
        <f aca="false">IF(AND($B745&lt;&gt;"",$AE745="",$AB745&lt;&gt;"",$AB745&lt;Boshqaruv!$C$12),"Ha","")</f>
        <v/>
      </c>
      <c r="AD745" s="25"/>
      <c r="AE745" s="13"/>
      <c r="AF745" s="12"/>
      <c r="AG745" s="14" t="str">
        <f aca="false">IF(OR($B745="",$C745="",$H745=""),"",IF(COUNTIFS($B$5:$B$804,$B745,$C$5:$C$804,$C745,$H$5:$H$804,$H745)&gt;1,"Takror",""))</f>
        <v/>
      </c>
      <c r="AH745" s="28" t="str">
        <f aca="false">IF(AND($B745&lt;&gt;"",$N745="Ha",$H745&lt;&gt;"",$H745&lt;=Boshqaruv!$C$12,OR($AE745="",$AE745&gt;Boshqaruv!$C$12)),MAX($AH$4:$AH744)+1,"")</f>
        <v/>
      </c>
    </row>
    <row r="746" customFormat="false" ht="15" hidden="false" customHeight="false" outlineLevel="0" collapsed="false">
      <c r="A746" s="20" t="n">
        <v>742</v>
      </c>
      <c r="B746" s="12"/>
      <c r="C746" s="13"/>
      <c r="D746" s="24"/>
      <c r="E746" s="12"/>
      <c r="F746" s="25"/>
      <c r="G746" s="27" t="str">
        <f aca="false">IF(OR($B746="",$C746=""),"",$B746&amp;" ("&amp;DAY($C746)&amp;"."&amp;MONTH($C746)&amp;"."&amp;YEAR($C746)&amp;")")</f>
        <v/>
      </c>
      <c r="H746" s="13"/>
      <c r="I746" s="13"/>
      <c r="J746" s="15" t="str">
        <f aca="false">IF($I746="","",$I746+280)</f>
        <v/>
      </c>
      <c r="K746" s="14" t="str">
        <f aca="false">IF(OR($I746="",$AE746&lt;&gt;""),"",INT((Boshqaruv!$C$12-$I746)/7))</f>
        <v/>
      </c>
      <c r="L746" s="14" t="str">
        <f aca="false">IF(OR($C746="",$H746=""),"",INT(($H746-$C746)/365.25))</f>
        <v/>
      </c>
      <c r="M746" s="14" t="str">
        <f aca="false">IF($L746="","",IF($L746&lt;18,"Ha","Yo'q"))</f>
        <v/>
      </c>
      <c r="N746" s="25"/>
      <c r="O746" s="25"/>
      <c r="P746" s="25"/>
      <c r="Q746" s="12"/>
      <c r="R746" s="25"/>
      <c r="S746" s="12"/>
      <c r="T746" s="13"/>
      <c r="U746" s="12"/>
      <c r="V746" s="25"/>
      <c r="W746" s="25"/>
      <c r="X746" s="14" t="str">
        <f aca="false">IF(OR($V746="",$W746=""),"",IF(AND($V746&gt;=Spravochnik!$H$5,$W746&gt;=Spravochnik!$H$6),"Ha","Yo'q"))</f>
        <v/>
      </c>
      <c r="Y746" s="13"/>
      <c r="Z746" s="13"/>
      <c r="AA746" s="13"/>
      <c r="AB746" s="13"/>
      <c r="AC746" s="14" t="str">
        <f aca="false">IF(AND($B746&lt;&gt;"",$AE746="",$AB746&lt;&gt;"",$AB746&lt;Boshqaruv!$C$12),"Ha","")</f>
        <v/>
      </c>
      <c r="AD746" s="25"/>
      <c r="AE746" s="13"/>
      <c r="AF746" s="12"/>
      <c r="AG746" s="14" t="str">
        <f aca="false">IF(OR($B746="",$C746="",$H746=""),"",IF(COUNTIFS($B$5:$B$804,$B746,$C$5:$C$804,$C746,$H$5:$H$804,$H746)&gt;1,"Takror",""))</f>
        <v/>
      </c>
      <c r="AH746" s="28" t="str">
        <f aca="false">IF(AND($B746&lt;&gt;"",$N746="Ha",$H746&lt;&gt;"",$H746&lt;=Boshqaruv!$C$12,OR($AE746="",$AE746&gt;Boshqaruv!$C$12)),MAX($AH$4:$AH745)+1,"")</f>
        <v/>
      </c>
    </row>
    <row r="747" customFormat="false" ht="15" hidden="false" customHeight="false" outlineLevel="0" collapsed="false">
      <c r="A747" s="20" t="n">
        <v>743</v>
      </c>
      <c r="B747" s="12"/>
      <c r="C747" s="13"/>
      <c r="D747" s="24"/>
      <c r="E747" s="12"/>
      <c r="F747" s="25"/>
      <c r="G747" s="27" t="str">
        <f aca="false">IF(OR($B747="",$C747=""),"",$B747&amp;" ("&amp;DAY($C747)&amp;"."&amp;MONTH($C747)&amp;"."&amp;YEAR($C747)&amp;")")</f>
        <v/>
      </c>
      <c r="H747" s="13"/>
      <c r="I747" s="13"/>
      <c r="J747" s="15" t="str">
        <f aca="false">IF($I747="","",$I747+280)</f>
        <v/>
      </c>
      <c r="K747" s="14" t="str">
        <f aca="false">IF(OR($I747="",$AE747&lt;&gt;""),"",INT((Boshqaruv!$C$12-$I747)/7))</f>
        <v/>
      </c>
      <c r="L747" s="14" t="str">
        <f aca="false">IF(OR($C747="",$H747=""),"",INT(($H747-$C747)/365.25))</f>
        <v/>
      </c>
      <c r="M747" s="14" t="str">
        <f aca="false">IF($L747="","",IF($L747&lt;18,"Ha","Yo'q"))</f>
        <v/>
      </c>
      <c r="N747" s="25"/>
      <c r="O747" s="25"/>
      <c r="P747" s="25"/>
      <c r="Q747" s="12"/>
      <c r="R747" s="25"/>
      <c r="S747" s="12"/>
      <c r="T747" s="13"/>
      <c r="U747" s="12"/>
      <c r="V747" s="25"/>
      <c r="W747" s="25"/>
      <c r="X747" s="14" t="str">
        <f aca="false">IF(OR($V747="",$W747=""),"",IF(AND($V747&gt;=Spravochnik!$H$5,$W747&gt;=Spravochnik!$H$6),"Ha","Yo'q"))</f>
        <v/>
      </c>
      <c r="Y747" s="13"/>
      <c r="Z747" s="13"/>
      <c r="AA747" s="13"/>
      <c r="AB747" s="13"/>
      <c r="AC747" s="14" t="str">
        <f aca="false">IF(AND($B747&lt;&gt;"",$AE747="",$AB747&lt;&gt;"",$AB747&lt;Boshqaruv!$C$12),"Ha","")</f>
        <v/>
      </c>
      <c r="AD747" s="25"/>
      <c r="AE747" s="13"/>
      <c r="AF747" s="12"/>
      <c r="AG747" s="14" t="str">
        <f aca="false">IF(OR($B747="",$C747="",$H747=""),"",IF(COUNTIFS($B$5:$B$804,$B747,$C$5:$C$804,$C747,$H$5:$H$804,$H747)&gt;1,"Takror",""))</f>
        <v/>
      </c>
      <c r="AH747" s="28" t="str">
        <f aca="false">IF(AND($B747&lt;&gt;"",$N747="Ha",$H747&lt;&gt;"",$H747&lt;=Boshqaruv!$C$12,OR($AE747="",$AE747&gt;Boshqaruv!$C$12)),MAX($AH$4:$AH746)+1,"")</f>
        <v/>
      </c>
    </row>
    <row r="748" customFormat="false" ht="15" hidden="false" customHeight="false" outlineLevel="0" collapsed="false">
      <c r="A748" s="20" t="n">
        <v>744</v>
      </c>
      <c r="B748" s="12"/>
      <c r="C748" s="13"/>
      <c r="D748" s="24"/>
      <c r="E748" s="12"/>
      <c r="F748" s="25"/>
      <c r="G748" s="27" t="str">
        <f aca="false">IF(OR($B748="",$C748=""),"",$B748&amp;" ("&amp;DAY($C748)&amp;"."&amp;MONTH($C748)&amp;"."&amp;YEAR($C748)&amp;")")</f>
        <v/>
      </c>
      <c r="H748" s="13"/>
      <c r="I748" s="13"/>
      <c r="J748" s="15" t="str">
        <f aca="false">IF($I748="","",$I748+280)</f>
        <v/>
      </c>
      <c r="K748" s="14" t="str">
        <f aca="false">IF(OR($I748="",$AE748&lt;&gt;""),"",INT((Boshqaruv!$C$12-$I748)/7))</f>
        <v/>
      </c>
      <c r="L748" s="14" t="str">
        <f aca="false">IF(OR($C748="",$H748=""),"",INT(($H748-$C748)/365.25))</f>
        <v/>
      </c>
      <c r="M748" s="14" t="str">
        <f aca="false">IF($L748="","",IF($L748&lt;18,"Ha","Yo'q"))</f>
        <v/>
      </c>
      <c r="N748" s="25"/>
      <c r="O748" s="25"/>
      <c r="P748" s="25"/>
      <c r="Q748" s="12"/>
      <c r="R748" s="25"/>
      <c r="S748" s="12"/>
      <c r="T748" s="13"/>
      <c r="U748" s="12"/>
      <c r="V748" s="25"/>
      <c r="W748" s="25"/>
      <c r="X748" s="14" t="str">
        <f aca="false">IF(OR($V748="",$W748=""),"",IF(AND($V748&gt;=Spravochnik!$H$5,$W748&gt;=Spravochnik!$H$6),"Ha","Yo'q"))</f>
        <v/>
      </c>
      <c r="Y748" s="13"/>
      <c r="Z748" s="13"/>
      <c r="AA748" s="13"/>
      <c r="AB748" s="13"/>
      <c r="AC748" s="14" t="str">
        <f aca="false">IF(AND($B748&lt;&gt;"",$AE748="",$AB748&lt;&gt;"",$AB748&lt;Boshqaruv!$C$12),"Ha","")</f>
        <v/>
      </c>
      <c r="AD748" s="25"/>
      <c r="AE748" s="13"/>
      <c r="AF748" s="12"/>
      <c r="AG748" s="14" t="str">
        <f aca="false">IF(OR($B748="",$C748="",$H748=""),"",IF(COUNTIFS($B$5:$B$804,$B748,$C$5:$C$804,$C748,$H$5:$H$804,$H748)&gt;1,"Takror",""))</f>
        <v/>
      </c>
      <c r="AH748" s="28" t="str">
        <f aca="false">IF(AND($B748&lt;&gt;"",$N748="Ha",$H748&lt;&gt;"",$H748&lt;=Boshqaruv!$C$12,OR($AE748="",$AE748&gt;Boshqaruv!$C$12)),MAX($AH$4:$AH747)+1,"")</f>
        <v/>
      </c>
    </row>
    <row r="749" customFormat="false" ht="15" hidden="false" customHeight="false" outlineLevel="0" collapsed="false">
      <c r="A749" s="20" t="n">
        <v>745</v>
      </c>
      <c r="B749" s="12"/>
      <c r="C749" s="13"/>
      <c r="D749" s="24"/>
      <c r="E749" s="12"/>
      <c r="F749" s="25"/>
      <c r="G749" s="27" t="str">
        <f aca="false">IF(OR($B749="",$C749=""),"",$B749&amp;" ("&amp;DAY($C749)&amp;"."&amp;MONTH($C749)&amp;"."&amp;YEAR($C749)&amp;")")</f>
        <v/>
      </c>
      <c r="H749" s="13"/>
      <c r="I749" s="13"/>
      <c r="J749" s="15" t="str">
        <f aca="false">IF($I749="","",$I749+280)</f>
        <v/>
      </c>
      <c r="K749" s="14" t="str">
        <f aca="false">IF(OR($I749="",$AE749&lt;&gt;""),"",INT((Boshqaruv!$C$12-$I749)/7))</f>
        <v/>
      </c>
      <c r="L749" s="14" t="str">
        <f aca="false">IF(OR($C749="",$H749=""),"",INT(($H749-$C749)/365.25))</f>
        <v/>
      </c>
      <c r="M749" s="14" t="str">
        <f aca="false">IF($L749="","",IF($L749&lt;18,"Ha","Yo'q"))</f>
        <v/>
      </c>
      <c r="N749" s="25"/>
      <c r="O749" s="25"/>
      <c r="P749" s="25"/>
      <c r="Q749" s="12"/>
      <c r="R749" s="25"/>
      <c r="S749" s="12"/>
      <c r="T749" s="13"/>
      <c r="U749" s="12"/>
      <c r="V749" s="25"/>
      <c r="W749" s="25"/>
      <c r="X749" s="14" t="str">
        <f aca="false">IF(OR($V749="",$W749=""),"",IF(AND($V749&gt;=Spravochnik!$H$5,$W749&gt;=Spravochnik!$H$6),"Ha","Yo'q"))</f>
        <v/>
      </c>
      <c r="Y749" s="13"/>
      <c r="Z749" s="13"/>
      <c r="AA749" s="13"/>
      <c r="AB749" s="13"/>
      <c r="AC749" s="14" t="str">
        <f aca="false">IF(AND($B749&lt;&gt;"",$AE749="",$AB749&lt;&gt;"",$AB749&lt;Boshqaruv!$C$12),"Ha","")</f>
        <v/>
      </c>
      <c r="AD749" s="25"/>
      <c r="AE749" s="13"/>
      <c r="AF749" s="12"/>
      <c r="AG749" s="14" t="str">
        <f aca="false">IF(OR($B749="",$C749="",$H749=""),"",IF(COUNTIFS($B$5:$B$804,$B749,$C$5:$C$804,$C749,$H$5:$H$804,$H749)&gt;1,"Takror",""))</f>
        <v/>
      </c>
      <c r="AH749" s="28" t="str">
        <f aca="false">IF(AND($B749&lt;&gt;"",$N749="Ha",$H749&lt;&gt;"",$H749&lt;=Boshqaruv!$C$12,OR($AE749="",$AE749&gt;Boshqaruv!$C$12)),MAX($AH$4:$AH748)+1,"")</f>
        <v/>
      </c>
    </row>
    <row r="750" customFormat="false" ht="15" hidden="false" customHeight="false" outlineLevel="0" collapsed="false">
      <c r="A750" s="20" t="n">
        <v>746</v>
      </c>
      <c r="B750" s="12"/>
      <c r="C750" s="13"/>
      <c r="D750" s="24"/>
      <c r="E750" s="12"/>
      <c r="F750" s="25"/>
      <c r="G750" s="27" t="str">
        <f aca="false">IF(OR($B750="",$C750=""),"",$B750&amp;" ("&amp;DAY($C750)&amp;"."&amp;MONTH($C750)&amp;"."&amp;YEAR($C750)&amp;")")</f>
        <v/>
      </c>
      <c r="H750" s="13"/>
      <c r="I750" s="13"/>
      <c r="J750" s="15" t="str">
        <f aca="false">IF($I750="","",$I750+280)</f>
        <v/>
      </c>
      <c r="K750" s="14" t="str">
        <f aca="false">IF(OR($I750="",$AE750&lt;&gt;""),"",INT((Boshqaruv!$C$12-$I750)/7))</f>
        <v/>
      </c>
      <c r="L750" s="14" t="str">
        <f aca="false">IF(OR($C750="",$H750=""),"",INT(($H750-$C750)/365.25))</f>
        <v/>
      </c>
      <c r="M750" s="14" t="str">
        <f aca="false">IF($L750="","",IF($L750&lt;18,"Ha","Yo'q"))</f>
        <v/>
      </c>
      <c r="N750" s="25"/>
      <c r="O750" s="25"/>
      <c r="P750" s="25"/>
      <c r="Q750" s="12"/>
      <c r="R750" s="25"/>
      <c r="S750" s="12"/>
      <c r="T750" s="13"/>
      <c r="U750" s="12"/>
      <c r="V750" s="25"/>
      <c r="W750" s="25"/>
      <c r="X750" s="14" t="str">
        <f aca="false">IF(OR($V750="",$W750=""),"",IF(AND($V750&gt;=Spravochnik!$H$5,$W750&gt;=Spravochnik!$H$6),"Ha","Yo'q"))</f>
        <v/>
      </c>
      <c r="Y750" s="13"/>
      <c r="Z750" s="13"/>
      <c r="AA750" s="13"/>
      <c r="AB750" s="13"/>
      <c r="AC750" s="14" t="str">
        <f aca="false">IF(AND($B750&lt;&gt;"",$AE750="",$AB750&lt;&gt;"",$AB750&lt;Boshqaruv!$C$12),"Ha","")</f>
        <v/>
      </c>
      <c r="AD750" s="25"/>
      <c r="AE750" s="13"/>
      <c r="AF750" s="12"/>
      <c r="AG750" s="14" t="str">
        <f aca="false">IF(OR($B750="",$C750="",$H750=""),"",IF(COUNTIFS($B$5:$B$804,$B750,$C$5:$C$804,$C750,$H$5:$H$804,$H750)&gt;1,"Takror",""))</f>
        <v/>
      </c>
      <c r="AH750" s="28" t="str">
        <f aca="false">IF(AND($B750&lt;&gt;"",$N750="Ha",$H750&lt;&gt;"",$H750&lt;=Boshqaruv!$C$12,OR($AE750="",$AE750&gt;Boshqaruv!$C$12)),MAX($AH$4:$AH749)+1,"")</f>
        <v/>
      </c>
    </row>
    <row r="751" customFormat="false" ht="15" hidden="false" customHeight="false" outlineLevel="0" collapsed="false">
      <c r="A751" s="20" t="n">
        <v>747</v>
      </c>
      <c r="B751" s="12"/>
      <c r="C751" s="13"/>
      <c r="D751" s="24"/>
      <c r="E751" s="12"/>
      <c r="F751" s="25"/>
      <c r="G751" s="27" t="str">
        <f aca="false">IF(OR($B751="",$C751=""),"",$B751&amp;" ("&amp;DAY($C751)&amp;"."&amp;MONTH($C751)&amp;"."&amp;YEAR($C751)&amp;")")</f>
        <v/>
      </c>
      <c r="H751" s="13"/>
      <c r="I751" s="13"/>
      <c r="J751" s="15" t="str">
        <f aca="false">IF($I751="","",$I751+280)</f>
        <v/>
      </c>
      <c r="K751" s="14" t="str">
        <f aca="false">IF(OR($I751="",$AE751&lt;&gt;""),"",INT((Boshqaruv!$C$12-$I751)/7))</f>
        <v/>
      </c>
      <c r="L751" s="14" t="str">
        <f aca="false">IF(OR($C751="",$H751=""),"",INT(($H751-$C751)/365.25))</f>
        <v/>
      </c>
      <c r="M751" s="14" t="str">
        <f aca="false">IF($L751="","",IF($L751&lt;18,"Ha","Yo'q"))</f>
        <v/>
      </c>
      <c r="N751" s="25"/>
      <c r="O751" s="25"/>
      <c r="P751" s="25"/>
      <c r="Q751" s="12"/>
      <c r="R751" s="25"/>
      <c r="S751" s="12"/>
      <c r="T751" s="13"/>
      <c r="U751" s="12"/>
      <c r="V751" s="25"/>
      <c r="W751" s="25"/>
      <c r="X751" s="14" t="str">
        <f aca="false">IF(OR($V751="",$W751=""),"",IF(AND($V751&gt;=Spravochnik!$H$5,$W751&gt;=Spravochnik!$H$6),"Ha","Yo'q"))</f>
        <v/>
      </c>
      <c r="Y751" s="13"/>
      <c r="Z751" s="13"/>
      <c r="AA751" s="13"/>
      <c r="AB751" s="13"/>
      <c r="AC751" s="14" t="str">
        <f aca="false">IF(AND($B751&lt;&gt;"",$AE751="",$AB751&lt;&gt;"",$AB751&lt;Boshqaruv!$C$12),"Ha","")</f>
        <v/>
      </c>
      <c r="AD751" s="25"/>
      <c r="AE751" s="13"/>
      <c r="AF751" s="12"/>
      <c r="AG751" s="14" t="str">
        <f aca="false">IF(OR($B751="",$C751="",$H751=""),"",IF(COUNTIFS($B$5:$B$804,$B751,$C$5:$C$804,$C751,$H$5:$H$804,$H751)&gt;1,"Takror",""))</f>
        <v/>
      </c>
      <c r="AH751" s="28" t="str">
        <f aca="false">IF(AND($B751&lt;&gt;"",$N751="Ha",$H751&lt;&gt;"",$H751&lt;=Boshqaruv!$C$12,OR($AE751="",$AE751&gt;Boshqaruv!$C$12)),MAX($AH$4:$AH750)+1,"")</f>
        <v/>
      </c>
    </row>
    <row r="752" customFormat="false" ht="15" hidden="false" customHeight="false" outlineLevel="0" collapsed="false">
      <c r="A752" s="20" t="n">
        <v>748</v>
      </c>
      <c r="B752" s="12"/>
      <c r="C752" s="13"/>
      <c r="D752" s="24"/>
      <c r="E752" s="12"/>
      <c r="F752" s="25"/>
      <c r="G752" s="27" t="str">
        <f aca="false">IF(OR($B752="",$C752=""),"",$B752&amp;" ("&amp;DAY($C752)&amp;"."&amp;MONTH($C752)&amp;"."&amp;YEAR($C752)&amp;")")</f>
        <v/>
      </c>
      <c r="H752" s="13"/>
      <c r="I752" s="13"/>
      <c r="J752" s="15" t="str">
        <f aca="false">IF($I752="","",$I752+280)</f>
        <v/>
      </c>
      <c r="K752" s="14" t="str">
        <f aca="false">IF(OR($I752="",$AE752&lt;&gt;""),"",INT((Boshqaruv!$C$12-$I752)/7))</f>
        <v/>
      </c>
      <c r="L752" s="14" t="str">
        <f aca="false">IF(OR($C752="",$H752=""),"",INT(($H752-$C752)/365.25))</f>
        <v/>
      </c>
      <c r="M752" s="14" t="str">
        <f aca="false">IF($L752="","",IF($L752&lt;18,"Ha","Yo'q"))</f>
        <v/>
      </c>
      <c r="N752" s="25"/>
      <c r="O752" s="25"/>
      <c r="P752" s="25"/>
      <c r="Q752" s="12"/>
      <c r="R752" s="25"/>
      <c r="S752" s="12"/>
      <c r="T752" s="13"/>
      <c r="U752" s="12"/>
      <c r="V752" s="25"/>
      <c r="W752" s="25"/>
      <c r="X752" s="14" t="str">
        <f aca="false">IF(OR($V752="",$W752=""),"",IF(AND($V752&gt;=Spravochnik!$H$5,$W752&gt;=Spravochnik!$H$6),"Ha","Yo'q"))</f>
        <v/>
      </c>
      <c r="Y752" s="13"/>
      <c r="Z752" s="13"/>
      <c r="AA752" s="13"/>
      <c r="AB752" s="13"/>
      <c r="AC752" s="14" t="str">
        <f aca="false">IF(AND($B752&lt;&gt;"",$AE752="",$AB752&lt;&gt;"",$AB752&lt;Boshqaruv!$C$12),"Ha","")</f>
        <v/>
      </c>
      <c r="AD752" s="25"/>
      <c r="AE752" s="13"/>
      <c r="AF752" s="12"/>
      <c r="AG752" s="14" t="str">
        <f aca="false">IF(OR($B752="",$C752="",$H752=""),"",IF(COUNTIFS($B$5:$B$804,$B752,$C$5:$C$804,$C752,$H$5:$H$804,$H752)&gt;1,"Takror",""))</f>
        <v/>
      </c>
      <c r="AH752" s="28" t="str">
        <f aca="false">IF(AND($B752&lt;&gt;"",$N752="Ha",$H752&lt;&gt;"",$H752&lt;=Boshqaruv!$C$12,OR($AE752="",$AE752&gt;Boshqaruv!$C$12)),MAX($AH$4:$AH751)+1,"")</f>
        <v/>
      </c>
    </row>
    <row r="753" customFormat="false" ht="15" hidden="false" customHeight="false" outlineLevel="0" collapsed="false">
      <c r="A753" s="20" t="n">
        <v>749</v>
      </c>
      <c r="B753" s="12"/>
      <c r="C753" s="13"/>
      <c r="D753" s="24"/>
      <c r="E753" s="12"/>
      <c r="F753" s="25"/>
      <c r="G753" s="27" t="str">
        <f aca="false">IF(OR($B753="",$C753=""),"",$B753&amp;" ("&amp;DAY($C753)&amp;"."&amp;MONTH($C753)&amp;"."&amp;YEAR($C753)&amp;")")</f>
        <v/>
      </c>
      <c r="H753" s="13"/>
      <c r="I753" s="13"/>
      <c r="J753" s="15" t="str">
        <f aca="false">IF($I753="","",$I753+280)</f>
        <v/>
      </c>
      <c r="K753" s="14" t="str">
        <f aca="false">IF(OR($I753="",$AE753&lt;&gt;""),"",INT((Boshqaruv!$C$12-$I753)/7))</f>
        <v/>
      </c>
      <c r="L753" s="14" t="str">
        <f aca="false">IF(OR($C753="",$H753=""),"",INT(($H753-$C753)/365.25))</f>
        <v/>
      </c>
      <c r="M753" s="14" t="str">
        <f aca="false">IF($L753="","",IF($L753&lt;18,"Ha","Yo'q"))</f>
        <v/>
      </c>
      <c r="N753" s="25"/>
      <c r="O753" s="25"/>
      <c r="P753" s="25"/>
      <c r="Q753" s="12"/>
      <c r="R753" s="25"/>
      <c r="S753" s="12"/>
      <c r="T753" s="13"/>
      <c r="U753" s="12"/>
      <c r="V753" s="25"/>
      <c r="W753" s="25"/>
      <c r="X753" s="14" t="str">
        <f aca="false">IF(OR($V753="",$W753=""),"",IF(AND($V753&gt;=Spravochnik!$H$5,$W753&gt;=Spravochnik!$H$6),"Ha","Yo'q"))</f>
        <v/>
      </c>
      <c r="Y753" s="13"/>
      <c r="Z753" s="13"/>
      <c r="AA753" s="13"/>
      <c r="AB753" s="13"/>
      <c r="AC753" s="14" t="str">
        <f aca="false">IF(AND($B753&lt;&gt;"",$AE753="",$AB753&lt;&gt;"",$AB753&lt;Boshqaruv!$C$12),"Ha","")</f>
        <v/>
      </c>
      <c r="AD753" s="25"/>
      <c r="AE753" s="13"/>
      <c r="AF753" s="12"/>
      <c r="AG753" s="14" t="str">
        <f aca="false">IF(OR($B753="",$C753="",$H753=""),"",IF(COUNTIFS($B$5:$B$804,$B753,$C$5:$C$804,$C753,$H$5:$H$804,$H753)&gt;1,"Takror",""))</f>
        <v/>
      </c>
      <c r="AH753" s="28" t="str">
        <f aca="false">IF(AND($B753&lt;&gt;"",$N753="Ha",$H753&lt;&gt;"",$H753&lt;=Boshqaruv!$C$12,OR($AE753="",$AE753&gt;Boshqaruv!$C$12)),MAX($AH$4:$AH752)+1,"")</f>
        <v/>
      </c>
    </row>
    <row r="754" customFormat="false" ht="15" hidden="false" customHeight="false" outlineLevel="0" collapsed="false">
      <c r="A754" s="20" t="n">
        <v>750</v>
      </c>
      <c r="B754" s="12"/>
      <c r="C754" s="13"/>
      <c r="D754" s="24"/>
      <c r="E754" s="12"/>
      <c r="F754" s="25"/>
      <c r="G754" s="27" t="str">
        <f aca="false">IF(OR($B754="",$C754=""),"",$B754&amp;" ("&amp;DAY($C754)&amp;"."&amp;MONTH($C754)&amp;"."&amp;YEAR($C754)&amp;")")</f>
        <v/>
      </c>
      <c r="H754" s="13"/>
      <c r="I754" s="13"/>
      <c r="J754" s="15" t="str">
        <f aca="false">IF($I754="","",$I754+280)</f>
        <v/>
      </c>
      <c r="K754" s="14" t="str">
        <f aca="false">IF(OR($I754="",$AE754&lt;&gt;""),"",INT((Boshqaruv!$C$12-$I754)/7))</f>
        <v/>
      </c>
      <c r="L754" s="14" t="str">
        <f aca="false">IF(OR($C754="",$H754=""),"",INT(($H754-$C754)/365.25))</f>
        <v/>
      </c>
      <c r="M754" s="14" t="str">
        <f aca="false">IF($L754="","",IF($L754&lt;18,"Ha","Yo'q"))</f>
        <v/>
      </c>
      <c r="N754" s="25"/>
      <c r="O754" s="25"/>
      <c r="P754" s="25"/>
      <c r="Q754" s="12"/>
      <c r="R754" s="25"/>
      <c r="S754" s="12"/>
      <c r="T754" s="13"/>
      <c r="U754" s="12"/>
      <c r="V754" s="25"/>
      <c r="W754" s="25"/>
      <c r="X754" s="14" t="str">
        <f aca="false">IF(OR($V754="",$W754=""),"",IF(AND($V754&gt;=Spravochnik!$H$5,$W754&gt;=Spravochnik!$H$6),"Ha","Yo'q"))</f>
        <v/>
      </c>
      <c r="Y754" s="13"/>
      <c r="Z754" s="13"/>
      <c r="AA754" s="13"/>
      <c r="AB754" s="13"/>
      <c r="AC754" s="14" t="str">
        <f aca="false">IF(AND($B754&lt;&gt;"",$AE754="",$AB754&lt;&gt;"",$AB754&lt;Boshqaruv!$C$12),"Ha","")</f>
        <v/>
      </c>
      <c r="AD754" s="25"/>
      <c r="AE754" s="13"/>
      <c r="AF754" s="12"/>
      <c r="AG754" s="14" t="str">
        <f aca="false">IF(OR($B754="",$C754="",$H754=""),"",IF(COUNTIFS($B$5:$B$804,$B754,$C$5:$C$804,$C754,$H$5:$H$804,$H754)&gt;1,"Takror",""))</f>
        <v/>
      </c>
      <c r="AH754" s="28" t="str">
        <f aca="false">IF(AND($B754&lt;&gt;"",$N754="Ha",$H754&lt;&gt;"",$H754&lt;=Boshqaruv!$C$12,OR($AE754="",$AE754&gt;Boshqaruv!$C$12)),MAX($AH$4:$AH753)+1,"")</f>
        <v/>
      </c>
    </row>
    <row r="755" customFormat="false" ht="15" hidden="false" customHeight="false" outlineLevel="0" collapsed="false">
      <c r="A755" s="20" t="n">
        <v>751</v>
      </c>
      <c r="B755" s="12"/>
      <c r="C755" s="13"/>
      <c r="D755" s="24"/>
      <c r="E755" s="12"/>
      <c r="F755" s="25"/>
      <c r="G755" s="27" t="str">
        <f aca="false">IF(OR($B755="",$C755=""),"",$B755&amp;" ("&amp;DAY($C755)&amp;"."&amp;MONTH($C755)&amp;"."&amp;YEAR($C755)&amp;")")</f>
        <v/>
      </c>
      <c r="H755" s="13"/>
      <c r="I755" s="13"/>
      <c r="J755" s="15" t="str">
        <f aca="false">IF($I755="","",$I755+280)</f>
        <v/>
      </c>
      <c r="K755" s="14" t="str">
        <f aca="false">IF(OR($I755="",$AE755&lt;&gt;""),"",INT((Boshqaruv!$C$12-$I755)/7))</f>
        <v/>
      </c>
      <c r="L755" s="14" t="str">
        <f aca="false">IF(OR($C755="",$H755=""),"",INT(($H755-$C755)/365.25))</f>
        <v/>
      </c>
      <c r="M755" s="14" t="str">
        <f aca="false">IF($L755="","",IF($L755&lt;18,"Ha","Yo'q"))</f>
        <v/>
      </c>
      <c r="N755" s="25"/>
      <c r="O755" s="25"/>
      <c r="P755" s="25"/>
      <c r="Q755" s="12"/>
      <c r="R755" s="25"/>
      <c r="S755" s="12"/>
      <c r="T755" s="13"/>
      <c r="U755" s="12"/>
      <c r="V755" s="25"/>
      <c r="W755" s="25"/>
      <c r="X755" s="14" t="str">
        <f aca="false">IF(OR($V755="",$W755=""),"",IF(AND($V755&gt;=Spravochnik!$H$5,$W755&gt;=Spravochnik!$H$6),"Ha","Yo'q"))</f>
        <v/>
      </c>
      <c r="Y755" s="13"/>
      <c r="Z755" s="13"/>
      <c r="AA755" s="13"/>
      <c r="AB755" s="13"/>
      <c r="AC755" s="14" t="str">
        <f aca="false">IF(AND($B755&lt;&gt;"",$AE755="",$AB755&lt;&gt;"",$AB755&lt;Boshqaruv!$C$12),"Ha","")</f>
        <v/>
      </c>
      <c r="AD755" s="25"/>
      <c r="AE755" s="13"/>
      <c r="AF755" s="12"/>
      <c r="AG755" s="14" t="str">
        <f aca="false">IF(OR($B755="",$C755="",$H755=""),"",IF(COUNTIFS($B$5:$B$804,$B755,$C$5:$C$804,$C755,$H$5:$H$804,$H755)&gt;1,"Takror",""))</f>
        <v/>
      </c>
      <c r="AH755" s="28" t="str">
        <f aca="false">IF(AND($B755&lt;&gt;"",$N755="Ha",$H755&lt;&gt;"",$H755&lt;=Boshqaruv!$C$12,OR($AE755="",$AE755&gt;Boshqaruv!$C$12)),MAX($AH$4:$AH754)+1,"")</f>
        <v/>
      </c>
    </row>
    <row r="756" customFormat="false" ht="15" hidden="false" customHeight="false" outlineLevel="0" collapsed="false">
      <c r="A756" s="20" t="n">
        <v>752</v>
      </c>
      <c r="B756" s="12"/>
      <c r="C756" s="13"/>
      <c r="D756" s="24"/>
      <c r="E756" s="12"/>
      <c r="F756" s="25"/>
      <c r="G756" s="27" t="str">
        <f aca="false">IF(OR($B756="",$C756=""),"",$B756&amp;" ("&amp;DAY($C756)&amp;"."&amp;MONTH($C756)&amp;"."&amp;YEAR($C756)&amp;")")</f>
        <v/>
      </c>
      <c r="H756" s="13"/>
      <c r="I756" s="13"/>
      <c r="J756" s="15" t="str">
        <f aca="false">IF($I756="","",$I756+280)</f>
        <v/>
      </c>
      <c r="K756" s="14" t="str">
        <f aca="false">IF(OR($I756="",$AE756&lt;&gt;""),"",INT((Boshqaruv!$C$12-$I756)/7))</f>
        <v/>
      </c>
      <c r="L756" s="14" t="str">
        <f aca="false">IF(OR($C756="",$H756=""),"",INT(($H756-$C756)/365.25))</f>
        <v/>
      </c>
      <c r="M756" s="14" t="str">
        <f aca="false">IF($L756="","",IF($L756&lt;18,"Ha","Yo'q"))</f>
        <v/>
      </c>
      <c r="N756" s="25"/>
      <c r="O756" s="25"/>
      <c r="P756" s="25"/>
      <c r="Q756" s="12"/>
      <c r="R756" s="25"/>
      <c r="S756" s="12"/>
      <c r="T756" s="13"/>
      <c r="U756" s="12"/>
      <c r="V756" s="25"/>
      <c r="W756" s="25"/>
      <c r="X756" s="14" t="str">
        <f aca="false">IF(OR($V756="",$W756=""),"",IF(AND($V756&gt;=Spravochnik!$H$5,$W756&gt;=Spravochnik!$H$6),"Ha","Yo'q"))</f>
        <v/>
      </c>
      <c r="Y756" s="13"/>
      <c r="Z756" s="13"/>
      <c r="AA756" s="13"/>
      <c r="AB756" s="13"/>
      <c r="AC756" s="14" t="str">
        <f aca="false">IF(AND($B756&lt;&gt;"",$AE756="",$AB756&lt;&gt;"",$AB756&lt;Boshqaruv!$C$12),"Ha","")</f>
        <v/>
      </c>
      <c r="AD756" s="25"/>
      <c r="AE756" s="13"/>
      <c r="AF756" s="12"/>
      <c r="AG756" s="14" t="str">
        <f aca="false">IF(OR($B756="",$C756="",$H756=""),"",IF(COUNTIFS($B$5:$B$804,$B756,$C$5:$C$804,$C756,$H$5:$H$804,$H756)&gt;1,"Takror",""))</f>
        <v/>
      </c>
      <c r="AH756" s="28" t="str">
        <f aca="false">IF(AND($B756&lt;&gt;"",$N756="Ha",$H756&lt;&gt;"",$H756&lt;=Boshqaruv!$C$12,OR($AE756="",$AE756&gt;Boshqaruv!$C$12)),MAX($AH$4:$AH755)+1,"")</f>
        <v/>
      </c>
    </row>
    <row r="757" customFormat="false" ht="15" hidden="false" customHeight="false" outlineLevel="0" collapsed="false">
      <c r="A757" s="20" t="n">
        <v>753</v>
      </c>
      <c r="B757" s="12"/>
      <c r="C757" s="13"/>
      <c r="D757" s="24"/>
      <c r="E757" s="12"/>
      <c r="F757" s="25"/>
      <c r="G757" s="27" t="str">
        <f aca="false">IF(OR($B757="",$C757=""),"",$B757&amp;" ("&amp;DAY($C757)&amp;"."&amp;MONTH($C757)&amp;"."&amp;YEAR($C757)&amp;")")</f>
        <v/>
      </c>
      <c r="H757" s="13"/>
      <c r="I757" s="13"/>
      <c r="J757" s="15" t="str">
        <f aca="false">IF($I757="","",$I757+280)</f>
        <v/>
      </c>
      <c r="K757" s="14" t="str">
        <f aca="false">IF(OR($I757="",$AE757&lt;&gt;""),"",INT((Boshqaruv!$C$12-$I757)/7))</f>
        <v/>
      </c>
      <c r="L757" s="14" t="str">
        <f aca="false">IF(OR($C757="",$H757=""),"",INT(($H757-$C757)/365.25))</f>
        <v/>
      </c>
      <c r="M757" s="14" t="str">
        <f aca="false">IF($L757="","",IF($L757&lt;18,"Ha","Yo'q"))</f>
        <v/>
      </c>
      <c r="N757" s="25"/>
      <c r="O757" s="25"/>
      <c r="P757" s="25"/>
      <c r="Q757" s="12"/>
      <c r="R757" s="25"/>
      <c r="S757" s="12"/>
      <c r="T757" s="13"/>
      <c r="U757" s="12"/>
      <c r="V757" s="25"/>
      <c r="W757" s="25"/>
      <c r="X757" s="14" t="str">
        <f aca="false">IF(OR($V757="",$W757=""),"",IF(AND($V757&gt;=Spravochnik!$H$5,$W757&gt;=Spravochnik!$H$6),"Ha","Yo'q"))</f>
        <v/>
      </c>
      <c r="Y757" s="13"/>
      <c r="Z757" s="13"/>
      <c r="AA757" s="13"/>
      <c r="AB757" s="13"/>
      <c r="AC757" s="14" t="str">
        <f aca="false">IF(AND($B757&lt;&gt;"",$AE757="",$AB757&lt;&gt;"",$AB757&lt;Boshqaruv!$C$12),"Ha","")</f>
        <v/>
      </c>
      <c r="AD757" s="25"/>
      <c r="AE757" s="13"/>
      <c r="AF757" s="12"/>
      <c r="AG757" s="14" t="str">
        <f aca="false">IF(OR($B757="",$C757="",$H757=""),"",IF(COUNTIFS($B$5:$B$804,$B757,$C$5:$C$804,$C757,$H$5:$H$804,$H757)&gt;1,"Takror",""))</f>
        <v/>
      </c>
      <c r="AH757" s="28" t="str">
        <f aca="false">IF(AND($B757&lt;&gt;"",$N757="Ha",$H757&lt;&gt;"",$H757&lt;=Boshqaruv!$C$12,OR($AE757="",$AE757&gt;Boshqaruv!$C$12)),MAX($AH$4:$AH756)+1,"")</f>
        <v/>
      </c>
    </row>
    <row r="758" customFormat="false" ht="15" hidden="false" customHeight="false" outlineLevel="0" collapsed="false">
      <c r="A758" s="20" t="n">
        <v>754</v>
      </c>
      <c r="B758" s="12"/>
      <c r="C758" s="13"/>
      <c r="D758" s="24"/>
      <c r="E758" s="12"/>
      <c r="F758" s="25"/>
      <c r="G758" s="27" t="str">
        <f aca="false">IF(OR($B758="",$C758=""),"",$B758&amp;" ("&amp;DAY($C758)&amp;"."&amp;MONTH($C758)&amp;"."&amp;YEAR($C758)&amp;")")</f>
        <v/>
      </c>
      <c r="H758" s="13"/>
      <c r="I758" s="13"/>
      <c r="J758" s="15" t="str">
        <f aca="false">IF($I758="","",$I758+280)</f>
        <v/>
      </c>
      <c r="K758" s="14" t="str">
        <f aca="false">IF(OR($I758="",$AE758&lt;&gt;""),"",INT((Boshqaruv!$C$12-$I758)/7))</f>
        <v/>
      </c>
      <c r="L758" s="14" t="str">
        <f aca="false">IF(OR($C758="",$H758=""),"",INT(($H758-$C758)/365.25))</f>
        <v/>
      </c>
      <c r="M758" s="14" t="str">
        <f aca="false">IF($L758="","",IF($L758&lt;18,"Ha","Yo'q"))</f>
        <v/>
      </c>
      <c r="N758" s="25"/>
      <c r="O758" s="25"/>
      <c r="P758" s="25"/>
      <c r="Q758" s="12"/>
      <c r="R758" s="25"/>
      <c r="S758" s="12"/>
      <c r="T758" s="13"/>
      <c r="U758" s="12"/>
      <c r="V758" s="25"/>
      <c r="W758" s="25"/>
      <c r="X758" s="14" t="str">
        <f aca="false">IF(OR($V758="",$W758=""),"",IF(AND($V758&gt;=Spravochnik!$H$5,$W758&gt;=Spravochnik!$H$6),"Ha","Yo'q"))</f>
        <v/>
      </c>
      <c r="Y758" s="13"/>
      <c r="Z758" s="13"/>
      <c r="AA758" s="13"/>
      <c r="AB758" s="13"/>
      <c r="AC758" s="14" t="str">
        <f aca="false">IF(AND($B758&lt;&gt;"",$AE758="",$AB758&lt;&gt;"",$AB758&lt;Boshqaruv!$C$12),"Ha","")</f>
        <v/>
      </c>
      <c r="AD758" s="25"/>
      <c r="AE758" s="13"/>
      <c r="AF758" s="12"/>
      <c r="AG758" s="14" t="str">
        <f aca="false">IF(OR($B758="",$C758="",$H758=""),"",IF(COUNTIFS($B$5:$B$804,$B758,$C$5:$C$804,$C758,$H$5:$H$804,$H758)&gt;1,"Takror",""))</f>
        <v/>
      </c>
      <c r="AH758" s="28" t="str">
        <f aca="false">IF(AND($B758&lt;&gt;"",$N758="Ha",$H758&lt;&gt;"",$H758&lt;=Boshqaruv!$C$12,OR($AE758="",$AE758&gt;Boshqaruv!$C$12)),MAX($AH$4:$AH757)+1,"")</f>
        <v/>
      </c>
    </row>
    <row r="759" customFormat="false" ht="15" hidden="false" customHeight="false" outlineLevel="0" collapsed="false">
      <c r="A759" s="20" t="n">
        <v>755</v>
      </c>
      <c r="B759" s="12"/>
      <c r="C759" s="13"/>
      <c r="D759" s="24"/>
      <c r="E759" s="12"/>
      <c r="F759" s="25"/>
      <c r="G759" s="27" t="str">
        <f aca="false">IF(OR($B759="",$C759=""),"",$B759&amp;" ("&amp;DAY($C759)&amp;"."&amp;MONTH($C759)&amp;"."&amp;YEAR($C759)&amp;")")</f>
        <v/>
      </c>
      <c r="H759" s="13"/>
      <c r="I759" s="13"/>
      <c r="J759" s="15" t="str">
        <f aca="false">IF($I759="","",$I759+280)</f>
        <v/>
      </c>
      <c r="K759" s="14" t="str">
        <f aca="false">IF(OR($I759="",$AE759&lt;&gt;""),"",INT((Boshqaruv!$C$12-$I759)/7))</f>
        <v/>
      </c>
      <c r="L759" s="14" t="str">
        <f aca="false">IF(OR($C759="",$H759=""),"",INT(($H759-$C759)/365.25))</f>
        <v/>
      </c>
      <c r="M759" s="14" t="str">
        <f aca="false">IF($L759="","",IF($L759&lt;18,"Ha","Yo'q"))</f>
        <v/>
      </c>
      <c r="N759" s="25"/>
      <c r="O759" s="25"/>
      <c r="P759" s="25"/>
      <c r="Q759" s="12"/>
      <c r="R759" s="25"/>
      <c r="S759" s="12"/>
      <c r="T759" s="13"/>
      <c r="U759" s="12"/>
      <c r="V759" s="25"/>
      <c r="W759" s="25"/>
      <c r="X759" s="14" t="str">
        <f aca="false">IF(OR($V759="",$W759=""),"",IF(AND($V759&gt;=Spravochnik!$H$5,$W759&gt;=Spravochnik!$H$6),"Ha","Yo'q"))</f>
        <v/>
      </c>
      <c r="Y759" s="13"/>
      <c r="Z759" s="13"/>
      <c r="AA759" s="13"/>
      <c r="AB759" s="13"/>
      <c r="AC759" s="14" t="str">
        <f aca="false">IF(AND($B759&lt;&gt;"",$AE759="",$AB759&lt;&gt;"",$AB759&lt;Boshqaruv!$C$12),"Ha","")</f>
        <v/>
      </c>
      <c r="AD759" s="25"/>
      <c r="AE759" s="13"/>
      <c r="AF759" s="12"/>
      <c r="AG759" s="14" t="str">
        <f aca="false">IF(OR($B759="",$C759="",$H759=""),"",IF(COUNTIFS($B$5:$B$804,$B759,$C$5:$C$804,$C759,$H$5:$H$804,$H759)&gt;1,"Takror",""))</f>
        <v/>
      </c>
      <c r="AH759" s="28" t="str">
        <f aca="false">IF(AND($B759&lt;&gt;"",$N759="Ha",$H759&lt;&gt;"",$H759&lt;=Boshqaruv!$C$12,OR($AE759="",$AE759&gt;Boshqaruv!$C$12)),MAX($AH$4:$AH758)+1,"")</f>
        <v/>
      </c>
    </row>
    <row r="760" customFormat="false" ht="15" hidden="false" customHeight="false" outlineLevel="0" collapsed="false">
      <c r="A760" s="20" t="n">
        <v>756</v>
      </c>
      <c r="B760" s="12"/>
      <c r="C760" s="13"/>
      <c r="D760" s="24"/>
      <c r="E760" s="12"/>
      <c r="F760" s="25"/>
      <c r="G760" s="27" t="str">
        <f aca="false">IF(OR($B760="",$C760=""),"",$B760&amp;" ("&amp;DAY($C760)&amp;"."&amp;MONTH($C760)&amp;"."&amp;YEAR($C760)&amp;")")</f>
        <v/>
      </c>
      <c r="H760" s="13"/>
      <c r="I760" s="13"/>
      <c r="J760" s="15" t="str">
        <f aca="false">IF($I760="","",$I760+280)</f>
        <v/>
      </c>
      <c r="K760" s="14" t="str">
        <f aca="false">IF(OR($I760="",$AE760&lt;&gt;""),"",INT((Boshqaruv!$C$12-$I760)/7))</f>
        <v/>
      </c>
      <c r="L760" s="14" t="str">
        <f aca="false">IF(OR($C760="",$H760=""),"",INT(($H760-$C760)/365.25))</f>
        <v/>
      </c>
      <c r="M760" s="14" t="str">
        <f aca="false">IF($L760="","",IF($L760&lt;18,"Ha","Yo'q"))</f>
        <v/>
      </c>
      <c r="N760" s="25"/>
      <c r="O760" s="25"/>
      <c r="P760" s="25"/>
      <c r="Q760" s="12"/>
      <c r="R760" s="25"/>
      <c r="S760" s="12"/>
      <c r="T760" s="13"/>
      <c r="U760" s="12"/>
      <c r="V760" s="25"/>
      <c r="W760" s="25"/>
      <c r="X760" s="14" t="str">
        <f aca="false">IF(OR($V760="",$W760=""),"",IF(AND($V760&gt;=Spravochnik!$H$5,$W760&gt;=Spravochnik!$H$6),"Ha","Yo'q"))</f>
        <v/>
      </c>
      <c r="Y760" s="13"/>
      <c r="Z760" s="13"/>
      <c r="AA760" s="13"/>
      <c r="AB760" s="13"/>
      <c r="AC760" s="14" t="str">
        <f aca="false">IF(AND($B760&lt;&gt;"",$AE760="",$AB760&lt;&gt;"",$AB760&lt;Boshqaruv!$C$12),"Ha","")</f>
        <v/>
      </c>
      <c r="AD760" s="25"/>
      <c r="AE760" s="13"/>
      <c r="AF760" s="12"/>
      <c r="AG760" s="14" t="str">
        <f aca="false">IF(OR($B760="",$C760="",$H760=""),"",IF(COUNTIFS($B$5:$B$804,$B760,$C$5:$C$804,$C760,$H$5:$H$804,$H760)&gt;1,"Takror",""))</f>
        <v/>
      </c>
      <c r="AH760" s="28" t="str">
        <f aca="false">IF(AND($B760&lt;&gt;"",$N760="Ha",$H760&lt;&gt;"",$H760&lt;=Boshqaruv!$C$12,OR($AE760="",$AE760&gt;Boshqaruv!$C$12)),MAX($AH$4:$AH759)+1,"")</f>
        <v/>
      </c>
    </row>
    <row r="761" customFormat="false" ht="15" hidden="false" customHeight="false" outlineLevel="0" collapsed="false">
      <c r="A761" s="20" t="n">
        <v>757</v>
      </c>
      <c r="B761" s="12"/>
      <c r="C761" s="13"/>
      <c r="D761" s="24"/>
      <c r="E761" s="12"/>
      <c r="F761" s="25"/>
      <c r="G761" s="27" t="str">
        <f aca="false">IF(OR($B761="",$C761=""),"",$B761&amp;" ("&amp;DAY($C761)&amp;"."&amp;MONTH($C761)&amp;"."&amp;YEAR($C761)&amp;")")</f>
        <v/>
      </c>
      <c r="H761" s="13"/>
      <c r="I761" s="13"/>
      <c r="J761" s="15" t="str">
        <f aca="false">IF($I761="","",$I761+280)</f>
        <v/>
      </c>
      <c r="K761" s="14" t="str">
        <f aca="false">IF(OR($I761="",$AE761&lt;&gt;""),"",INT((Boshqaruv!$C$12-$I761)/7))</f>
        <v/>
      </c>
      <c r="L761" s="14" t="str">
        <f aca="false">IF(OR($C761="",$H761=""),"",INT(($H761-$C761)/365.25))</f>
        <v/>
      </c>
      <c r="M761" s="14" t="str">
        <f aca="false">IF($L761="","",IF($L761&lt;18,"Ha","Yo'q"))</f>
        <v/>
      </c>
      <c r="N761" s="25"/>
      <c r="O761" s="25"/>
      <c r="P761" s="25"/>
      <c r="Q761" s="12"/>
      <c r="R761" s="25"/>
      <c r="S761" s="12"/>
      <c r="T761" s="13"/>
      <c r="U761" s="12"/>
      <c r="V761" s="25"/>
      <c r="W761" s="25"/>
      <c r="X761" s="14" t="str">
        <f aca="false">IF(OR($V761="",$W761=""),"",IF(AND($V761&gt;=Spravochnik!$H$5,$W761&gt;=Spravochnik!$H$6),"Ha","Yo'q"))</f>
        <v/>
      </c>
      <c r="Y761" s="13"/>
      <c r="Z761" s="13"/>
      <c r="AA761" s="13"/>
      <c r="AB761" s="13"/>
      <c r="AC761" s="14" t="str">
        <f aca="false">IF(AND($B761&lt;&gt;"",$AE761="",$AB761&lt;&gt;"",$AB761&lt;Boshqaruv!$C$12),"Ha","")</f>
        <v/>
      </c>
      <c r="AD761" s="25"/>
      <c r="AE761" s="13"/>
      <c r="AF761" s="12"/>
      <c r="AG761" s="14" t="str">
        <f aca="false">IF(OR($B761="",$C761="",$H761=""),"",IF(COUNTIFS($B$5:$B$804,$B761,$C$5:$C$804,$C761,$H$5:$H$804,$H761)&gt;1,"Takror",""))</f>
        <v/>
      </c>
      <c r="AH761" s="28" t="str">
        <f aca="false">IF(AND($B761&lt;&gt;"",$N761="Ha",$H761&lt;&gt;"",$H761&lt;=Boshqaruv!$C$12,OR($AE761="",$AE761&gt;Boshqaruv!$C$12)),MAX($AH$4:$AH760)+1,"")</f>
        <v/>
      </c>
    </row>
    <row r="762" customFormat="false" ht="15" hidden="false" customHeight="false" outlineLevel="0" collapsed="false">
      <c r="A762" s="20" t="n">
        <v>758</v>
      </c>
      <c r="B762" s="12"/>
      <c r="C762" s="13"/>
      <c r="D762" s="24"/>
      <c r="E762" s="12"/>
      <c r="F762" s="25"/>
      <c r="G762" s="27" t="str">
        <f aca="false">IF(OR($B762="",$C762=""),"",$B762&amp;" ("&amp;DAY($C762)&amp;"."&amp;MONTH($C762)&amp;"."&amp;YEAR($C762)&amp;")")</f>
        <v/>
      </c>
      <c r="H762" s="13"/>
      <c r="I762" s="13"/>
      <c r="J762" s="15" t="str">
        <f aca="false">IF($I762="","",$I762+280)</f>
        <v/>
      </c>
      <c r="K762" s="14" t="str">
        <f aca="false">IF(OR($I762="",$AE762&lt;&gt;""),"",INT((Boshqaruv!$C$12-$I762)/7))</f>
        <v/>
      </c>
      <c r="L762" s="14" t="str">
        <f aca="false">IF(OR($C762="",$H762=""),"",INT(($H762-$C762)/365.25))</f>
        <v/>
      </c>
      <c r="M762" s="14" t="str">
        <f aca="false">IF($L762="","",IF($L762&lt;18,"Ha","Yo'q"))</f>
        <v/>
      </c>
      <c r="N762" s="25"/>
      <c r="O762" s="25"/>
      <c r="P762" s="25"/>
      <c r="Q762" s="12"/>
      <c r="R762" s="25"/>
      <c r="S762" s="12"/>
      <c r="T762" s="13"/>
      <c r="U762" s="12"/>
      <c r="V762" s="25"/>
      <c r="W762" s="25"/>
      <c r="X762" s="14" t="str">
        <f aca="false">IF(OR($V762="",$W762=""),"",IF(AND($V762&gt;=Spravochnik!$H$5,$W762&gt;=Spravochnik!$H$6),"Ha","Yo'q"))</f>
        <v/>
      </c>
      <c r="Y762" s="13"/>
      <c r="Z762" s="13"/>
      <c r="AA762" s="13"/>
      <c r="AB762" s="13"/>
      <c r="AC762" s="14" t="str">
        <f aca="false">IF(AND($B762&lt;&gt;"",$AE762="",$AB762&lt;&gt;"",$AB762&lt;Boshqaruv!$C$12),"Ha","")</f>
        <v/>
      </c>
      <c r="AD762" s="25"/>
      <c r="AE762" s="13"/>
      <c r="AF762" s="12"/>
      <c r="AG762" s="14" t="str">
        <f aca="false">IF(OR($B762="",$C762="",$H762=""),"",IF(COUNTIFS($B$5:$B$804,$B762,$C$5:$C$804,$C762,$H$5:$H$804,$H762)&gt;1,"Takror",""))</f>
        <v/>
      </c>
      <c r="AH762" s="28" t="str">
        <f aca="false">IF(AND($B762&lt;&gt;"",$N762="Ha",$H762&lt;&gt;"",$H762&lt;=Boshqaruv!$C$12,OR($AE762="",$AE762&gt;Boshqaruv!$C$12)),MAX($AH$4:$AH761)+1,"")</f>
        <v/>
      </c>
    </row>
    <row r="763" customFormat="false" ht="15" hidden="false" customHeight="false" outlineLevel="0" collapsed="false">
      <c r="A763" s="20" t="n">
        <v>759</v>
      </c>
      <c r="B763" s="12"/>
      <c r="C763" s="13"/>
      <c r="D763" s="24"/>
      <c r="E763" s="12"/>
      <c r="F763" s="25"/>
      <c r="G763" s="27" t="str">
        <f aca="false">IF(OR($B763="",$C763=""),"",$B763&amp;" ("&amp;DAY($C763)&amp;"."&amp;MONTH($C763)&amp;"."&amp;YEAR($C763)&amp;")")</f>
        <v/>
      </c>
      <c r="H763" s="13"/>
      <c r="I763" s="13"/>
      <c r="J763" s="15" t="str">
        <f aca="false">IF($I763="","",$I763+280)</f>
        <v/>
      </c>
      <c r="K763" s="14" t="str">
        <f aca="false">IF(OR($I763="",$AE763&lt;&gt;""),"",INT((Boshqaruv!$C$12-$I763)/7))</f>
        <v/>
      </c>
      <c r="L763" s="14" t="str">
        <f aca="false">IF(OR($C763="",$H763=""),"",INT(($H763-$C763)/365.25))</f>
        <v/>
      </c>
      <c r="M763" s="14" t="str">
        <f aca="false">IF($L763="","",IF($L763&lt;18,"Ha","Yo'q"))</f>
        <v/>
      </c>
      <c r="N763" s="25"/>
      <c r="O763" s="25"/>
      <c r="P763" s="25"/>
      <c r="Q763" s="12"/>
      <c r="R763" s="25"/>
      <c r="S763" s="12"/>
      <c r="T763" s="13"/>
      <c r="U763" s="12"/>
      <c r="V763" s="25"/>
      <c r="W763" s="25"/>
      <c r="X763" s="14" t="str">
        <f aca="false">IF(OR($V763="",$W763=""),"",IF(AND($V763&gt;=Spravochnik!$H$5,$W763&gt;=Spravochnik!$H$6),"Ha","Yo'q"))</f>
        <v/>
      </c>
      <c r="Y763" s="13"/>
      <c r="Z763" s="13"/>
      <c r="AA763" s="13"/>
      <c r="AB763" s="13"/>
      <c r="AC763" s="14" t="str">
        <f aca="false">IF(AND($B763&lt;&gt;"",$AE763="",$AB763&lt;&gt;"",$AB763&lt;Boshqaruv!$C$12),"Ha","")</f>
        <v/>
      </c>
      <c r="AD763" s="25"/>
      <c r="AE763" s="13"/>
      <c r="AF763" s="12"/>
      <c r="AG763" s="14" t="str">
        <f aca="false">IF(OR($B763="",$C763="",$H763=""),"",IF(COUNTIFS($B$5:$B$804,$B763,$C$5:$C$804,$C763,$H$5:$H$804,$H763)&gt;1,"Takror",""))</f>
        <v/>
      </c>
      <c r="AH763" s="28" t="str">
        <f aca="false">IF(AND($B763&lt;&gt;"",$N763="Ha",$H763&lt;&gt;"",$H763&lt;=Boshqaruv!$C$12,OR($AE763="",$AE763&gt;Boshqaruv!$C$12)),MAX($AH$4:$AH762)+1,"")</f>
        <v/>
      </c>
    </row>
    <row r="764" customFormat="false" ht="15" hidden="false" customHeight="false" outlineLevel="0" collapsed="false">
      <c r="A764" s="20" t="n">
        <v>760</v>
      </c>
      <c r="B764" s="12"/>
      <c r="C764" s="13"/>
      <c r="D764" s="24"/>
      <c r="E764" s="12"/>
      <c r="F764" s="25"/>
      <c r="G764" s="27" t="str">
        <f aca="false">IF(OR($B764="",$C764=""),"",$B764&amp;" ("&amp;DAY($C764)&amp;"."&amp;MONTH($C764)&amp;"."&amp;YEAR($C764)&amp;")")</f>
        <v/>
      </c>
      <c r="H764" s="13"/>
      <c r="I764" s="13"/>
      <c r="J764" s="15" t="str">
        <f aca="false">IF($I764="","",$I764+280)</f>
        <v/>
      </c>
      <c r="K764" s="14" t="str">
        <f aca="false">IF(OR($I764="",$AE764&lt;&gt;""),"",INT((Boshqaruv!$C$12-$I764)/7))</f>
        <v/>
      </c>
      <c r="L764" s="14" t="str">
        <f aca="false">IF(OR($C764="",$H764=""),"",INT(($H764-$C764)/365.25))</f>
        <v/>
      </c>
      <c r="M764" s="14" t="str">
        <f aca="false">IF($L764="","",IF($L764&lt;18,"Ha","Yo'q"))</f>
        <v/>
      </c>
      <c r="N764" s="25"/>
      <c r="O764" s="25"/>
      <c r="P764" s="25"/>
      <c r="Q764" s="12"/>
      <c r="R764" s="25"/>
      <c r="S764" s="12"/>
      <c r="T764" s="13"/>
      <c r="U764" s="12"/>
      <c r="V764" s="25"/>
      <c r="W764" s="25"/>
      <c r="X764" s="14" t="str">
        <f aca="false">IF(OR($V764="",$W764=""),"",IF(AND($V764&gt;=Spravochnik!$H$5,$W764&gt;=Spravochnik!$H$6),"Ha","Yo'q"))</f>
        <v/>
      </c>
      <c r="Y764" s="13"/>
      <c r="Z764" s="13"/>
      <c r="AA764" s="13"/>
      <c r="AB764" s="13"/>
      <c r="AC764" s="14" t="str">
        <f aca="false">IF(AND($B764&lt;&gt;"",$AE764="",$AB764&lt;&gt;"",$AB764&lt;Boshqaruv!$C$12),"Ha","")</f>
        <v/>
      </c>
      <c r="AD764" s="25"/>
      <c r="AE764" s="13"/>
      <c r="AF764" s="12"/>
      <c r="AG764" s="14" t="str">
        <f aca="false">IF(OR($B764="",$C764="",$H764=""),"",IF(COUNTIFS($B$5:$B$804,$B764,$C$5:$C$804,$C764,$H$5:$H$804,$H764)&gt;1,"Takror",""))</f>
        <v/>
      </c>
      <c r="AH764" s="28" t="str">
        <f aca="false">IF(AND($B764&lt;&gt;"",$N764="Ha",$H764&lt;&gt;"",$H764&lt;=Boshqaruv!$C$12,OR($AE764="",$AE764&gt;Boshqaruv!$C$12)),MAX($AH$4:$AH763)+1,"")</f>
        <v/>
      </c>
    </row>
    <row r="765" customFormat="false" ht="15" hidden="false" customHeight="false" outlineLevel="0" collapsed="false">
      <c r="A765" s="20" t="n">
        <v>761</v>
      </c>
      <c r="B765" s="12"/>
      <c r="C765" s="13"/>
      <c r="D765" s="24"/>
      <c r="E765" s="12"/>
      <c r="F765" s="25"/>
      <c r="G765" s="27" t="str">
        <f aca="false">IF(OR($B765="",$C765=""),"",$B765&amp;" ("&amp;DAY($C765)&amp;"."&amp;MONTH($C765)&amp;"."&amp;YEAR($C765)&amp;")")</f>
        <v/>
      </c>
      <c r="H765" s="13"/>
      <c r="I765" s="13"/>
      <c r="J765" s="15" t="str">
        <f aca="false">IF($I765="","",$I765+280)</f>
        <v/>
      </c>
      <c r="K765" s="14" t="str">
        <f aca="false">IF(OR($I765="",$AE765&lt;&gt;""),"",INT((Boshqaruv!$C$12-$I765)/7))</f>
        <v/>
      </c>
      <c r="L765" s="14" t="str">
        <f aca="false">IF(OR($C765="",$H765=""),"",INT(($H765-$C765)/365.25))</f>
        <v/>
      </c>
      <c r="M765" s="14" t="str">
        <f aca="false">IF($L765="","",IF($L765&lt;18,"Ha","Yo'q"))</f>
        <v/>
      </c>
      <c r="N765" s="25"/>
      <c r="O765" s="25"/>
      <c r="P765" s="25"/>
      <c r="Q765" s="12"/>
      <c r="R765" s="25"/>
      <c r="S765" s="12"/>
      <c r="T765" s="13"/>
      <c r="U765" s="12"/>
      <c r="V765" s="25"/>
      <c r="W765" s="25"/>
      <c r="X765" s="14" t="str">
        <f aca="false">IF(OR($V765="",$W765=""),"",IF(AND($V765&gt;=Spravochnik!$H$5,$W765&gt;=Spravochnik!$H$6),"Ha","Yo'q"))</f>
        <v/>
      </c>
      <c r="Y765" s="13"/>
      <c r="Z765" s="13"/>
      <c r="AA765" s="13"/>
      <c r="AB765" s="13"/>
      <c r="AC765" s="14" t="str">
        <f aca="false">IF(AND($B765&lt;&gt;"",$AE765="",$AB765&lt;&gt;"",$AB765&lt;Boshqaruv!$C$12),"Ha","")</f>
        <v/>
      </c>
      <c r="AD765" s="25"/>
      <c r="AE765" s="13"/>
      <c r="AF765" s="12"/>
      <c r="AG765" s="14" t="str">
        <f aca="false">IF(OR($B765="",$C765="",$H765=""),"",IF(COUNTIFS($B$5:$B$804,$B765,$C$5:$C$804,$C765,$H$5:$H$804,$H765)&gt;1,"Takror",""))</f>
        <v/>
      </c>
      <c r="AH765" s="28" t="str">
        <f aca="false">IF(AND($B765&lt;&gt;"",$N765="Ha",$H765&lt;&gt;"",$H765&lt;=Boshqaruv!$C$12,OR($AE765="",$AE765&gt;Boshqaruv!$C$12)),MAX($AH$4:$AH764)+1,"")</f>
        <v/>
      </c>
    </row>
    <row r="766" customFormat="false" ht="15" hidden="false" customHeight="false" outlineLevel="0" collapsed="false">
      <c r="A766" s="20" t="n">
        <v>762</v>
      </c>
      <c r="B766" s="12"/>
      <c r="C766" s="13"/>
      <c r="D766" s="24"/>
      <c r="E766" s="12"/>
      <c r="F766" s="25"/>
      <c r="G766" s="27" t="str">
        <f aca="false">IF(OR($B766="",$C766=""),"",$B766&amp;" ("&amp;DAY($C766)&amp;"."&amp;MONTH($C766)&amp;"."&amp;YEAR($C766)&amp;")")</f>
        <v/>
      </c>
      <c r="H766" s="13"/>
      <c r="I766" s="13"/>
      <c r="J766" s="15" t="str">
        <f aca="false">IF($I766="","",$I766+280)</f>
        <v/>
      </c>
      <c r="K766" s="14" t="str">
        <f aca="false">IF(OR($I766="",$AE766&lt;&gt;""),"",INT((Boshqaruv!$C$12-$I766)/7))</f>
        <v/>
      </c>
      <c r="L766" s="14" t="str">
        <f aca="false">IF(OR($C766="",$H766=""),"",INT(($H766-$C766)/365.25))</f>
        <v/>
      </c>
      <c r="M766" s="14" t="str">
        <f aca="false">IF($L766="","",IF($L766&lt;18,"Ha","Yo'q"))</f>
        <v/>
      </c>
      <c r="N766" s="25"/>
      <c r="O766" s="25"/>
      <c r="P766" s="25"/>
      <c r="Q766" s="12"/>
      <c r="R766" s="25"/>
      <c r="S766" s="12"/>
      <c r="T766" s="13"/>
      <c r="U766" s="12"/>
      <c r="V766" s="25"/>
      <c r="W766" s="25"/>
      <c r="X766" s="14" t="str">
        <f aca="false">IF(OR($V766="",$W766=""),"",IF(AND($V766&gt;=Spravochnik!$H$5,$W766&gt;=Spravochnik!$H$6),"Ha","Yo'q"))</f>
        <v/>
      </c>
      <c r="Y766" s="13"/>
      <c r="Z766" s="13"/>
      <c r="AA766" s="13"/>
      <c r="AB766" s="13"/>
      <c r="AC766" s="14" t="str">
        <f aca="false">IF(AND($B766&lt;&gt;"",$AE766="",$AB766&lt;&gt;"",$AB766&lt;Boshqaruv!$C$12),"Ha","")</f>
        <v/>
      </c>
      <c r="AD766" s="25"/>
      <c r="AE766" s="13"/>
      <c r="AF766" s="12"/>
      <c r="AG766" s="14" t="str">
        <f aca="false">IF(OR($B766="",$C766="",$H766=""),"",IF(COUNTIFS($B$5:$B$804,$B766,$C$5:$C$804,$C766,$H$5:$H$804,$H766)&gt;1,"Takror",""))</f>
        <v/>
      </c>
      <c r="AH766" s="28" t="str">
        <f aca="false">IF(AND($B766&lt;&gt;"",$N766="Ha",$H766&lt;&gt;"",$H766&lt;=Boshqaruv!$C$12,OR($AE766="",$AE766&gt;Boshqaruv!$C$12)),MAX($AH$4:$AH765)+1,"")</f>
        <v/>
      </c>
    </row>
    <row r="767" customFormat="false" ht="15" hidden="false" customHeight="false" outlineLevel="0" collapsed="false">
      <c r="A767" s="20" t="n">
        <v>763</v>
      </c>
      <c r="B767" s="12"/>
      <c r="C767" s="13"/>
      <c r="D767" s="24"/>
      <c r="E767" s="12"/>
      <c r="F767" s="25"/>
      <c r="G767" s="27" t="str">
        <f aca="false">IF(OR($B767="",$C767=""),"",$B767&amp;" ("&amp;DAY($C767)&amp;"."&amp;MONTH($C767)&amp;"."&amp;YEAR($C767)&amp;")")</f>
        <v/>
      </c>
      <c r="H767" s="13"/>
      <c r="I767" s="13"/>
      <c r="J767" s="15" t="str">
        <f aca="false">IF($I767="","",$I767+280)</f>
        <v/>
      </c>
      <c r="K767" s="14" t="str">
        <f aca="false">IF(OR($I767="",$AE767&lt;&gt;""),"",INT((Boshqaruv!$C$12-$I767)/7))</f>
        <v/>
      </c>
      <c r="L767" s="14" t="str">
        <f aca="false">IF(OR($C767="",$H767=""),"",INT(($H767-$C767)/365.25))</f>
        <v/>
      </c>
      <c r="M767" s="14" t="str">
        <f aca="false">IF($L767="","",IF($L767&lt;18,"Ha","Yo'q"))</f>
        <v/>
      </c>
      <c r="N767" s="25"/>
      <c r="O767" s="25"/>
      <c r="P767" s="25"/>
      <c r="Q767" s="12"/>
      <c r="R767" s="25"/>
      <c r="S767" s="12"/>
      <c r="T767" s="13"/>
      <c r="U767" s="12"/>
      <c r="V767" s="25"/>
      <c r="W767" s="25"/>
      <c r="X767" s="14" t="str">
        <f aca="false">IF(OR($V767="",$W767=""),"",IF(AND($V767&gt;=Spravochnik!$H$5,$W767&gt;=Spravochnik!$H$6),"Ha","Yo'q"))</f>
        <v/>
      </c>
      <c r="Y767" s="13"/>
      <c r="Z767" s="13"/>
      <c r="AA767" s="13"/>
      <c r="AB767" s="13"/>
      <c r="AC767" s="14" t="str">
        <f aca="false">IF(AND($B767&lt;&gt;"",$AE767="",$AB767&lt;&gt;"",$AB767&lt;Boshqaruv!$C$12),"Ha","")</f>
        <v/>
      </c>
      <c r="AD767" s="25"/>
      <c r="AE767" s="13"/>
      <c r="AF767" s="12"/>
      <c r="AG767" s="14" t="str">
        <f aca="false">IF(OR($B767="",$C767="",$H767=""),"",IF(COUNTIFS($B$5:$B$804,$B767,$C$5:$C$804,$C767,$H$5:$H$804,$H767)&gt;1,"Takror",""))</f>
        <v/>
      </c>
      <c r="AH767" s="28" t="str">
        <f aca="false">IF(AND($B767&lt;&gt;"",$N767="Ha",$H767&lt;&gt;"",$H767&lt;=Boshqaruv!$C$12,OR($AE767="",$AE767&gt;Boshqaruv!$C$12)),MAX($AH$4:$AH766)+1,"")</f>
        <v/>
      </c>
    </row>
    <row r="768" customFormat="false" ht="15" hidden="false" customHeight="false" outlineLevel="0" collapsed="false">
      <c r="A768" s="20" t="n">
        <v>764</v>
      </c>
      <c r="B768" s="12"/>
      <c r="C768" s="13"/>
      <c r="D768" s="24"/>
      <c r="E768" s="12"/>
      <c r="F768" s="25"/>
      <c r="G768" s="27" t="str">
        <f aca="false">IF(OR($B768="",$C768=""),"",$B768&amp;" ("&amp;DAY($C768)&amp;"."&amp;MONTH($C768)&amp;"."&amp;YEAR($C768)&amp;")")</f>
        <v/>
      </c>
      <c r="H768" s="13"/>
      <c r="I768" s="13"/>
      <c r="J768" s="15" t="str">
        <f aca="false">IF($I768="","",$I768+280)</f>
        <v/>
      </c>
      <c r="K768" s="14" t="str">
        <f aca="false">IF(OR($I768="",$AE768&lt;&gt;""),"",INT((Boshqaruv!$C$12-$I768)/7))</f>
        <v/>
      </c>
      <c r="L768" s="14" t="str">
        <f aca="false">IF(OR($C768="",$H768=""),"",INT(($H768-$C768)/365.25))</f>
        <v/>
      </c>
      <c r="M768" s="14" t="str">
        <f aca="false">IF($L768="","",IF($L768&lt;18,"Ha","Yo'q"))</f>
        <v/>
      </c>
      <c r="N768" s="25"/>
      <c r="O768" s="25"/>
      <c r="P768" s="25"/>
      <c r="Q768" s="12"/>
      <c r="R768" s="25"/>
      <c r="S768" s="12"/>
      <c r="T768" s="13"/>
      <c r="U768" s="12"/>
      <c r="V768" s="25"/>
      <c r="W768" s="25"/>
      <c r="X768" s="14" t="str">
        <f aca="false">IF(OR($V768="",$W768=""),"",IF(AND($V768&gt;=Spravochnik!$H$5,$W768&gt;=Spravochnik!$H$6),"Ha","Yo'q"))</f>
        <v/>
      </c>
      <c r="Y768" s="13"/>
      <c r="Z768" s="13"/>
      <c r="AA768" s="13"/>
      <c r="AB768" s="13"/>
      <c r="AC768" s="14" t="str">
        <f aca="false">IF(AND($B768&lt;&gt;"",$AE768="",$AB768&lt;&gt;"",$AB768&lt;Boshqaruv!$C$12),"Ha","")</f>
        <v/>
      </c>
      <c r="AD768" s="25"/>
      <c r="AE768" s="13"/>
      <c r="AF768" s="12"/>
      <c r="AG768" s="14" t="str">
        <f aca="false">IF(OR($B768="",$C768="",$H768=""),"",IF(COUNTIFS($B$5:$B$804,$B768,$C$5:$C$804,$C768,$H$5:$H$804,$H768)&gt;1,"Takror",""))</f>
        <v/>
      </c>
      <c r="AH768" s="28" t="str">
        <f aca="false">IF(AND($B768&lt;&gt;"",$N768="Ha",$H768&lt;&gt;"",$H768&lt;=Boshqaruv!$C$12,OR($AE768="",$AE768&gt;Boshqaruv!$C$12)),MAX($AH$4:$AH767)+1,"")</f>
        <v/>
      </c>
    </row>
    <row r="769" customFormat="false" ht="15" hidden="false" customHeight="false" outlineLevel="0" collapsed="false">
      <c r="A769" s="20" t="n">
        <v>765</v>
      </c>
      <c r="B769" s="12"/>
      <c r="C769" s="13"/>
      <c r="D769" s="24"/>
      <c r="E769" s="12"/>
      <c r="F769" s="25"/>
      <c r="G769" s="27" t="str">
        <f aca="false">IF(OR($B769="",$C769=""),"",$B769&amp;" ("&amp;DAY($C769)&amp;"."&amp;MONTH($C769)&amp;"."&amp;YEAR($C769)&amp;")")</f>
        <v/>
      </c>
      <c r="H769" s="13"/>
      <c r="I769" s="13"/>
      <c r="J769" s="15" t="str">
        <f aca="false">IF($I769="","",$I769+280)</f>
        <v/>
      </c>
      <c r="K769" s="14" t="str">
        <f aca="false">IF(OR($I769="",$AE769&lt;&gt;""),"",INT((Boshqaruv!$C$12-$I769)/7))</f>
        <v/>
      </c>
      <c r="L769" s="14" t="str">
        <f aca="false">IF(OR($C769="",$H769=""),"",INT(($H769-$C769)/365.25))</f>
        <v/>
      </c>
      <c r="M769" s="14" t="str">
        <f aca="false">IF($L769="","",IF($L769&lt;18,"Ha","Yo'q"))</f>
        <v/>
      </c>
      <c r="N769" s="25"/>
      <c r="O769" s="25"/>
      <c r="P769" s="25"/>
      <c r="Q769" s="12"/>
      <c r="R769" s="25"/>
      <c r="S769" s="12"/>
      <c r="T769" s="13"/>
      <c r="U769" s="12"/>
      <c r="V769" s="25"/>
      <c r="W769" s="25"/>
      <c r="X769" s="14" t="str">
        <f aca="false">IF(OR($V769="",$W769=""),"",IF(AND($V769&gt;=Spravochnik!$H$5,$W769&gt;=Spravochnik!$H$6),"Ha","Yo'q"))</f>
        <v/>
      </c>
      <c r="Y769" s="13"/>
      <c r="Z769" s="13"/>
      <c r="AA769" s="13"/>
      <c r="AB769" s="13"/>
      <c r="AC769" s="14" t="str">
        <f aca="false">IF(AND($B769&lt;&gt;"",$AE769="",$AB769&lt;&gt;"",$AB769&lt;Boshqaruv!$C$12),"Ha","")</f>
        <v/>
      </c>
      <c r="AD769" s="25"/>
      <c r="AE769" s="13"/>
      <c r="AF769" s="12"/>
      <c r="AG769" s="14" t="str">
        <f aca="false">IF(OR($B769="",$C769="",$H769=""),"",IF(COUNTIFS($B$5:$B$804,$B769,$C$5:$C$804,$C769,$H$5:$H$804,$H769)&gt;1,"Takror",""))</f>
        <v/>
      </c>
      <c r="AH769" s="28" t="str">
        <f aca="false">IF(AND($B769&lt;&gt;"",$N769="Ha",$H769&lt;&gt;"",$H769&lt;=Boshqaruv!$C$12,OR($AE769="",$AE769&gt;Boshqaruv!$C$12)),MAX($AH$4:$AH768)+1,"")</f>
        <v/>
      </c>
    </row>
    <row r="770" customFormat="false" ht="15" hidden="false" customHeight="false" outlineLevel="0" collapsed="false">
      <c r="A770" s="20" t="n">
        <v>766</v>
      </c>
      <c r="B770" s="12"/>
      <c r="C770" s="13"/>
      <c r="D770" s="24"/>
      <c r="E770" s="12"/>
      <c r="F770" s="25"/>
      <c r="G770" s="27" t="str">
        <f aca="false">IF(OR($B770="",$C770=""),"",$B770&amp;" ("&amp;DAY($C770)&amp;"."&amp;MONTH($C770)&amp;"."&amp;YEAR($C770)&amp;")")</f>
        <v/>
      </c>
      <c r="H770" s="13"/>
      <c r="I770" s="13"/>
      <c r="J770" s="15" t="str">
        <f aca="false">IF($I770="","",$I770+280)</f>
        <v/>
      </c>
      <c r="K770" s="14" t="str">
        <f aca="false">IF(OR($I770="",$AE770&lt;&gt;""),"",INT((Boshqaruv!$C$12-$I770)/7))</f>
        <v/>
      </c>
      <c r="L770" s="14" t="str">
        <f aca="false">IF(OR($C770="",$H770=""),"",INT(($H770-$C770)/365.25))</f>
        <v/>
      </c>
      <c r="M770" s="14" t="str">
        <f aca="false">IF($L770="","",IF($L770&lt;18,"Ha","Yo'q"))</f>
        <v/>
      </c>
      <c r="N770" s="25"/>
      <c r="O770" s="25"/>
      <c r="P770" s="25"/>
      <c r="Q770" s="12"/>
      <c r="R770" s="25"/>
      <c r="S770" s="12"/>
      <c r="T770" s="13"/>
      <c r="U770" s="12"/>
      <c r="V770" s="25"/>
      <c r="W770" s="25"/>
      <c r="X770" s="14" t="str">
        <f aca="false">IF(OR($V770="",$W770=""),"",IF(AND($V770&gt;=Spravochnik!$H$5,$W770&gt;=Spravochnik!$H$6),"Ha","Yo'q"))</f>
        <v/>
      </c>
      <c r="Y770" s="13"/>
      <c r="Z770" s="13"/>
      <c r="AA770" s="13"/>
      <c r="AB770" s="13"/>
      <c r="AC770" s="14" t="str">
        <f aca="false">IF(AND($B770&lt;&gt;"",$AE770="",$AB770&lt;&gt;"",$AB770&lt;Boshqaruv!$C$12),"Ha","")</f>
        <v/>
      </c>
      <c r="AD770" s="25"/>
      <c r="AE770" s="13"/>
      <c r="AF770" s="12"/>
      <c r="AG770" s="14" t="str">
        <f aca="false">IF(OR($B770="",$C770="",$H770=""),"",IF(COUNTIFS($B$5:$B$804,$B770,$C$5:$C$804,$C770,$H$5:$H$804,$H770)&gt;1,"Takror",""))</f>
        <v/>
      </c>
      <c r="AH770" s="28" t="str">
        <f aca="false">IF(AND($B770&lt;&gt;"",$N770="Ha",$H770&lt;&gt;"",$H770&lt;=Boshqaruv!$C$12,OR($AE770="",$AE770&gt;Boshqaruv!$C$12)),MAX($AH$4:$AH769)+1,"")</f>
        <v/>
      </c>
    </row>
    <row r="771" customFormat="false" ht="15" hidden="false" customHeight="false" outlineLevel="0" collapsed="false">
      <c r="A771" s="20" t="n">
        <v>767</v>
      </c>
      <c r="B771" s="12"/>
      <c r="C771" s="13"/>
      <c r="D771" s="24"/>
      <c r="E771" s="12"/>
      <c r="F771" s="25"/>
      <c r="G771" s="27" t="str">
        <f aca="false">IF(OR($B771="",$C771=""),"",$B771&amp;" ("&amp;DAY($C771)&amp;"."&amp;MONTH($C771)&amp;"."&amp;YEAR($C771)&amp;")")</f>
        <v/>
      </c>
      <c r="H771" s="13"/>
      <c r="I771" s="13"/>
      <c r="J771" s="15" t="str">
        <f aca="false">IF($I771="","",$I771+280)</f>
        <v/>
      </c>
      <c r="K771" s="14" t="str">
        <f aca="false">IF(OR($I771="",$AE771&lt;&gt;""),"",INT((Boshqaruv!$C$12-$I771)/7))</f>
        <v/>
      </c>
      <c r="L771" s="14" t="str">
        <f aca="false">IF(OR($C771="",$H771=""),"",INT(($H771-$C771)/365.25))</f>
        <v/>
      </c>
      <c r="M771" s="14" t="str">
        <f aca="false">IF($L771="","",IF($L771&lt;18,"Ha","Yo'q"))</f>
        <v/>
      </c>
      <c r="N771" s="25"/>
      <c r="O771" s="25"/>
      <c r="P771" s="25"/>
      <c r="Q771" s="12"/>
      <c r="R771" s="25"/>
      <c r="S771" s="12"/>
      <c r="T771" s="13"/>
      <c r="U771" s="12"/>
      <c r="V771" s="25"/>
      <c r="W771" s="25"/>
      <c r="X771" s="14" t="str">
        <f aca="false">IF(OR($V771="",$W771=""),"",IF(AND($V771&gt;=Spravochnik!$H$5,$W771&gt;=Spravochnik!$H$6),"Ha","Yo'q"))</f>
        <v/>
      </c>
      <c r="Y771" s="13"/>
      <c r="Z771" s="13"/>
      <c r="AA771" s="13"/>
      <c r="AB771" s="13"/>
      <c r="AC771" s="14" t="str">
        <f aca="false">IF(AND($B771&lt;&gt;"",$AE771="",$AB771&lt;&gt;"",$AB771&lt;Boshqaruv!$C$12),"Ha","")</f>
        <v/>
      </c>
      <c r="AD771" s="25"/>
      <c r="AE771" s="13"/>
      <c r="AF771" s="12"/>
      <c r="AG771" s="14" t="str">
        <f aca="false">IF(OR($B771="",$C771="",$H771=""),"",IF(COUNTIFS($B$5:$B$804,$B771,$C$5:$C$804,$C771,$H$5:$H$804,$H771)&gt;1,"Takror",""))</f>
        <v/>
      </c>
      <c r="AH771" s="28" t="str">
        <f aca="false">IF(AND($B771&lt;&gt;"",$N771="Ha",$H771&lt;&gt;"",$H771&lt;=Boshqaruv!$C$12,OR($AE771="",$AE771&gt;Boshqaruv!$C$12)),MAX($AH$4:$AH770)+1,"")</f>
        <v/>
      </c>
    </row>
    <row r="772" customFormat="false" ht="15" hidden="false" customHeight="false" outlineLevel="0" collapsed="false">
      <c r="A772" s="20" t="n">
        <v>768</v>
      </c>
      <c r="B772" s="12"/>
      <c r="C772" s="13"/>
      <c r="D772" s="24"/>
      <c r="E772" s="12"/>
      <c r="F772" s="25"/>
      <c r="G772" s="27" t="str">
        <f aca="false">IF(OR($B772="",$C772=""),"",$B772&amp;" ("&amp;DAY($C772)&amp;"."&amp;MONTH($C772)&amp;"."&amp;YEAR($C772)&amp;")")</f>
        <v/>
      </c>
      <c r="H772" s="13"/>
      <c r="I772" s="13"/>
      <c r="J772" s="15" t="str">
        <f aca="false">IF($I772="","",$I772+280)</f>
        <v/>
      </c>
      <c r="K772" s="14" t="str">
        <f aca="false">IF(OR($I772="",$AE772&lt;&gt;""),"",INT((Boshqaruv!$C$12-$I772)/7))</f>
        <v/>
      </c>
      <c r="L772" s="14" t="str">
        <f aca="false">IF(OR($C772="",$H772=""),"",INT(($H772-$C772)/365.25))</f>
        <v/>
      </c>
      <c r="M772" s="14" t="str">
        <f aca="false">IF($L772="","",IF($L772&lt;18,"Ha","Yo'q"))</f>
        <v/>
      </c>
      <c r="N772" s="25"/>
      <c r="O772" s="25"/>
      <c r="P772" s="25"/>
      <c r="Q772" s="12"/>
      <c r="R772" s="25"/>
      <c r="S772" s="12"/>
      <c r="T772" s="13"/>
      <c r="U772" s="12"/>
      <c r="V772" s="25"/>
      <c r="W772" s="25"/>
      <c r="X772" s="14" t="str">
        <f aca="false">IF(OR($V772="",$W772=""),"",IF(AND($V772&gt;=Spravochnik!$H$5,$W772&gt;=Spravochnik!$H$6),"Ha","Yo'q"))</f>
        <v/>
      </c>
      <c r="Y772" s="13"/>
      <c r="Z772" s="13"/>
      <c r="AA772" s="13"/>
      <c r="AB772" s="13"/>
      <c r="AC772" s="14" t="str">
        <f aca="false">IF(AND($B772&lt;&gt;"",$AE772="",$AB772&lt;&gt;"",$AB772&lt;Boshqaruv!$C$12),"Ha","")</f>
        <v/>
      </c>
      <c r="AD772" s="25"/>
      <c r="AE772" s="13"/>
      <c r="AF772" s="12"/>
      <c r="AG772" s="14" t="str">
        <f aca="false">IF(OR($B772="",$C772="",$H772=""),"",IF(COUNTIFS($B$5:$B$804,$B772,$C$5:$C$804,$C772,$H$5:$H$804,$H772)&gt;1,"Takror",""))</f>
        <v/>
      </c>
      <c r="AH772" s="28" t="str">
        <f aca="false">IF(AND($B772&lt;&gt;"",$N772="Ha",$H772&lt;&gt;"",$H772&lt;=Boshqaruv!$C$12,OR($AE772="",$AE772&gt;Boshqaruv!$C$12)),MAX($AH$4:$AH771)+1,"")</f>
        <v/>
      </c>
    </row>
    <row r="773" customFormat="false" ht="15" hidden="false" customHeight="false" outlineLevel="0" collapsed="false">
      <c r="A773" s="20" t="n">
        <v>769</v>
      </c>
      <c r="B773" s="12"/>
      <c r="C773" s="13"/>
      <c r="D773" s="24"/>
      <c r="E773" s="12"/>
      <c r="F773" s="25"/>
      <c r="G773" s="27" t="str">
        <f aca="false">IF(OR($B773="",$C773=""),"",$B773&amp;" ("&amp;DAY($C773)&amp;"."&amp;MONTH($C773)&amp;"."&amp;YEAR($C773)&amp;")")</f>
        <v/>
      </c>
      <c r="H773" s="13"/>
      <c r="I773" s="13"/>
      <c r="J773" s="15" t="str">
        <f aca="false">IF($I773="","",$I773+280)</f>
        <v/>
      </c>
      <c r="K773" s="14" t="str">
        <f aca="false">IF(OR($I773="",$AE773&lt;&gt;""),"",INT((Boshqaruv!$C$12-$I773)/7))</f>
        <v/>
      </c>
      <c r="L773" s="14" t="str">
        <f aca="false">IF(OR($C773="",$H773=""),"",INT(($H773-$C773)/365.25))</f>
        <v/>
      </c>
      <c r="M773" s="14" t="str">
        <f aca="false">IF($L773="","",IF($L773&lt;18,"Ha","Yo'q"))</f>
        <v/>
      </c>
      <c r="N773" s="25"/>
      <c r="O773" s="25"/>
      <c r="P773" s="25"/>
      <c r="Q773" s="12"/>
      <c r="R773" s="25"/>
      <c r="S773" s="12"/>
      <c r="T773" s="13"/>
      <c r="U773" s="12"/>
      <c r="V773" s="25"/>
      <c r="W773" s="25"/>
      <c r="X773" s="14" t="str">
        <f aca="false">IF(OR($V773="",$W773=""),"",IF(AND($V773&gt;=Spravochnik!$H$5,$W773&gt;=Spravochnik!$H$6),"Ha","Yo'q"))</f>
        <v/>
      </c>
      <c r="Y773" s="13"/>
      <c r="Z773" s="13"/>
      <c r="AA773" s="13"/>
      <c r="AB773" s="13"/>
      <c r="AC773" s="14" t="str">
        <f aca="false">IF(AND($B773&lt;&gt;"",$AE773="",$AB773&lt;&gt;"",$AB773&lt;Boshqaruv!$C$12),"Ha","")</f>
        <v/>
      </c>
      <c r="AD773" s="25"/>
      <c r="AE773" s="13"/>
      <c r="AF773" s="12"/>
      <c r="AG773" s="14" t="str">
        <f aca="false">IF(OR($B773="",$C773="",$H773=""),"",IF(COUNTIFS($B$5:$B$804,$B773,$C$5:$C$804,$C773,$H$5:$H$804,$H773)&gt;1,"Takror",""))</f>
        <v/>
      </c>
      <c r="AH773" s="28" t="str">
        <f aca="false">IF(AND($B773&lt;&gt;"",$N773="Ha",$H773&lt;&gt;"",$H773&lt;=Boshqaruv!$C$12,OR($AE773="",$AE773&gt;Boshqaruv!$C$12)),MAX($AH$4:$AH772)+1,"")</f>
        <v/>
      </c>
    </row>
    <row r="774" customFormat="false" ht="15" hidden="false" customHeight="false" outlineLevel="0" collapsed="false">
      <c r="A774" s="20" t="n">
        <v>770</v>
      </c>
      <c r="B774" s="12"/>
      <c r="C774" s="13"/>
      <c r="D774" s="24"/>
      <c r="E774" s="12"/>
      <c r="F774" s="25"/>
      <c r="G774" s="27" t="str">
        <f aca="false">IF(OR($B774="",$C774=""),"",$B774&amp;" ("&amp;DAY($C774)&amp;"."&amp;MONTH($C774)&amp;"."&amp;YEAR($C774)&amp;")")</f>
        <v/>
      </c>
      <c r="H774" s="13"/>
      <c r="I774" s="13"/>
      <c r="J774" s="15" t="str">
        <f aca="false">IF($I774="","",$I774+280)</f>
        <v/>
      </c>
      <c r="K774" s="14" t="str">
        <f aca="false">IF(OR($I774="",$AE774&lt;&gt;""),"",INT((Boshqaruv!$C$12-$I774)/7))</f>
        <v/>
      </c>
      <c r="L774" s="14" t="str">
        <f aca="false">IF(OR($C774="",$H774=""),"",INT(($H774-$C774)/365.25))</f>
        <v/>
      </c>
      <c r="M774" s="14" t="str">
        <f aca="false">IF($L774="","",IF($L774&lt;18,"Ha","Yo'q"))</f>
        <v/>
      </c>
      <c r="N774" s="25"/>
      <c r="O774" s="25"/>
      <c r="P774" s="25"/>
      <c r="Q774" s="12"/>
      <c r="R774" s="25"/>
      <c r="S774" s="12"/>
      <c r="T774" s="13"/>
      <c r="U774" s="12"/>
      <c r="V774" s="25"/>
      <c r="W774" s="25"/>
      <c r="X774" s="14" t="str">
        <f aca="false">IF(OR($V774="",$W774=""),"",IF(AND($V774&gt;=Spravochnik!$H$5,$W774&gt;=Spravochnik!$H$6),"Ha","Yo'q"))</f>
        <v/>
      </c>
      <c r="Y774" s="13"/>
      <c r="Z774" s="13"/>
      <c r="AA774" s="13"/>
      <c r="AB774" s="13"/>
      <c r="AC774" s="14" t="str">
        <f aca="false">IF(AND($B774&lt;&gt;"",$AE774="",$AB774&lt;&gt;"",$AB774&lt;Boshqaruv!$C$12),"Ha","")</f>
        <v/>
      </c>
      <c r="AD774" s="25"/>
      <c r="AE774" s="13"/>
      <c r="AF774" s="12"/>
      <c r="AG774" s="14" t="str">
        <f aca="false">IF(OR($B774="",$C774="",$H774=""),"",IF(COUNTIFS($B$5:$B$804,$B774,$C$5:$C$804,$C774,$H$5:$H$804,$H774)&gt;1,"Takror",""))</f>
        <v/>
      </c>
      <c r="AH774" s="28" t="str">
        <f aca="false">IF(AND($B774&lt;&gt;"",$N774="Ha",$H774&lt;&gt;"",$H774&lt;=Boshqaruv!$C$12,OR($AE774="",$AE774&gt;Boshqaruv!$C$12)),MAX($AH$4:$AH773)+1,"")</f>
        <v/>
      </c>
    </row>
    <row r="775" customFormat="false" ht="15" hidden="false" customHeight="false" outlineLevel="0" collapsed="false">
      <c r="A775" s="20" t="n">
        <v>771</v>
      </c>
      <c r="B775" s="12"/>
      <c r="C775" s="13"/>
      <c r="D775" s="24"/>
      <c r="E775" s="12"/>
      <c r="F775" s="25"/>
      <c r="G775" s="27" t="str">
        <f aca="false">IF(OR($B775="",$C775=""),"",$B775&amp;" ("&amp;DAY($C775)&amp;"."&amp;MONTH($C775)&amp;"."&amp;YEAR($C775)&amp;")")</f>
        <v/>
      </c>
      <c r="H775" s="13"/>
      <c r="I775" s="13"/>
      <c r="J775" s="15" t="str">
        <f aca="false">IF($I775="","",$I775+280)</f>
        <v/>
      </c>
      <c r="K775" s="14" t="str">
        <f aca="false">IF(OR($I775="",$AE775&lt;&gt;""),"",INT((Boshqaruv!$C$12-$I775)/7))</f>
        <v/>
      </c>
      <c r="L775" s="14" t="str">
        <f aca="false">IF(OR($C775="",$H775=""),"",INT(($H775-$C775)/365.25))</f>
        <v/>
      </c>
      <c r="M775" s="14" t="str">
        <f aca="false">IF($L775="","",IF($L775&lt;18,"Ha","Yo'q"))</f>
        <v/>
      </c>
      <c r="N775" s="25"/>
      <c r="O775" s="25"/>
      <c r="P775" s="25"/>
      <c r="Q775" s="12"/>
      <c r="R775" s="25"/>
      <c r="S775" s="12"/>
      <c r="T775" s="13"/>
      <c r="U775" s="12"/>
      <c r="V775" s="25"/>
      <c r="W775" s="25"/>
      <c r="X775" s="14" t="str">
        <f aca="false">IF(OR($V775="",$W775=""),"",IF(AND($V775&gt;=Spravochnik!$H$5,$W775&gt;=Spravochnik!$H$6),"Ha","Yo'q"))</f>
        <v/>
      </c>
      <c r="Y775" s="13"/>
      <c r="Z775" s="13"/>
      <c r="AA775" s="13"/>
      <c r="AB775" s="13"/>
      <c r="AC775" s="14" t="str">
        <f aca="false">IF(AND($B775&lt;&gt;"",$AE775="",$AB775&lt;&gt;"",$AB775&lt;Boshqaruv!$C$12),"Ha","")</f>
        <v/>
      </c>
      <c r="AD775" s="25"/>
      <c r="AE775" s="13"/>
      <c r="AF775" s="12"/>
      <c r="AG775" s="14" t="str">
        <f aca="false">IF(OR($B775="",$C775="",$H775=""),"",IF(COUNTIFS($B$5:$B$804,$B775,$C$5:$C$804,$C775,$H$5:$H$804,$H775)&gt;1,"Takror",""))</f>
        <v/>
      </c>
      <c r="AH775" s="28" t="str">
        <f aca="false">IF(AND($B775&lt;&gt;"",$N775="Ha",$H775&lt;&gt;"",$H775&lt;=Boshqaruv!$C$12,OR($AE775="",$AE775&gt;Boshqaruv!$C$12)),MAX($AH$4:$AH774)+1,"")</f>
        <v/>
      </c>
    </row>
    <row r="776" customFormat="false" ht="15" hidden="false" customHeight="false" outlineLevel="0" collapsed="false">
      <c r="A776" s="20" t="n">
        <v>772</v>
      </c>
      <c r="B776" s="12"/>
      <c r="C776" s="13"/>
      <c r="D776" s="24"/>
      <c r="E776" s="12"/>
      <c r="F776" s="25"/>
      <c r="G776" s="27" t="str">
        <f aca="false">IF(OR($B776="",$C776=""),"",$B776&amp;" ("&amp;DAY($C776)&amp;"."&amp;MONTH($C776)&amp;"."&amp;YEAR($C776)&amp;")")</f>
        <v/>
      </c>
      <c r="H776" s="13"/>
      <c r="I776" s="13"/>
      <c r="J776" s="15" t="str">
        <f aca="false">IF($I776="","",$I776+280)</f>
        <v/>
      </c>
      <c r="K776" s="14" t="str">
        <f aca="false">IF(OR($I776="",$AE776&lt;&gt;""),"",INT((Boshqaruv!$C$12-$I776)/7))</f>
        <v/>
      </c>
      <c r="L776" s="14" t="str">
        <f aca="false">IF(OR($C776="",$H776=""),"",INT(($H776-$C776)/365.25))</f>
        <v/>
      </c>
      <c r="M776" s="14" t="str">
        <f aca="false">IF($L776="","",IF($L776&lt;18,"Ha","Yo'q"))</f>
        <v/>
      </c>
      <c r="N776" s="25"/>
      <c r="O776" s="25"/>
      <c r="P776" s="25"/>
      <c r="Q776" s="12"/>
      <c r="R776" s="25"/>
      <c r="S776" s="12"/>
      <c r="T776" s="13"/>
      <c r="U776" s="12"/>
      <c r="V776" s="25"/>
      <c r="W776" s="25"/>
      <c r="X776" s="14" t="str">
        <f aca="false">IF(OR($V776="",$W776=""),"",IF(AND($V776&gt;=Spravochnik!$H$5,$W776&gt;=Spravochnik!$H$6),"Ha","Yo'q"))</f>
        <v/>
      </c>
      <c r="Y776" s="13"/>
      <c r="Z776" s="13"/>
      <c r="AA776" s="13"/>
      <c r="AB776" s="13"/>
      <c r="AC776" s="14" t="str">
        <f aca="false">IF(AND($B776&lt;&gt;"",$AE776="",$AB776&lt;&gt;"",$AB776&lt;Boshqaruv!$C$12),"Ha","")</f>
        <v/>
      </c>
      <c r="AD776" s="25"/>
      <c r="AE776" s="13"/>
      <c r="AF776" s="12"/>
      <c r="AG776" s="14" t="str">
        <f aca="false">IF(OR($B776="",$C776="",$H776=""),"",IF(COUNTIFS($B$5:$B$804,$B776,$C$5:$C$804,$C776,$H$5:$H$804,$H776)&gt;1,"Takror",""))</f>
        <v/>
      </c>
      <c r="AH776" s="28" t="str">
        <f aca="false">IF(AND($B776&lt;&gt;"",$N776="Ha",$H776&lt;&gt;"",$H776&lt;=Boshqaruv!$C$12,OR($AE776="",$AE776&gt;Boshqaruv!$C$12)),MAX($AH$4:$AH775)+1,"")</f>
        <v/>
      </c>
    </row>
    <row r="777" customFormat="false" ht="15" hidden="false" customHeight="false" outlineLevel="0" collapsed="false">
      <c r="A777" s="20" t="n">
        <v>773</v>
      </c>
      <c r="B777" s="12"/>
      <c r="C777" s="13"/>
      <c r="D777" s="24"/>
      <c r="E777" s="12"/>
      <c r="F777" s="25"/>
      <c r="G777" s="27" t="str">
        <f aca="false">IF(OR($B777="",$C777=""),"",$B777&amp;" ("&amp;DAY($C777)&amp;"."&amp;MONTH($C777)&amp;"."&amp;YEAR($C777)&amp;")")</f>
        <v/>
      </c>
      <c r="H777" s="13"/>
      <c r="I777" s="13"/>
      <c r="J777" s="15" t="str">
        <f aca="false">IF($I777="","",$I777+280)</f>
        <v/>
      </c>
      <c r="K777" s="14" t="str">
        <f aca="false">IF(OR($I777="",$AE777&lt;&gt;""),"",INT((Boshqaruv!$C$12-$I777)/7))</f>
        <v/>
      </c>
      <c r="L777" s="14" t="str">
        <f aca="false">IF(OR($C777="",$H777=""),"",INT(($H777-$C777)/365.25))</f>
        <v/>
      </c>
      <c r="M777" s="14" t="str">
        <f aca="false">IF($L777="","",IF($L777&lt;18,"Ha","Yo'q"))</f>
        <v/>
      </c>
      <c r="N777" s="25"/>
      <c r="O777" s="25"/>
      <c r="P777" s="25"/>
      <c r="Q777" s="12"/>
      <c r="R777" s="25"/>
      <c r="S777" s="12"/>
      <c r="T777" s="13"/>
      <c r="U777" s="12"/>
      <c r="V777" s="25"/>
      <c r="W777" s="25"/>
      <c r="X777" s="14" t="str">
        <f aca="false">IF(OR($V777="",$W777=""),"",IF(AND($V777&gt;=Spravochnik!$H$5,$W777&gt;=Spravochnik!$H$6),"Ha","Yo'q"))</f>
        <v/>
      </c>
      <c r="Y777" s="13"/>
      <c r="Z777" s="13"/>
      <c r="AA777" s="13"/>
      <c r="AB777" s="13"/>
      <c r="AC777" s="14" t="str">
        <f aca="false">IF(AND($B777&lt;&gt;"",$AE777="",$AB777&lt;&gt;"",$AB777&lt;Boshqaruv!$C$12),"Ha","")</f>
        <v/>
      </c>
      <c r="AD777" s="25"/>
      <c r="AE777" s="13"/>
      <c r="AF777" s="12"/>
      <c r="AG777" s="14" t="str">
        <f aca="false">IF(OR($B777="",$C777="",$H777=""),"",IF(COUNTIFS($B$5:$B$804,$B777,$C$5:$C$804,$C777,$H$5:$H$804,$H777)&gt;1,"Takror",""))</f>
        <v/>
      </c>
      <c r="AH777" s="28" t="str">
        <f aca="false">IF(AND($B777&lt;&gt;"",$N777="Ha",$H777&lt;&gt;"",$H777&lt;=Boshqaruv!$C$12,OR($AE777="",$AE777&gt;Boshqaruv!$C$12)),MAX($AH$4:$AH776)+1,"")</f>
        <v/>
      </c>
    </row>
    <row r="778" customFormat="false" ht="15" hidden="false" customHeight="false" outlineLevel="0" collapsed="false">
      <c r="A778" s="20" t="n">
        <v>774</v>
      </c>
      <c r="B778" s="12"/>
      <c r="C778" s="13"/>
      <c r="D778" s="24"/>
      <c r="E778" s="12"/>
      <c r="F778" s="25"/>
      <c r="G778" s="27" t="str">
        <f aca="false">IF(OR($B778="",$C778=""),"",$B778&amp;" ("&amp;DAY($C778)&amp;"."&amp;MONTH($C778)&amp;"."&amp;YEAR($C778)&amp;")")</f>
        <v/>
      </c>
      <c r="H778" s="13"/>
      <c r="I778" s="13"/>
      <c r="J778" s="15" t="str">
        <f aca="false">IF($I778="","",$I778+280)</f>
        <v/>
      </c>
      <c r="K778" s="14" t="str">
        <f aca="false">IF(OR($I778="",$AE778&lt;&gt;""),"",INT((Boshqaruv!$C$12-$I778)/7))</f>
        <v/>
      </c>
      <c r="L778" s="14" t="str">
        <f aca="false">IF(OR($C778="",$H778=""),"",INT(($H778-$C778)/365.25))</f>
        <v/>
      </c>
      <c r="M778" s="14" t="str">
        <f aca="false">IF($L778="","",IF($L778&lt;18,"Ha","Yo'q"))</f>
        <v/>
      </c>
      <c r="N778" s="25"/>
      <c r="O778" s="25"/>
      <c r="P778" s="25"/>
      <c r="Q778" s="12"/>
      <c r="R778" s="25"/>
      <c r="S778" s="12"/>
      <c r="T778" s="13"/>
      <c r="U778" s="12"/>
      <c r="V778" s="25"/>
      <c r="W778" s="25"/>
      <c r="X778" s="14" t="str">
        <f aca="false">IF(OR($V778="",$W778=""),"",IF(AND($V778&gt;=Spravochnik!$H$5,$W778&gt;=Spravochnik!$H$6),"Ha","Yo'q"))</f>
        <v/>
      </c>
      <c r="Y778" s="13"/>
      <c r="Z778" s="13"/>
      <c r="AA778" s="13"/>
      <c r="AB778" s="13"/>
      <c r="AC778" s="14" t="str">
        <f aca="false">IF(AND($B778&lt;&gt;"",$AE778="",$AB778&lt;&gt;"",$AB778&lt;Boshqaruv!$C$12),"Ha","")</f>
        <v/>
      </c>
      <c r="AD778" s="25"/>
      <c r="AE778" s="13"/>
      <c r="AF778" s="12"/>
      <c r="AG778" s="14" t="str">
        <f aca="false">IF(OR($B778="",$C778="",$H778=""),"",IF(COUNTIFS($B$5:$B$804,$B778,$C$5:$C$804,$C778,$H$5:$H$804,$H778)&gt;1,"Takror",""))</f>
        <v/>
      </c>
      <c r="AH778" s="28" t="str">
        <f aca="false">IF(AND($B778&lt;&gt;"",$N778="Ha",$H778&lt;&gt;"",$H778&lt;=Boshqaruv!$C$12,OR($AE778="",$AE778&gt;Boshqaruv!$C$12)),MAX($AH$4:$AH777)+1,"")</f>
        <v/>
      </c>
    </row>
    <row r="779" customFormat="false" ht="15" hidden="false" customHeight="false" outlineLevel="0" collapsed="false">
      <c r="A779" s="20" t="n">
        <v>775</v>
      </c>
      <c r="B779" s="12"/>
      <c r="C779" s="13"/>
      <c r="D779" s="24"/>
      <c r="E779" s="12"/>
      <c r="F779" s="25"/>
      <c r="G779" s="27" t="str">
        <f aca="false">IF(OR($B779="",$C779=""),"",$B779&amp;" ("&amp;DAY($C779)&amp;"."&amp;MONTH($C779)&amp;"."&amp;YEAR($C779)&amp;")")</f>
        <v/>
      </c>
      <c r="H779" s="13"/>
      <c r="I779" s="13"/>
      <c r="J779" s="15" t="str">
        <f aca="false">IF($I779="","",$I779+280)</f>
        <v/>
      </c>
      <c r="K779" s="14" t="str">
        <f aca="false">IF(OR($I779="",$AE779&lt;&gt;""),"",INT((Boshqaruv!$C$12-$I779)/7))</f>
        <v/>
      </c>
      <c r="L779" s="14" t="str">
        <f aca="false">IF(OR($C779="",$H779=""),"",INT(($H779-$C779)/365.25))</f>
        <v/>
      </c>
      <c r="M779" s="14" t="str">
        <f aca="false">IF($L779="","",IF($L779&lt;18,"Ha","Yo'q"))</f>
        <v/>
      </c>
      <c r="N779" s="25"/>
      <c r="O779" s="25"/>
      <c r="P779" s="25"/>
      <c r="Q779" s="12"/>
      <c r="R779" s="25"/>
      <c r="S779" s="12"/>
      <c r="T779" s="13"/>
      <c r="U779" s="12"/>
      <c r="V779" s="25"/>
      <c r="W779" s="25"/>
      <c r="X779" s="14" t="str">
        <f aca="false">IF(OR($V779="",$W779=""),"",IF(AND($V779&gt;=Spravochnik!$H$5,$W779&gt;=Spravochnik!$H$6),"Ha","Yo'q"))</f>
        <v/>
      </c>
      <c r="Y779" s="13"/>
      <c r="Z779" s="13"/>
      <c r="AA779" s="13"/>
      <c r="AB779" s="13"/>
      <c r="AC779" s="14" t="str">
        <f aca="false">IF(AND($B779&lt;&gt;"",$AE779="",$AB779&lt;&gt;"",$AB779&lt;Boshqaruv!$C$12),"Ha","")</f>
        <v/>
      </c>
      <c r="AD779" s="25"/>
      <c r="AE779" s="13"/>
      <c r="AF779" s="12"/>
      <c r="AG779" s="14" t="str">
        <f aca="false">IF(OR($B779="",$C779="",$H779=""),"",IF(COUNTIFS($B$5:$B$804,$B779,$C$5:$C$804,$C779,$H$5:$H$804,$H779)&gt;1,"Takror",""))</f>
        <v/>
      </c>
      <c r="AH779" s="28" t="str">
        <f aca="false">IF(AND($B779&lt;&gt;"",$N779="Ha",$H779&lt;&gt;"",$H779&lt;=Boshqaruv!$C$12,OR($AE779="",$AE779&gt;Boshqaruv!$C$12)),MAX($AH$4:$AH778)+1,"")</f>
        <v/>
      </c>
    </row>
    <row r="780" customFormat="false" ht="15" hidden="false" customHeight="false" outlineLevel="0" collapsed="false">
      <c r="A780" s="20" t="n">
        <v>776</v>
      </c>
      <c r="B780" s="12"/>
      <c r="C780" s="13"/>
      <c r="D780" s="24"/>
      <c r="E780" s="12"/>
      <c r="F780" s="25"/>
      <c r="G780" s="27" t="str">
        <f aca="false">IF(OR($B780="",$C780=""),"",$B780&amp;" ("&amp;DAY($C780)&amp;"."&amp;MONTH($C780)&amp;"."&amp;YEAR($C780)&amp;")")</f>
        <v/>
      </c>
      <c r="H780" s="13"/>
      <c r="I780" s="13"/>
      <c r="J780" s="15" t="str">
        <f aca="false">IF($I780="","",$I780+280)</f>
        <v/>
      </c>
      <c r="K780" s="14" t="str">
        <f aca="false">IF(OR($I780="",$AE780&lt;&gt;""),"",INT((Boshqaruv!$C$12-$I780)/7))</f>
        <v/>
      </c>
      <c r="L780" s="14" t="str">
        <f aca="false">IF(OR($C780="",$H780=""),"",INT(($H780-$C780)/365.25))</f>
        <v/>
      </c>
      <c r="M780" s="14" t="str">
        <f aca="false">IF($L780="","",IF($L780&lt;18,"Ha","Yo'q"))</f>
        <v/>
      </c>
      <c r="N780" s="25"/>
      <c r="O780" s="25"/>
      <c r="P780" s="25"/>
      <c r="Q780" s="12"/>
      <c r="R780" s="25"/>
      <c r="S780" s="12"/>
      <c r="T780" s="13"/>
      <c r="U780" s="12"/>
      <c r="V780" s="25"/>
      <c r="W780" s="25"/>
      <c r="X780" s="14" t="str">
        <f aca="false">IF(OR($V780="",$W780=""),"",IF(AND($V780&gt;=Spravochnik!$H$5,$W780&gt;=Spravochnik!$H$6),"Ha","Yo'q"))</f>
        <v/>
      </c>
      <c r="Y780" s="13"/>
      <c r="Z780" s="13"/>
      <c r="AA780" s="13"/>
      <c r="AB780" s="13"/>
      <c r="AC780" s="14" t="str">
        <f aca="false">IF(AND($B780&lt;&gt;"",$AE780="",$AB780&lt;&gt;"",$AB780&lt;Boshqaruv!$C$12),"Ha","")</f>
        <v/>
      </c>
      <c r="AD780" s="25"/>
      <c r="AE780" s="13"/>
      <c r="AF780" s="12"/>
      <c r="AG780" s="14" t="str">
        <f aca="false">IF(OR($B780="",$C780="",$H780=""),"",IF(COUNTIFS($B$5:$B$804,$B780,$C$5:$C$804,$C780,$H$5:$H$804,$H780)&gt;1,"Takror",""))</f>
        <v/>
      </c>
      <c r="AH780" s="28" t="str">
        <f aca="false">IF(AND($B780&lt;&gt;"",$N780="Ha",$H780&lt;&gt;"",$H780&lt;=Boshqaruv!$C$12,OR($AE780="",$AE780&gt;Boshqaruv!$C$12)),MAX($AH$4:$AH779)+1,"")</f>
        <v/>
      </c>
    </row>
    <row r="781" customFormat="false" ht="15" hidden="false" customHeight="false" outlineLevel="0" collapsed="false">
      <c r="A781" s="20" t="n">
        <v>777</v>
      </c>
      <c r="B781" s="12"/>
      <c r="C781" s="13"/>
      <c r="D781" s="24"/>
      <c r="E781" s="12"/>
      <c r="F781" s="25"/>
      <c r="G781" s="27" t="str">
        <f aca="false">IF(OR($B781="",$C781=""),"",$B781&amp;" ("&amp;DAY($C781)&amp;"."&amp;MONTH($C781)&amp;"."&amp;YEAR($C781)&amp;")")</f>
        <v/>
      </c>
      <c r="H781" s="13"/>
      <c r="I781" s="13"/>
      <c r="J781" s="15" t="str">
        <f aca="false">IF($I781="","",$I781+280)</f>
        <v/>
      </c>
      <c r="K781" s="14" t="str">
        <f aca="false">IF(OR($I781="",$AE781&lt;&gt;""),"",INT((Boshqaruv!$C$12-$I781)/7))</f>
        <v/>
      </c>
      <c r="L781" s="14" t="str">
        <f aca="false">IF(OR($C781="",$H781=""),"",INT(($H781-$C781)/365.25))</f>
        <v/>
      </c>
      <c r="M781" s="14" t="str">
        <f aca="false">IF($L781="","",IF($L781&lt;18,"Ha","Yo'q"))</f>
        <v/>
      </c>
      <c r="N781" s="25"/>
      <c r="O781" s="25"/>
      <c r="P781" s="25"/>
      <c r="Q781" s="12"/>
      <c r="R781" s="25"/>
      <c r="S781" s="12"/>
      <c r="T781" s="13"/>
      <c r="U781" s="12"/>
      <c r="V781" s="25"/>
      <c r="W781" s="25"/>
      <c r="X781" s="14" t="str">
        <f aca="false">IF(OR($V781="",$W781=""),"",IF(AND($V781&gt;=Spravochnik!$H$5,$W781&gt;=Spravochnik!$H$6),"Ha","Yo'q"))</f>
        <v/>
      </c>
      <c r="Y781" s="13"/>
      <c r="Z781" s="13"/>
      <c r="AA781" s="13"/>
      <c r="AB781" s="13"/>
      <c r="AC781" s="14" t="str">
        <f aca="false">IF(AND($B781&lt;&gt;"",$AE781="",$AB781&lt;&gt;"",$AB781&lt;Boshqaruv!$C$12),"Ha","")</f>
        <v/>
      </c>
      <c r="AD781" s="25"/>
      <c r="AE781" s="13"/>
      <c r="AF781" s="12"/>
      <c r="AG781" s="14" t="str">
        <f aca="false">IF(OR($B781="",$C781="",$H781=""),"",IF(COUNTIFS($B$5:$B$804,$B781,$C$5:$C$804,$C781,$H$5:$H$804,$H781)&gt;1,"Takror",""))</f>
        <v/>
      </c>
      <c r="AH781" s="28" t="str">
        <f aca="false">IF(AND($B781&lt;&gt;"",$N781="Ha",$H781&lt;&gt;"",$H781&lt;=Boshqaruv!$C$12,OR($AE781="",$AE781&gt;Boshqaruv!$C$12)),MAX($AH$4:$AH780)+1,"")</f>
        <v/>
      </c>
    </row>
    <row r="782" customFormat="false" ht="15" hidden="false" customHeight="false" outlineLevel="0" collapsed="false">
      <c r="A782" s="20" t="n">
        <v>778</v>
      </c>
      <c r="B782" s="12"/>
      <c r="C782" s="13"/>
      <c r="D782" s="24"/>
      <c r="E782" s="12"/>
      <c r="F782" s="25"/>
      <c r="G782" s="27" t="str">
        <f aca="false">IF(OR($B782="",$C782=""),"",$B782&amp;" ("&amp;DAY($C782)&amp;"."&amp;MONTH($C782)&amp;"."&amp;YEAR($C782)&amp;")")</f>
        <v/>
      </c>
      <c r="H782" s="13"/>
      <c r="I782" s="13"/>
      <c r="J782" s="15" t="str">
        <f aca="false">IF($I782="","",$I782+280)</f>
        <v/>
      </c>
      <c r="K782" s="14" t="str">
        <f aca="false">IF(OR($I782="",$AE782&lt;&gt;""),"",INT((Boshqaruv!$C$12-$I782)/7))</f>
        <v/>
      </c>
      <c r="L782" s="14" t="str">
        <f aca="false">IF(OR($C782="",$H782=""),"",INT(($H782-$C782)/365.25))</f>
        <v/>
      </c>
      <c r="M782" s="14" t="str">
        <f aca="false">IF($L782="","",IF($L782&lt;18,"Ha","Yo'q"))</f>
        <v/>
      </c>
      <c r="N782" s="25"/>
      <c r="O782" s="25"/>
      <c r="P782" s="25"/>
      <c r="Q782" s="12"/>
      <c r="R782" s="25"/>
      <c r="S782" s="12"/>
      <c r="T782" s="13"/>
      <c r="U782" s="12"/>
      <c r="V782" s="25"/>
      <c r="W782" s="25"/>
      <c r="X782" s="14" t="str">
        <f aca="false">IF(OR($V782="",$W782=""),"",IF(AND($V782&gt;=Spravochnik!$H$5,$W782&gt;=Spravochnik!$H$6),"Ha","Yo'q"))</f>
        <v/>
      </c>
      <c r="Y782" s="13"/>
      <c r="Z782" s="13"/>
      <c r="AA782" s="13"/>
      <c r="AB782" s="13"/>
      <c r="AC782" s="14" t="str">
        <f aca="false">IF(AND($B782&lt;&gt;"",$AE782="",$AB782&lt;&gt;"",$AB782&lt;Boshqaruv!$C$12),"Ha","")</f>
        <v/>
      </c>
      <c r="AD782" s="25"/>
      <c r="AE782" s="13"/>
      <c r="AF782" s="12"/>
      <c r="AG782" s="14" t="str">
        <f aca="false">IF(OR($B782="",$C782="",$H782=""),"",IF(COUNTIFS($B$5:$B$804,$B782,$C$5:$C$804,$C782,$H$5:$H$804,$H782)&gt;1,"Takror",""))</f>
        <v/>
      </c>
      <c r="AH782" s="28" t="str">
        <f aca="false">IF(AND($B782&lt;&gt;"",$N782="Ha",$H782&lt;&gt;"",$H782&lt;=Boshqaruv!$C$12,OR($AE782="",$AE782&gt;Boshqaruv!$C$12)),MAX($AH$4:$AH781)+1,"")</f>
        <v/>
      </c>
    </row>
    <row r="783" customFormat="false" ht="15" hidden="false" customHeight="false" outlineLevel="0" collapsed="false">
      <c r="A783" s="20" t="n">
        <v>779</v>
      </c>
      <c r="B783" s="12"/>
      <c r="C783" s="13"/>
      <c r="D783" s="24"/>
      <c r="E783" s="12"/>
      <c r="F783" s="25"/>
      <c r="G783" s="27" t="str">
        <f aca="false">IF(OR($B783="",$C783=""),"",$B783&amp;" ("&amp;DAY($C783)&amp;"."&amp;MONTH($C783)&amp;"."&amp;YEAR($C783)&amp;")")</f>
        <v/>
      </c>
      <c r="H783" s="13"/>
      <c r="I783" s="13"/>
      <c r="J783" s="15" t="str">
        <f aca="false">IF($I783="","",$I783+280)</f>
        <v/>
      </c>
      <c r="K783" s="14" t="str">
        <f aca="false">IF(OR($I783="",$AE783&lt;&gt;""),"",INT((Boshqaruv!$C$12-$I783)/7))</f>
        <v/>
      </c>
      <c r="L783" s="14" t="str">
        <f aca="false">IF(OR($C783="",$H783=""),"",INT(($H783-$C783)/365.25))</f>
        <v/>
      </c>
      <c r="M783" s="14" t="str">
        <f aca="false">IF($L783="","",IF($L783&lt;18,"Ha","Yo'q"))</f>
        <v/>
      </c>
      <c r="N783" s="25"/>
      <c r="O783" s="25"/>
      <c r="P783" s="25"/>
      <c r="Q783" s="12"/>
      <c r="R783" s="25"/>
      <c r="S783" s="12"/>
      <c r="T783" s="13"/>
      <c r="U783" s="12"/>
      <c r="V783" s="25"/>
      <c r="W783" s="25"/>
      <c r="X783" s="14" t="str">
        <f aca="false">IF(OR($V783="",$W783=""),"",IF(AND($V783&gt;=Spravochnik!$H$5,$W783&gt;=Spravochnik!$H$6),"Ha","Yo'q"))</f>
        <v/>
      </c>
      <c r="Y783" s="13"/>
      <c r="Z783" s="13"/>
      <c r="AA783" s="13"/>
      <c r="AB783" s="13"/>
      <c r="AC783" s="14" t="str">
        <f aca="false">IF(AND($B783&lt;&gt;"",$AE783="",$AB783&lt;&gt;"",$AB783&lt;Boshqaruv!$C$12),"Ha","")</f>
        <v/>
      </c>
      <c r="AD783" s="25"/>
      <c r="AE783" s="13"/>
      <c r="AF783" s="12"/>
      <c r="AG783" s="14" t="str">
        <f aca="false">IF(OR($B783="",$C783="",$H783=""),"",IF(COUNTIFS($B$5:$B$804,$B783,$C$5:$C$804,$C783,$H$5:$H$804,$H783)&gt;1,"Takror",""))</f>
        <v/>
      </c>
      <c r="AH783" s="28" t="str">
        <f aca="false">IF(AND($B783&lt;&gt;"",$N783="Ha",$H783&lt;&gt;"",$H783&lt;=Boshqaruv!$C$12,OR($AE783="",$AE783&gt;Boshqaruv!$C$12)),MAX($AH$4:$AH782)+1,"")</f>
        <v/>
      </c>
    </row>
    <row r="784" customFormat="false" ht="15" hidden="false" customHeight="false" outlineLevel="0" collapsed="false">
      <c r="A784" s="20" t="n">
        <v>780</v>
      </c>
      <c r="B784" s="12"/>
      <c r="C784" s="13"/>
      <c r="D784" s="24"/>
      <c r="E784" s="12"/>
      <c r="F784" s="25"/>
      <c r="G784" s="27" t="str">
        <f aca="false">IF(OR($B784="",$C784=""),"",$B784&amp;" ("&amp;DAY($C784)&amp;"."&amp;MONTH($C784)&amp;"."&amp;YEAR($C784)&amp;")")</f>
        <v/>
      </c>
      <c r="H784" s="13"/>
      <c r="I784" s="13"/>
      <c r="J784" s="15" t="str">
        <f aca="false">IF($I784="","",$I784+280)</f>
        <v/>
      </c>
      <c r="K784" s="14" t="str">
        <f aca="false">IF(OR($I784="",$AE784&lt;&gt;""),"",INT((Boshqaruv!$C$12-$I784)/7))</f>
        <v/>
      </c>
      <c r="L784" s="14" t="str">
        <f aca="false">IF(OR($C784="",$H784=""),"",INT(($H784-$C784)/365.25))</f>
        <v/>
      </c>
      <c r="M784" s="14" t="str">
        <f aca="false">IF($L784="","",IF($L784&lt;18,"Ha","Yo'q"))</f>
        <v/>
      </c>
      <c r="N784" s="25"/>
      <c r="O784" s="25"/>
      <c r="P784" s="25"/>
      <c r="Q784" s="12"/>
      <c r="R784" s="25"/>
      <c r="S784" s="12"/>
      <c r="T784" s="13"/>
      <c r="U784" s="12"/>
      <c r="V784" s="25"/>
      <c r="W784" s="25"/>
      <c r="X784" s="14" t="str">
        <f aca="false">IF(OR($V784="",$W784=""),"",IF(AND($V784&gt;=Spravochnik!$H$5,$W784&gt;=Spravochnik!$H$6),"Ha","Yo'q"))</f>
        <v/>
      </c>
      <c r="Y784" s="13"/>
      <c r="Z784" s="13"/>
      <c r="AA784" s="13"/>
      <c r="AB784" s="13"/>
      <c r="AC784" s="14" t="str">
        <f aca="false">IF(AND($B784&lt;&gt;"",$AE784="",$AB784&lt;&gt;"",$AB784&lt;Boshqaruv!$C$12),"Ha","")</f>
        <v/>
      </c>
      <c r="AD784" s="25"/>
      <c r="AE784" s="13"/>
      <c r="AF784" s="12"/>
      <c r="AG784" s="14" t="str">
        <f aca="false">IF(OR($B784="",$C784="",$H784=""),"",IF(COUNTIFS($B$5:$B$804,$B784,$C$5:$C$804,$C784,$H$5:$H$804,$H784)&gt;1,"Takror",""))</f>
        <v/>
      </c>
      <c r="AH784" s="28" t="str">
        <f aca="false">IF(AND($B784&lt;&gt;"",$N784="Ha",$H784&lt;&gt;"",$H784&lt;=Boshqaruv!$C$12,OR($AE784="",$AE784&gt;Boshqaruv!$C$12)),MAX($AH$4:$AH783)+1,"")</f>
        <v/>
      </c>
    </row>
    <row r="785" customFormat="false" ht="15" hidden="false" customHeight="false" outlineLevel="0" collapsed="false">
      <c r="A785" s="20" t="n">
        <v>781</v>
      </c>
      <c r="B785" s="12"/>
      <c r="C785" s="13"/>
      <c r="D785" s="24"/>
      <c r="E785" s="12"/>
      <c r="F785" s="25"/>
      <c r="G785" s="27" t="str">
        <f aca="false">IF(OR($B785="",$C785=""),"",$B785&amp;" ("&amp;DAY($C785)&amp;"."&amp;MONTH($C785)&amp;"."&amp;YEAR($C785)&amp;")")</f>
        <v/>
      </c>
      <c r="H785" s="13"/>
      <c r="I785" s="13"/>
      <c r="J785" s="15" t="str">
        <f aca="false">IF($I785="","",$I785+280)</f>
        <v/>
      </c>
      <c r="K785" s="14" t="str">
        <f aca="false">IF(OR($I785="",$AE785&lt;&gt;""),"",INT((Boshqaruv!$C$12-$I785)/7))</f>
        <v/>
      </c>
      <c r="L785" s="14" t="str">
        <f aca="false">IF(OR($C785="",$H785=""),"",INT(($H785-$C785)/365.25))</f>
        <v/>
      </c>
      <c r="M785" s="14" t="str">
        <f aca="false">IF($L785="","",IF($L785&lt;18,"Ha","Yo'q"))</f>
        <v/>
      </c>
      <c r="N785" s="25"/>
      <c r="O785" s="25"/>
      <c r="P785" s="25"/>
      <c r="Q785" s="12"/>
      <c r="R785" s="25"/>
      <c r="S785" s="12"/>
      <c r="T785" s="13"/>
      <c r="U785" s="12"/>
      <c r="V785" s="25"/>
      <c r="W785" s="25"/>
      <c r="X785" s="14" t="str">
        <f aca="false">IF(OR($V785="",$W785=""),"",IF(AND($V785&gt;=Spravochnik!$H$5,$W785&gt;=Spravochnik!$H$6),"Ha","Yo'q"))</f>
        <v/>
      </c>
      <c r="Y785" s="13"/>
      <c r="Z785" s="13"/>
      <c r="AA785" s="13"/>
      <c r="AB785" s="13"/>
      <c r="AC785" s="14" t="str">
        <f aca="false">IF(AND($B785&lt;&gt;"",$AE785="",$AB785&lt;&gt;"",$AB785&lt;Boshqaruv!$C$12),"Ha","")</f>
        <v/>
      </c>
      <c r="AD785" s="25"/>
      <c r="AE785" s="13"/>
      <c r="AF785" s="12"/>
      <c r="AG785" s="14" t="str">
        <f aca="false">IF(OR($B785="",$C785="",$H785=""),"",IF(COUNTIFS($B$5:$B$804,$B785,$C$5:$C$804,$C785,$H$5:$H$804,$H785)&gt;1,"Takror",""))</f>
        <v/>
      </c>
      <c r="AH785" s="28" t="str">
        <f aca="false">IF(AND($B785&lt;&gt;"",$N785="Ha",$H785&lt;&gt;"",$H785&lt;=Boshqaruv!$C$12,OR($AE785="",$AE785&gt;Boshqaruv!$C$12)),MAX($AH$4:$AH784)+1,"")</f>
        <v/>
      </c>
    </row>
    <row r="786" customFormat="false" ht="15" hidden="false" customHeight="false" outlineLevel="0" collapsed="false">
      <c r="A786" s="20" t="n">
        <v>782</v>
      </c>
      <c r="B786" s="12"/>
      <c r="C786" s="13"/>
      <c r="D786" s="24"/>
      <c r="E786" s="12"/>
      <c r="F786" s="25"/>
      <c r="G786" s="27" t="str">
        <f aca="false">IF(OR($B786="",$C786=""),"",$B786&amp;" ("&amp;DAY($C786)&amp;"."&amp;MONTH($C786)&amp;"."&amp;YEAR($C786)&amp;")")</f>
        <v/>
      </c>
      <c r="H786" s="13"/>
      <c r="I786" s="13"/>
      <c r="J786" s="15" t="str">
        <f aca="false">IF($I786="","",$I786+280)</f>
        <v/>
      </c>
      <c r="K786" s="14" t="str">
        <f aca="false">IF(OR($I786="",$AE786&lt;&gt;""),"",INT((Boshqaruv!$C$12-$I786)/7))</f>
        <v/>
      </c>
      <c r="L786" s="14" t="str">
        <f aca="false">IF(OR($C786="",$H786=""),"",INT(($H786-$C786)/365.25))</f>
        <v/>
      </c>
      <c r="M786" s="14" t="str">
        <f aca="false">IF($L786="","",IF($L786&lt;18,"Ha","Yo'q"))</f>
        <v/>
      </c>
      <c r="N786" s="25"/>
      <c r="O786" s="25"/>
      <c r="P786" s="25"/>
      <c r="Q786" s="12"/>
      <c r="R786" s="25"/>
      <c r="S786" s="12"/>
      <c r="T786" s="13"/>
      <c r="U786" s="12"/>
      <c r="V786" s="25"/>
      <c r="W786" s="25"/>
      <c r="X786" s="14" t="str">
        <f aca="false">IF(OR($V786="",$W786=""),"",IF(AND($V786&gt;=Spravochnik!$H$5,$W786&gt;=Spravochnik!$H$6),"Ha","Yo'q"))</f>
        <v/>
      </c>
      <c r="Y786" s="13"/>
      <c r="Z786" s="13"/>
      <c r="AA786" s="13"/>
      <c r="AB786" s="13"/>
      <c r="AC786" s="14" t="str">
        <f aca="false">IF(AND($B786&lt;&gt;"",$AE786="",$AB786&lt;&gt;"",$AB786&lt;Boshqaruv!$C$12),"Ha","")</f>
        <v/>
      </c>
      <c r="AD786" s="25"/>
      <c r="AE786" s="13"/>
      <c r="AF786" s="12"/>
      <c r="AG786" s="14" t="str">
        <f aca="false">IF(OR($B786="",$C786="",$H786=""),"",IF(COUNTIFS($B$5:$B$804,$B786,$C$5:$C$804,$C786,$H$5:$H$804,$H786)&gt;1,"Takror",""))</f>
        <v/>
      </c>
      <c r="AH786" s="28" t="str">
        <f aca="false">IF(AND($B786&lt;&gt;"",$N786="Ha",$H786&lt;&gt;"",$H786&lt;=Boshqaruv!$C$12,OR($AE786="",$AE786&gt;Boshqaruv!$C$12)),MAX($AH$4:$AH785)+1,"")</f>
        <v/>
      </c>
    </row>
    <row r="787" customFormat="false" ht="15" hidden="false" customHeight="false" outlineLevel="0" collapsed="false">
      <c r="A787" s="20" t="n">
        <v>783</v>
      </c>
      <c r="B787" s="12"/>
      <c r="C787" s="13"/>
      <c r="D787" s="24"/>
      <c r="E787" s="12"/>
      <c r="F787" s="25"/>
      <c r="G787" s="27" t="str">
        <f aca="false">IF(OR($B787="",$C787=""),"",$B787&amp;" ("&amp;DAY($C787)&amp;"."&amp;MONTH($C787)&amp;"."&amp;YEAR($C787)&amp;")")</f>
        <v/>
      </c>
      <c r="H787" s="13"/>
      <c r="I787" s="13"/>
      <c r="J787" s="15" t="str">
        <f aca="false">IF($I787="","",$I787+280)</f>
        <v/>
      </c>
      <c r="K787" s="14" t="str">
        <f aca="false">IF(OR($I787="",$AE787&lt;&gt;""),"",INT((Boshqaruv!$C$12-$I787)/7))</f>
        <v/>
      </c>
      <c r="L787" s="14" t="str">
        <f aca="false">IF(OR($C787="",$H787=""),"",INT(($H787-$C787)/365.25))</f>
        <v/>
      </c>
      <c r="M787" s="14" t="str">
        <f aca="false">IF($L787="","",IF($L787&lt;18,"Ha","Yo'q"))</f>
        <v/>
      </c>
      <c r="N787" s="25"/>
      <c r="O787" s="25"/>
      <c r="P787" s="25"/>
      <c r="Q787" s="12"/>
      <c r="R787" s="25"/>
      <c r="S787" s="12"/>
      <c r="T787" s="13"/>
      <c r="U787" s="12"/>
      <c r="V787" s="25"/>
      <c r="W787" s="25"/>
      <c r="X787" s="14" t="str">
        <f aca="false">IF(OR($V787="",$W787=""),"",IF(AND($V787&gt;=Spravochnik!$H$5,$W787&gt;=Spravochnik!$H$6),"Ha","Yo'q"))</f>
        <v/>
      </c>
      <c r="Y787" s="13"/>
      <c r="Z787" s="13"/>
      <c r="AA787" s="13"/>
      <c r="AB787" s="13"/>
      <c r="AC787" s="14" t="str">
        <f aca="false">IF(AND($B787&lt;&gt;"",$AE787="",$AB787&lt;&gt;"",$AB787&lt;Boshqaruv!$C$12),"Ha","")</f>
        <v/>
      </c>
      <c r="AD787" s="25"/>
      <c r="AE787" s="13"/>
      <c r="AF787" s="12"/>
      <c r="AG787" s="14" t="str">
        <f aca="false">IF(OR($B787="",$C787="",$H787=""),"",IF(COUNTIFS($B$5:$B$804,$B787,$C$5:$C$804,$C787,$H$5:$H$804,$H787)&gt;1,"Takror",""))</f>
        <v/>
      </c>
      <c r="AH787" s="28" t="str">
        <f aca="false">IF(AND($B787&lt;&gt;"",$N787="Ha",$H787&lt;&gt;"",$H787&lt;=Boshqaruv!$C$12,OR($AE787="",$AE787&gt;Boshqaruv!$C$12)),MAX($AH$4:$AH786)+1,"")</f>
        <v/>
      </c>
    </row>
    <row r="788" customFormat="false" ht="15" hidden="false" customHeight="false" outlineLevel="0" collapsed="false">
      <c r="A788" s="20" t="n">
        <v>784</v>
      </c>
      <c r="B788" s="12"/>
      <c r="C788" s="13"/>
      <c r="D788" s="24"/>
      <c r="E788" s="12"/>
      <c r="F788" s="25"/>
      <c r="G788" s="27" t="str">
        <f aca="false">IF(OR($B788="",$C788=""),"",$B788&amp;" ("&amp;DAY($C788)&amp;"."&amp;MONTH($C788)&amp;"."&amp;YEAR($C788)&amp;")")</f>
        <v/>
      </c>
      <c r="H788" s="13"/>
      <c r="I788" s="13"/>
      <c r="J788" s="15" t="str">
        <f aca="false">IF($I788="","",$I788+280)</f>
        <v/>
      </c>
      <c r="K788" s="14" t="str">
        <f aca="false">IF(OR($I788="",$AE788&lt;&gt;""),"",INT((Boshqaruv!$C$12-$I788)/7))</f>
        <v/>
      </c>
      <c r="L788" s="14" t="str">
        <f aca="false">IF(OR($C788="",$H788=""),"",INT(($H788-$C788)/365.25))</f>
        <v/>
      </c>
      <c r="M788" s="14" t="str">
        <f aca="false">IF($L788="","",IF($L788&lt;18,"Ha","Yo'q"))</f>
        <v/>
      </c>
      <c r="N788" s="25"/>
      <c r="O788" s="25"/>
      <c r="P788" s="25"/>
      <c r="Q788" s="12"/>
      <c r="R788" s="25"/>
      <c r="S788" s="12"/>
      <c r="T788" s="13"/>
      <c r="U788" s="12"/>
      <c r="V788" s="25"/>
      <c r="W788" s="25"/>
      <c r="X788" s="14" t="str">
        <f aca="false">IF(OR($V788="",$W788=""),"",IF(AND($V788&gt;=Spravochnik!$H$5,$W788&gt;=Spravochnik!$H$6),"Ha","Yo'q"))</f>
        <v/>
      </c>
      <c r="Y788" s="13"/>
      <c r="Z788" s="13"/>
      <c r="AA788" s="13"/>
      <c r="AB788" s="13"/>
      <c r="AC788" s="14" t="str">
        <f aca="false">IF(AND($B788&lt;&gt;"",$AE788="",$AB788&lt;&gt;"",$AB788&lt;Boshqaruv!$C$12),"Ha","")</f>
        <v/>
      </c>
      <c r="AD788" s="25"/>
      <c r="AE788" s="13"/>
      <c r="AF788" s="12"/>
      <c r="AG788" s="14" t="str">
        <f aca="false">IF(OR($B788="",$C788="",$H788=""),"",IF(COUNTIFS($B$5:$B$804,$B788,$C$5:$C$804,$C788,$H$5:$H$804,$H788)&gt;1,"Takror",""))</f>
        <v/>
      </c>
      <c r="AH788" s="28" t="str">
        <f aca="false">IF(AND($B788&lt;&gt;"",$N788="Ha",$H788&lt;&gt;"",$H788&lt;=Boshqaruv!$C$12,OR($AE788="",$AE788&gt;Boshqaruv!$C$12)),MAX($AH$4:$AH787)+1,"")</f>
        <v/>
      </c>
    </row>
    <row r="789" customFormat="false" ht="15" hidden="false" customHeight="false" outlineLevel="0" collapsed="false">
      <c r="A789" s="20" t="n">
        <v>785</v>
      </c>
      <c r="B789" s="12"/>
      <c r="C789" s="13"/>
      <c r="D789" s="24"/>
      <c r="E789" s="12"/>
      <c r="F789" s="25"/>
      <c r="G789" s="27" t="str">
        <f aca="false">IF(OR($B789="",$C789=""),"",$B789&amp;" ("&amp;DAY($C789)&amp;"."&amp;MONTH($C789)&amp;"."&amp;YEAR($C789)&amp;")")</f>
        <v/>
      </c>
      <c r="H789" s="13"/>
      <c r="I789" s="13"/>
      <c r="J789" s="15" t="str">
        <f aca="false">IF($I789="","",$I789+280)</f>
        <v/>
      </c>
      <c r="K789" s="14" t="str">
        <f aca="false">IF(OR($I789="",$AE789&lt;&gt;""),"",INT((Boshqaruv!$C$12-$I789)/7))</f>
        <v/>
      </c>
      <c r="L789" s="14" t="str">
        <f aca="false">IF(OR($C789="",$H789=""),"",INT(($H789-$C789)/365.25))</f>
        <v/>
      </c>
      <c r="M789" s="14" t="str">
        <f aca="false">IF($L789="","",IF($L789&lt;18,"Ha","Yo'q"))</f>
        <v/>
      </c>
      <c r="N789" s="25"/>
      <c r="O789" s="25"/>
      <c r="P789" s="25"/>
      <c r="Q789" s="12"/>
      <c r="R789" s="25"/>
      <c r="S789" s="12"/>
      <c r="T789" s="13"/>
      <c r="U789" s="12"/>
      <c r="V789" s="25"/>
      <c r="W789" s="25"/>
      <c r="X789" s="14" t="str">
        <f aca="false">IF(OR($V789="",$W789=""),"",IF(AND($V789&gt;=Spravochnik!$H$5,$W789&gt;=Spravochnik!$H$6),"Ha","Yo'q"))</f>
        <v/>
      </c>
      <c r="Y789" s="13"/>
      <c r="Z789" s="13"/>
      <c r="AA789" s="13"/>
      <c r="AB789" s="13"/>
      <c r="AC789" s="14" t="str">
        <f aca="false">IF(AND($B789&lt;&gt;"",$AE789="",$AB789&lt;&gt;"",$AB789&lt;Boshqaruv!$C$12),"Ha","")</f>
        <v/>
      </c>
      <c r="AD789" s="25"/>
      <c r="AE789" s="13"/>
      <c r="AF789" s="12"/>
      <c r="AG789" s="14" t="str">
        <f aca="false">IF(OR($B789="",$C789="",$H789=""),"",IF(COUNTIFS($B$5:$B$804,$B789,$C$5:$C$804,$C789,$H$5:$H$804,$H789)&gt;1,"Takror",""))</f>
        <v/>
      </c>
      <c r="AH789" s="28" t="str">
        <f aca="false">IF(AND($B789&lt;&gt;"",$N789="Ha",$H789&lt;&gt;"",$H789&lt;=Boshqaruv!$C$12,OR($AE789="",$AE789&gt;Boshqaruv!$C$12)),MAX($AH$4:$AH788)+1,"")</f>
        <v/>
      </c>
    </row>
    <row r="790" customFormat="false" ht="15" hidden="false" customHeight="false" outlineLevel="0" collapsed="false">
      <c r="A790" s="20" t="n">
        <v>786</v>
      </c>
      <c r="B790" s="12"/>
      <c r="C790" s="13"/>
      <c r="D790" s="24"/>
      <c r="E790" s="12"/>
      <c r="F790" s="25"/>
      <c r="G790" s="27" t="str">
        <f aca="false">IF(OR($B790="",$C790=""),"",$B790&amp;" ("&amp;DAY($C790)&amp;"."&amp;MONTH($C790)&amp;"."&amp;YEAR($C790)&amp;")")</f>
        <v/>
      </c>
      <c r="H790" s="13"/>
      <c r="I790" s="13"/>
      <c r="J790" s="15" t="str">
        <f aca="false">IF($I790="","",$I790+280)</f>
        <v/>
      </c>
      <c r="K790" s="14" t="str">
        <f aca="false">IF(OR($I790="",$AE790&lt;&gt;""),"",INT((Boshqaruv!$C$12-$I790)/7))</f>
        <v/>
      </c>
      <c r="L790" s="14" t="str">
        <f aca="false">IF(OR($C790="",$H790=""),"",INT(($H790-$C790)/365.25))</f>
        <v/>
      </c>
      <c r="M790" s="14" t="str">
        <f aca="false">IF($L790="","",IF($L790&lt;18,"Ha","Yo'q"))</f>
        <v/>
      </c>
      <c r="N790" s="25"/>
      <c r="O790" s="25"/>
      <c r="P790" s="25"/>
      <c r="Q790" s="12"/>
      <c r="R790" s="25"/>
      <c r="S790" s="12"/>
      <c r="T790" s="13"/>
      <c r="U790" s="12"/>
      <c r="V790" s="25"/>
      <c r="W790" s="25"/>
      <c r="X790" s="14" t="str">
        <f aca="false">IF(OR($V790="",$W790=""),"",IF(AND($V790&gt;=Spravochnik!$H$5,$W790&gt;=Spravochnik!$H$6),"Ha","Yo'q"))</f>
        <v/>
      </c>
      <c r="Y790" s="13"/>
      <c r="Z790" s="13"/>
      <c r="AA790" s="13"/>
      <c r="AB790" s="13"/>
      <c r="AC790" s="14" t="str">
        <f aca="false">IF(AND($B790&lt;&gt;"",$AE790="",$AB790&lt;&gt;"",$AB790&lt;Boshqaruv!$C$12),"Ha","")</f>
        <v/>
      </c>
      <c r="AD790" s="25"/>
      <c r="AE790" s="13"/>
      <c r="AF790" s="12"/>
      <c r="AG790" s="14" t="str">
        <f aca="false">IF(OR($B790="",$C790="",$H790=""),"",IF(COUNTIFS($B$5:$B$804,$B790,$C$5:$C$804,$C790,$H$5:$H$804,$H790)&gt;1,"Takror",""))</f>
        <v/>
      </c>
      <c r="AH790" s="28" t="str">
        <f aca="false">IF(AND($B790&lt;&gt;"",$N790="Ha",$H790&lt;&gt;"",$H790&lt;=Boshqaruv!$C$12,OR($AE790="",$AE790&gt;Boshqaruv!$C$12)),MAX($AH$4:$AH789)+1,"")</f>
        <v/>
      </c>
    </row>
    <row r="791" customFormat="false" ht="15" hidden="false" customHeight="false" outlineLevel="0" collapsed="false">
      <c r="A791" s="20" t="n">
        <v>787</v>
      </c>
      <c r="B791" s="12"/>
      <c r="C791" s="13"/>
      <c r="D791" s="24"/>
      <c r="E791" s="12"/>
      <c r="F791" s="25"/>
      <c r="G791" s="27" t="str">
        <f aca="false">IF(OR($B791="",$C791=""),"",$B791&amp;" ("&amp;DAY($C791)&amp;"."&amp;MONTH($C791)&amp;"."&amp;YEAR($C791)&amp;")")</f>
        <v/>
      </c>
      <c r="H791" s="13"/>
      <c r="I791" s="13"/>
      <c r="J791" s="15" t="str">
        <f aca="false">IF($I791="","",$I791+280)</f>
        <v/>
      </c>
      <c r="K791" s="14" t="str">
        <f aca="false">IF(OR($I791="",$AE791&lt;&gt;""),"",INT((Boshqaruv!$C$12-$I791)/7))</f>
        <v/>
      </c>
      <c r="L791" s="14" t="str">
        <f aca="false">IF(OR($C791="",$H791=""),"",INT(($H791-$C791)/365.25))</f>
        <v/>
      </c>
      <c r="M791" s="14" t="str">
        <f aca="false">IF($L791="","",IF($L791&lt;18,"Ha","Yo'q"))</f>
        <v/>
      </c>
      <c r="N791" s="25"/>
      <c r="O791" s="25"/>
      <c r="P791" s="25"/>
      <c r="Q791" s="12"/>
      <c r="R791" s="25"/>
      <c r="S791" s="12"/>
      <c r="T791" s="13"/>
      <c r="U791" s="12"/>
      <c r="V791" s="25"/>
      <c r="W791" s="25"/>
      <c r="X791" s="14" t="str">
        <f aca="false">IF(OR($V791="",$W791=""),"",IF(AND($V791&gt;=Spravochnik!$H$5,$W791&gt;=Spravochnik!$H$6),"Ha","Yo'q"))</f>
        <v/>
      </c>
      <c r="Y791" s="13"/>
      <c r="Z791" s="13"/>
      <c r="AA791" s="13"/>
      <c r="AB791" s="13"/>
      <c r="AC791" s="14" t="str">
        <f aca="false">IF(AND($B791&lt;&gt;"",$AE791="",$AB791&lt;&gt;"",$AB791&lt;Boshqaruv!$C$12),"Ha","")</f>
        <v/>
      </c>
      <c r="AD791" s="25"/>
      <c r="AE791" s="13"/>
      <c r="AF791" s="12"/>
      <c r="AG791" s="14" t="str">
        <f aca="false">IF(OR($B791="",$C791="",$H791=""),"",IF(COUNTIFS($B$5:$B$804,$B791,$C$5:$C$804,$C791,$H$5:$H$804,$H791)&gt;1,"Takror",""))</f>
        <v/>
      </c>
      <c r="AH791" s="28" t="str">
        <f aca="false">IF(AND($B791&lt;&gt;"",$N791="Ha",$H791&lt;&gt;"",$H791&lt;=Boshqaruv!$C$12,OR($AE791="",$AE791&gt;Boshqaruv!$C$12)),MAX($AH$4:$AH790)+1,"")</f>
        <v/>
      </c>
    </row>
    <row r="792" customFormat="false" ht="15" hidden="false" customHeight="false" outlineLevel="0" collapsed="false">
      <c r="A792" s="20" t="n">
        <v>788</v>
      </c>
      <c r="B792" s="12"/>
      <c r="C792" s="13"/>
      <c r="D792" s="24"/>
      <c r="E792" s="12"/>
      <c r="F792" s="25"/>
      <c r="G792" s="27" t="str">
        <f aca="false">IF(OR($B792="",$C792=""),"",$B792&amp;" ("&amp;DAY($C792)&amp;"."&amp;MONTH($C792)&amp;"."&amp;YEAR($C792)&amp;")")</f>
        <v/>
      </c>
      <c r="H792" s="13"/>
      <c r="I792" s="13"/>
      <c r="J792" s="15" t="str">
        <f aca="false">IF($I792="","",$I792+280)</f>
        <v/>
      </c>
      <c r="K792" s="14" t="str">
        <f aca="false">IF(OR($I792="",$AE792&lt;&gt;""),"",INT((Boshqaruv!$C$12-$I792)/7))</f>
        <v/>
      </c>
      <c r="L792" s="14" t="str">
        <f aca="false">IF(OR($C792="",$H792=""),"",INT(($H792-$C792)/365.25))</f>
        <v/>
      </c>
      <c r="M792" s="14" t="str">
        <f aca="false">IF($L792="","",IF($L792&lt;18,"Ha","Yo'q"))</f>
        <v/>
      </c>
      <c r="N792" s="25"/>
      <c r="O792" s="25"/>
      <c r="P792" s="25"/>
      <c r="Q792" s="12"/>
      <c r="R792" s="25"/>
      <c r="S792" s="12"/>
      <c r="T792" s="13"/>
      <c r="U792" s="12"/>
      <c r="V792" s="25"/>
      <c r="W792" s="25"/>
      <c r="X792" s="14" t="str">
        <f aca="false">IF(OR($V792="",$W792=""),"",IF(AND($V792&gt;=Spravochnik!$H$5,$W792&gt;=Spravochnik!$H$6),"Ha","Yo'q"))</f>
        <v/>
      </c>
      <c r="Y792" s="13"/>
      <c r="Z792" s="13"/>
      <c r="AA792" s="13"/>
      <c r="AB792" s="13"/>
      <c r="AC792" s="14" t="str">
        <f aca="false">IF(AND($B792&lt;&gt;"",$AE792="",$AB792&lt;&gt;"",$AB792&lt;Boshqaruv!$C$12),"Ha","")</f>
        <v/>
      </c>
      <c r="AD792" s="25"/>
      <c r="AE792" s="13"/>
      <c r="AF792" s="12"/>
      <c r="AG792" s="14" t="str">
        <f aca="false">IF(OR($B792="",$C792="",$H792=""),"",IF(COUNTIFS($B$5:$B$804,$B792,$C$5:$C$804,$C792,$H$5:$H$804,$H792)&gt;1,"Takror",""))</f>
        <v/>
      </c>
      <c r="AH792" s="28" t="str">
        <f aca="false">IF(AND($B792&lt;&gt;"",$N792="Ha",$H792&lt;&gt;"",$H792&lt;=Boshqaruv!$C$12,OR($AE792="",$AE792&gt;Boshqaruv!$C$12)),MAX($AH$4:$AH791)+1,"")</f>
        <v/>
      </c>
    </row>
    <row r="793" customFormat="false" ht="15" hidden="false" customHeight="false" outlineLevel="0" collapsed="false">
      <c r="A793" s="20" t="n">
        <v>789</v>
      </c>
      <c r="B793" s="12"/>
      <c r="C793" s="13"/>
      <c r="D793" s="24"/>
      <c r="E793" s="12"/>
      <c r="F793" s="25"/>
      <c r="G793" s="27" t="str">
        <f aca="false">IF(OR($B793="",$C793=""),"",$B793&amp;" ("&amp;DAY($C793)&amp;"."&amp;MONTH($C793)&amp;"."&amp;YEAR($C793)&amp;")")</f>
        <v/>
      </c>
      <c r="H793" s="13"/>
      <c r="I793" s="13"/>
      <c r="J793" s="15" t="str">
        <f aca="false">IF($I793="","",$I793+280)</f>
        <v/>
      </c>
      <c r="K793" s="14" t="str">
        <f aca="false">IF(OR($I793="",$AE793&lt;&gt;""),"",INT((Boshqaruv!$C$12-$I793)/7))</f>
        <v/>
      </c>
      <c r="L793" s="14" t="str">
        <f aca="false">IF(OR($C793="",$H793=""),"",INT(($H793-$C793)/365.25))</f>
        <v/>
      </c>
      <c r="M793" s="14" t="str">
        <f aca="false">IF($L793="","",IF($L793&lt;18,"Ha","Yo'q"))</f>
        <v/>
      </c>
      <c r="N793" s="25"/>
      <c r="O793" s="25"/>
      <c r="P793" s="25"/>
      <c r="Q793" s="12"/>
      <c r="R793" s="25"/>
      <c r="S793" s="12"/>
      <c r="T793" s="13"/>
      <c r="U793" s="12"/>
      <c r="V793" s="25"/>
      <c r="W793" s="25"/>
      <c r="X793" s="14" t="str">
        <f aca="false">IF(OR($V793="",$W793=""),"",IF(AND($V793&gt;=Spravochnik!$H$5,$W793&gt;=Spravochnik!$H$6),"Ha","Yo'q"))</f>
        <v/>
      </c>
      <c r="Y793" s="13"/>
      <c r="Z793" s="13"/>
      <c r="AA793" s="13"/>
      <c r="AB793" s="13"/>
      <c r="AC793" s="14" t="str">
        <f aca="false">IF(AND($B793&lt;&gt;"",$AE793="",$AB793&lt;&gt;"",$AB793&lt;Boshqaruv!$C$12),"Ha","")</f>
        <v/>
      </c>
      <c r="AD793" s="25"/>
      <c r="AE793" s="13"/>
      <c r="AF793" s="12"/>
      <c r="AG793" s="14" t="str">
        <f aca="false">IF(OR($B793="",$C793="",$H793=""),"",IF(COUNTIFS($B$5:$B$804,$B793,$C$5:$C$804,$C793,$H$5:$H$804,$H793)&gt;1,"Takror",""))</f>
        <v/>
      </c>
      <c r="AH793" s="28" t="str">
        <f aca="false">IF(AND($B793&lt;&gt;"",$N793="Ha",$H793&lt;&gt;"",$H793&lt;=Boshqaruv!$C$12,OR($AE793="",$AE793&gt;Boshqaruv!$C$12)),MAX($AH$4:$AH792)+1,"")</f>
        <v/>
      </c>
    </row>
    <row r="794" customFormat="false" ht="15" hidden="false" customHeight="false" outlineLevel="0" collapsed="false">
      <c r="A794" s="20" t="n">
        <v>790</v>
      </c>
      <c r="B794" s="12"/>
      <c r="C794" s="13"/>
      <c r="D794" s="24"/>
      <c r="E794" s="12"/>
      <c r="F794" s="25"/>
      <c r="G794" s="27" t="str">
        <f aca="false">IF(OR($B794="",$C794=""),"",$B794&amp;" ("&amp;DAY($C794)&amp;"."&amp;MONTH($C794)&amp;"."&amp;YEAR($C794)&amp;")")</f>
        <v/>
      </c>
      <c r="H794" s="13"/>
      <c r="I794" s="13"/>
      <c r="J794" s="15" t="str">
        <f aca="false">IF($I794="","",$I794+280)</f>
        <v/>
      </c>
      <c r="K794" s="14" t="str">
        <f aca="false">IF(OR($I794="",$AE794&lt;&gt;""),"",INT((Boshqaruv!$C$12-$I794)/7))</f>
        <v/>
      </c>
      <c r="L794" s="14" t="str">
        <f aca="false">IF(OR($C794="",$H794=""),"",INT(($H794-$C794)/365.25))</f>
        <v/>
      </c>
      <c r="M794" s="14" t="str">
        <f aca="false">IF($L794="","",IF($L794&lt;18,"Ha","Yo'q"))</f>
        <v/>
      </c>
      <c r="N794" s="25"/>
      <c r="O794" s="25"/>
      <c r="P794" s="25"/>
      <c r="Q794" s="12"/>
      <c r="R794" s="25"/>
      <c r="S794" s="12"/>
      <c r="T794" s="13"/>
      <c r="U794" s="12"/>
      <c r="V794" s="25"/>
      <c r="W794" s="25"/>
      <c r="X794" s="14" t="str">
        <f aca="false">IF(OR($V794="",$W794=""),"",IF(AND($V794&gt;=Spravochnik!$H$5,$W794&gt;=Spravochnik!$H$6),"Ha","Yo'q"))</f>
        <v/>
      </c>
      <c r="Y794" s="13"/>
      <c r="Z794" s="13"/>
      <c r="AA794" s="13"/>
      <c r="AB794" s="13"/>
      <c r="AC794" s="14" t="str">
        <f aca="false">IF(AND($B794&lt;&gt;"",$AE794="",$AB794&lt;&gt;"",$AB794&lt;Boshqaruv!$C$12),"Ha","")</f>
        <v/>
      </c>
      <c r="AD794" s="25"/>
      <c r="AE794" s="13"/>
      <c r="AF794" s="12"/>
      <c r="AG794" s="14" t="str">
        <f aca="false">IF(OR($B794="",$C794="",$H794=""),"",IF(COUNTIFS($B$5:$B$804,$B794,$C$5:$C$804,$C794,$H$5:$H$804,$H794)&gt;1,"Takror",""))</f>
        <v/>
      </c>
      <c r="AH794" s="28" t="str">
        <f aca="false">IF(AND($B794&lt;&gt;"",$N794="Ha",$H794&lt;&gt;"",$H794&lt;=Boshqaruv!$C$12,OR($AE794="",$AE794&gt;Boshqaruv!$C$12)),MAX($AH$4:$AH793)+1,"")</f>
        <v/>
      </c>
    </row>
    <row r="795" customFormat="false" ht="15" hidden="false" customHeight="false" outlineLevel="0" collapsed="false">
      <c r="A795" s="20" t="n">
        <v>791</v>
      </c>
      <c r="B795" s="12"/>
      <c r="C795" s="13"/>
      <c r="D795" s="24"/>
      <c r="E795" s="12"/>
      <c r="F795" s="25"/>
      <c r="G795" s="27" t="str">
        <f aca="false">IF(OR($B795="",$C795=""),"",$B795&amp;" ("&amp;DAY($C795)&amp;"."&amp;MONTH($C795)&amp;"."&amp;YEAR($C795)&amp;")")</f>
        <v/>
      </c>
      <c r="H795" s="13"/>
      <c r="I795" s="13"/>
      <c r="J795" s="15" t="str">
        <f aca="false">IF($I795="","",$I795+280)</f>
        <v/>
      </c>
      <c r="K795" s="14" t="str">
        <f aca="false">IF(OR($I795="",$AE795&lt;&gt;""),"",INT((Boshqaruv!$C$12-$I795)/7))</f>
        <v/>
      </c>
      <c r="L795" s="14" t="str">
        <f aca="false">IF(OR($C795="",$H795=""),"",INT(($H795-$C795)/365.25))</f>
        <v/>
      </c>
      <c r="M795" s="14" t="str">
        <f aca="false">IF($L795="","",IF($L795&lt;18,"Ha","Yo'q"))</f>
        <v/>
      </c>
      <c r="N795" s="25"/>
      <c r="O795" s="25"/>
      <c r="P795" s="25"/>
      <c r="Q795" s="12"/>
      <c r="R795" s="25"/>
      <c r="S795" s="12"/>
      <c r="T795" s="13"/>
      <c r="U795" s="12"/>
      <c r="V795" s="25"/>
      <c r="W795" s="25"/>
      <c r="X795" s="14" t="str">
        <f aca="false">IF(OR($V795="",$W795=""),"",IF(AND($V795&gt;=Spravochnik!$H$5,$W795&gt;=Spravochnik!$H$6),"Ha","Yo'q"))</f>
        <v/>
      </c>
      <c r="Y795" s="13"/>
      <c r="Z795" s="13"/>
      <c r="AA795" s="13"/>
      <c r="AB795" s="13"/>
      <c r="AC795" s="14" t="str">
        <f aca="false">IF(AND($B795&lt;&gt;"",$AE795="",$AB795&lt;&gt;"",$AB795&lt;Boshqaruv!$C$12),"Ha","")</f>
        <v/>
      </c>
      <c r="AD795" s="25"/>
      <c r="AE795" s="13"/>
      <c r="AF795" s="12"/>
      <c r="AG795" s="14" t="str">
        <f aca="false">IF(OR($B795="",$C795="",$H795=""),"",IF(COUNTIFS($B$5:$B$804,$B795,$C$5:$C$804,$C795,$H$5:$H$804,$H795)&gt;1,"Takror",""))</f>
        <v/>
      </c>
      <c r="AH795" s="28" t="str">
        <f aca="false">IF(AND($B795&lt;&gt;"",$N795="Ha",$H795&lt;&gt;"",$H795&lt;=Boshqaruv!$C$12,OR($AE795="",$AE795&gt;Boshqaruv!$C$12)),MAX($AH$4:$AH794)+1,"")</f>
        <v/>
      </c>
    </row>
    <row r="796" customFormat="false" ht="15" hidden="false" customHeight="false" outlineLevel="0" collapsed="false">
      <c r="A796" s="20" t="n">
        <v>792</v>
      </c>
      <c r="B796" s="12"/>
      <c r="C796" s="13"/>
      <c r="D796" s="24"/>
      <c r="E796" s="12"/>
      <c r="F796" s="25"/>
      <c r="G796" s="27" t="str">
        <f aca="false">IF(OR($B796="",$C796=""),"",$B796&amp;" ("&amp;DAY($C796)&amp;"."&amp;MONTH($C796)&amp;"."&amp;YEAR($C796)&amp;")")</f>
        <v/>
      </c>
      <c r="H796" s="13"/>
      <c r="I796" s="13"/>
      <c r="J796" s="15" t="str">
        <f aca="false">IF($I796="","",$I796+280)</f>
        <v/>
      </c>
      <c r="K796" s="14" t="str">
        <f aca="false">IF(OR($I796="",$AE796&lt;&gt;""),"",INT((Boshqaruv!$C$12-$I796)/7))</f>
        <v/>
      </c>
      <c r="L796" s="14" t="str">
        <f aca="false">IF(OR($C796="",$H796=""),"",INT(($H796-$C796)/365.25))</f>
        <v/>
      </c>
      <c r="M796" s="14" t="str">
        <f aca="false">IF($L796="","",IF($L796&lt;18,"Ha","Yo'q"))</f>
        <v/>
      </c>
      <c r="N796" s="25"/>
      <c r="O796" s="25"/>
      <c r="P796" s="25"/>
      <c r="Q796" s="12"/>
      <c r="R796" s="25"/>
      <c r="S796" s="12"/>
      <c r="T796" s="13"/>
      <c r="U796" s="12"/>
      <c r="V796" s="25"/>
      <c r="W796" s="25"/>
      <c r="X796" s="14" t="str">
        <f aca="false">IF(OR($V796="",$W796=""),"",IF(AND($V796&gt;=Spravochnik!$H$5,$W796&gt;=Spravochnik!$H$6),"Ha","Yo'q"))</f>
        <v/>
      </c>
      <c r="Y796" s="13"/>
      <c r="Z796" s="13"/>
      <c r="AA796" s="13"/>
      <c r="AB796" s="13"/>
      <c r="AC796" s="14" t="str">
        <f aca="false">IF(AND($B796&lt;&gt;"",$AE796="",$AB796&lt;&gt;"",$AB796&lt;Boshqaruv!$C$12),"Ha","")</f>
        <v/>
      </c>
      <c r="AD796" s="25"/>
      <c r="AE796" s="13"/>
      <c r="AF796" s="12"/>
      <c r="AG796" s="14" t="str">
        <f aca="false">IF(OR($B796="",$C796="",$H796=""),"",IF(COUNTIFS($B$5:$B$804,$B796,$C$5:$C$804,$C796,$H$5:$H$804,$H796)&gt;1,"Takror",""))</f>
        <v/>
      </c>
      <c r="AH796" s="28" t="str">
        <f aca="false">IF(AND($B796&lt;&gt;"",$N796="Ha",$H796&lt;&gt;"",$H796&lt;=Boshqaruv!$C$12,OR($AE796="",$AE796&gt;Boshqaruv!$C$12)),MAX($AH$4:$AH795)+1,"")</f>
        <v/>
      </c>
    </row>
    <row r="797" customFormat="false" ht="15" hidden="false" customHeight="false" outlineLevel="0" collapsed="false">
      <c r="A797" s="20" t="n">
        <v>793</v>
      </c>
      <c r="B797" s="12"/>
      <c r="C797" s="13"/>
      <c r="D797" s="24"/>
      <c r="E797" s="12"/>
      <c r="F797" s="25"/>
      <c r="G797" s="27" t="str">
        <f aca="false">IF(OR($B797="",$C797=""),"",$B797&amp;" ("&amp;DAY($C797)&amp;"."&amp;MONTH($C797)&amp;"."&amp;YEAR($C797)&amp;")")</f>
        <v/>
      </c>
      <c r="H797" s="13"/>
      <c r="I797" s="13"/>
      <c r="J797" s="15" t="str">
        <f aca="false">IF($I797="","",$I797+280)</f>
        <v/>
      </c>
      <c r="K797" s="14" t="str">
        <f aca="false">IF(OR($I797="",$AE797&lt;&gt;""),"",INT((Boshqaruv!$C$12-$I797)/7))</f>
        <v/>
      </c>
      <c r="L797" s="14" t="str">
        <f aca="false">IF(OR($C797="",$H797=""),"",INT(($H797-$C797)/365.25))</f>
        <v/>
      </c>
      <c r="M797" s="14" t="str">
        <f aca="false">IF($L797="","",IF($L797&lt;18,"Ha","Yo'q"))</f>
        <v/>
      </c>
      <c r="N797" s="25"/>
      <c r="O797" s="25"/>
      <c r="P797" s="25"/>
      <c r="Q797" s="12"/>
      <c r="R797" s="25"/>
      <c r="S797" s="12"/>
      <c r="T797" s="13"/>
      <c r="U797" s="12"/>
      <c r="V797" s="25"/>
      <c r="W797" s="25"/>
      <c r="X797" s="14" t="str">
        <f aca="false">IF(OR($V797="",$W797=""),"",IF(AND($V797&gt;=Spravochnik!$H$5,$W797&gt;=Spravochnik!$H$6),"Ha","Yo'q"))</f>
        <v/>
      </c>
      <c r="Y797" s="13"/>
      <c r="Z797" s="13"/>
      <c r="AA797" s="13"/>
      <c r="AB797" s="13"/>
      <c r="AC797" s="14" t="str">
        <f aca="false">IF(AND($B797&lt;&gt;"",$AE797="",$AB797&lt;&gt;"",$AB797&lt;Boshqaruv!$C$12),"Ha","")</f>
        <v/>
      </c>
      <c r="AD797" s="25"/>
      <c r="AE797" s="13"/>
      <c r="AF797" s="12"/>
      <c r="AG797" s="14" t="str">
        <f aca="false">IF(OR($B797="",$C797="",$H797=""),"",IF(COUNTIFS($B$5:$B$804,$B797,$C$5:$C$804,$C797,$H$5:$H$804,$H797)&gt;1,"Takror",""))</f>
        <v/>
      </c>
      <c r="AH797" s="28" t="str">
        <f aca="false">IF(AND($B797&lt;&gt;"",$N797="Ha",$H797&lt;&gt;"",$H797&lt;=Boshqaruv!$C$12,OR($AE797="",$AE797&gt;Boshqaruv!$C$12)),MAX($AH$4:$AH796)+1,"")</f>
        <v/>
      </c>
    </row>
    <row r="798" customFormat="false" ht="15" hidden="false" customHeight="false" outlineLevel="0" collapsed="false">
      <c r="A798" s="20" t="n">
        <v>794</v>
      </c>
      <c r="B798" s="12"/>
      <c r="C798" s="13"/>
      <c r="D798" s="24"/>
      <c r="E798" s="12"/>
      <c r="F798" s="25"/>
      <c r="G798" s="27" t="str">
        <f aca="false">IF(OR($B798="",$C798=""),"",$B798&amp;" ("&amp;DAY($C798)&amp;"."&amp;MONTH($C798)&amp;"."&amp;YEAR($C798)&amp;")")</f>
        <v/>
      </c>
      <c r="H798" s="13"/>
      <c r="I798" s="13"/>
      <c r="J798" s="15" t="str">
        <f aca="false">IF($I798="","",$I798+280)</f>
        <v/>
      </c>
      <c r="K798" s="14" t="str">
        <f aca="false">IF(OR($I798="",$AE798&lt;&gt;""),"",INT((Boshqaruv!$C$12-$I798)/7))</f>
        <v/>
      </c>
      <c r="L798" s="14" t="str">
        <f aca="false">IF(OR($C798="",$H798=""),"",INT(($H798-$C798)/365.25))</f>
        <v/>
      </c>
      <c r="M798" s="14" t="str">
        <f aca="false">IF($L798="","",IF($L798&lt;18,"Ha","Yo'q"))</f>
        <v/>
      </c>
      <c r="N798" s="25"/>
      <c r="O798" s="25"/>
      <c r="P798" s="25"/>
      <c r="Q798" s="12"/>
      <c r="R798" s="25"/>
      <c r="S798" s="12"/>
      <c r="T798" s="13"/>
      <c r="U798" s="12"/>
      <c r="V798" s="25"/>
      <c r="W798" s="25"/>
      <c r="X798" s="14" t="str">
        <f aca="false">IF(OR($V798="",$W798=""),"",IF(AND($V798&gt;=Spravochnik!$H$5,$W798&gt;=Spravochnik!$H$6),"Ha","Yo'q"))</f>
        <v/>
      </c>
      <c r="Y798" s="13"/>
      <c r="Z798" s="13"/>
      <c r="AA798" s="13"/>
      <c r="AB798" s="13"/>
      <c r="AC798" s="14" t="str">
        <f aca="false">IF(AND($B798&lt;&gt;"",$AE798="",$AB798&lt;&gt;"",$AB798&lt;Boshqaruv!$C$12),"Ha","")</f>
        <v/>
      </c>
      <c r="AD798" s="25"/>
      <c r="AE798" s="13"/>
      <c r="AF798" s="12"/>
      <c r="AG798" s="14" t="str">
        <f aca="false">IF(OR($B798="",$C798="",$H798=""),"",IF(COUNTIFS($B$5:$B$804,$B798,$C$5:$C$804,$C798,$H$5:$H$804,$H798)&gt;1,"Takror",""))</f>
        <v/>
      </c>
      <c r="AH798" s="28" t="str">
        <f aca="false">IF(AND($B798&lt;&gt;"",$N798="Ha",$H798&lt;&gt;"",$H798&lt;=Boshqaruv!$C$12,OR($AE798="",$AE798&gt;Boshqaruv!$C$12)),MAX($AH$4:$AH797)+1,"")</f>
        <v/>
      </c>
    </row>
    <row r="799" customFormat="false" ht="15" hidden="false" customHeight="false" outlineLevel="0" collapsed="false">
      <c r="A799" s="20" t="n">
        <v>795</v>
      </c>
      <c r="B799" s="12"/>
      <c r="C799" s="13"/>
      <c r="D799" s="24"/>
      <c r="E799" s="12"/>
      <c r="F799" s="25"/>
      <c r="G799" s="27" t="str">
        <f aca="false">IF(OR($B799="",$C799=""),"",$B799&amp;" ("&amp;DAY($C799)&amp;"."&amp;MONTH($C799)&amp;"."&amp;YEAR($C799)&amp;")")</f>
        <v/>
      </c>
      <c r="H799" s="13"/>
      <c r="I799" s="13"/>
      <c r="J799" s="15" t="str">
        <f aca="false">IF($I799="","",$I799+280)</f>
        <v/>
      </c>
      <c r="K799" s="14" t="str">
        <f aca="false">IF(OR($I799="",$AE799&lt;&gt;""),"",INT((Boshqaruv!$C$12-$I799)/7))</f>
        <v/>
      </c>
      <c r="L799" s="14" t="str">
        <f aca="false">IF(OR($C799="",$H799=""),"",INT(($H799-$C799)/365.25))</f>
        <v/>
      </c>
      <c r="M799" s="14" t="str">
        <f aca="false">IF($L799="","",IF($L799&lt;18,"Ha","Yo'q"))</f>
        <v/>
      </c>
      <c r="N799" s="25"/>
      <c r="O799" s="25"/>
      <c r="P799" s="25"/>
      <c r="Q799" s="12"/>
      <c r="R799" s="25"/>
      <c r="S799" s="12"/>
      <c r="T799" s="13"/>
      <c r="U799" s="12"/>
      <c r="V799" s="25"/>
      <c r="W799" s="25"/>
      <c r="X799" s="14" t="str">
        <f aca="false">IF(OR($V799="",$W799=""),"",IF(AND($V799&gt;=Spravochnik!$H$5,$W799&gt;=Spravochnik!$H$6),"Ha","Yo'q"))</f>
        <v/>
      </c>
      <c r="Y799" s="13"/>
      <c r="Z799" s="13"/>
      <c r="AA799" s="13"/>
      <c r="AB799" s="13"/>
      <c r="AC799" s="14" t="str">
        <f aca="false">IF(AND($B799&lt;&gt;"",$AE799="",$AB799&lt;&gt;"",$AB799&lt;Boshqaruv!$C$12),"Ha","")</f>
        <v/>
      </c>
      <c r="AD799" s="25"/>
      <c r="AE799" s="13"/>
      <c r="AF799" s="12"/>
      <c r="AG799" s="14" t="str">
        <f aca="false">IF(OR($B799="",$C799="",$H799=""),"",IF(COUNTIFS($B$5:$B$804,$B799,$C$5:$C$804,$C799,$H$5:$H$804,$H799)&gt;1,"Takror",""))</f>
        <v/>
      </c>
      <c r="AH799" s="28" t="str">
        <f aca="false">IF(AND($B799&lt;&gt;"",$N799="Ha",$H799&lt;&gt;"",$H799&lt;=Boshqaruv!$C$12,OR($AE799="",$AE799&gt;Boshqaruv!$C$12)),MAX($AH$4:$AH798)+1,"")</f>
        <v/>
      </c>
    </row>
    <row r="800" customFormat="false" ht="15" hidden="false" customHeight="false" outlineLevel="0" collapsed="false">
      <c r="A800" s="20" t="n">
        <v>796</v>
      </c>
      <c r="B800" s="12"/>
      <c r="C800" s="13"/>
      <c r="D800" s="24"/>
      <c r="E800" s="12"/>
      <c r="F800" s="25"/>
      <c r="G800" s="27" t="str">
        <f aca="false">IF(OR($B800="",$C800=""),"",$B800&amp;" ("&amp;DAY($C800)&amp;"."&amp;MONTH($C800)&amp;"."&amp;YEAR($C800)&amp;")")</f>
        <v/>
      </c>
      <c r="H800" s="13"/>
      <c r="I800" s="13"/>
      <c r="J800" s="15" t="str">
        <f aca="false">IF($I800="","",$I800+280)</f>
        <v/>
      </c>
      <c r="K800" s="14" t="str">
        <f aca="false">IF(OR($I800="",$AE800&lt;&gt;""),"",INT((Boshqaruv!$C$12-$I800)/7))</f>
        <v/>
      </c>
      <c r="L800" s="14" t="str">
        <f aca="false">IF(OR($C800="",$H800=""),"",INT(($H800-$C800)/365.25))</f>
        <v/>
      </c>
      <c r="M800" s="14" t="str">
        <f aca="false">IF($L800="","",IF($L800&lt;18,"Ha","Yo'q"))</f>
        <v/>
      </c>
      <c r="N800" s="25"/>
      <c r="O800" s="25"/>
      <c r="P800" s="25"/>
      <c r="Q800" s="12"/>
      <c r="R800" s="25"/>
      <c r="S800" s="12"/>
      <c r="T800" s="13"/>
      <c r="U800" s="12"/>
      <c r="V800" s="25"/>
      <c r="W800" s="25"/>
      <c r="X800" s="14" t="str">
        <f aca="false">IF(OR($V800="",$W800=""),"",IF(AND($V800&gt;=Spravochnik!$H$5,$W800&gt;=Spravochnik!$H$6),"Ha","Yo'q"))</f>
        <v/>
      </c>
      <c r="Y800" s="13"/>
      <c r="Z800" s="13"/>
      <c r="AA800" s="13"/>
      <c r="AB800" s="13"/>
      <c r="AC800" s="14" t="str">
        <f aca="false">IF(AND($B800&lt;&gt;"",$AE800="",$AB800&lt;&gt;"",$AB800&lt;Boshqaruv!$C$12),"Ha","")</f>
        <v/>
      </c>
      <c r="AD800" s="25"/>
      <c r="AE800" s="13"/>
      <c r="AF800" s="12"/>
      <c r="AG800" s="14" t="str">
        <f aca="false">IF(OR($B800="",$C800="",$H800=""),"",IF(COUNTIFS($B$5:$B$804,$B800,$C$5:$C$804,$C800,$H$5:$H$804,$H800)&gt;1,"Takror",""))</f>
        <v/>
      </c>
      <c r="AH800" s="28" t="str">
        <f aca="false">IF(AND($B800&lt;&gt;"",$N800="Ha",$H800&lt;&gt;"",$H800&lt;=Boshqaruv!$C$12,OR($AE800="",$AE800&gt;Boshqaruv!$C$12)),MAX($AH$4:$AH799)+1,"")</f>
        <v/>
      </c>
    </row>
    <row r="801" customFormat="false" ht="15" hidden="false" customHeight="false" outlineLevel="0" collapsed="false">
      <c r="A801" s="20" t="n">
        <v>797</v>
      </c>
      <c r="B801" s="12"/>
      <c r="C801" s="13"/>
      <c r="D801" s="24"/>
      <c r="E801" s="12"/>
      <c r="F801" s="25"/>
      <c r="G801" s="27" t="str">
        <f aca="false">IF(OR($B801="",$C801=""),"",$B801&amp;" ("&amp;DAY($C801)&amp;"."&amp;MONTH($C801)&amp;"."&amp;YEAR($C801)&amp;")")</f>
        <v/>
      </c>
      <c r="H801" s="13"/>
      <c r="I801" s="13"/>
      <c r="J801" s="15" t="str">
        <f aca="false">IF($I801="","",$I801+280)</f>
        <v/>
      </c>
      <c r="K801" s="14" t="str">
        <f aca="false">IF(OR($I801="",$AE801&lt;&gt;""),"",INT((Boshqaruv!$C$12-$I801)/7))</f>
        <v/>
      </c>
      <c r="L801" s="14" t="str">
        <f aca="false">IF(OR($C801="",$H801=""),"",INT(($H801-$C801)/365.25))</f>
        <v/>
      </c>
      <c r="M801" s="14" t="str">
        <f aca="false">IF($L801="","",IF($L801&lt;18,"Ha","Yo'q"))</f>
        <v/>
      </c>
      <c r="N801" s="25"/>
      <c r="O801" s="25"/>
      <c r="P801" s="25"/>
      <c r="Q801" s="12"/>
      <c r="R801" s="25"/>
      <c r="S801" s="12"/>
      <c r="T801" s="13"/>
      <c r="U801" s="12"/>
      <c r="V801" s="25"/>
      <c r="W801" s="25"/>
      <c r="X801" s="14" t="str">
        <f aca="false">IF(OR($V801="",$W801=""),"",IF(AND($V801&gt;=Spravochnik!$H$5,$W801&gt;=Spravochnik!$H$6),"Ha","Yo'q"))</f>
        <v/>
      </c>
      <c r="Y801" s="13"/>
      <c r="Z801" s="13"/>
      <c r="AA801" s="13"/>
      <c r="AB801" s="13"/>
      <c r="AC801" s="14" t="str">
        <f aca="false">IF(AND($B801&lt;&gt;"",$AE801="",$AB801&lt;&gt;"",$AB801&lt;Boshqaruv!$C$12),"Ha","")</f>
        <v/>
      </c>
      <c r="AD801" s="25"/>
      <c r="AE801" s="13"/>
      <c r="AF801" s="12"/>
      <c r="AG801" s="14" t="str">
        <f aca="false">IF(OR($B801="",$C801="",$H801=""),"",IF(COUNTIFS($B$5:$B$804,$B801,$C$5:$C$804,$C801,$H$5:$H$804,$H801)&gt;1,"Takror",""))</f>
        <v/>
      </c>
      <c r="AH801" s="28" t="str">
        <f aca="false">IF(AND($B801&lt;&gt;"",$N801="Ha",$H801&lt;&gt;"",$H801&lt;=Boshqaruv!$C$12,OR($AE801="",$AE801&gt;Boshqaruv!$C$12)),MAX($AH$4:$AH800)+1,"")</f>
        <v/>
      </c>
    </row>
    <row r="802" customFormat="false" ht="15" hidden="false" customHeight="false" outlineLevel="0" collapsed="false">
      <c r="A802" s="20" t="n">
        <v>798</v>
      </c>
      <c r="B802" s="12"/>
      <c r="C802" s="13"/>
      <c r="D802" s="24"/>
      <c r="E802" s="12"/>
      <c r="F802" s="25"/>
      <c r="G802" s="27" t="str">
        <f aca="false">IF(OR($B802="",$C802=""),"",$B802&amp;" ("&amp;DAY($C802)&amp;"."&amp;MONTH($C802)&amp;"."&amp;YEAR($C802)&amp;")")</f>
        <v/>
      </c>
      <c r="H802" s="13"/>
      <c r="I802" s="13"/>
      <c r="J802" s="15" t="str">
        <f aca="false">IF($I802="","",$I802+280)</f>
        <v/>
      </c>
      <c r="K802" s="14" t="str">
        <f aca="false">IF(OR($I802="",$AE802&lt;&gt;""),"",INT((Boshqaruv!$C$12-$I802)/7))</f>
        <v/>
      </c>
      <c r="L802" s="14" t="str">
        <f aca="false">IF(OR($C802="",$H802=""),"",INT(($H802-$C802)/365.25))</f>
        <v/>
      </c>
      <c r="M802" s="14" t="str">
        <f aca="false">IF($L802="","",IF($L802&lt;18,"Ha","Yo'q"))</f>
        <v/>
      </c>
      <c r="N802" s="25"/>
      <c r="O802" s="25"/>
      <c r="P802" s="25"/>
      <c r="Q802" s="12"/>
      <c r="R802" s="25"/>
      <c r="S802" s="12"/>
      <c r="T802" s="13"/>
      <c r="U802" s="12"/>
      <c r="V802" s="25"/>
      <c r="W802" s="25"/>
      <c r="X802" s="14" t="str">
        <f aca="false">IF(OR($V802="",$W802=""),"",IF(AND($V802&gt;=Spravochnik!$H$5,$W802&gt;=Spravochnik!$H$6),"Ha","Yo'q"))</f>
        <v/>
      </c>
      <c r="Y802" s="13"/>
      <c r="Z802" s="13"/>
      <c r="AA802" s="13"/>
      <c r="AB802" s="13"/>
      <c r="AC802" s="14" t="str">
        <f aca="false">IF(AND($B802&lt;&gt;"",$AE802="",$AB802&lt;&gt;"",$AB802&lt;Boshqaruv!$C$12),"Ha","")</f>
        <v/>
      </c>
      <c r="AD802" s="25"/>
      <c r="AE802" s="13"/>
      <c r="AF802" s="12"/>
      <c r="AG802" s="14" t="str">
        <f aca="false">IF(OR($B802="",$C802="",$H802=""),"",IF(COUNTIFS($B$5:$B$804,$B802,$C$5:$C$804,$C802,$H$5:$H$804,$H802)&gt;1,"Takror",""))</f>
        <v/>
      </c>
      <c r="AH802" s="28" t="str">
        <f aca="false">IF(AND($B802&lt;&gt;"",$N802="Ha",$H802&lt;&gt;"",$H802&lt;=Boshqaruv!$C$12,OR($AE802="",$AE802&gt;Boshqaruv!$C$12)),MAX($AH$4:$AH801)+1,"")</f>
        <v/>
      </c>
    </row>
    <row r="803" customFormat="false" ht="15" hidden="false" customHeight="false" outlineLevel="0" collapsed="false">
      <c r="A803" s="20" t="n">
        <v>799</v>
      </c>
      <c r="B803" s="12"/>
      <c r="C803" s="13"/>
      <c r="D803" s="24"/>
      <c r="E803" s="12"/>
      <c r="F803" s="25"/>
      <c r="G803" s="27" t="str">
        <f aca="false">IF(OR($B803="",$C803=""),"",$B803&amp;" ("&amp;DAY($C803)&amp;"."&amp;MONTH($C803)&amp;"."&amp;YEAR($C803)&amp;")")</f>
        <v/>
      </c>
      <c r="H803" s="13"/>
      <c r="I803" s="13"/>
      <c r="J803" s="15" t="str">
        <f aca="false">IF($I803="","",$I803+280)</f>
        <v/>
      </c>
      <c r="K803" s="14" t="str">
        <f aca="false">IF(OR($I803="",$AE803&lt;&gt;""),"",INT((Boshqaruv!$C$12-$I803)/7))</f>
        <v/>
      </c>
      <c r="L803" s="14" t="str">
        <f aca="false">IF(OR($C803="",$H803=""),"",INT(($H803-$C803)/365.25))</f>
        <v/>
      </c>
      <c r="M803" s="14" t="str">
        <f aca="false">IF($L803="","",IF($L803&lt;18,"Ha","Yo'q"))</f>
        <v/>
      </c>
      <c r="N803" s="25"/>
      <c r="O803" s="25"/>
      <c r="P803" s="25"/>
      <c r="Q803" s="12"/>
      <c r="R803" s="25"/>
      <c r="S803" s="12"/>
      <c r="T803" s="13"/>
      <c r="U803" s="12"/>
      <c r="V803" s="25"/>
      <c r="W803" s="25"/>
      <c r="X803" s="14" t="str">
        <f aca="false">IF(OR($V803="",$W803=""),"",IF(AND($V803&gt;=Spravochnik!$H$5,$W803&gt;=Spravochnik!$H$6),"Ha","Yo'q"))</f>
        <v/>
      </c>
      <c r="Y803" s="13"/>
      <c r="Z803" s="13"/>
      <c r="AA803" s="13"/>
      <c r="AB803" s="13"/>
      <c r="AC803" s="14" t="str">
        <f aca="false">IF(AND($B803&lt;&gt;"",$AE803="",$AB803&lt;&gt;"",$AB803&lt;Boshqaruv!$C$12),"Ha","")</f>
        <v/>
      </c>
      <c r="AD803" s="25"/>
      <c r="AE803" s="13"/>
      <c r="AF803" s="12"/>
      <c r="AG803" s="14" t="str">
        <f aca="false">IF(OR($B803="",$C803="",$H803=""),"",IF(COUNTIFS($B$5:$B$804,$B803,$C$5:$C$804,$C803,$H$5:$H$804,$H803)&gt;1,"Takror",""))</f>
        <v/>
      </c>
      <c r="AH803" s="28" t="str">
        <f aca="false">IF(AND($B803&lt;&gt;"",$N803="Ha",$H803&lt;&gt;"",$H803&lt;=Boshqaruv!$C$12,OR($AE803="",$AE803&gt;Boshqaruv!$C$12)),MAX($AH$4:$AH802)+1,"")</f>
        <v/>
      </c>
    </row>
    <row r="804" customFormat="false" ht="15" hidden="false" customHeight="false" outlineLevel="0" collapsed="false">
      <c r="A804" s="20" t="n">
        <v>800</v>
      </c>
      <c r="B804" s="12"/>
      <c r="C804" s="13"/>
      <c r="D804" s="24"/>
      <c r="E804" s="12"/>
      <c r="F804" s="25"/>
      <c r="G804" s="27" t="str">
        <f aca="false">IF(OR($B804="",$C804=""),"",$B804&amp;" ("&amp;DAY($C804)&amp;"."&amp;MONTH($C804)&amp;"."&amp;YEAR($C804)&amp;")")</f>
        <v/>
      </c>
      <c r="H804" s="13"/>
      <c r="I804" s="13"/>
      <c r="J804" s="15" t="str">
        <f aca="false">IF($I804="","",$I804+280)</f>
        <v/>
      </c>
      <c r="K804" s="14" t="str">
        <f aca="false">IF(OR($I804="",$AE804&lt;&gt;""),"",INT((Boshqaruv!$C$12-$I804)/7))</f>
        <v/>
      </c>
      <c r="L804" s="14" t="str">
        <f aca="false">IF(OR($C804="",$H804=""),"",INT(($H804-$C804)/365.25))</f>
        <v/>
      </c>
      <c r="M804" s="14" t="str">
        <f aca="false">IF($L804="","",IF($L804&lt;18,"Ha","Yo'q"))</f>
        <v/>
      </c>
      <c r="N804" s="25"/>
      <c r="O804" s="25"/>
      <c r="P804" s="25"/>
      <c r="Q804" s="12"/>
      <c r="R804" s="25"/>
      <c r="S804" s="12"/>
      <c r="T804" s="13"/>
      <c r="U804" s="12"/>
      <c r="V804" s="25"/>
      <c r="W804" s="25"/>
      <c r="X804" s="14" t="str">
        <f aca="false">IF(OR($V804="",$W804=""),"",IF(AND($V804&gt;=Spravochnik!$H$5,$W804&gt;=Spravochnik!$H$6),"Ha","Yo'q"))</f>
        <v/>
      </c>
      <c r="Y804" s="13"/>
      <c r="Z804" s="13"/>
      <c r="AA804" s="13"/>
      <c r="AB804" s="13"/>
      <c r="AC804" s="14" t="str">
        <f aca="false">IF(AND($B804&lt;&gt;"",$AE804="",$AB804&lt;&gt;"",$AB804&lt;Boshqaruv!$C$12),"Ha","")</f>
        <v/>
      </c>
      <c r="AD804" s="25"/>
      <c r="AE804" s="13"/>
      <c r="AF804" s="12"/>
      <c r="AG804" s="14" t="str">
        <f aca="false">IF(OR($B804="",$C804="",$H804=""),"",IF(COUNTIFS($B$5:$B$804,$B804,$C$5:$C$804,$C804,$H$5:$H$804,$H804)&gt;1,"Takror",""))</f>
        <v/>
      </c>
      <c r="AH804" s="28" t="str">
        <f aca="false">IF(AND($B804&lt;&gt;"",$N804="Ha",$H804&lt;&gt;"",$H804&lt;=Boshqaruv!$C$12,OR($AE804="",$AE804&gt;Boshqaruv!$C$12)),MAX($AH$4:$AH803)+1,"")</f>
        <v/>
      </c>
    </row>
  </sheetData>
  <autoFilter ref="A4:AH804"/>
  <conditionalFormatting sqref="A5:AH804">
    <cfRule type="expression" priority="2" aboveAverage="0" equalAverage="0" bottom="0" percent="0" rank="0" text="" dxfId="0">
      <formula>$AC5="Ha"</formula>
    </cfRule>
  </conditionalFormatting>
  <conditionalFormatting sqref="O5:O804">
    <cfRule type="expression" priority="3" aboveAverage="0" equalAverage="0" bottom="0" percent="0" rank="0" text="" dxfId="9">
      <formula>$O5="Og'ir"</formula>
    </cfRule>
  </conditionalFormatting>
  <conditionalFormatting sqref="AG5:AG804">
    <cfRule type="expression" priority="4" aboveAverage="0" equalAverage="0" bottom="0" percent="0" rank="0" text="" dxfId="0">
      <formula>$AG5="Takror"</formula>
    </cfRule>
  </conditionalFormatting>
  <dataValidations count="9">
    <dataValidation allowBlank="true" error="Sanani kiriting (kun.oy.yil) / Введите дату (дд.мм.гггг)" errorStyle="stop" errorTitle="Sana / Дата" operator="greaterThan" showDropDown="false" showErrorMessage="true" showInputMessage="false" sqref="C5:C804 H5:I804 T5:T804 Y5:AB804 AE5:AE8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V5:W804" type="decimal">
      <formula1>0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D5:D8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F5:F8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N5:N804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O5:O804" type="list">
      <formula1>"Yengil,O'rta,Og'ir"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P5:P804" type="list">
      <formula1>Spravochnik!$B$5:$B$64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R5:R804" type="list">
      <formula1>Spravochnik!$C$5:$C$64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AD5:AD804" type="list">
      <formula1>"Homilador,Tug'di,Homiladorlik tugadi (boshqa),Ko'chib ketdi,Vafot etdi"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9"/>
    <col collapsed="false" customWidth="true" hidden="false" outlineLevel="0" max="13" min="11" style="0" width="13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2" t="s">
        <v>321</v>
      </c>
    </row>
    <row r="3" customFormat="false" ht="15" hidden="false" customHeight="false" outlineLevel="0" collapsed="false">
      <c r="A3" s="21" t="s">
        <v>258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61.5" hidden="false" customHeight="true" outlineLevel="0" collapsed="false">
      <c r="A4" s="23" t="s">
        <v>12</v>
      </c>
      <c r="B4" s="23" t="s">
        <v>322</v>
      </c>
      <c r="C4" s="23" t="s">
        <v>323</v>
      </c>
      <c r="D4" s="23" t="s">
        <v>324</v>
      </c>
      <c r="E4" s="23" t="s">
        <v>282</v>
      </c>
      <c r="F4" s="23" t="s">
        <v>263</v>
      </c>
      <c r="G4" s="23" t="s">
        <v>290</v>
      </c>
      <c r="H4" s="23" t="s">
        <v>292</v>
      </c>
      <c r="I4" s="23" t="s">
        <v>325</v>
      </c>
      <c r="J4" s="23" t="s">
        <v>326</v>
      </c>
      <c r="K4" s="23" t="s">
        <v>327</v>
      </c>
      <c r="L4" s="23" t="s">
        <v>328</v>
      </c>
      <c r="M4" s="23" t="s">
        <v>303</v>
      </c>
      <c r="N4" s="23" t="s">
        <v>329</v>
      </c>
    </row>
    <row r="5" customFormat="false" ht="15" hidden="false" customHeight="false" outlineLevel="0" collapsed="false">
      <c r="A5" s="5" t="n">
        <v>1</v>
      </c>
      <c r="B5" s="29" t="str">
        <f aca="false">IFERROR(MATCH(A5,Homiladorlar!$AH$5:$AH$804,0),"")</f>
        <v/>
      </c>
      <c r="C5" s="5" t="str">
        <f aca="false">IF($B5="","",IF(INDEX(Homiladorlar!$B$5:$B$804,$B5)="","",INDEX(Homiladorlar!$B$5:$B$804,$B5)))</f>
        <v/>
      </c>
      <c r="D5" s="30" t="str">
        <f aca="false">IF($B5="","",IF(INDEX(Homiladorlar!$C$5:$C$804,$B5)="","",INDEX(Homiladorlar!$C$5:$C$804,$B5)))</f>
        <v/>
      </c>
      <c r="E5" s="5" t="str">
        <f aca="false">IF($B5="","",IF(INDEX(Homiladorlar!$F$5:$F$804,$B5)="","",INDEX(Homiladorlar!$F$5:$F$804,$B5)))</f>
        <v/>
      </c>
      <c r="F5" s="5" t="str">
        <f aca="false">IF($B5="","",IF(INDEX(Homiladorlar!$E$5:$E$804,$B5)="","",INDEX(Homiladorlar!$E$5:$E$804,$B5)))</f>
        <v/>
      </c>
      <c r="G5" s="5" t="str">
        <f aca="false">IF($B5="","",IF(INDEX(Homiladorlar!$O$5:$O$804,$B5)="","",INDEX(Homiladorlar!$O$5:$O$804,$B5)))</f>
        <v/>
      </c>
      <c r="H5" s="5" t="str">
        <f aca="false">IF($B5="","",IF(INDEX(Homiladorlar!$Q$5:$Q$804,$B5)="","",INDEX(Homiladorlar!$Q$5:$Q$804,$B5)))</f>
        <v/>
      </c>
      <c r="I5" s="5" t="str">
        <f aca="false">IF($B5="","",IF(INDEX(Homiladorlar!$R$5:$R$804,$B5)="","",INDEX(Homiladorlar!$R$5:$R$804,$B5)))</f>
        <v/>
      </c>
      <c r="J5" s="5" t="str">
        <f aca="false">IF($B5="","",IF(INDEX(Homiladorlar!$K$5:$K$804,$B5)="","",INDEX(Homiladorlar!$K$5:$K$804,$B5)))</f>
        <v/>
      </c>
      <c r="K5" s="30" t="str">
        <f aca="false">IF($B5="","",IF(INDEX(Homiladorlar!$J$5:$J$804,$B5)="","",INDEX(Homiladorlar!$J$5:$J$804,$B5)))</f>
        <v/>
      </c>
      <c r="L5" s="30" t="str">
        <f aca="false">IF($B5="","",IF(INDEX(Homiladorlar!$T$5:$T$804,$B5)="","",INDEX(Homiladorlar!$T$5:$T$804,$B5)))</f>
        <v/>
      </c>
      <c r="M5" s="30" t="str">
        <f aca="false">IF($B5="","",IF(INDEX(Homiladorlar!$AB$5:$AB$804,$B5)="","",INDEX(Homiladorlar!$AB$5:$AB$804,$B5)))</f>
        <v/>
      </c>
      <c r="N5" s="5" t="str">
        <f aca="false">IF($B5="","",IF(INDEX(Homiladorlar!$AC$5:$AC$804,$B5)="","",INDEX(Homiladorlar!$AC$5:$AC$804,$B5)))</f>
        <v/>
      </c>
    </row>
    <row r="6" customFormat="false" ht="15" hidden="false" customHeight="false" outlineLevel="0" collapsed="false">
      <c r="A6" s="5" t="n">
        <v>2</v>
      </c>
      <c r="B6" s="29" t="str">
        <f aca="false">IFERROR(MATCH(A6,Homiladorlar!$AH$5:$AH$804,0),"")</f>
        <v/>
      </c>
      <c r="C6" s="5" t="str">
        <f aca="false">IF($B6="","",IF(INDEX(Homiladorlar!$B$5:$B$804,$B6)="","",INDEX(Homiladorlar!$B$5:$B$804,$B6)))</f>
        <v/>
      </c>
      <c r="D6" s="30" t="str">
        <f aca="false">IF($B6="","",IF(INDEX(Homiladorlar!$C$5:$C$804,$B6)="","",INDEX(Homiladorlar!$C$5:$C$804,$B6)))</f>
        <v/>
      </c>
      <c r="E6" s="5" t="str">
        <f aca="false">IF($B6="","",IF(INDEX(Homiladorlar!$F$5:$F$804,$B6)="","",INDEX(Homiladorlar!$F$5:$F$804,$B6)))</f>
        <v/>
      </c>
      <c r="F6" s="5" t="str">
        <f aca="false">IF($B6="","",IF(INDEX(Homiladorlar!$E$5:$E$804,$B6)="","",INDEX(Homiladorlar!$E$5:$E$804,$B6)))</f>
        <v/>
      </c>
      <c r="G6" s="5" t="str">
        <f aca="false">IF($B6="","",IF(INDEX(Homiladorlar!$O$5:$O$804,$B6)="","",INDEX(Homiladorlar!$O$5:$O$804,$B6)))</f>
        <v/>
      </c>
      <c r="H6" s="5" t="str">
        <f aca="false">IF($B6="","",IF(INDEX(Homiladorlar!$Q$5:$Q$804,$B6)="","",INDEX(Homiladorlar!$Q$5:$Q$804,$B6)))</f>
        <v/>
      </c>
      <c r="I6" s="5" t="str">
        <f aca="false">IF($B6="","",IF(INDEX(Homiladorlar!$R$5:$R$804,$B6)="","",INDEX(Homiladorlar!$R$5:$R$804,$B6)))</f>
        <v/>
      </c>
      <c r="J6" s="5" t="str">
        <f aca="false">IF($B6="","",IF(INDEX(Homiladorlar!$K$5:$K$804,$B6)="","",INDEX(Homiladorlar!$K$5:$K$804,$B6)))</f>
        <v/>
      </c>
      <c r="K6" s="30" t="str">
        <f aca="false">IF($B6="","",IF(INDEX(Homiladorlar!$J$5:$J$804,$B6)="","",INDEX(Homiladorlar!$J$5:$J$804,$B6)))</f>
        <v/>
      </c>
      <c r="L6" s="30" t="str">
        <f aca="false">IF($B6="","",IF(INDEX(Homiladorlar!$T$5:$T$804,$B6)="","",INDEX(Homiladorlar!$T$5:$T$804,$B6)))</f>
        <v/>
      </c>
      <c r="M6" s="30" t="str">
        <f aca="false">IF($B6="","",IF(INDEX(Homiladorlar!$AB$5:$AB$804,$B6)="","",INDEX(Homiladorlar!$AB$5:$AB$804,$B6)))</f>
        <v/>
      </c>
      <c r="N6" s="5" t="str">
        <f aca="false">IF($B6="","",IF(INDEX(Homiladorlar!$AC$5:$AC$804,$B6)="","",INDEX(Homiladorlar!$AC$5:$AC$804,$B6)))</f>
        <v/>
      </c>
    </row>
    <row r="7" customFormat="false" ht="15" hidden="false" customHeight="false" outlineLevel="0" collapsed="false">
      <c r="A7" s="5" t="n">
        <v>3</v>
      </c>
      <c r="B7" s="29" t="str">
        <f aca="false">IFERROR(MATCH(A7,Homiladorlar!$AH$5:$AH$804,0),"")</f>
        <v/>
      </c>
      <c r="C7" s="5" t="str">
        <f aca="false">IF($B7="","",IF(INDEX(Homiladorlar!$B$5:$B$804,$B7)="","",INDEX(Homiladorlar!$B$5:$B$804,$B7)))</f>
        <v/>
      </c>
      <c r="D7" s="30" t="str">
        <f aca="false">IF($B7="","",IF(INDEX(Homiladorlar!$C$5:$C$804,$B7)="","",INDEX(Homiladorlar!$C$5:$C$804,$B7)))</f>
        <v/>
      </c>
      <c r="E7" s="5" t="str">
        <f aca="false">IF($B7="","",IF(INDEX(Homiladorlar!$F$5:$F$804,$B7)="","",INDEX(Homiladorlar!$F$5:$F$804,$B7)))</f>
        <v/>
      </c>
      <c r="F7" s="5" t="str">
        <f aca="false">IF($B7="","",IF(INDEX(Homiladorlar!$E$5:$E$804,$B7)="","",INDEX(Homiladorlar!$E$5:$E$804,$B7)))</f>
        <v/>
      </c>
      <c r="G7" s="5" t="str">
        <f aca="false">IF($B7="","",IF(INDEX(Homiladorlar!$O$5:$O$804,$B7)="","",INDEX(Homiladorlar!$O$5:$O$804,$B7)))</f>
        <v/>
      </c>
      <c r="H7" s="5" t="str">
        <f aca="false">IF($B7="","",IF(INDEX(Homiladorlar!$Q$5:$Q$804,$B7)="","",INDEX(Homiladorlar!$Q$5:$Q$804,$B7)))</f>
        <v/>
      </c>
      <c r="I7" s="5" t="str">
        <f aca="false">IF($B7="","",IF(INDEX(Homiladorlar!$R$5:$R$804,$B7)="","",INDEX(Homiladorlar!$R$5:$R$804,$B7)))</f>
        <v/>
      </c>
      <c r="J7" s="5" t="str">
        <f aca="false">IF($B7="","",IF(INDEX(Homiladorlar!$K$5:$K$804,$B7)="","",INDEX(Homiladorlar!$K$5:$K$804,$B7)))</f>
        <v/>
      </c>
      <c r="K7" s="30" t="str">
        <f aca="false">IF($B7="","",IF(INDEX(Homiladorlar!$J$5:$J$804,$B7)="","",INDEX(Homiladorlar!$J$5:$J$804,$B7)))</f>
        <v/>
      </c>
      <c r="L7" s="30" t="str">
        <f aca="false">IF($B7="","",IF(INDEX(Homiladorlar!$T$5:$T$804,$B7)="","",INDEX(Homiladorlar!$T$5:$T$804,$B7)))</f>
        <v/>
      </c>
      <c r="M7" s="30" t="str">
        <f aca="false">IF($B7="","",IF(INDEX(Homiladorlar!$AB$5:$AB$804,$B7)="","",INDEX(Homiladorlar!$AB$5:$AB$804,$B7)))</f>
        <v/>
      </c>
      <c r="N7" s="5" t="str">
        <f aca="false">IF($B7="","",IF(INDEX(Homiladorlar!$AC$5:$AC$804,$B7)="","",INDEX(Homiladorlar!$AC$5:$AC$804,$B7)))</f>
        <v/>
      </c>
    </row>
    <row r="8" customFormat="false" ht="15" hidden="false" customHeight="false" outlineLevel="0" collapsed="false">
      <c r="A8" s="5" t="n">
        <v>4</v>
      </c>
      <c r="B8" s="29" t="str">
        <f aca="false">IFERROR(MATCH(A8,Homiladorlar!$AH$5:$AH$804,0),"")</f>
        <v/>
      </c>
      <c r="C8" s="5" t="str">
        <f aca="false">IF($B8="","",IF(INDEX(Homiladorlar!$B$5:$B$804,$B8)="","",INDEX(Homiladorlar!$B$5:$B$804,$B8)))</f>
        <v/>
      </c>
      <c r="D8" s="30" t="str">
        <f aca="false">IF($B8="","",IF(INDEX(Homiladorlar!$C$5:$C$804,$B8)="","",INDEX(Homiladorlar!$C$5:$C$804,$B8)))</f>
        <v/>
      </c>
      <c r="E8" s="5" t="str">
        <f aca="false">IF($B8="","",IF(INDEX(Homiladorlar!$F$5:$F$804,$B8)="","",INDEX(Homiladorlar!$F$5:$F$804,$B8)))</f>
        <v/>
      </c>
      <c r="F8" s="5" t="str">
        <f aca="false">IF($B8="","",IF(INDEX(Homiladorlar!$E$5:$E$804,$B8)="","",INDEX(Homiladorlar!$E$5:$E$804,$B8)))</f>
        <v/>
      </c>
      <c r="G8" s="5" t="str">
        <f aca="false">IF($B8="","",IF(INDEX(Homiladorlar!$O$5:$O$804,$B8)="","",INDEX(Homiladorlar!$O$5:$O$804,$B8)))</f>
        <v/>
      </c>
      <c r="H8" s="5" t="str">
        <f aca="false">IF($B8="","",IF(INDEX(Homiladorlar!$Q$5:$Q$804,$B8)="","",INDEX(Homiladorlar!$Q$5:$Q$804,$B8)))</f>
        <v/>
      </c>
      <c r="I8" s="5" t="str">
        <f aca="false">IF($B8="","",IF(INDEX(Homiladorlar!$R$5:$R$804,$B8)="","",INDEX(Homiladorlar!$R$5:$R$804,$B8)))</f>
        <v/>
      </c>
      <c r="J8" s="5" t="str">
        <f aca="false">IF($B8="","",IF(INDEX(Homiladorlar!$K$5:$K$804,$B8)="","",INDEX(Homiladorlar!$K$5:$K$804,$B8)))</f>
        <v/>
      </c>
      <c r="K8" s="30" t="str">
        <f aca="false">IF($B8="","",IF(INDEX(Homiladorlar!$J$5:$J$804,$B8)="","",INDEX(Homiladorlar!$J$5:$J$804,$B8)))</f>
        <v/>
      </c>
      <c r="L8" s="30" t="str">
        <f aca="false">IF($B8="","",IF(INDEX(Homiladorlar!$T$5:$T$804,$B8)="","",INDEX(Homiladorlar!$T$5:$T$804,$B8)))</f>
        <v/>
      </c>
      <c r="M8" s="30" t="str">
        <f aca="false">IF($B8="","",IF(INDEX(Homiladorlar!$AB$5:$AB$804,$B8)="","",INDEX(Homiladorlar!$AB$5:$AB$804,$B8)))</f>
        <v/>
      </c>
      <c r="N8" s="5" t="str">
        <f aca="false">IF($B8="","",IF(INDEX(Homiladorlar!$AC$5:$AC$804,$B8)="","",INDEX(Homiladorlar!$AC$5:$AC$804,$B8)))</f>
        <v/>
      </c>
    </row>
    <row r="9" customFormat="false" ht="15" hidden="false" customHeight="false" outlineLevel="0" collapsed="false">
      <c r="A9" s="5" t="n">
        <v>5</v>
      </c>
      <c r="B9" s="29" t="str">
        <f aca="false">IFERROR(MATCH(A9,Homiladorlar!$AH$5:$AH$804,0),"")</f>
        <v/>
      </c>
      <c r="C9" s="5" t="str">
        <f aca="false">IF($B9="","",IF(INDEX(Homiladorlar!$B$5:$B$804,$B9)="","",INDEX(Homiladorlar!$B$5:$B$804,$B9)))</f>
        <v/>
      </c>
      <c r="D9" s="30" t="str">
        <f aca="false">IF($B9="","",IF(INDEX(Homiladorlar!$C$5:$C$804,$B9)="","",INDEX(Homiladorlar!$C$5:$C$804,$B9)))</f>
        <v/>
      </c>
      <c r="E9" s="5" t="str">
        <f aca="false">IF($B9="","",IF(INDEX(Homiladorlar!$F$5:$F$804,$B9)="","",INDEX(Homiladorlar!$F$5:$F$804,$B9)))</f>
        <v/>
      </c>
      <c r="F9" s="5" t="str">
        <f aca="false">IF($B9="","",IF(INDEX(Homiladorlar!$E$5:$E$804,$B9)="","",INDEX(Homiladorlar!$E$5:$E$804,$B9)))</f>
        <v/>
      </c>
      <c r="G9" s="5" t="str">
        <f aca="false">IF($B9="","",IF(INDEX(Homiladorlar!$O$5:$O$804,$B9)="","",INDEX(Homiladorlar!$O$5:$O$804,$B9)))</f>
        <v/>
      </c>
      <c r="H9" s="5" t="str">
        <f aca="false">IF($B9="","",IF(INDEX(Homiladorlar!$Q$5:$Q$804,$B9)="","",INDEX(Homiladorlar!$Q$5:$Q$804,$B9)))</f>
        <v/>
      </c>
      <c r="I9" s="5" t="str">
        <f aca="false">IF($B9="","",IF(INDEX(Homiladorlar!$R$5:$R$804,$B9)="","",INDEX(Homiladorlar!$R$5:$R$804,$B9)))</f>
        <v/>
      </c>
      <c r="J9" s="5" t="str">
        <f aca="false">IF($B9="","",IF(INDEX(Homiladorlar!$K$5:$K$804,$B9)="","",INDEX(Homiladorlar!$K$5:$K$804,$B9)))</f>
        <v/>
      </c>
      <c r="K9" s="30" t="str">
        <f aca="false">IF($B9="","",IF(INDEX(Homiladorlar!$J$5:$J$804,$B9)="","",INDEX(Homiladorlar!$J$5:$J$804,$B9)))</f>
        <v/>
      </c>
      <c r="L9" s="30" t="str">
        <f aca="false">IF($B9="","",IF(INDEX(Homiladorlar!$T$5:$T$804,$B9)="","",INDEX(Homiladorlar!$T$5:$T$804,$B9)))</f>
        <v/>
      </c>
      <c r="M9" s="30" t="str">
        <f aca="false">IF($B9="","",IF(INDEX(Homiladorlar!$AB$5:$AB$804,$B9)="","",INDEX(Homiladorlar!$AB$5:$AB$804,$B9)))</f>
        <v/>
      </c>
      <c r="N9" s="5" t="str">
        <f aca="false">IF($B9="","",IF(INDEX(Homiladorlar!$AC$5:$AC$804,$B9)="","",INDEX(Homiladorlar!$AC$5:$AC$804,$B9)))</f>
        <v/>
      </c>
    </row>
    <row r="10" customFormat="false" ht="15" hidden="false" customHeight="false" outlineLevel="0" collapsed="false">
      <c r="A10" s="5" t="n">
        <v>6</v>
      </c>
      <c r="B10" s="29" t="str">
        <f aca="false">IFERROR(MATCH(A10,Homiladorlar!$AH$5:$AH$804,0),"")</f>
        <v/>
      </c>
      <c r="C10" s="5" t="str">
        <f aca="false">IF($B10="","",IF(INDEX(Homiladorlar!$B$5:$B$804,$B10)="","",INDEX(Homiladorlar!$B$5:$B$804,$B10)))</f>
        <v/>
      </c>
      <c r="D10" s="30" t="str">
        <f aca="false">IF($B10="","",IF(INDEX(Homiladorlar!$C$5:$C$804,$B10)="","",INDEX(Homiladorlar!$C$5:$C$804,$B10)))</f>
        <v/>
      </c>
      <c r="E10" s="5" t="str">
        <f aca="false">IF($B10="","",IF(INDEX(Homiladorlar!$F$5:$F$804,$B10)="","",INDEX(Homiladorlar!$F$5:$F$804,$B10)))</f>
        <v/>
      </c>
      <c r="F10" s="5" t="str">
        <f aca="false">IF($B10="","",IF(INDEX(Homiladorlar!$E$5:$E$804,$B10)="","",INDEX(Homiladorlar!$E$5:$E$804,$B10)))</f>
        <v/>
      </c>
      <c r="G10" s="5" t="str">
        <f aca="false">IF($B10="","",IF(INDEX(Homiladorlar!$O$5:$O$804,$B10)="","",INDEX(Homiladorlar!$O$5:$O$804,$B10)))</f>
        <v/>
      </c>
      <c r="H10" s="5" t="str">
        <f aca="false">IF($B10="","",IF(INDEX(Homiladorlar!$Q$5:$Q$804,$B10)="","",INDEX(Homiladorlar!$Q$5:$Q$804,$B10)))</f>
        <v/>
      </c>
      <c r="I10" s="5" t="str">
        <f aca="false">IF($B10="","",IF(INDEX(Homiladorlar!$R$5:$R$804,$B10)="","",INDEX(Homiladorlar!$R$5:$R$804,$B10)))</f>
        <v/>
      </c>
      <c r="J10" s="5" t="str">
        <f aca="false">IF($B10="","",IF(INDEX(Homiladorlar!$K$5:$K$804,$B10)="","",INDEX(Homiladorlar!$K$5:$K$804,$B10)))</f>
        <v/>
      </c>
      <c r="K10" s="30" t="str">
        <f aca="false">IF($B10="","",IF(INDEX(Homiladorlar!$J$5:$J$804,$B10)="","",INDEX(Homiladorlar!$J$5:$J$804,$B10)))</f>
        <v/>
      </c>
      <c r="L10" s="30" t="str">
        <f aca="false">IF($B10="","",IF(INDEX(Homiladorlar!$T$5:$T$804,$B10)="","",INDEX(Homiladorlar!$T$5:$T$804,$B10)))</f>
        <v/>
      </c>
      <c r="M10" s="30" t="str">
        <f aca="false">IF($B10="","",IF(INDEX(Homiladorlar!$AB$5:$AB$804,$B10)="","",INDEX(Homiladorlar!$AB$5:$AB$804,$B10)))</f>
        <v/>
      </c>
      <c r="N10" s="5" t="str">
        <f aca="false">IF($B10="","",IF(INDEX(Homiladorlar!$AC$5:$AC$804,$B10)="","",INDEX(Homiladorlar!$AC$5:$AC$804,$B10)))</f>
        <v/>
      </c>
    </row>
    <row r="11" customFormat="false" ht="15" hidden="false" customHeight="false" outlineLevel="0" collapsed="false">
      <c r="A11" s="5" t="n">
        <v>7</v>
      </c>
      <c r="B11" s="29" t="str">
        <f aca="false">IFERROR(MATCH(A11,Homiladorlar!$AH$5:$AH$804,0),"")</f>
        <v/>
      </c>
      <c r="C11" s="5" t="str">
        <f aca="false">IF($B11="","",IF(INDEX(Homiladorlar!$B$5:$B$804,$B11)="","",INDEX(Homiladorlar!$B$5:$B$804,$B11)))</f>
        <v/>
      </c>
      <c r="D11" s="30" t="str">
        <f aca="false">IF($B11="","",IF(INDEX(Homiladorlar!$C$5:$C$804,$B11)="","",INDEX(Homiladorlar!$C$5:$C$804,$B11)))</f>
        <v/>
      </c>
      <c r="E11" s="5" t="str">
        <f aca="false">IF($B11="","",IF(INDEX(Homiladorlar!$F$5:$F$804,$B11)="","",INDEX(Homiladorlar!$F$5:$F$804,$B11)))</f>
        <v/>
      </c>
      <c r="F11" s="5" t="str">
        <f aca="false">IF($B11="","",IF(INDEX(Homiladorlar!$E$5:$E$804,$B11)="","",INDEX(Homiladorlar!$E$5:$E$804,$B11)))</f>
        <v/>
      </c>
      <c r="G11" s="5" t="str">
        <f aca="false">IF($B11="","",IF(INDEX(Homiladorlar!$O$5:$O$804,$B11)="","",INDEX(Homiladorlar!$O$5:$O$804,$B11)))</f>
        <v/>
      </c>
      <c r="H11" s="5" t="str">
        <f aca="false">IF($B11="","",IF(INDEX(Homiladorlar!$Q$5:$Q$804,$B11)="","",INDEX(Homiladorlar!$Q$5:$Q$804,$B11)))</f>
        <v/>
      </c>
      <c r="I11" s="5" t="str">
        <f aca="false">IF($B11="","",IF(INDEX(Homiladorlar!$R$5:$R$804,$B11)="","",INDEX(Homiladorlar!$R$5:$R$804,$B11)))</f>
        <v/>
      </c>
      <c r="J11" s="5" t="str">
        <f aca="false">IF($B11="","",IF(INDEX(Homiladorlar!$K$5:$K$804,$B11)="","",INDEX(Homiladorlar!$K$5:$K$804,$B11)))</f>
        <v/>
      </c>
      <c r="K11" s="30" t="str">
        <f aca="false">IF($B11="","",IF(INDEX(Homiladorlar!$J$5:$J$804,$B11)="","",INDEX(Homiladorlar!$J$5:$J$804,$B11)))</f>
        <v/>
      </c>
      <c r="L11" s="30" t="str">
        <f aca="false">IF($B11="","",IF(INDEX(Homiladorlar!$T$5:$T$804,$B11)="","",INDEX(Homiladorlar!$T$5:$T$804,$B11)))</f>
        <v/>
      </c>
      <c r="M11" s="30" t="str">
        <f aca="false">IF($B11="","",IF(INDEX(Homiladorlar!$AB$5:$AB$804,$B11)="","",INDEX(Homiladorlar!$AB$5:$AB$804,$B11)))</f>
        <v/>
      </c>
      <c r="N11" s="5" t="str">
        <f aca="false">IF($B11="","",IF(INDEX(Homiladorlar!$AC$5:$AC$804,$B11)="","",INDEX(Homiladorlar!$AC$5:$AC$804,$B11)))</f>
        <v/>
      </c>
    </row>
    <row r="12" customFormat="false" ht="15" hidden="false" customHeight="false" outlineLevel="0" collapsed="false">
      <c r="A12" s="5" t="n">
        <v>8</v>
      </c>
      <c r="B12" s="29" t="str">
        <f aca="false">IFERROR(MATCH(A12,Homiladorlar!$AH$5:$AH$804,0),"")</f>
        <v/>
      </c>
      <c r="C12" s="5" t="str">
        <f aca="false">IF($B12="","",IF(INDEX(Homiladorlar!$B$5:$B$804,$B12)="","",INDEX(Homiladorlar!$B$5:$B$804,$B12)))</f>
        <v/>
      </c>
      <c r="D12" s="30" t="str">
        <f aca="false">IF($B12="","",IF(INDEX(Homiladorlar!$C$5:$C$804,$B12)="","",INDEX(Homiladorlar!$C$5:$C$804,$B12)))</f>
        <v/>
      </c>
      <c r="E12" s="5" t="str">
        <f aca="false">IF($B12="","",IF(INDEX(Homiladorlar!$F$5:$F$804,$B12)="","",INDEX(Homiladorlar!$F$5:$F$804,$B12)))</f>
        <v/>
      </c>
      <c r="F12" s="5" t="str">
        <f aca="false">IF($B12="","",IF(INDEX(Homiladorlar!$E$5:$E$804,$B12)="","",INDEX(Homiladorlar!$E$5:$E$804,$B12)))</f>
        <v/>
      </c>
      <c r="G12" s="5" t="str">
        <f aca="false">IF($B12="","",IF(INDEX(Homiladorlar!$O$5:$O$804,$B12)="","",INDEX(Homiladorlar!$O$5:$O$804,$B12)))</f>
        <v/>
      </c>
      <c r="H12" s="5" t="str">
        <f aca="false">IF($B12="","",IF(INDEX(Homiladorlar!$Q$5:$Q$804,$B12)="","",INDEX(Homiladorlar!$Q$5:$Q$804,$B12)))</f>
        <v/>
      </c>
      <c r="I12" s="5" t="str">
        <f aca="false">IF($B12="","",IF(INDEX(Homiladorlar!$R$5:$R$804,$B12)="","",INDEX(Homiladorlar!$R$5:$R$804,$B12)))</f>
        <v/>
      </c>
      <c r="J12" s="5" t="str">
        <f aca="false">IF($B12="","",IF(INDEX(Homiladorlar!$K$5:$K$804,$B12)="","",INDEX(Homiladorlar!$K$5:$K$804,$B12)))</f>
        <v/>
      </c>
      <c r="K12" s="30" t="str">
        <f aca="false">IF($B12="","",IF(INDEX(Homiladorlar!$J$5:$J$804,$B12)="","",INDEX(Homiladorlar!$J$5:$J$804,$B12)))</f>
        <v/>
      </c>
      <c r="L12" s="30" t="str">
        <f aca="false">IF($B12="","",IF(INDEX(Homiladorlar!$T$5:$T$804,$B12)="","",INDEX(Homiladorlar!$T$5:$T$804,$B12)))</f>
        <v/>
      </c>
      <c r="M12" s="30" t="str">
        <f aca="false">IF($B12="","",IF(INDEX(Homiladorlar!$AB$5:$AB$804,$B12)="","",INDEX(Homiladorlar!$AB$5:$AB$804,$B12)))</f>
        <v/>
      </c>
      <c r="N12" s="5" t="str">
        <f aca="false">IF($B12="","",IF(INDEX(Homiladorlar!$AC$5:$AC$804,$B12)="","",INDEX(Homiladorlar!$AC$5:$AC$804,$B12)))</f>
        <v/>
      </c>
    </row>
    <row r="13" customFormat="false" ht="15" hidden="false" customHeight="false" outlineLevel="0" collapsed="false">
      <c r="A13" s="5" t="n">
        <v>9</v>
      </c>
      <c r="B13" s="29" t="str">
        <f aca="false">IFERROR(MATCH(A13,Homiladorlar!$AH$5:$AH$804,0),"")</f>
        <v/>
      </c>
      <c r="C13" s="5" t="str">
        <f aca="false">IF($B13="","",IF(INDEX(Homiladorlar!$B$5:$B$804,$B13)="","",INDEX(Homiladorlar!$B$5:$B$804,$B13)))</f>
        <v/>
      </c>
      <c r="D13" s="30" t="str">
        <f aca="false">IF($B13="","",IF(INDEX(Homiladorlar!$C$5:$C$804,$B13)="","",INDEX(Homiladorlar!$C$5:$C$804,$B13)))</f>
        <v/>
      </c>
      <c r="E13" s="5" t="str">
        <f aca="false">IF($B13="","",IF(INDEX(Homiladorlar!$F$5:$F$804,$B13)="","",INDEX(Homiladorlar!$F$5:$F$804,$B13)))</f>
        <v/>
      </c>
      <c r="F13" s="5" t="str">
        <f aca="false">IF($B13="","",IF(INDEX(Homiladorlar!$E$5:$E$804,$B13)="","",INDEX(Homiladorlar!$E$5:$E$804,$B13)))</f>
        <v/>
      </c>
      <c r="G13" s="5" t="str">
        <f aca="false">IF($B13="","",IF(INDEX(Homiladorlar!$O$5:$O$804,$B13)="","",INDEX(Homiladorlar!$O$5:$O$804,$B13)))</f>
        <v/>
      </c>
      <c r="H13" s="5" t="str">
        <f aca="false">IF($B13="","",IF(INDEX(Homiladorlar!$Q$5:$Q$804,$B13)="","",INDEX(Homiladorlar!$Q$5:$Q$804,$B13)))</f>
        <v/>
      </c>
      <c r="I13" s="5" t="str">
        <f aca="false">IF($B13="","",IF(INDEX(Homiladorlar!$R$5:$R$804,$B13)="","",INDEX(Homiladorlar!$R$5:$R$804,$B13)))</f>
        <v/>
      </c>
      <c r="J13" s="5" t="str">
        <f aca="false">IF($B13="","",IF(INDEX(Homiladorlar!$K$5:$K$804,$B13)="","",INDEX(Homiladorlar!$K$5:$K$804,$B13)))</f>
        <v/>
      </c>
      <c r="K13" s="30" t="str">
        <f aca="false">IF($B13="","",IF(INDEX(Homiladorlar!$J$5:$J$804,$B13)="","",INDEX(Homiladorlar!$J$5:$J$804,$B13)))</f>
        <v/>
      </c>
      <c r="L13" s="30" t="str">
        <f aca="false">IF($B13="","",IF(INDEX(Homiladorlar!$T$5:$T$804,$B13)="","",INDEX(Homiladorlar!$T$5:$T$804,$B13)))</f>
        <v/>
      </c>
      <c r="M13" s="30" t="str">
        <f aca="false">IF($B13="","",IF(INDEX(Homiladorlar!$AB$5:$AB$804,$B13)="","",INDEX(Homiladorlar!$AB$5:$AB$804,$B13)))</f>
        <v/>
      </c>
      <c r="N13" s="5" t="str">
        <f aca="false">IF($B13="","",IF(INDEX(Homiladorlar!$AC$5:$AC$804,$B13)="","",INDEX(Homiladorlar!$AC$5:$AC$804,$B13)))</f>
        <v/>
      </c>
    </row>
    <row r="14" customFormat="false" ht="15" hidden="false" customHeight="false" outlineLevel="0" collapsed="false">
      <c r="A14" s="5" t="n">
        <v>10</v>
      </c>
      <c r="B14" s="29" t="str">
        <f aca="false">IFERROR(MATCH(A14,Homiladorlar!$AH$5:$AH$804,0),"")</f>
        <v/>
      </c>
      <c r="C14" s="5" t="str">
        <f aca="false">IF($B14="","",IF(INDEX(Homiladorlar!$B$5:$B$804,$B14)="","",INDEX(Homiladorlar!$B$5:$B$804,$B14)))</f>
        <v/>
      </c>
      <c r="D14" s="30" t="str">
        <f aca="false">IF($B14="","",IF(INDEX(Homiladorlar!$C$5:$C$804,$B14)="","",INDEX(Homiladorlar!$C$5:$C$804,$B14)))</f>
        <v/>
      </c>
      <c r="E14" s="5" t="str">
        <f aca="false">IF($B14="","",IF(INDEX(Homiladorlar!$F$5:$F$804,$B14)="","",INDEX(Homiladorlar!$F$5:$F$804,$B14)))</f>
        <v/>
      </c>
      <c r="F14" s="5" t="str">
        <f aca="false">IF($B14="","",IF(INDEX(Homiladorlar!$E$5:$E$804,$B14)="","",INDEX(Homiladorlar!$E$5:$E$804,$B14)))</f>
        <v/>
      </c>
      <c r="G14" s="5" t="str">
        <f aca="false">IF($B14="","",IF(INDEX(Homiladorlar!$O$5:$O$804,$B14)="","",INDEX(Homiladorlar!$O$5:$O$804,$B14)))</f>
        <v/>
      </c>
      <c r="H14" s="5" t="str">
        <f aca="false">IF($B14="","",IF(INDEX(Homiladorlar!$Q$5:$Q$804,$B14)="","",INDEX(Homiladorlar!$Q$5:$Q$804,$B14)))</f>
        <v/>
      </c>
      <c r="I14" s="5" t="str">
        <f aca="false">IF($B14="","",IF(INDEX(Homiladorlar!$R$5:$R$804,$B14)="","",INDEX(Homiladorlar!$R$5:$R$804,$B14)))</f>
        <v/>
      </c>
      <c r="J14" s="5" t="str">
        <f aca="false">IF($B14="","",IF(INDEX(Homiladorlar!$K$5:$K$804,$B14)="","",INDEX(Homiladorlar!$K$5:$K$804,$B14)))</f>
        <v/>
      </c>
      <c r="K14" s="30" t="str">
        <f aca="false">IF($B14="","",IF(INDEX(Homiladorlar!$J$5:$J$804,$B14)="","",INDEX(Homiladorlar!$J$5:$J$804,$B14)))</f>
        <v/>
      </c>
      <c r="L14" s="30" t="str">
        <f aca="false">IF($B14="","",IF(INDEX(Homiladorlar!$T$5:$T$804,$B14)="","",INDEX(Homiladorlar!$T$5:$T$804,$B14)))</f>
        <v/>
      </c>
      <c r="M14" s="30" t="str">
        <f aca="false">IF($B14="","",IF(INDEX(Homiladorlar!$AB$5:$AB$804,$B14)="","",INDEX(Homiladorlar!$AB$5:$AB$804,$B14)))</f>
        <v/>
      </c>
      <c r="N14" s="5" t="str">
        <f aca="false">IF($B14="","",IF(INDEX(Homiladorlar!$AC$5:$AC$804,$B14)="","",INDEX(Homiladorlar!$AC$5:$AC$804,$B14)))</f>
        <v/>
      </c>
    </row>
    <row r="15" customFormat="false" ht="15" hidden="false" customHeight="false" outlineLevel="0" collapsed="false">
      <c r="A15" s="5" t="n">
        <v>11</v>
      </c>
      <c r="B15" s="29" t="str">
        <f aca="false">IFERROR(MATCH(A15,Homiladorlar!$AH$5:$AH$804,0),"")</f>
        <v/>
      </c>
      <c r="C15" s="5" t="str">
        <f aca="false">IF($B15="","",IF(INDEX(Homiladorlar!$B$5:$B$804,$B15)="","",INDEX(Homiladorlar!$B$5:$B$804,$B15)))</f>
        <v/>
      </c>
      <c r="D15" s="30" t="str">
        <f aca="false">IF($B15="","",IF(INDEX(Homiladorlar!$C$5:$C$804,$B15)="","",INDEX(Homiladorlar!$C$5:$C$804,$B15)))</f>
        <v/>
      </c>
      <c r="E15" s="5" t="str">
        <f aca="false">IF($B15="","",IF(INDEX(Homiladorlar!$F$5:$F$804,$B15)="","",INDEX(Homiladorlar!$F$5:$F$804,$B15)))</f>
        <v/>
      </c>
      <c r="F15" s="5" t="str">
        <f aca="false">IF($B15="","",IF(INDEX(Homiladorlar!$E$5:$E$804,$B15)="","",INDEX(Homiladorlar!$E$5:$E$804,$B15)))</f>
        <v/>
      </c>
      <c r="G15" s="5" t="str">
        <f aca="false">IF($B15="","",IF(INDEX(Homiladorlar!$O$5:$O$804,$B15)="","",INDEX(Homiladorlar!$O$5:$O$804,$B15)))</f>
        <v/>
      </c>
      <c r="H15" s="5" t="str">
        <f aca="false">IF($B15="","",IF(INDEX(Homiladorlar!$Q$5:$Q$804,$B15)="","",INDEX(Homiladorlar!$Q$5:$Q$804,$B15)))</f>
        <v/>
      </c>
      <c r="I15" s="5" t="str">
        <f aca="false">IF($B15="","",IF(INDEX(Homiladorlar!$R$5:$R$804,$B15)="","",INDEX(Homiladorlar!$R$5:$R$804,$B15)))</f>
        <v/>
      </c>
      <c r="J15" s="5" t="str">
        <f aca="false">IF($B15="","",IF(INDEX(Homiladorlar!$K$5:$K$804,$B15)="","",INDEX(Homiladorlar!$K$5:$K$804,$B15)))</f>
        <v/>
      </c>
      <c r="K15" s="30" t="str">
        <f aca="false">IF($B15="","",IF(INDEX(Homiladorlar!$J$5:$J$804,$B15)="","",INDEX(Homiladorlar!$J$5:$J$804,$B15)))</f>
        <v/>
      </c>
      <c r="L15" s="30" t="str">
        <f aca="false">IF($B15="","",IF(INDEX(Homiladorlar!$T$5:$T$804,$B15)="","",INDEX(Homiladorlar!$T$5:$T$804,$B15)))</f>
        <v/>
      </c>
      <c r="M15" s="30" t="str">
        <f aca="false">IF($B15="","",IF(INDEX(Homiladorlar!$AB$5:$AB$804,$B15)="","",INDEX(Homiladorlar!$AB$5:$AB$804,$B15)))</f>
        <v/>
      </c>
      <c r="N15" s="5" t="str">
        <f aca="false">IF($B15="","",IF(INDEX(Homiladorlar!$AC$5:$AC$804,$B15)="","",INDEX(Homiladorlar!$AC$5:$AC$804,$B15)))</f>
        <v/>
      </c>
    </row>
    <row r="16" customFormat="false" ht="15" hidden="false" customHeight="false" outlineLevel="0" collapsed="false">
      <c r="A16" s="5" t="n">
        <v>12</v>
      </c>
      <c r="B16" s="29" t="str">
        <f aca="false">IFERROR(MATCH(A16,Homiladorlar!$AH$5:$AH$804,0),"")</f>
        <v/>
      </c>
      <c r="C16" s="5" t="str">
        <f aca="false">IF($B16="","",IF(INDEX(Homiladorlar!$B$5:$B$804,$B16)="","",INDEX(Homiladorlar!$B$5:$B$804,$B16)))</f>
        <v/>
      </c>
      <c r="D16" s="30" t="str">
        <f aca="false">IF($B16="","",IF(INDEX(Homiladorlar!$C$5:$C$804,$B16)="","",INDEX(Homiladorlar!$C$5:$C$804,$B16)))</f>
        <v/>
      </c>
      <c r="E16" s="5" t="str">
        <f aca="false">IF($B16="","",IF(INDEX(Homiladorlar!$F$5:$F$804,$B16)="","",INDEX(Homiladorlar!$F$5:$F$804,$B16)))</f>
        <v/>
      </c>
      <c r="F16" s="5" t="str">
        <f aca="false">IF($B16="","",IF(INDEX(Homiladorlar!$E$5:$E$804,$B16)="","",INDEX(Homiladorlar!$E$5:$E$804,$B16)))</f>
        <v/>
      </c>
      <c r="G16" s="5" t="str">
        <f aca="false">IF($B16="","",IF(INDEX(Homiladorlar!$O$5:$O$804,$B16)="","",INDEX(Homiladorlar!$O$5:$O$804,$B16)))</f>
        <v/>
      </c>
      <c r="H16" s="5" t="str">
        <f aca="false">IF($B16="","",IF(INDEX(Homiladorlar!$Q$5:$Q$804,$B16)="","",INDEX(Homiladorlar!$Q$5:$Q$804,$B16)))</f>
        <v/>
      </c>
      <c r="I16" s="5" t="str">
        <f aca="false">IF($B16="","",IF(INDEX(Homiladorlar!$R$5:$R$804,$B16)="","",INDEX(Homiladorlar!$R$5:$R$804,$B16)))</f>
        <v/>
      </c>
      <c r="J16" s="5" t="str">
        <f aca="false">IF($B16="","",IF(INDEX(Homiladorlar!$K$5:$K$804,$B16)="","",INDEX(Homiladorlar!$K$5:$K$804,$B16)))</f>
        <v/>
      </c>
      <c r="K16" s="30" t="str">
        <f aca="false">IF($B16="","",IF(INDEX(Homiladorlar!$J$5:$J$804,$B16)="","",INDEX(Homiladorlar!$J$5:$J$804,$B16)))</f>
        <v/>
      </c>
      <c r="L16" s="30" t="str">
        <f aca="false">IF($B16="","",IF(INDEX(Homiladorlar!$T$5:$T$804,$B16)="","",INDEX(Homiladorlar!$T$5:$T$804,$B16)))</f>
        <v/>
      </c>
      <c r="M16" s="30" t="str">
        <f aca="false">IF($B16="","",IF(INDEX(Homiladorlar!$AB$5:$AB$804,$B16)="","",INDEX(Homiladorlar!$AB$5:$AB$804,$B16)))</f>
        <v/>
      </c>
      <c r="N16" s="5" t="str">
        <f aca="false">IF($B16="","",IF(INDEX(Homiladorlar!$AC$5:$AC$804,$B16)="","",INDEX(Homiladorlar!$AC$5:$AC$804,$B16)))</f>
        <v/>
      </c>
    </row>
    <row r="17" customFormat="false" ht="15" hidden="false" customHeight="false" outlineLevel="0" collapsed="false">
      <c r="A17" s="5" t="n">
        <v>13</v>
      </c>
      <c r="B17" s="29" t="str">
        <f aca="false">IFERROR(MATCH(A17,Homiladorlar!$AH$5:$AH$804,0),"")</f>
        <v/>
      </c>
      <c r="C17" s="5" t="str">
        <f aca="false">IF($B17="","",IF(INDEX(Homiladorlar!$B$5:$B$804,$B17)="","",INDEX(Homiladorlar!$B$5:$B$804,$B17)))</f>
        <v/>
      </c>
      <c r="D17" s="30" t="str">
        <f aca="false">IF($B17="","",IF(INDEX(Homiladorlar!$C$5:$C$804,$B17)="","",INDEX(Homiladorlar!$C$5:$C$804,$B17)))</f>
        <v/>
      </c>
      <c r="E17" s="5" t="str">
        <f aca="false">IF($B17="","",IF(INDEX(Homiladorlar!$F$5:$F$804,$B17)="","",INDEX(Homiladorlar!$F$5:$F$804,$B17)))</f>
        <v/>
      </c>
      <c r="F17" s="5" t="str">
        <f aca="false">IF($B17="","",IF(INDEX(Homiladorlar!$E$5:$E$804,$B17)="","",INDEX(Homiladorlar!$E$5:$E$804,$B17)))</f>
        <v/>
      </c>
      <c r="G17" s="5" t="str">
        <f aca="false">IF($B17="","",IF(INDEX(Homiladorlar!$O$5:$O$804,$B17)="","",INDEX(Homiladorlar!$O$5:$O$804,$B17)))</f>
        <v/>
      </c>
      <c r="H17" s="5" t="str">
        <f aca="false">IF($B17="","",IF(INDEX(Homiladorlar!$Q$5:$Q$804,$B17)="","",INDEX(Homiladorlar!$Q$5:$Q$804,$B17)))</f>
        <v/>
      </c>
      <c r="I17" s="5" t="str">
        <f aca="false">IF($B17="","",IF(INDEX(Homiladorlar!$R$5:$R$804,$B17)="","",INDEX(Homiladorlar!$R$5:$R$804,$B17)))</f>
        <v/>
      </c>
      <c r="J17" s="5" t="str">
        <f aca="false">IF($B17="","",IF(INDEX(Homiladorlar!$K$5:$K$804,$B17)="","",INDEX(Homiladorlar!$K$5:$K$804,$B17)))</f>
        <v/>
      </c>
      <c r="K17" s="30" t="str">
        <f aca="false">IF($B17="","",IF(INDEX(Homiladorlar!$J$5:$J$804,$B17)="","",INDEX(Homiladorlar!$J$5:$J$804,$B17)))</f>
        <v/>
      </c>
      <c r="L17" s="30" t="str">
        <f aca="false">IF($B17="","",IF(INDEX(Homiladorlar!$T$5:$T$804,$B17)="","",INDEX(Homiladorlar!$T$5:$T$804,$B17)))</f>
        <v/>
      </c>
      <c r="M17" s="30" t="str">
        <f aca="false">IF($B17="","",IF(INDEX(Homiladorlar!$AB$5:$AB$804,$B17)="","",INDEX(Homiladorlar!$AB$5:$AB$804,$B17)))</f>
        <v/>
      </c>
      <c r="N17" s="5" t="str">
        <f aca="false">IF($B17="","",IF(INDEX(Homiladorlar!$AC$5:$AC$804,$B17)="","",INDEX(Homiladorlar!$AC$5:$AC$804,$B17)))</f>
        <v/>
      </c>
    </row>
    <row r="18" customFormat="false" ht="15" hidden="false" customHeight="false" outlineLevel="0" collapsed="false">
      <c r="A18" s="5" t="n">
        <v>14</v>
      </c>
      <c r="B18" s="29" t="str">
        <f aca="false">IFERROR(MATCH(A18,Homiladorlar!$AH$5:$AH$804,0),"")</f>
        <v/>
      </c>
      <c r="C18" s="5" t="str">
        <f aca="false">IF($B18="","",IF(INDEX(Homiladorlar!$B$5:$B$804,$B18)="","",INDEX(Homiladorlar!$B$5:$B$804,$B18)))</f>
        <v/>
      </c>
      <c r="D18" s="30" t="str">
        <f aca="false">IF($B18="","",IF(INDEX(Homiladorlar!$C$5:$C$804,$B18)="","",INDEX(Homiladorlar!$C$5:$C$804,$B18)))</f>
        <v/>
      </c>
      <c r="E18" s="5" t="str">
        <f aca="false">IF($B18="","",IF(INDEX(Homiladorlar!$F$5:$F$804,$B18)="","",INDEX(Homiladorlar!$F$5:$F$804,$B18)))</f>
        <v/>
      </c>
      <c r="F18" s="5" t="str">
        <f aca="false">IF($B18="","",IF(INDEX(Homiladorlar!$E$5:$E$804,$B18)="","",INDEX(Homiladorlar!$E$5:$E$804,$B18)))</f>
        <v/>
      </c>
      <c r="G18" s="5" t="str">
        <f aca="false">IF($B18="","",IF(INDEX(Homiladorlar!$O$5:$O$804,$B18)="","",INDEX(Homiladorlar!$O$5:$O$804,$B18)))</f>
        <v/>
      </c>
      <c r="H18" s="5" t="str">
        <f aca="false">IF($B18="","",IF(INDEX(Homiladorlar!$Q$5:$Q$804,$B18)="","",INDEX(Homiladorlar!$Q$5:$Q$804,$B18)))</f>
        <v/>
      </c>
      <c r="I18" s="5" t="str">
        <f aca="false">IF($B18="","",IF(INDEX(Homiladorlar!$R$5:$R$804,$B18)="","",INDEX(Homiladorlar!$R$5:$R$804,$B18)))</f>
        <v/>
      </c>
      <c r="J18" s="5" t="str">
        <f aca="false">IF($B18="","",IF(INDEX(Homiladorlar!$K$5:$K$804,$B18)="","",INDEX(Homiladorlar!$K$5:$K$804,$B18)))</f>
        <v/>
      </c>
      <c r="K18" s="30" t="str">
        <f aca="false">IF($B18="","",IF(INDEX(Homiladorlar!$J$5:$J$804,$B18)="","",INDEX(Homiladorlar!$J$5:$J$804,$B18)))</f>
        <v/>
      </c>
      <c r="L18" s="30" t="str">
        <f aca="false">IF($B18="","",IF(INDEX(Homiladorlar!$T$5:$T$804,$B18)="","",INDEX(Homiladorlar!$T$5:$T$804,$B18)))</f>
        <v/>
      </c>
      <c r="M18" s="30" t="str">
        <f aca="false">IF($B18="","",IF(INDEX(Homiladorlar!$AB$5:$AB$804,$B18)="","",INDEX(Homiladorlar!$AB$5:$AB$804,$B18)))</f>
        <v/>
      </c>
      <c r="N18" s="5" t="str">
        <f aca="false">IF($B18="","",IF(INDEX(Homiladorlar!$AC$5:$AC$804,$B18)="","",INDEX(Homiladorlar!$AC$5:$AC$804,$B18)))</f>
        <v/>
      </c>
    </row>
    <row r="19" customFormat="false" ht="15" hidden="false" customHeight="false" outlineLevel="0" collapsed="false">
      <c r="A19" s="5" t="n">
        <v>15</v>
      </c>
      <c r="B19" s="29" t="str">
        <f aca="false">IFERROR(MATCH(A19,Homiladorlar!$AH$5:$AH$804,0),"")</f>
        <v/>
      </c>
      <c r="C19" s="5" t="str">
        <f aca="false">IF($B19="","",IF(INDEX(Homiladorlar!$B$5:$B$804,$B19)="","",INDEX(Homiladorlar!$B$5:$B$804,$B19)))</f>
        <v/>
      </c>
      <c r="D19" s="30" t="str">
        <f aca="false">IF($B19="","",IF(INDEX(Homiladorlar!$C$5:$C$804,$B19)="","",INDEX(Homiladorlar!$C$5:$C$804,$B19)))</f>
        <v/>
      </c>
      <c r="E19" s="5" t="str">
        <f aca="false">IF($B19="","",IF(INDEX(Homiladorlar!$F$5:$F$804,$B19)="","",INDEX(Homiladorlar!$F$5:$F$804,$B19)))</f>
        <v/>
      </c>
      <c r="F19" s="5" t="str">
        <f aca="false">IF($B19="","",IF(INDEX(Homiladorlar!$E$5:$E$804,$B19)="","",INDEX(Homiladorlar!$E$5:$E$804,$B19)))</f>
        <v/>
      </c>
      <c r="G19" s="5" t="str">
        <f aca="false">IF($B19="","",IF(INDEX(Homiladorlar!$O$5:$O$804,$B19)="","",INDEX(Homiladorlar!$O$5:$O$804,$B19)))</f>
        <v/>
      </c>
      <c r="H19" s="5" t="str">
        <f aca="false">IF($B19="","",IF(INDEX(Homiladorlar!$Q$5:$Q$804,$B19)="","",INDEX(Homiladorlar!$Q$5:$Q$804,$B19)))</f>
        <v/>
      </c>
      <c r="I19" s="5" t="str">
        <f aca="false">IF($B19="","",IF(INDEX(Homiladorlar!$R$5:$R$804,$B19)="","",INDEX(Homiladorlar!$R$5:$R$804,$B19)))</f>
        <v/>
      </c>
      <c r="J19" s="5" t="str">
        <f aca="false">IF($B19="","",IF(INDEX(Homiladorlar!$K$5:$K$804,$B19)="","",INDEX(Homiladorlar!$K$5:$K$804,$B19)))</f>
        <v/>
      </c>
      <c r="K19" s="30" t="str">
        <f aca="false">IF($B19="","",IF(INDEX(Homiladorlar!$J$5:$J$804,$B19)="","",INDEX(Homiladorlar!$J$5:$J$804,$B19)))</f>
        <v/>
      </c>
      <c r="L19" s="30" t="str">
        <f aca="false">IF($B19="","",IF(INDEX(Homiladorlar!$T$5:$T$804,$B19)="","",INDEX(Homiladorlar!$T$5:$T$804,$B19)))</f>
        <v/>
      </c>
      <c r="M19" s="30" t="str">
        <f aca="false">IF($B19="","",IF(INDEX(Homiladorlar!$AB$5:$AB$804,$B19)="","",INDEX(Homiladorlar!$AB$5:$AB$804,$B19)))</f>
        <v/>
      </c>
      <c r="N19" s="5" t="str">
        <f aca="false">IF($B19="","",IF(INDEX(Homiladorlar!$AC$5:$AC$804,$B19)="","",INDEX(Homiladorlar!$AC$5:$AC$804,$B19)))</f>
        <v/>
      </c>
    </row>
    <row r="20" customFormat="false" ht="15" hidden="false" customHeight="false" outlineLevel="0" collapsed="false">
      <c r="A20" s="5" t="n">
        <v>16</v>
      </c>
      <c r="B20" s="29" t="str">
        <f aca="false">IFERROR(MATCH(A20,Homiladorlar!$AH$5:$AH$804,0),"")</f>
        <v/>
      </c>
      <c r="C20" s="5" t="str">
        <f aca="false">IF($B20="","",IF(INDEX(Homiladorlar!$B$5:$B$804,$B20)="","",INDEX(Homiladorlar!$B$5:$B$804,$B20)))</f>
        <v/>
      </c>
      <c r="D20" s="30" t="str">
        <f aca="false">IF($B20="","",IF(INDEX(Homiladorlar!$C$5:$C$804,$B20)="","",INDEX(Homiladorlar!$C$5:$C$804,$B20)))</f>
        <v/>
      </c>
      <c r="E20" s="5" t="str">
        <f aca="false">IF($B20="","",IF(INDEX(Homiladorlar!$F$5:$F$804,$B20)="","",INDEX(Homiladorlar!$F$5:$F$804,$B20)))</f>
        <v/>
      </c>
      <c r="F20" s="5" t="str">
        <f aca="false">IF($B20="","",IF(INDEX(Homiladorlar!$E$5:$E$804,$B20)="","",INDEX(Homiladorlar!$E$5:$E$804,$B20)))</f>
        <v/>
      </c>
      <c r="G20" s="5" t="str">
        <f aca="false">IF($B20="","",IF(INDEX(Homiladorlar!$O$5:$O$804,$B20)="","",INDEX(Homiladorlar!$O$5:$O$804,$B20)))</f>
        <v/>
      </c>
      <c r="H20" s="5" t="str">
        <f aca="false">IF($B20="","",IF(INDEX(Homiladorlar!$Q$5:$Q$804,$B20)="","",INDEX(Homiladorlar!$Q$5:$Q$804,$B20)))</f>
        <v/>
      </c>
      <c r="I20" s="5" t="str">
        <f aca="false">IF($B20="","",IF(INDEX(Homiladorlar!$R$5:$R$804,$B20)="","",INDEX(Homiladorlar!$R$5:$R$804,$B20)))</f>
        <v/>
      </c>
      <c r="J20" s="5" t="str">
        <f aca="false">IF($B20="","",IF(INDEX(Homiladorlar!$K$5:$K$804,$B20)="","",INDEX(Homiladorlar!$K$5:$K$804,$B20)))</f>
        <v/>
      </c>
      <c r="K20" s="30" t="str">
        <f aca="false">IF($B20="","",IF(INDEX(Homiladorlar!$J$5:$J$804,$B20)="","",INDEX(Homiladorlar!$J$5:$J$804,$B20)))</f>
        <v/>
      </c>
      <c r="L20" s="30" t="str">
        <f aca="false">IF($B20="","",IF(INDEX(Homiladorlar!$T$5:$T$804,$B20)="","",INDEX(Homiladorlar!$T$5:$T$804,$B20)))</f>
        <v/>
      </c>
      <c r="M20" s="30" t="str">
        <f aca="false">IF($B20="","",IF(INDEX(Homiladorlar!$AB$5:$AB$804,$B20)="","",INDEX(Homiladorlar!$AB$5:$AB$804,$B20)))</f>
        <v/>
      </c>
      <c r="N20" s="5" t="str">
        <f aca="false">IF($B20="","",IF(INDEX(Homiladorlar!$AC$5:$AC$804,$B20)="","",INDEX(Homiladorlar!$AC$5:$AC$804,$B20)))</f>
        <v/>
      </c>
    </row>
    <row r="21" customFormat="false" ht="15" hidden="false" customHeight="false" outlineLevel="0" collapsed="false">
      <c r="A21" s="5" t="n">
        <v>17</v>
      </c>
      <c r="B21" s="29" t="str">
        <f aca="false">IFERROR(MATCH(A21,Homiladorlar!$AH$5:$AH$804,0),"")</f>
        <v/>
      </c>
      <c r="C21" s="5" t="str">
        <f aca="false">IF($B21="","",IF(INDEX(Homiladorlar!$B$5:$B$804,$B21)="","",INDEX(Homiladorlar!$B$5:$B$804,$B21)))</f>
        <v/>
      </c>
      <c r="D21" s="30" t="str">
        <f aca="false">IF($B21="","",IF(INDEX(Homiladorlar!$C$5:$C$804,$B21)="","",INDEX(Homiladorlar!$C$5:$C$804,$B21)))</f>
        <v/>
      </c>
      <c r="E21" s="5" t="str">
        <f aca="false">IF($B21="","",IF(INDEX(Homiladorlar!$F$5:$F$804,$B21)="","",INDEX(Homiladorlar!$F$5:$F$804,$B21)))</f>
        <v/>
      </c>
      <c r="F21" s="5" t="str">
        <f aca="false">IF($B21="","",IF(INDEX(Homiladorlar!$E$5:$E$804,$B21)="","",INDEX(Homiladorlar!$E$5:$E$804,$B21)))</f>
        <v/>
      </c>
      <c r="G21" s="5" t="str">
        <f aca="false">IF($B21="","",IF(INDEX(Homiladorlar!$O$5:$O$804,$B21)="","",INDEX(Homiladorlar!$O$5:$O$804,$B21)))</f>
        <v/>
      </c>
      <c r="H21" s="5" t="str">
        <f aca="false">IF($B21="","",IF(INDEX(Homiladorlar!$Q$5:$Q$804,$B21)="","",INDEX(Homiladorlar!$Q$5:$Q$804,$B21)))</f>
        <v/>
      </c>
      <c r="I21" s="5" t="str">
        <f aca="false">IF($B21="","",IF(INDEX(Homiladorlar!$R$5:$R$804,$B21)="","",INDEX(Homiladorlar!$R$5:$R$804,$B21)))</f>
        <v/>
      </c>
      <c r="J21" s="5" t="str">
        <f aca="false">IF($B21="","",IF(INDEX(Homiladorlar!$K$5:$K$804,$B21)="","",INDEX(Homiladorlar!$K$5:$K$804,$B21)))</f>
        <v/>
      </c>
      <c r="K21" s="30" t="str">
        <f aca="false">IF($B21="","",IF(INDEX(Homiladorlar!$J$5:$J$804,$B21)="","",INDEX(Homiladorlar!$J$5:$J$804,$B21)))</f>
        <v/>
      </c>
      <c r="L21" s="30" t="str">
        <f aca="false">IF($B21="","",IF(INDEX(Homiladorlar!$T$5:$T$804,$B21)="","",INDEX(Homiladorlar!$T$5:$T$804,$B21)))</f>
        <v/>
      </c>
      <c r="M21" s="30" t="str">
        <f aca="false">IF($B21="","",IF(INDEX(Homiladorlar!$AB$5:$AB$804,$B21)="","",INDEX(Homiladorlar!$AB$5:$AB$804,$B21)))</f>
        <v/>
      </c>
      <c r="N21" s="5" t="str">
        <f aca="false">IF($B21="","",IF(INDEX(Homiladorlar!$AC$5:$AC$804,$B21)="","",INDEX(Homiladorlar!$AC$5:$AC$804,$B21)))</f>
        <v/>
      </c>
    </row>
    <row r="22" customFormat="false" ht="15" hidden="false" customHeight="false" outlineLevel="0" collapsed="false">
      <c r="A22" s="5" t="n">
        <v>18</v>
      </c>
      <c r="B22" s="29" t="str">
        <f aca="false">IFERROR(MATCH(A22,Homiladorlar!$AH$5:$AH$804,0),"")</f>
        <v/>
      </c>
      <c r="C22" s="5" t="str">
        <f aca="false">IF($B22="","",IF(INDEX(Homiladorlar!$B$5:$B$804,$B22)="","",INDEX(Homiladorlar!$B$5:$B$804,$B22)))</f>
        <v/>
      </c>
      <c r="D22" s="30" t="str">
        <f aca="false">IF($B22="","",IF(INDEX(Homiladorlar!$C$5:$C$804,$B22)="","",INDEX(Homiladorlar!$C$5:$C$804,$B22)))</f>
        <v/>
      </c>
      <c r="E22" s="5" t="str">
        <f aca="false">IF($B22="","",IF(INDEX(Homiladorlar!$F$5:$F$804,$B22)="","",INDEX(Homiladorlar!$F$5:$F$804,$B22)))</f>
        <v/>
      </c>
      <c r="F22" s="5" t="str">
        <f aca="false">IF($B22="","",IF(INDEX(Homiladorlar!$E$5:$E$804,$B22)="","",INDEX(Homiladorlar!$E$5:$E$804,$B22)))</f>
        <v/>
      </c>
      <c r="G22" s="5" t="str">
        <f aca="false">IF($B22="","",IF(INDEX(Homiladorlar!$O$5:$O$804,$B22)="","",INDEX(Homiladorlar!$O$5:$O$804,$B22)))</f>
        <v/>
      </c>
      <c r="H22" s="5" t="str">
        <f aca="false">IF($B22="","",IF(INDEX(Homiladorlar!$Q$5:$Q$804,$B22)="","",INDEX(Homiladorlar!$Q$5:$Q$804,$B22)))</f>
        <v/>
      </c>
      <c r="I22" s="5" t="str">
        <f aca="false">IF($B22="","",IF(INDEX(Homiladorlar!$R$5:$R$804,$B22)="","",INDEX(Homiladorlar!$R$5:$R$804,$B22)))</f>
        <v/>
      </c>
      <c r="J22" s="5" t="str">
        <f aca="false">IF($B22="","",IF(INDEX(Homiladorlar!$K$5:$K$804,$B22)="","",INDEX(Homiladorlar!$K$5:$K$804,$B22)))</f>
        <v/>
      </c>
      <c r="K22" s="30" t="str">
        <f aca="false">IF($B22="","",IF(INDEX(Homiladorlar!$J$5:$J$804,$B22)="","",INDEX(Homiladorlar!$J$5:$J$804,$B22)))</f>
        <v/>
      </c>
      <c r="L22" s="30" t="str">
        <f aca="false">IF($B22="","",IF(INDEX(Homiladorlar!$T$5:$T$804,$B22)="","",INDEX(Homiladorlar!$T$5:$T$804,$B22)))</f>
        <v/>
      </c>
      <c r="M22" s="30" t="str">
        <f aca="false">IF($B22="","",IF(INDEX(Homiladorlar!$AB$5:$AB$804,$B22)="","",INDEX(Homiladorlar!$AB$5:$AB$804,$B22)))</f>
        <v/>
      </c>
      <c r="N22" s="5" t="str">
        <f aca="false">IF($B22="","",IF(INDEX(Homiladorlar!$AC$5:$AC$804,$B22)="","",INDEX(Homiladorlar!$AC$5:$AC$804,$B22)))</f>
        <v/>
      </c>
    </row>
    <row r="23" customFormat="false" ht="15" hidden="false" customHeight="false" outlineLevel="0" collapsed="false">
      <c r="A23" s="5" t="n">
        <v>19</v>
      </c>
      <c r="B23" s="29" t="str">
        <f aca="false">IFERROR(MATCH(A23,Homiladorlar!$AH$5:$AH$804,0),"")</f>
        <v/>
      </c>
      <c r="C23" s="5" t="str">
        <f aca="false">IF($B23="","",IF(INDEX(Homiladorlar!$B$5:$B$804,$B23)="","",INDEX(Homiladorlar!$B$5:$B$804,$B23)))</f>
        <v/>
      </c>
      <c r="D23" s="30" t="str">
        <f aca="false">IF($B23="","",IF(INDEX(Homiladorlar!$C$5:$C$804,$B23)="","",INDEX(Homiladorlar!$C$5:$C$804,$B23)))</f>
        <v/>
      </c>
      <c r="E23" s="5" t="str">
        <f aca="false">IF($B23="","",IF(INDEX(Homiladorlar!$F$5:$F$804,$B23)="","",INDEX(Homiladorlar!$F$5:$F$804,$B23)))</f>
        <v/>
      </c>
      <c r="F23" s="5" t="str">
        <f aca="false">IF($B23="","",IF(INDEX(Homiladorlar!$E$5:$E$804,$B23)="","",INDEX(Homiladorlar!$E$5:$E$804,$B23)))</f>
        <v/>
      </c>
      <c r="G23" s="5" t="str">
        <f aca="false">IF($B23="","",IF(INDEX(Homiladorlar!$O$5:$O$804,$B23)="","",INDEX(Homiladorlar!$O$5:$O$804,$B23)))</f>
        <v/>
      </c>
      <c r="H23" s="5" t="str">
        <f aca="false">IF($B23="","",IF(INDEX(Homiladorlar!$Q$5:$Q$804,$B23)="","",INDEX(Homiladorlar!$Q$5:$Q$804,$B23)))</f>
        <v/>
      </c>
      <c r="I23" s="5" t="str">
        <f aca="false">IF($B23="","",IF(INDEX(Homiladorlar!$R$5:$R$804,$B23)="","",INDEX(Homiladorlar!$R$5:$R$804,$B23)))</f>
        <v/>
      </c>
      <c r="J23" s="5" t="str">
        <f aca="false">IF($B23="","",IF(INDEX(Homiladorlar!$K$5:$K$804,$B23)="","",INDEX(Homiladorlar!$K$5:$K$804,$B23)))</f>
        <v/>
      </c>
      <c r="K23" s="30" t="str">
        <f aca="false">IF($B23="","",IF(INDEX(Homiladorlar!$J$5:$J$804,$B23)="","",INDEX(Homiladorlar!$J$5:$J$804,$B23)))</f>
        <v/>
      </c>
      <c r="L23" s="30" t="str">
        <f aca="false">IF($B23="","",IF(INDEX(Homiladorlar!$T$5:$T$804,$B23)="","",INDEX(Homiladorlar!$T$5:$T$804,$B23)))</f>
        <v/>
      </c>
      <c r="M23" s="30" t="str">
        <f aca="false">IF($B23="","",IF(INDEX(Homiladorlar!$AB$5:$AB$804,$B23)="","",INDEX(Homiladorlar!$AB$5:$AB$804,$B23)))</f>
        <v/>
      </c>
      <c r="N23" s="5" t="str">
        <f aca="false">IF($B23="","",IF(INDEX(Homiladorlar!$AC$5:$AC$804,$B23)="","",INDEX(Homiladorlar!$AC$5:$AC$804,$B23)))</f>
        <v/>
      </c>
    </row>
    <row r="24" customFormat="false" ht="15" hidden="false" customHeight="false" outlineLevel="0" collapsed="false">
      <c r="A24" s="5" t="n">
        <v>20</v>
      </c>
      <c r="B24" s="29" t="str">
        <f aca="false">IFERROR(MATCH(A24,Homiladorlar!$AH$5:$AH$804,0),"")</f>
        <v/>
      </c>
      <c r="C24" s="5" t="str">
        <f aca="false">IF($B24="","",IF(INDEX(Homiladorlar!$B$5:$B$804,$B24)="","",INDEX(Homiladorlar!$B$5:$B$804,$B24)))</f>
        <v/>
      </c>
      <c r="D24" s="30" t="str">
        <f aca="false">IF($B24="","",IF(INDEX(Homiladorlar!$C$5:$C$804,$B24)="","",INDEX(Homiladorlar!$C$5:$C$804,$B24)))</f>
        <v/>
      </c>
      <c r="E24" s="5" t="str">
        <f aca="false">IF($B24="","",IF(INDEX(Homiladorlar!$F$5:$F$804,$B24)="","",INDEX(Homiladorlar!$F$5:$F$804,$B24)))</f>
        <v/>
      </c>
      <c r="F24" s="5" t="str">
        <f aca="false">IF($B24="","",IF(INDEX(Homiladorlar!$E$5:$E$804,$B24)="","",INDEX(Homiladorlar!$E$5:$E$804,$B24)))</f>
        <v/>
      </c>
      <c r="G24" s="5" t="str">
        <f aca="false">IF($B24="","",IF(INDEX(Homiladorlar!$O$5:$O$804,$B24)="","",INDEX(Homiladorlar!$O$5:$O$804,$B24)))</f>
        <v/>
      </c>
      <c r="H24" s="5" t="str">
        <f aca="false">IF($B24="","",IF(INDEX(Homiladorlar!$Q$5:$Q$804,$B24)="","",INDEX(Homiladorlar!$Q$5:$Q$804,$B24)))</f>
        <v/>
      </c>
      <c r="I24" s="5" t="str">
        <f aca="false">IF($B24="","",IF(INDEX(Homiladorlar!$R$5:$R$804,$B24)="","",INDEX(Homiladorlar!$R$5:$R$804,$B24)))</f>
        <v/>
      </c>
      <c r="J24" s="5" t="str">
        <f aca="false">IF($B24="","",IF(INDEX(Homiladorlar!$K$5:$K$804,$B24)="","",INDEX(Homiladorlar!$K$5:$K$804,$B24)))</f>
        <v/>
      </c>
      <c r="K24" s="30" t="str">
        <f aca="false">IF($B24="","",IF(INDEX(Homiladorlar!$J$5:$J$804,$B24)="","",INDEX(Homiladorlar!$J$5:$J$804,$B24)))</f>
        <v/>
      </c>
      <c r="L24" s="30" t="str">
        <f aca="false">IF($B24="","",IF(INDEX(Homiladorlar!$T$5:$T$804,$B24)="","",INDEX(Homiladorlar!$T$5:$T$804,$B24)))</f>
        <v/>
      </c>
      <c r="M24" s="30" t="str">
        <f aca="false">IF($B24="","",IF(INDEX(Homiladorlar!$AB$5:$AB$804,$B24)="","",INDEX(Homiladorlar!$AB$5:$AB$804,$B24)))</f>
        <v/>
      </c>
      <c r="N24" s="5" t="str">
        <f aca="false">IF($B24="","",IF(INDEX(Homiladorlar!$AC$5:$AC$804,$B24)="","",INDEX(Homiladorlar!$AC$5:$AC$804,$B24)))</f>
        <v/>
      </c>
    </row>
    <row r="25" customFormat="false" ht="15" hidden="false" customHeight="false" outlineLevel="0" collapsed="false">
      <c r="A25" s="5" t="n">
        <v>21</v>
      </c>
      <c r="B25" s="29" t="str">
        <f aca="false">IFERROR(MATCH(A25,Homiladorlar!$AH$5:$AH$804,0),"")</f>
        <v/>
      </c>
      <c r="C25" s="5" t="str">
        <f aca="false">IF($B25="","",IF(INDEX(Homiladorlar!$B$5:$B$804,$B25)="","",INDEX(Homiladorlar!$B$5:$B$804,$B25)))</f>
        <v/>
      </c>
      <c r="D25" s="30" t="str">
        <f aca="false">IF($B25="","",IF(INDEX(Homiladorlar!$C$5:$C$804,$B25)="","",INDEX(Homiladorlar!$C$5:$C$804,$B25)))</f>
        <v/>
      </c>
      <c r="E25" s="5" t="str">
        <f aca="false">IF($B25="","",IF(INDEX(Homiladorlar!$F$5:$F$804,$B25)="","",INDEX(Homiladorlar!$F$5:$F$804,$B25)))</f>
        <v/>
      </c>
      <c r="F25" s="5" t="str">
        <f aca="false">IF($B25="","",IF(INDEX(Homiladorlar!$E$5:$E$804,$B25)="","",INDEX(Homiladorlar!$E$5:$E$804,$B25)))</f>
        <v/>
      </c>
      <c r="G25" s="5" t="str">
        <f aca="false">IF($B25="","",IF(INDEX(Homiladorlar!$O$5:$O$804,$B25)="","",INDEX(Homiladorlar!$O$5:$O$804,$B25)))</f>
        <v/>
      </c>
      <c r="H25" s="5" t="str">
        <f aca="false">IF($B25="","",IF(INDEX(Homiladorlar!$Q$5:$Q$804,$B25)="","",INDEX(Homiladorlar!$Q$5:$Q$804,$B25)))</f>
        <v/>
      </c>
      <c r="I25" s="5" t="str">
        <f aca="false">IF($B25="","",IF(INDEX(Homiladorlar!$R$5:$R$804,$B25)="","",INDEX(Homiladorlar!$R$5:$R$804,$B25)))</f>
        <v/>
      </c>
      <c r="J25" s="5" t="str">
        <f aca="false">IF($B25="","",IF(INDEX(Homiladorlar!$K$5:$K$804,$B25)="","",INDEX(Homiladorlar!$K$5:$K$804,$B25)))</f>
        <v/>
      </c>
      <c r="K25" s="30" t="str">
        <f aca="false">IF($B25="","",IF(INDEX(Homiladorlar!$J$5:$J$804,$B25)="","",INDEX(Homiladorlar!$J$5:$J$804,$B25)))</f>
        <v/>
      </c>
      <c r="L25" s="30" t="str">
        <f aca="false">IF($B25="","",IF(INDEX(Homiladorlar!$T$5:$T$804,$B25)="","",INDEX(Homiladorlar!$T$5:$T$804,$B25)))</f>
        <v/>
      </c>
      <c r="M25" s="30" t="str">
        <f aca="false">IF($B25="","",IF(INDEX(Homiladorlar!$AB$5:$AB$804,$B25)="","",INDEX(Homiladorlar!$AB$5:$AB$804,$B25)))</f>
        <v/>
      </c>
      <c r="N25" s="5" t="str">
        <f aca="false">IF($B25="","",IF(INDEX(Homiladorlar!$AC$5:$AC$804,$B25)="","",INDEX(Homiladorlar!$AC$5:$AC$804,$B25)))</f>
        <v/>
      </c>
    </row>
    <row r="26" customFormat="false" ht="15" hidden="false" customHeight="false" outlineLevel="0" collapsed="false">
      <c r="A26" s="5" t="n">
        <v>22</v>
      </c>
      <c r="B26" s="29" t="str">
        <f aca="false">IFERROR(MATCH(A26,Homiladorlar!$AH$5:$AH$804,0),"")</f>
        <v/>
      </c>
      <c r="C26" s="5" t="str">
        <f aca="false">IF($B26="","",IF(INDEX(Homiladorlar!$B$5:$B$804,$B26)="","",INDEX(Homiladorlar!$B$5:$B$804,$B26)))</f>
        <v/>
      </c>
      <c r="D26" s="30" t="str">
        <f aca="false">IF($B26="","",IF(INDEX(Homiladorlar!$C$5:$C$804,$B26)="","",INDEX(Homiladorlar!$C$5:$C$804,$B26)))</f>
        <v/>
      </c>
      <c r="E26" s="5" t="str">
        <f aca="false">IF($B26="","",IF(INDEX(Homiladorlar!$F$5:$F$804,$B26)="","",INDEX(Homiladorlar!$F$5:$F$804,$B26)))</f>
        <v/>
      </c>
      <c r="F26" s="5" t="str">
        <f aca="false">IF($B26="","",IF(INDEX(Homiladorlar!$E$5:$E$804,$B26)="","",INDEX(Homiladorlar!$E$5:$E$804,$B26)))</f>
        <v/>
      </c>
      <c r="G26" s="5" t="str">
        <f aca="false">IF($B26="","",IF(INDEX(Homiladorlar!$O$5:$O$804,$B26)="","",INDEX(Homiladorlar!$O$5:$O$804,$B26)))</f>
        <v/>
      </c>
      <c r="H26" s="5" t="str">
        <f aca="false">IF($B26="","",IF(INDEX(Homiladorlar!$Q$5:$Q$804,$B26)="","",INDEX(Homiladorlar!$Q$5:$Q$804,$B26)))</f>
        <v/>
      </c>
      <c r="I26" s="5" t="str">
        <f aca="false">IF($B26="","",IF(INDEX(Homiladorlar!$R$5:$R$804,$B26)="","",INDEX(Homiladorlar!$R$5:$R$804,$B26)))</f>
        <v/>
      </c>
      <c r="J26" s="5" t="str">
        <f aca="false">IF($B26="","",IF(INDEX(Homiladorlar!$K$5:$K$804,$B26)="","",INDEX(Homiladorlar!$K$5:$K$804,$B26)))</f>
        <v/>
      </c>
      <c r="K26" s="30" t="str">
        <f aca="false">IF($B26="","",IF(INDEX(Homiladorlar!$J$5:$J$804,$B26)="","",INDEX(Homiladorlar!$J$5:$J$804,$B26)))</f>
        <v/>
      </c>
      <c r="L26" s="30" t="str">
        <f aca="false">IF($B26="","",IF(INDEX(Homiladorlar!$T$5:$T$804,$B26)="","",INDEX(Homiladorlar!$T$5:$T$804,$B26)))</f>
        <v/>
      </c>
      <c r="M26" s="30" t="str">
        <f aca="false">IF($B26="","",IF(INDEX(Homiladorlar!$AB$5:$AB$804,$B26)="","",INDEX(Homiladorlar!$AB$5:$AB$804,$B26)))</f>
        <v/>
      </c>
      <c r="N26" s="5" t="str">
        <f aca="false">IF($B26="","",IF(INDEX(Homiladorlar!$AC$5:$AC$804,$B26)="","",INDEX(Homiladorlar!$AC$5:$AC$804,$B26)))</f>
        <v/>
      </c>
    </row>
    <row r="27" customFormat="false" ht="15" hidden="false" customHeight="false" outlineLevel="0" collapsed="false">
      <c r="A27" s="5" t="n">
        <v>23</v>
      </c>
      <c r="B27" s="29" t="str">
        <f aca="false">IFERROR(MATCH(A27,Homiladorlar!$AH$5:$AH$804,0),"")</f>
        <v/>
      </c>
      <c r="C27" s="5" t="str">
        <f aca="false">IF($B27="","",IF(INDEX(Homiladorlar!$B$5:$B$804,$B27)="","",INDEX(Homiladorlar!$B$5:$B$804,$B27)))</f>
        <v/>
      </c>
      <c r="D27" s="30" t="str">
        <f aca="false">IF($B27="","",IF(INDEX(Homiladorlar!$C$5:$C$804,$B27)="","",INDEX(Homiladorlar!$C$5:$C$804,$B27)))</f>
        <v/>
      </c>
      <c r="E27" s="5" t="str">
        <f aca="false">IF($B27="","",IF(INDEX(Homiladorlar!$F$5:$F$804,$B27)="","",INDEX(Homiladorlar!$F$5:$F$804,$B27)))</f>
        <v/>
      </c>
      <c r="F27" s="5" t="str">
        <f aca="false">IF($B27="","",IF(INDEX(Homiladorlar!$E$5:$E$804,$B27)="","",INDEX(Homiladorlar!$E$5:$E$804,$B27)))</f>
        <v/>
      </c>
      <c r="G27" s="5" t="str">
        <f aca="false">IF($B27="","",IF(INDEX(Homiladorlar!$O$5:$O$804,$B27)="","",INDEX(Homiladorlar!$O$5:$O$804,$B27)))</f>
        <v/>
      </c>
      <c r="H27" s="5" t="str">
        <f aca="false">IF($B27="","",IF(INDEX(Homiladorlar!$Q$5:$Q$804,$B27)="","",INDEX(Homiladorlar!$Q$5:$Q$804,$B27)))</f>
        <v/>
      </c>
      <c r="I27" s="5" t="str">
        <f aca="false">IF($B27="","",IF(INDEX(Homiladorlar!$R$5:$R$804,$B27)="","",INDEX(Homiladorlar!$R$5:$R$804,$B27)))</f>
        <v/>
      </c>
      <c r="J27" s="5" t="str">
        <f aca="false">IF($B27="","",IF(INDEX(Homiladorlar!$K$5:$K$804,$B27)="","",INDEX(Homiladorlar!$K$5:$K$804,$B27)))</f>
        <v/>
      </c>
      <c r="K27" s="30" t="str">
        <f aca="false">IF($B27="","",IF(INDEX(Homiladorlar!$J$5:$J$804,$B27)="","",INDEX(Homiladorlar!$J$5:$J$804,$B27)))</f>
        <v/>
      </c>
      <c r="L27" s="30" t="str">
        <f aca="false">IF($B27="","",IF(INDEX(Homiladorlar!$T$5:$T$804,$B27)="","",INDEX(Homiladorlar!$T$5:$T$804,$B27)))</f>
        <v/>
      </c>
      <c r="M27" s="30" t="str">
        <f aca="false">IF($B27="","",IF(INDEX(Homiladorlar!$AB$5:$AB$804,$B27)="","",INDEX(Homiladorlar!$AB$5:$AB$804,$B27)))</f>
        <v/>
      </c>
      <c r="N27" s="5" t="str">
        <f aca="false">IF($B27="","",IF(INDEX(Homiladorlar!$AC$5:$AC$804,$B27)="","",INDEX(Homiladorlar!$AC$5:$AC$804,$B27)))</f>
        <v/>
      </c>
    </row>
    <row r="28" customFormat="false" ht="15" hidden="false" customHeight="false" outlineLevel="0" collapsed="false">
      <c r="A28" s="5" t="n">
        <v>24</v>
      </c>
      <c r="B28" s="29" t="str">
        <f aca="false">IFERROR(MATCH(A28,Homiladorlar!$AH$5:$AH$804,0),"")</f>
        <v/>
      </c>
      <c r="C28" s="5" t="str">
        <f aca="false">IF($B28="","",IF(INDEX(Homiladorlar!$B$5:$B$804,$B28)="","",INDEX(Homiladorlar!$B$5:$B$804,$B28)))</f>
        <v/>
      </c>
      <c r="D28" s="30" t="str">
        <f aca="false">IF($B28="","",IF(INDEX(Homiladorlar!$C$5:$C$804,$B28)="","",INDEX(Homiladorlar!$C$5:$C$804,$B28)))</f>
        <v/>
      </c>
      <c r="E28" s="5" t="str">
        <f aca="false">IF($B28="","",IF(INDEX(Homiladorlar!$F$5:$F$804,$B28)="","",INDEX(Homiladorlar!$F$5:$F$804,$B28)))</f>
        <v/>
      </c>
      <c r="F28" s="5" t="str">
        <f aca="false">IF($B28="","",IF(INDEX(Homiladorlar!$E$5:$E$804,$B28)="","",INDEX(Homiladorlar!$E$5:$E$804,$B28)))</f>
        <v/>
      </c>
      <c r="G28" s="5" t="str">
        <f aca="false">IF($B28="","",IF(INDEX(Homiladorlar!$O$5:$O$804,$B28)="","",INDEX(Homiladorlar!$O$5:$O$804,$B28)))</f>
        <v/>
      </c>
      <c r="H28" s="5" t="str">
        <f aca="false">IF($B28="","",IF(INDEX(Homiladorlar!$Q$5:$Q$804,$B28)="","",INDEX(Homiladorlar!$Q$5:$Q$804,$B28)))</f>
        <v/>
      </c>
      <c r="I28" s="5" t="str">
        <f aca="false">IF($B28="","",IF(INDEX(Homiladorlar!$R$5:$R$804,$B28)="","",INDEX(Homiladorlar!$R$5:$R$804,$B28)))</f>
        <v/>
      </c>
      <c r="J28" s="5" t="str">
        <f aca="false">IF($B28="","",IF(INDEX(Homiladorlar!$K$5:$K$804,$B28)="","",INDEX(Homiladorlar!$K$5:$K$804,$B28)))</f>
        <v/>
      </c>
      <c r="K28" s="30" t="str">
        <f aca="false">IF($B28="","",IF(INDEX(Homiladorlar!$J$5:$J$804,$B28)="","",INDEX(Homiladorlar!$J$5:$J$804,$B28)))</f>
        <v/>
      </c>
      <c r="L28" s="30" t="str">
        <f aca="false">IF($B28="","",IF(INDEX(Homiladorlar!$T$5:$T$804,$B28)="","",INDEX(Homiladorlar!$T$5:$T$804,$B28)))</f>
        <v/>
      </c>
      <c r="M28" s="30" t="str">
        <f aca="false">IF($B28="","",IF(INDEX(Homiladorlar!$AB$5:$AB$804,$B28)="","",INDEX(Homiladorlar!$AB$5:$AB$804,$B28)))</f>
        <v/>
      </c>
      <c r="N28" s="5" t="str">
        <f aca="false">IF($B28="","",IF(INDEX(Homiladorlar!$AC$5:$AC$804,$B28)="","",INDEX(Homiladorlar!$AC$5:$AC$804,$B28)))</f>
        <v/>
      </c>
    </row>
    <row r="29" customFormat="false" ht="15" hidden="false" customHeight="false" outlineLevel="0" collapsed="false">
      <c r="A29" s="5" t="n">
        <v>25</v>
      </c>
      <c r="B29" s="29" t="str">
        <f aca="false">IFERROR(MATCH(A29,Homiladorlar!$AH$5:$AH$804,0),"")</f>
        <v/>
      </c>
      <c r="C29" s="5" t="str">
        <f aca="false">IF($B29="","",IF(INDEX(Homiladorlar!$B$5:$B$804,$B29)="","",INDEX(Homiladorlar!$B$5:$B$804,$B29)))</f>
        <v/>
      </c>
      <c r="D29" s="30" t="str">
        <f aca="false">IF($B29="","",IF(INDEX(Homiladorlar!$C$5:$C$804,$B29)="","",INDEX(Homiladorlar!$C$5:$C$804,$B29)))</f>
        <v/>
      </c>
      <c r="E29" s="5" t="str">
        <f aca="false">IF($B29="","",IF(INDEX(Homiladorlar!$F$5:$F$804,$B29)="","",INDEX(Homiladorlar!$F$5:$F$804,$B29)))</f>
        <v/>
      </c>
      <c r="F29" s="5" t="str">
        <f aca="false">IF($B29="","",IF(INDEX(Homiladorlar!$E$5:$E$804,$B29)="","",INDEX(Homiladorlar!$E$5:$E$804,$B29)))</f>
        <v/>
      </c>
      <c r="G29" s="5" t="str">
        <f aca="false">IF($B29="","",IF(INDEX(Homiladorlar!$O$5:$O$804,$B29)="","",INDEX(Homiladorlar!$O$5:$O$804,$B29)))</f>
        <v/>
      </c>
      <c r="H29" s="5" t="str">
        <f aca="false">IF($B29="","",IF(INDEX(Homiladorlar!$Q$5:$Q$804,$B29)="","",INDEX(Homiladorlar!$Q$5:$Q$804,$B29)))</f>
        <v/>
      </c>
      <c r="I29" s="5" t="str">
        <f aca="false">IF($B29="","",IF(INDEX(Homiladorlar!$R$5:$R$804,$B29)="","",INDEX(Homiladorlar!$R$5:$R$804,$B29)))</f>
        <v/>
      </c>
      <c r="J29" s="5" t="str">
        <f aca="false">IF($B29="","",IF(INDEX(Homiladorlar!$K$5:$K$804,$B29)="","",INDEX(Homiladorlar!$K$5:$K$804,$B29)))</f>
        <v/>
      </c>
      <c r="K29" s="30" t="str">
        <f aca="false">IF($B29="","",IF(INDEX(Homiladorlar!$J$5:$J$804,$B29)="","",INDEX(Homiladorlar!$J$5:$J$804,$B29)))</f>
        <v/>
      </c>
      <c r="L29" s="30" t="str">
        <f aca="false">IF($B29="","",IF(INDEX(Homiladorlar!$T$5:$T$804,$B29)="","",INDEX(Homiladorlar!$T$5:$T$804,$B29)))</f>
        <v/>
      </c>
      <c r="M29" s="30" t="str">
        <f aca="false">IF($B29="","",IF(INDEX(Homiladorlar!$AB$5:$AB$804,$B29)="","",INDEX(Homiladorlar!$AB$5:$AB$804,$B29)))</f>
        <v/>
      </c>
      <c r="N29" s="5" t="str">
        <f aca="false">IF($B29="","",IF(INDEX(Homiladorlar!$AC$5:$AC$804,$B29)="","",INDEX(Homiladorlar!$AC$5:$AC$804,$B29)))</f>
        <v/>
      </c>
    </row>
    <row r="30" customFormat="false" ht="15" hidden="false" customHeight="false" outlineLevel="0" collapsed="false">
      <c r="A30" s="5" t="n">
        <v>26</v>
      </c>
      <c r="B30" s="29" t="str">
        <f aca="false">IFERROR(MATCH(A30,Homiladorlar!$AH$5:$AH$804,0),"")</f>
        <v/>
      </c>
      <c r="C30" s="5" t="str">
        <f aca="false">IF($B30="","",IF(INDEX(Homiladorlar!$B$5:$B$804,$B30)="","",INDEX(Homiladorlar!$B$5:$B$804,$B30)))</f>
        <v/>
      </c>
      <c r="D30" s="30" t="str">
        <f aca="false">IF($B30="","",IF(INDEX(Homiladorlar!$C$5:$C$804,$B30)="","",INDEX(Homiladorlar!$C$5:$C$804,$B30)))</f>
        <v/>
      </c>
      <c r="E30" s="5" t="str">
        <f aca="false">IF($B30="","",IF(INDEX(Homiladorlar!$F$5:$F$804,$B30)="","",INDEX(Homiladorlar!$F$5:$F$804,$B30)))</f>
        <v/>
      </c>
      <c r="F30" s="5" t="str">
        <f aca="false">IF($B30="","",IF(INDEX(Homiladorlar!$E$5:$E$804,$B30)="","",INDEX(Homiladorlar!$E$5:$E$804,$B30)))</f>
        <v/>
      </c>
      <c r="G30" s="5" t="str">
        <f aca="false">IF($B30="","",IF(INDEX(Homiladorlar!$O$5:$O$804,$B30)="","",INDEX(Homiladorlar!$O$5:$O$804,$B30)))</f>
        <v/>
      </c>
      <c r="H30" s="5" t="str">
        <f aca="false">IF($B30="","",IF(INDEX(Homiladorlar!$Q$5:$Q$804,$B30)="","",INDEX(Homiladorlar!$Q$5:$Q$804,$B30)))</f>
        <v/>
      </c>
      <c r="I30" s="5" t="str">
        <f aca="false">IF($B30="","",IF(INDEX(Homiladorlar!$R$5:$R$804,$B30)="","",INDEX(Homiladorlar!$R$5:$R$804,$B30)))</f>
        <v/>
      </c>
      <c r="J30" s="5" t="str">
        <f aca="false">IF($B30="","",IF(INDEX(Homiladorlar!$K$5:$K$804,$B30)="","",INDEX(Homiladorlar!$K$5:$K$804,$B30)))</f>
        <v/>
      </c>
      <c r="K30" s="30" t="str">
        <f aca="false">IF($B30="","",IF(INDEX(Homiladorlar!$J$5:$J$804,$B30)="","",INDEX(Homiladorlar!$J$5:$J$804,$B30)))</f>
        <v/>
      </c>
      <c r="L30" s="30" t="str">
        <f aca="false">IF($B30="","",IF(INDEX(Homiladorlar!$T$5:$T$804,$B30)="","",INDEX(Homiladorlar!$T$5:$T$804,$B30)))</f>
        <v/>
      </c>
      <c r="M30" s="30" t="str">
        <f aca="false">IF($B30="","",IF(INDEX(Homiladorlar!$AB$5:$AB$804,$B30)="","",INDEX(Homiladorlar!$AB$5:$AB$804,$B30)))</f>
        <v/>
      </c>
      <c r="N30" s="5" t="str">
        <f aca="false">IF($B30="","",IF(INDEX(Homiladorlar!$AC$5:$AC$804,$B30)="","",INDEX(Homiladorlar!$AC$5:$AC$804,$B30)))</f>
        <v/>
      </c>
    </row>
    <row r="31" customFormat="false" ht="15" hidden="false" customHeight="false" outlineLevel="0" collapsed="false">
      <c r="A31" s="5" t="n">
        <v>27</v>
      </c>
      <c r="B31" s="29" t="str">
        <f aca="false">IFERROR(MATCH(A31,Homiladorlar!$AH$5:$AH$804,0),"")</f>
        <v/>
      </c>
      <c r="C31" s="5" t="str">
        <f aca="false">IF($B31="","",IF(INDEX(Homiladorlar!$B$5:$B$804,$B31)="","",INDEX(Homiladorlar!$B$5:$B$804,$B31)))</f>
        <v/>
      </c>
      <c r="D31" s="30" t="str">
        <f aca="false">IF($B31="","",IF(INDEX(Homiladorlar!$C$5:$C$804,$B31)="","",INDEX(Homiladorlar!$C$5:$C$804,$B31)))</f>
        <v/>
      </c>
      <c r="E31" s="5" t="str">
        <f aca="false">IF($B31="","",IF(INDEX(Homiladorlar!$F$5:$F$804,$B31)="","",INDEX(Homiladorlar!$F$5:$F$804,$B31)))</f>
        <v/>
      </c>
      <c r="F31" s="5" t="str">
        <f aca="false">IF($B31="","",IF(INDEX(Homiladorlar!$E$5:$E$804,$B31)="","",INDEX(Homiladorlar!$E$5:$E$804,$B31)))</f>
        <v/>
      </c>
      <c r="G31" s="5" t="str">
        <f aca="false">IF($B31="","",IF(INDEX(Homiladorlar!$O$5:$O$804,$B31)="","",INDEX(Homiladorlar!$O$5:$O$804,$B31)))</f>
        <v/>
      </c>
      <c r="H31" s="5" t="str">
        <f aca="false">IF($B31="","",IF(INDEX(Homiladorlar!$Q$5:$Q$804,$B31)="","",INDEX(Homiladorlar!$Q$5:$Q$804,$B31)))</f>
        <v/>
      </c>
      <c r="I31" s="5" t="str">
        <f aca="false">IF($B31="","",IF(INDEX(Homiladorlar!$R$5:$R$804,$B31)="","",INDEX(Homiladorlar!$R$5:$R$804,$B31)))</f>
        <v/>
      </c>
      <c r="J31" s="5" t="str">
        <f aca="false">IF($B31="","",IF(INDEX(Homiladorlar!$K$5:$K$804,$B31)="","",INDEX(Homiladorlar!$K$5:$K$804,$B31)))</f>
        <v/>
      </c>
      <c r="K31" s="30" t="str">
        <f aca="false">IF($B31="","",IF(INDEX(Homiladorlar!$J$5:$J$804,$B31)="","",INDEX(Homiladorlar!$J$5:$J$804,$B31)))</f>
        <v/>
      </c>
      <c r="L31" s="30" t="str">
        <f aca="false">IF($B31="","",IF(INDEX(Homiladorlar!$T$5:$T$804,$B31)="","",INDEX(Homiladorlar!$T$5:$T$804,$B31)))</f>
        <v/>
      </c>
      <c r="M31" s="30" t="str">
        <f aca="false">IF($B31="","",IF(INDEX(Homiladorlar!$AB$5:$AB$804,$B31)="","",INDEX(Homiladorlar!$AB$5:$AB$804,$B31)))</f>
        <v/>
      </c>
      <c r="N31" s="5" t="str">
        <f aca="false">IF($B31="","",IF(INDEX(Homiladorlar!$AC$5:$AC$804,$B31)="","",INDEX(Homiladorlar!$AC$5:$AC$804,$B31)))</f>
        <v/>
      </c>
    </row>
    <row r="32" customFormat="false" ht="15" hidden="false" customHeight="false" outlineLevel="0" collapsed="false">
      <c r="A32" s="5" t="n">
        <v>28</v>
      </c>
      <c r="B32" s="29" t="str">
        <f aca="false">IFERROR(MATCH(A32,Homiladorlar!$AH$5:$AH$804,0),"")</f>
        <v/>
      </c>
      <c r="C32" s="5" t="str">
        <f aca="false">IF($B32="","",IF(INDEX(Homiladorlar!$B$5:$B$804,$B32)="","",INDEX(Homiladorlar!$B$5:$B$804,$B32)))</f>
        <v/>
      </c>
      <c r="D32" s="30" t="str">
        <f aca="false">IF($B32="","",IF(INDEX(Homiladorlar!$C$5:$C$804,$B32)="","",INDEX(Homiladorlar!$C$5:$C$804,$B32)))</f>
        <v/>
      </c>
      <c r="E32" s="5" t="str">
        <f aca="false">IF($B32="","",IF(INDEX(Homiladorlar!$F$5:$F$804,$B32)="","",INDEX(Homiladorlar!$F$5:$F$804,$B32)))</f>
        <v/>
      </c>
      <c r="F32" s="5" t="str">
        <f aca="false">IF($B32="","",IF(INDEX(Homiladorlar!$E$5:$E$804,$B32)="","",INDEX(Homiladorlar!$E$5:$E$804,$B32)))</f>
        <v/>
      </c>
      <c r="G32" s="5" t="str">
        <f aca="false">IF($B32="","",IF(INDEX(Homiladorlar!$O$5:$O$804,$B32)="","",INDEX(Homiladorlar!$O$5:$O$804,$B32)))</f>
        <v/>
      </c>
      <c r="H32" s="5" t="str">
        <f aca="false">IF($B32="","",IF(INDEX(Homiladorlar!$Q$5:$Q$804,$B32)="","",INDEX(Homiladorlar!$Q$5:$Q$804,$B32)))</f>
        <v/>
      </c>
      <c r="I32" s="5" t="str">
        <f aca="false">IF($B32="","",IF(INDEX(Homiladorlar!$R$5:$R$804,$B32)="","",INDEX(Homiladorlar!$R$5:$R$804,$B32)))</f>
        <v/>
      </c>
      <c r="J32" s="5" t="str">
        <f aca="false">IF($B32="","",IF(INDEX(Homiladorlar!$K$5:$K$804,$B32)="","",INDEX(Homiladorlar!$K$5:$K$804,$B32)))</f>
        <v/>
      </c>
      <c r="K32" s="30" t="str">
        <f aca="false">IF($B32="","",IF(INDEX(Homiladorlar!$J$5:$J$804,$B32)="","",INDEX(Homiladorlar!$J$5:$J$804,$B32)))</f>
        <v/>
      </c>
      <c r="L32" s="30" t="str">
        <f aca="false">IF($B32="","",IF(INDEX(Homiladorlar!$T$5:$T$804,$B32)="","",INDEX(Homiladorlar!$T$5:$T$804,$B32)))</f>
        <v/>
      </c>
      <c r="M32" s="30" t="str">
        <f aca="false">IF($B32="","",IF(INDEX(Homiladorlar!$AB$5:$AB$804,$B32)="","",INDEX(Homiladorlar!$AB$5:$AB$804,$B32)))</f>
        <v/>
      </c>
      <c r="N32" s="5" t="str">
        <f aca="false">IF($B32="","",IF(INDEX(Homiladorlar!$AC$5:$AC$804,$B32)="","",INDEX(Homiladorlar!$AC$5:$AC$804,$B32)))</f>
        <v/>
      </c>
    </row>
    <row r="33" customFormat="false" ht="15" hidden="false" customHeight="false" outlineLevel="0" collapsed="false">
      <c r="A33" s="5" t="n">
        <v>29</v>
      </c>
      <c r="B33" s="29" t="str">
        <f aca="false">IFERROR(MATCH(A33,Homiladorlar!$AH$5:$AH$804,0),"")</f>
        <v/>
      </c>
      <c r="C33" s="5" t="str">
        <f aca="false">IF($B33="","",IF(INDEX(Homiladorlar!$B$5:$B$804,$B33)="","",INDEX(Homiladorlar!$B$5:$B$804,$B33)))</f>
        <v/>
      </c>
      <c r="D33" s="30" t="str">
        <f aca="false">IF($B33="","",IF(INDEX(Homiladorlar!$C$5:$C$804,$B33)="","",INDEX(Homiladorlar!$C$5:$C$804,$B33)))</f>
        <v/>
      </c>
      <c r="E33" s="5" t="str">
        <f aca="false">IF($B33="","",IF(INDEX(Homiladorlar!$F$5:$F$804,$B33)="","",INDEX(Homiladorlar!$F$5:$F$804,$B33)))</f>
        <v/>
      </c>
      <c r="F33" s="5" t="str">
        <f aca="false">IF($B33="","",IF(INDEX(Homiladorlar!$E$5:$E$804,$B33)="","",INDEX(Homiladorlar!$E$5:$E$804,$B33)))</f>
        <v/>
      </c>
      <c r="G33" s="5" t="str">
        <f aca="false">IF($B33="","",IF(INDEX(Homiladorlar!$O$5:$O$804,$B33)="","",INDEX(Homiladorlar!$O$5:$O$804,$B33)))</f>
        <v/>
      </c>
      <c r="H33" s="5" t="str">
        <f aca="false">IF($B33="","",IF(INDEX(Homiladorlar!$Q$5:$Q$804,$B33)="","",INDEX(Homiladorlar!$Q$5:$Q$804,$B33)))</f>
        <v/>
      </c>
      <c r="I33" s="5" t="str">
        <f aca="false">IF($B33="","",IF(INDEX(Homiladorlar!$R$5:$R$804,$B33)="","",INDEX(Homiladorlar!$R$5:$R$804,$B33)))</f>
        <v/>
      </c>
      <c r="J33" s="5" t="str">
        <f aca="false">IF($B33="","",IF(INDEX(Homiladorlar!$K$5:$K$804,$B33)="","",INDEX(Homiladorlar!$K$5:$K$804,$B33)))</f>
        <v/>
      </c>
      <c r="K33" s="30" t="str">
        <f aca="false">IF($B33="","",IF(INDEX(Homiladorlar!$J$5:$J$804,$B33)="","",INDEX(Homiladorlar!$J$5:$J$804,$B33)))</f>
        <v/>
      </c>
      <c r="L33" s="30" t="str">
        <f aca="false">IF($B33="","",IF(INDEX(Homiladorlar!$T$5:$T$804,$B33)="","",INDEX(Homiladorlar!$T$5:$T$804,$B33)))</f>
        <v/>
      </c>
      <c r="M33" s="30" t="str">
        <f aca="false">IF($B33="","",IF(INDEX(Homiladorlar!$AB$5:$AB$804,$B33)="","",INDEX(Homiladorlar!$AB$5:$AB$804,$B33)))</f>
        <v/>
      </c>
      <c r="N33" s="5" t="str">
        <f aca="false">IF($B33="","",IF(INDEX(Homiladorlar!$AC$5:$AC$804,$B33)="","",INDEX(Homiladorlar!$AC$5:$AC$804,$B33)))</f>
        <v/>
      </c>
    </row>
    <row r="34" customFormat="false" ht="15" hidden="false" customHeight="false" outlineLevel="0" collapsed="false">
      <c r="A34" s="5" t="n">
        <v>30</v>
      </c>
      <c r="B34" s="29" t="str">
        <f aca="false">IFERROR(MATCH(A34,Homiladorlar!$AH$5:$AH$804,0),"")</f>
        <v/>
      </c>
      <c r="C34" s="5" t="str">
        <f aca="false">IF($B34="","",IF(INDEX(Homiladorlar!$B$5:$B$804,$B34)="","",INDEX(Homiladorlar!$B$5:$B$804,$B34)))</f>
        <v/>
      </c>
      <c r="D34" s="30" t="str">
        <f aca="false">IF($B34="","",IF(INDEX(Homiladorlar!$C$5:$C$804,$B34)="","",INDEX(Homiladorlar!$C$5:$C$804,$B34)))</f>
        <v/>
      </c>
      <c r="E34" s="5" t="str">
        <f aca="false">IF($B34="","",IF(INDEX(Homiladorlar!$F$5:$F$804,$B34)="","",INDEX(Homiladorlar!$F$5:$F$804,$B34)))</f>
        <v/>
      </c>
      <c r="F34" s="5" t="str">
        <f aca="false">IF($B34="","",IF(INDEX(Homiladorlar!$E$5:$E$804,$B34)="","",INDEX(Homiladorlar!$E$5:$E$804,$B34)))</f>
        <v/>
      </c>
      <c r="G34" s="5" t="str">
        <f aca="false">IF($B34="","",IF(INDEX(Homiladorlar!$O$5:$O$804,$B34)="","",INDEX(Homiladorlar!$O$5:$O$804,$B34)))</f>
        <v/>
      </c>
      <c r="H34" s="5" t="str">
        <f aca="false">IF($B34="","",IF(INDEX(Homiladorlar!$Q$5:$Q$804,$B34)="","",INDEX(Homiladorlar!$Q$5:$Q$804,$B34)))</f>
        <v/>
      </c>
      <c r="I34" s="5" t="str">
        <f aca="false">IF($B34="","",IF(INDEX(Homiladorlar!$R$5:$R$804,$B34)="","",INDEX(Homiladorlar!$R$5:$R$804,$B34)))</f>
        <v/>
      </c>
      <c r="J34" s="5" t="str">
        <f aca="false">IF($B34="","",IF(INDEX(Homiladorlar!$K$5:$K$804,$B34)="","",INDEX(Homiladorlar!$K$5:$K$804,$B34)))</f>
        <v/>
      </c>
      <c r="K34" s="30" t="str">
        <f aca="false">IF($B34="","",IF(INDEX(Homiladorlar!$J$5:$J$804,$B34)="","",INDEX(Homiladorlar!$J$5:$J$804,$B34)))</f>
        <v/>
      </c>
      <c r="L34" s="30" t="str">
        <f aca="false">IF($B34="","",IF(INDEX(Homiladorlar!$T$5:$T$804,$B34)="","",INDEX(Homiladorlar!$T$5:$T$804,$B34)))</f>
        <v/>
      </c>
      <c r="M34" s="30" t="str">
        <f aca="false">IF($B34="","",IF(INDEX(Homiladorlar!$AB$5:$AB$804,$B34)="","",INDEX(Homiladorlar!$AB$5:$AB$804,$B34)))</f>
        <v/>
      </c>
      <c r="N34" s="5" t="str">
        <f aca="false">IF($B34="","",IF(INDEX(Homiladorlar!$AC$5:$AC$804,$B34)="","",INDEX(Homiladorlar!$AC$5:$AC$804,$B34)))</f>
        <v/>
      </c>
    </row>
    <row r="35" customFormat="false" ht="15" hidden="false" customHeight="false" outlineLevel="0" collapsed="false">
      <c r="A35" s="5" t="n">
        <v>31</v>
      </c>
      <c r="B35" s="29" t="str">
        <f aca="false">IFERROR(MATCH(A35,Homiladorlar!$AH$5:$AH$804,0),"")</f>
        <v/>
      </c>
      <c r="C35" s="5" t="str">
        <f aca="false">IF($B35="","",IF(INDEX(Homiladorlar!$B$5:$B$804,$B35)="","",INDEX(Homiladorlar!$B$5:$B$804,$B35)))</f>
        <v/>
      </c>
      <c r="D35" s="30" t="str">
        <f aca="false">IF($B35="","",IF(INDEX(Homiladorlar!$C$5:$C$804,$B35)="","",INDEX(Homiladorlar!$C$5:$C$804,$B35)))</f>
        <v/>
      </c>
      <c r="E35" s="5" t="str">
        <f aca="false">IF($B35="","",IF(INDEX(Homiladorlar!$F$5:$F$804,$B35)="","",INDEX(Homiladorlar!$F$5:$F$804,$B35)))</f>
        <v/>
      </c>
      <c r="F35" s="5" t="str">
        <f aca="false">IF($B35="","",IF(INDEX(Homiladorlar!$E$5:$E$804,$B35)="","",INDEX(Homiladorlar!$E$5:$E$804,$B35)))</f>
        <v/>
      </c>
      <c r="G35" s="5" t="str">
        <f aca="false">IF($B35="","",IF(INDEX(Homiladorlar!$O$5:$O$804,$B35)="","",INDEX(Homiladorlar!$O$5:$O$804,$B35)))</f>
        <v/>
      </c>
      <c r="H35" s="5" t="str">
        <f aca="false">IF($B35="","",IF(INDEX(Homiladorlar!$Q$5:$Q$804,$B35)="","",INDEX(Homiladorlar!$Q$5:$Q$804,$B35)))</f>
        <v/>
      </c>
      <c r="I35" s="5" t="str">
        <f aca="false">IF($B35="","",IF(INDEX(Homiladorlar!$R$5:$R$804,$B35)="","",INDEX(Homiladorlar!$R$5:$R$804,$B35)))</f>
        <v/>
      </c>
      <c r="J35" s="5" t="str">
        <f aca="false">IF($B35="","",IF(INDEX(Homiladorlar!$K$5:$K$804,$B35)="","",INDEX(Homiladorlar!$K$5:$K$804,$B35)))</f>
        <v/>
      </c>
      <c r="K35" s="30" t="str">
        <f aca="false">IF($B35="","",IF(INDEX(Homiladorlar!$J$5:$J$804,$B35)="","",INDEX(Homiladorlar!$J$5:$J$804,$B35)))</f>
        <v/>
      </c>
      <c r="L35" s="30" t="str">
        <f aca="false">IF($B35="","",IF(INDEX(Homiladorlar!$T$5:$T$804,$B35)="","",INDEX(Homiladorlar!$T$5:$T$804,$B35)))</f>
        <v/>
      </c>
      <c r="M35" s="30" t="str">
        <f aca="false">IF($B35="","",IF(INDEX(Homiladorlar!$AB$5:$AB$804,$B35)="","",INDEX(Homiladorlar!$AB$5:$AB$804,$B35)))</f>
        <v/>
      </c>
      <c r="N35" s="5" t="str">
        <f aca="false">IF($B35="","",IF(INDEX(Homiladorlar!$AC$5:$AC$804,$B35)="","",INDEX(Homiladorlar!$AC$5:$AC$804,$B35)))</f>
        <v/>
      </c>
    </row>
    <row r="36" customFormat="false" ht="15" hidden="false" customHeight="false" outlineLevel="0" collapsed="false">
      <c r="A36" s="5" t="n">
        <v>32</v>
      </c>
      <c r="B36" s="29" t="str">
        <f aca="false">IFERROR(MATCH(A36,Homiladorlar!$AH$5:$AH$804,0),"")</f>
        <v/>
      </c>
      <c r="C36" s="5" t="str">
        <f aca="false">IF($B36="","",IF(INDEX(Homiladorlar!$B$5:$B$804,$B36)="","",INDEX(Homiladorlar!$B$5:$B$804,$B36)))</f>
        <v/>
      </c>
      <c r="D36" s="30" t="str">
        <f aca="false">IF($B36="","",IF(INDEX(Homiladorlar!$C$5:$C$804,$B36)="","",INDEX(Homiladorlar!$C$5:$C$804,$B36)))</f>
        <v/>
      </c>
      <c r="E36" s="5" t="str">
        <f aca="false">IF($B36="","",IF(INDEX(Homiladorlar!$F$5:$F$804,$B36)="","",INDEX(Homiladorlar!$F$5:$F$804,$B36)))</f>
        <v/>
      </c>
      <c r="F36" s="5" t="str">
        <f aca="false">IF($B36="","",IF(INDEX(Homiladorlar!$E$5:$E$804,$B36)="","",INDEX(Homiladorlar!$E$5:$E$804,$B36)))</f>
        <v/>
      </c>
      <c r="G36" s="5" t="str">
        <f aca="false">IF($B36="","",IF(INDEX(Homiladorlar!$O$5:$O$804,$B36)="","",INDEX(Homiladorlar!$O$5:$O$804,$B36)))</f>
        <v/>
      </c>
      <c r="H36" s="5" t="str">
        <f aca="false">IF($B36="","",IF(INDEX(Homiladorlar!$Q$5:$Q$804,$B36)="","",INDEX(Homiladorlar!$Q$5:$Q$804,$B36)))</f>
        <v/>
      </c>
      <c r="I36" s="5" t="str">
        <f aca="false">IF($B36="","",IF(INDEX(Homiladorlar!$R$5:$R$804,$B36)="","",INDEX(Homiladorlar!$R$5:$R$804,$B36)))</f>
        <v/>
      </c>
      <c r="J36" s="5" t="str">
        <f aca="false">IF($B36="","",IF(INDEX(Homiladorlar!$K$5:$K$804,$B36)="","",INDEX(Homiladorlar!$K$5:$K$804,$B36)))</f>
        <v/>
      </c>
      <c r="K36" s="30" t="str">
        <f aca="false">IF($B36="","",IF(INDEX(Homiladorlar!$J$5:$J$804,$B36)="","",INDEX(Homiladorlar!$J$5:$J$804,$B36)))</f>
        <v/>
      </c>
      <c r="L36" s="30" t="str">
        <f aca="false">IF($B36="","",IF(INDEX(Homiladorlar!$T$5:$T$804,$B36)="","",INDEX(Homiladorlar!$T$5:$T$804,$B36)))</f>
        <v/>
      </c>
      <c r="M36" s="30" t="str">
        <f aca="false">IF($B36="","",IF(INDEX(Homiladorlar!$AB$5:$AB$804,$B36)="","",INDEX(Homiladorlar!$AB$5:$AB$804,$B36)))</f>
        <v/>
      </c>
      <c r="N36" s="5" t="str">
        <f aca="false">IF($B36="","",IF(INDEX(Homiladorlar!$AC$5:$AC$804,$B36)="","",INDEX(Homiladorlar!$AC$5:$AC$804,$B36)))</f>
        <v/>
      </c>
    </row>
    <row r="37" customFormat="false" ht="15" hidden="false" customHeight="false" outlineLevel="0" collapsed="false">
      <c r="A37" s="5" t="n">
        <v>33</v>
      </c>
      <c r="B37" s="29" t="str">
        <f aca="false">IFERROR(MATCH(A37,Homiladorlar!$AH$5:$AH$804,0),"")</f>
        <v/>
      </c>
      <c r="C37" s="5" t="str">
        <f aca="false">IF($B37="","",IF(INDEX(Homiladorlar!$B$5:$B$804,$B37)="","",INDEX(Homiladorlar!$B$5:$B$804,$B37)))</f>
        <v/>
      </c>
      <c r="D37" s="30" t="str">
        <f aca="false">IF($B37="","",IF(INDEX(Homiladorlar!$C$5:$C$804,$B37)="","",INDEX(Homiladorlar!$C$5:$C$804,$B37)))</f>
        <v/>
      </c>
      <c r="E37" s="5" t="str">
        <f aca="false">IF($B37="","",IF(INDEX(Homiladorlar!$F$5:$F$804,$B37)="","",INDEX(Homiladorlar!$F$5:$F$804,$B37)))</f>
        <v/>
      </c>
      <c r="F37" s="5" t="str">
        <f aca="false">IF($B37="","",IF(INDEX(Homiladorlar!$E$5:$E$804,$B37)="","",INDEX(Homiladorlar!$E$5:$E$804,$B37)))</f>
        <v/>
      </c>
      <c r="G37" s="5" t="str">
        <f aca="false">IF($B37="","",IF(INDEX(Homiladorlar!$O$5:$O$804,$B37)="","",INDEX(Homiladorlar!$O$5:$O$804,$B37)))</f>
        <v/>
      </c>
      <c r="H37" s="5" t="str">
        <f aca="false">IF($B37="","",IF(INDEX(Homiladorlar!$Q$5:$Q$804,$B37)="","",INDEX(Homiladorlar!$Q$5:$Q$804,$B37)))</f>
        <v/>
      </c>
      <c r="I37" s="5" t="str">
        <f aca="false">IF($B37="","",IF(INDEX(Homiladorlar!$R$5:$R$804,$B37)="","",INDEX(Homiladorlar!$R$5:$R$804,$B37)))</f>
        <v/>
      </c>
      <c r="J37" s="5" t="str">
        <f aca="false">IF($B37="","",IF(INDEX(Homiladorlar!$K$5:$K$804,$B37)="","",INDEX(Homiladorlar!$K$5:$K$804,$B37)))</f>
        <v/>
      </c>
      <c r="K37" s="30" t="str">
        <f aca="false">IF($B37="","",IF(INDEX(Homiladorlar!$J$5:$J$804,$B37)="","",INDEX(Homiladorlar!$J$5:$J$804,$B37)))</f>
        <v/>
      </c>
      <c r="L37" s="30" t="str">
        <f aca="false">IF($B37="","",IF(INDEX(Homiladorlar!$T$5:$T$804,$B37)="","",INDEX(Homiladorlar!$T$5:$T$804,$B37)))</f>
        <v/>
      </c>
      <c r="M37" s="30" t="str">
        <f aca="false">IF($B37="","",IF(INDEX(Homiladorlar!$AB$5:$AB$804,$B37)="","",INDEX(Homiladorlar!$AB$5:$AB$804,$B37)))</f>
        <v/>
      </c>
      <c r="N37" s="5" t="str">
        <f aca="false">IF($B37="","",IF(INDEX(Homiladorlar!$AC$5:$AC$804,$B37)="","",INDEX(Homiladorlar!$AC$5:$AC$804,$B37)))</f>
        <v/>
      </c>
    </row>
    <row r="38" customFormat="false" ht="15" hidden="false" customHeight="false" outlineLevel="0" collapsed="false">
      <c r="A38" s="5" t="n">
        <v>34</v>
      </c>
      <c r="B38" s="29" t="str">
        <f aca="false">IFERROR(MATCH(A38,Homiladorlar!$AH$5:$AH$804,0),"")</f>
        <v/>
      </c>
      <c r="C38" s="5" t="str">
        <f aca="false">IF($B38="","",IF(INDEX(Homiladorlar!$B$5:$B$804,$B38)="","",INDEX(Homiladorlar!$B$5:$B$804,$B38)))</f>
        <v/>
      </c>
      <c r="D38" s="30" t="str">
        <f aca="false">IF($B38="","",IF(INDEX(Homiladorlar!$C$5:$C$804,$B38)="","",INDEX(Homiladorlar!$C$5:$C$804,$B38)))</f>
        <v/>
      </c>
      <c r="E38" s="5" t="str">
        <f aca="false">IF($B38="","",IF(INDEX(Homiladorlar!$F$5:$F$804,$B38)="","",INDEX(Homiladorlar!$F$5:$F$804,$B38)))</f>
        <v/>
      </c>
      <c r="F38" s="5" t="str">
        <f aca="false">IF($B38="","",IF(INDEX(Homiladorlar!$E$5:$E$804,$B38)="","",INDEX(Homiladorlar!$E$5:$E$804,$B38)))</f>
        <v/>
      </c>
      <c r="G38" s="5" t="str">
        <f aca="false">IF($B38="","",IF(INDEX(Homiladorlar!$O$5:$O$804,$B38)="","",INDEX(Homiladorlar!$O$5:$O$804,$B38)))</f>
        <v/>
      </c>
      <c r="H38" s="5" t="str">
        <f aca="false">IF($B38="","",IF(INDEX(Homiladorlar!$Q$5:$Q$804,$B38)="","",INDEX(Homiladorlar!$Q$5:$Q$804,$B38)))</f>
        <v/>
      </c>
      <c r="I38" s="5" t="str">
        <f aca="false">IF($B38="","",IF(INDEX(Homiladorlar!$R$5:$R$804,$B38)="","",INDEX(Homiladorlar!$R$5:$R$804,$B38)))</f>
        <v/>
      </c>
      <c r="J38" s="5" t="str">
        <f aca="false">IF($B38="","",IF(INDEX(Homiladorlar!$K$5:$K$804,$B38)="","",INDEX(Homiladorlar!$K$5:$K$804,$B38)))</f>
        <v/>
      </c>
      <c r="K38" s="30" t="str">
        <f aca="false">IF($B38="","",IF(INDEX(Homiladorlar!$J$5:$J$804,$B38)="","",INDEX(Homiladorlar!$J$5:$J$804,$B38)))</f>
        <v/>
      </c>
      <c r="L38" s="30" t="str">
        <f aca="false">IF($B38="","",IF(INDEX(Homiladorlar!$T$5:$T$804,$B38)="","",INDEX(Homiladorlar!$T$5:$T$804,$B38)))</f>
        <v/>
      </c>
      <c r="M38" s="30" t="str">
        <f aca="false">IF($B38="","",IF(INDEX(Homiladorlar!$AB$5:$AB$804,$B38)="","",INDEX(Homiladorlar!$AB$5:$AB$804,$B38)))</f>
        <v/>
      </c>
      <c r="N38" s="5" t="str">
        <f aca="false">IF($B38="","",IF(INDEX(Homiladorlar!$AC$5:$AC$804,$B38)="","",INDEX(Homiladorlar!$AC$5:$AC$804,$B38)))</f>
        <v/>
      </c>
    </row>
    <row r="39" customFormat="false" ht="15" hidden="false" customHeight="false" outlineLevel="0" collapsed="false">
      <c r="A39" s="5" t="n">
        <v>35</v>
      </c>
      <c r="B39" s="29" t="str">
        <f aca="false">IFERROR(MATCH(A39,Homiladorlar!$AH$5:$AH$804,0),"")</f>
        <v/>
      </c>
      <c r="C39" s="5" t="str">
        <f aca="false">IF($B39="","",IF(INDEX(Homiladorlar!$B$5:$B$804,$B39)="","",INDEX(Homiladorlar!$B$5:$B$804,$B39)))</f>
        <v/>
      </c>
      <c r="D39" s="30" t="str">
        <f aca="false">IF($B39="","",IF(INDEX(Homiladorlar!$C$5:$C$804,$B39)="","",INDEX(Homiladorlar!$C$5:$C$804,$B39)))</f>
        <v/>
      </c>
      <c r="E39" s="5" t="str">
        <f aca="false">IF($B39="","",IF(INDEX(Homiladorlar!$F$5:$F$804,$B39)="","",INDEX(Homiladorlar!$F$5:$F$804,$B39)))</f>
        <v/>
      </c>
      <c r="F39" s="5" t="str">
        <f aca="false">IF($B39="","",IF(INDEX(Homiladorlar!$E$5:$E$804,$B39)="","",INDEX(Homiladorlar!$E$5:$E$804,$B39)))</f>
        <v/>
      </c>
      <c r="G39" s="5" t="str">
        <f aca="false">IF($B39="","",IF(INDEX(Homiladorlar!$O$5:$O$804,$B39)="","",INDEX(Homiladorlar!$O$5:$O$804,$B39)))</f>
        <v/>
      </c>
      <c r="H39" s="5" t="str">
        <f aca="false">IF($B39="","",IF(INDEX(Homiladorlar!$Q$5:$Q$804,$B39)="","",INDEX(Homiladorlar!$Q$5:$Q$804,$B39)))</f>
        <v/>
      </c>
      <c r="I39" s="5" t="str">
        <f aca="false">IF($B39="","",IF(INDEX(Homiladorlar!$R$5:$R$804,$B39)="","",INDEX(Homiladorlar!$R$5:$R$804,$B39)))</f>
        <v/>
      </c>
      <c r="J39" s="5" t="str">
        <f aca="false">IF($B39="","",IF(INDEX(Homiladorlar!$K$5:$K$804,$B39)="","",INDEX(Homiladorlar!$K$5:$K$804,$B39)))</f>
        <v/>
      </c>
      <c r="K39" s="30" t="str">
        <f aca="false">IF($B39="","",IF(INDEX(Homiladorlar!$J$5:$J$804,$B39)="","",INDEX(Homiladorlar!$J$5:$J$804,$B39)))</f>
        <v/>
      </c>
      <c r="L39" s="30" t="str">
        <f aca="false">IF($B39="","",IF(INDEX(Homiladorlar!$T$5:$T$804,$B39)="","",INDEX(Homiladorlar!$T$5:$T$804,$B39)))</f>
        <v/>
      </c>
      <c r="M39" s="30" t="str">
        <f aca="false">IF($B39="","",IF(INDEX(Homiladorlar!$AB$5:$AB$804,$B39)="","",INDEX(Homiladorlar!$AB$5:$AB$804,$B39)))</f>
        <v/>
      </c>
      <c r="N39" s="5" t="str">
        <f aca="false">IF($B39="","",IF(INDEX(Homiladorlar!$AC$5:$AC$804,$B39)="","",INDEX(Homiladorlar!$AC$5:$AC$804,$B39)))</f>
        <v/>
      </c>
    </row>
    <row r="40" customFormat="false" ht="15" hidden="false" customHeight="false" outlineLevel="0" collapsed="false">
      <c r="A40" s="5" t="n">
        <v>36</v>
      </c>
      <c r="B40" s="29" t="str">
        <f aca="false">IFERROR(MATCH(A40,Homiladorlar!$AH$5:$AH$804,0),"")</f>
        <v/>
      </c>
      <c r="C40" s="5" t="str">
        <f aca="false">IF($B40="","",IF(INDEX(Homiladorlar!$B$5:$B$804,$B40)="","",INDEX(Homiladorlar!$B$5:$B$804,$B40)))</f>
        <v/>
      </c>
      <c r="D40" s="30" t="str">
        <f aca="false">IF($B40="","",IF(INDEX(Homiladorlar!$C$5:$C$804,$B40)="","",INDEX(Homiladorlar!$C$5:$C$804,$B40)))</f>
        <v/>
      </c>
      <c r="E40" s="5" t="str">
        <f aca="false">IF($B40="","",IF(INDEX(Homiladorlar!$F$5:$F$804,$B40)="","",INDEX(Homiladorlar!$F$5:$F$804,$B40)))</f>
        <v/>
      </c>
      <c r="F40" s="5" t="str">
        <f aca="false">IF($B40="","",IF(INDEX(Homiladorlar!$E$5:$E$804,$B40)="","",INDEX(Homiladorlar!$E$5:$E$804,$B40)))</f>
        <v/>
      </c>
      <c r="G40" s="5" t="str">
        <f aca="false">IF($B40="","",IF(INDEX(Homiladorlar!$O$5:$O$804,$B40)="","",INDEX(Homiladorlar!$O$5:$O$804,$B40)))</f>
        <v/>
      </c>
      <c r="H40" s="5" t="str">
        <f aca="false">IF($B40="","",IF(INDEX(Homiladorlar!$Q$5:$Q$804,$B40)="","",INDEX(Homiladorlar!$Q$5:$Q$804,$B40)))</f>
        <v/>
      </c>
      <c r="I40" s="5" t="str">
        <f aca="false">IF($B40="","",IF(INDEX(Homiladorlar!$R$5:$R$804,$B40)="","",INDEX(Homiladorlar!$R$5:$R$804,$B40)))</f>
        <v/>
      </c>
      <c r="J40" s="5" t="str">
        <f aca="false">IF($B40="","",IF(INDEX(Homiladorlar!$K$5:$K$804,$B40)="","",INDEX(Homiladorlar!$K$5:$K$804,$B40)))</f>
        <v/>
      </c>
      <c r="K40" s="30" t="str">
        <f aca="false">IF($B40="","",IF(INDEX(Homiladorlar!$J$5:$J$804,$B40)="","",INDEX(Homiladorlar!$J$5:$J$804,$B40)))</f>
        <v/>
      </c>
      <c r="L40" s="30" t="str">
        <f aca="false">IF($B40="","",IF(INDEX(Homiladorlar!$T$5:$T$804,$B40)="","",INDEX(Homiladorlar!$T$5:$T$804,$B40)))</f>
        <v/>
      </c>
      <c r="M40" s="30" t="str">
        <f aca="false">IF($B40="","",IF(INDEX(Homiladorlar!$AB$5:$AB$804,$B40)="","",INDEX(Homiladorlar!$AB$5:$AB$804,$B40)))</f>
        <v/>
      </c>
      <c r="N40" s="5" t="str">
        <f aca="false">IF($B40="","",IF(INDEX(Homiladorlar!$AC$5:$AC$804,$B40)="","",INDEX(Homiladorlar!$AC$5:$AC$804,$B40)))</f>
        <v/>
      </c>
    </row>
    <row r="41" customFormat="false" ht="15" hidden="false" customHeight="false" outlineLevel="0" collapsed="false">
      <c r="A41" s="5" t="n">
        <v>37</v>
      </c>
      <c r="B41" s="29" t="str">
        <f aca="false">IFERROR(MATCH(A41,Homiladorlar!$AH$5:$AH$804,0),"")</f>
        <v/>
      </c>
      <c r="C41" s="5" t="str">
        <f aca="false">IF($B41="","",IF(INDEX(Homiladorlar!$B$5:$B$804,$B41)="","",INDEX(Homiladorlar!$B$5:$B$804,$B41)))</f>
        <v/>
      </c>
      <c r="D41" s="30" t="str">
        <f aca="false">IF($B41="","",IF(INDEX(Homiladorlar!$C$5:$C$804,$B41)="","",INDEX(Homiladorlar!$C$5:$C$804,$B41)))</f>
        <v/>
      </c>
      <c r="E41" s="5" t="str">
        <f aca="false">IF($B41="","",IF(INDEX(Homiladorlar!$F$5:$F$804,$B41)="","",INDEX(Homiladorlar!$F$5:$F$804,$B41)))</f>
        <v/>
      </c>
      <c r="F41" s="5" t="str">
        <f aca="false">IF($B41="","",IF(INDEX(Homiladorlar!$E$5:$E$804,$B41)="","",INDEX(Homiladorlar!$E$5:$E$804,$B41)))</f>
        <v/>
      </c>
      <c r="G41" s="5" t="str">
        <f aca="false">IF($B41="","",IF(INDEX(Homiladorlar!$O$5:$O$804,$B41)="","",INDEX(Homiladorlar!$O$5:$O$804,$B41)))</f>
        <v/>
      </c>
      <c r="H41" s="5" t="str">
        <f aca="false">IF($B41="","",IF(INDEX(Homiladorlar!$Q$5:$Q$804,$B41)="","",INDEX(Homiladorlar!$Q$5:$Q$804,$B41)))</f>
        <v/>
      </c>
      <c r="I41" s="5" t="str">
        <f aca="false">IF($B41="","",IF(INDEX(Homiladorlar!$R$5:$R$804,$B41)="","",INDEX(Homiladorlar!$R$5:$R$804,$B41)))</f>
        <v/>
      </c>
      <c r="J41" s="5" t="str">
        <f aca="false">IF($B41="","",IF(INDEX(Homiladorlar!$K$5:$K$804,$B41)="","",INDEX(Homiladorlar!$K$5:$K$804,$B41)))</f>
        <v/>
      </c>
      <c r="K41" s="30" t="str">
        <f aca="false">IF($B41="","",IF(INDEX(Homiladorlar!$J$5:$J$804,$B41)="","",INDEX(Homiladorlar!$J$5:$J$804,$B41)))</f>
        <v/>
      </c>
      <c r="L41" s="30" t="str">
        <f aca="false">IF($B41="","",IF(INDEX(Homiladorlar!$T$5:$T$804,$B41)="","",INDEX(Homiladorlar!$T$5:$T$804,$B41)))</f>
        <v/>
      </c>
      <c r="M41" s="30" t="str">
        <f aca="false">IF($B41="","",IF(INDEX(Homiladorlar!$AB$5:$AB$804,$B41)="","",INDEX(Homiladorlar!$AB$5:$AB$804,$B41)))</f>
        <v/>
      </c>
      <c r="N41" s="5" t="str">
        <f aca="false">IF($B41="","",IF(INDEX(Homiladorlar!$AC$5:$AC$804,$B41)="","",INDEX(Homiladorlar!$AC$5:$AC$804,$B41)))</f>
        <v/>
      </c>
    </row>
    <row r="42" customFormat="false" ht="15" hidden="false" customHeight="false" outlineLevel="0" collapsed="false">
      <c r="A42" s="5" t="n">
        <v>38</v>
      </c>
      <c r="B42" s="29" t="str">
        <f aca="false">IFERROR(MATCH(A42,Homiladorlar!$AH$5:$AH$804,0),"")</f>
        <v/>
      </c>
      <c r="C42" s="5" t="str">
        <f aca="false">IF($B42="","",IF(INDEX(Homiladorlar!$B$5:$B$804,$B42)="","",INDEX(Homiladorlar!$B$5:$B$804,$B42)))</f>
        <v/>
      </c>
      <c r="D42" s="30" t="str">
        <f aca="false">IF($B42="","",IF(INDEX(Homiladorlar!$C$5:$C$804,$B42)="","",INDEX(Homiladorlar!$C$5:$C$804,$B42)))</f>
        <v/>
      </c>
      <c r="E42" s="5" t="str">
        <f aca="false">IF($B42="","",IF(INDEX(Homiladorlar!$F$5:$F$804,$B42)="","",INDEX(Homiladorlar!$F$5:$F$804,$B42)))</f>
        <v/>
      </c>
      <c r="F42" s="5" t="str">
        <f aca="false">IF($B42="","",IF(INDEX(Homiladorlar!$E$5:$E$804,$B42)="","",INDEX(Homiladorlar!$E$5:$E$804,$B42)))</f>
        <v/>
      </c>
      <c r="G42" s="5" t="str">
        <f aca="false">IF($B42="","",IF(INDEX(Homiladorlar!$O$5:$O$804,$B42)="","",INDEX(Homiladorlar!$O$5:$O$804,$B42)))</f>
        <v/>
      </c>
      <c r="H42" s="5" t="str">
        <f aca="false">IF($B42="","",IF(INDEX(Homiladorlar!$Q$5:$Q$804,$B42)="","",INDEX(Homiladorlar!$Q$5:$Q$804,$B42)))</f>
        <v/>
      </c>
      <c r="I42" s="5" t="str">
        <f aca="false">IF($B42="","",IF(INDEX(Homiladorlar!$R$5:$R$804,$B42)="","",INDEX(Homiladorlar!$R$5:$R$804,$B42)))</f>
        <v/>
      </c>
      <c r="J42" s="5" t="str">
        <f aca="false">IF($B42="","",IF(INDEX(Homiladorlar!$K$5:$K$804,$B42)="","",INDEX(Homiladorlar!$K$5:$K$804,$B42)))</f>
        <v/>
      </c>
      <c r="K42" s="30" t="str">
        <f aca="false">IF($B42="","",IF(INDEX(Homiladorlar!$J$5:$J$804,$B42)="","",INDEX(Homiladorlar!$J$5:$J$804,$B42)))</f>
        <v/>
      </c>
      <c r="L42" s="30" t="str">
        <f aca="false">IF($B42="","",IF(INDEX(Homiladorlar!$T$5:$T$804,$B42)="","",INDEX(Homiladorlar!$T$5:$T$804,$B42)))</f>
        <v/>
      </c>
      <c r="M42" s="30" t="str">
        <f aca="false">IF($B42="","",IF(INDEX(Homiladorlar!$AB$5:$AB$804,$B42)="","",INDEX(Homiladorlar!$AB$5:$AB$804,$B42)))</f>
        <v/>
      </c>
      <c r="N42" s="5" t="str">
        <f aca="false">IF($B42="","",IF(INDEX(Homiladorlar!$AC$5:$AC$804,$B42)="","",INDEX(Homiladorlar!$AC$5:$AC$804,$B42)))</f>
        <v/>
      </c>
    </row>
    <row r="43" customFormat="false" ht="15" hidden="false" customHeight="false" outlineLevel="0" collapsed="false">
      <c r="A43" s="5" t="n">
        <v>39</v>
      </c>
      <c r="B43" s="29" t="str">
        <f aca="false">IFERROR(MATCH(A43,Homiladorlar!$AH$5:$AH$804,0),"")</f>
        <v/>
      </c>
      <c r="C43" s="5" t="str">
        <f aca="false">IF($B43="","",IF(INDEX(Homiladorlar!$B$5:$B$804,$B43)="","",INDEX(Homiladorlar!$B$5:$B$804,$B43)))</f>
        <v/>
      </c>
      <c r="D43" s="30" t="str">
        <f aca="false">IF($B43="","",IF(INDEX(Homiladorlar!$C$5:$C$804,$B43)="","",INDEX(Homiladorlar!$C$5:$C$804,$B43)))</f>
        <v/>
      </c>
      <c r="E43" s="5" t="str">
        <f aca="false">IF($B43="","",IF(INDEX(Homiladorlar!$F$5:$F$804,$B43)="","",INDEX(Homiladorlar!$F$5:$F$804,$B43)))</f>
        <v/>
      </c>
      <c r="F43" s="5" t="str">
        <f aca="false">IF($B43="","",IF(INDEX(Homiladorlar!$E$5:$E$804,$B43)="","",INDEX(Homiladorlar!$E$5:$E$804,$B43)))</f>
        <v/>
      </c>
      <c r="G43" s="5" t="str">
        <f aca="false">IF($B43="","",IF(INDEX(Homiladorlar!$O$5:$O$804,$B43)="","",INDEX(Homiladorlar!$O$5:$O$804,$B43)))</f>
        <v/>
      </c>
      <c r="H43" s="5" t="str">
        <f aca="false">IF($B43="","",IF(INDEX(Homiladorlar!$Q$5:$Q$804,$B43)="","",INDEX(Homiladorlar!$Q$5:$Q$804,$B43)))</f>
        <v/>
      </c>
      <c r="I43" s="5" t="str">
        <f aca="false">IF($B43="","",IF(INDEX(Homiladorlar!$R$5:$R$804,$B43)="","",INDEX(Homiladorlar!$R$5:$R$804,$B43)))</f>
        <v/>
      </c>
      <c r="J43" s="5" t="str">
        <f aca="false">IF($B43="","",IF(INDEX(Homiladorlar!$K$5:$K$804,$B43)="","",INDEX(Homiladorlar!$K$5:$K$804,$B43)))</f>
        <v/>
      </c>
      <c r="K43" s="30" t="str">
        <f aca="false">IF($B43="","",IF(INDEX(Homiladorlar!$J$5:$J$804,$B43)="","",INDEX(Homiladorlar!$J$5:$J$804,$B43)))</f>
        <v/>
      </c>
      <c r="L43" s="30" t="str">
        <f aca="false">IF($B43="","",IF(INDEX(Homiladorlar!$T$5:$T$804,$B43)="","",INDEX(Homiladorlar!$T$5:$T$804,$B43)))</f>
        <v/>
      </c>
      <c r="M43" s="30" t="str">
        <f aca="false">IF($B43="","",IF(INDEX(Homiladorlar!$AB$5:$AB$804,$B43)="","",INDEX(Homiladorlar!$AB$5:$AB$804,$B43)))</f>
        <v/>
      </c>
      <c r="N43" s="5" t="str">
        <f aca="false">IF($B43="","",IF(INDEX(Homiladorlar!$AC$5:$AC$804,$B43)="","",INDEX(Homiladorlar!$AC$5:$AC$804,$B43)))</f>
        <v/>
      </c>
    </row>
    <row r="44" customFormat="false" ht="15" hidden="false" customHeight="false" outlineLevel="0" collapsed="false">
      <c r="A44" s="5" t="n">
        <v>40</v>
      </c>
      <c r="B44" s="29" t="str">
        <f aca="false">IFERROR(MATCH(A44,Homiladorlar!$AH$5:$AH$804,0),"")</f>
        <v/>
      </c>
      <c r="C44" s="5" t="str">
        <f aca="false">IF($B44="","",IF(INDEX(Homiladorlar!$B$5:$B$804,$B44)="","",INDEX(Homiladorlar!$B$5:$B$804,$B44)))</f>
        <v/>
      </c>
      <c r="D44" s="30" t="str">
        <f aca="false">IF($B44="","",IF(INDEX(Homiladorlar!$C$5:$C$804,$B44)="","",INDEX(Homiladorlar!$C$5:$C$804,$B44)))</f>
        <v/>
      </c>
      <c r="E44" s="5" t="str">
        <f aca="false">IF($B44="","",IF(INDEX(Homiladorlar!$F$5:$F$804,$B44)="","",INDEX(Homiladorlar!$F$5:$F$804,$B44)))</f>
        <v/>
      </c>
      <c r="F44" s="5" t="str">
        <f aca="false">IF($B44="","",IF(INDEX(Homiladorlar!$E$5:$E$804,$B44)="","",INDEX(Homiladorlar!$E$5:$E$804,$B44)))</f>
        <v/>
      </c>
      <c r="G44" s="5" t="str">
        <f aca="false">IF($B44="","",IF(INDEX(Homiladorlar!$O$5:$O$804,$B44)="","",INDEX(Homiladorlar!$O$5:$O$804,$B44)))</f>
        <v/>
      </c>
      <c r="H44" s="5" t="str">
        <f aca="false">IF($B44="","",IF(INDEX(Homiladorlar!$Q$5:$Q$804,$B44)="","",INDEX(Homiladorlar!$Q$5:$Q$804,$B44)))</f>
        <v/>
      </c>
      <c r="I44" s="5" t="str">
        <f aca="false">IF($B44="","",IF(INDEX(Homiladorlar!$R$5:$R$804,$B44)="","",INDEX(Homiladorlar!$R$5:$R$804,$B44)))</f>
        <v/>
      </c>
      <c r="J44" s="5" t="str">
        <f aca="false">IF($B44="","",IF(INDEX(Homiladorlar!$K$5:$K$804,$B44)="","",INDEX(Homiladorlar!$K$5:$K$804,$B44)))</f>
        <v/>
      </c>
      <c r="K44" s="30" t="str">
        <f aca="false">IF($B44="","",IF(INDEX(Homiladorlar!$J$5:$J$804,$B44)="","",INDEX(Homiladorlar!$J$5:$J$804,$B44)))</f>
        <v/>
      </c>
      <c r="L44" s="30" t="str">
        <f aca="false">IF($B44="","",IF(INDEX(Homiladorlar!$T$5:$T$804,$B44)="","",INDEX(Homiladorlar!$T$5:$T$804,$B44)))</f>
        <v/>
      </c>
      <c r="M44" s="30" t="str">
        <f aca="false">IF($B44="","",IF(INDEX(Homiladorlar!$AB$5:$AB$804,$B44)="","",INDEX(Homiladorlar!$AB$5:$AB$804,$B44)))</f>
        <v/>
      </c>
      <c r="N44" s="5" t="str">
        <f aca="false">IF($B44="","",IF(INDEX(Homiladorlar!$AC$5:$AC$804,$B44)="","",INDEX(Homiladorlar!$AC$5:$AC$804,$B44)))</f>
        <v/>
      </c>
    </row>
    <row r="45" customFormat="false" ht="15" hidden="false" customHeight="false" outlineLevel="0" collapsed="false">
      <c r="A45" s="5" t="n">
        <v>41</v>
      </c>
      <c r="B45" s="29" t="str">
        <f aca="false">IFERROR(MATCH(A45,Homiladorlar!$AH$5:$AH$804,0),"")</f>
        <v/>
      </c>
      <c r="C45" s="5" t="str">
        <f aca="false">IF($B45="","",IF(INDEX(Homiladorlar!$B$5:$B$804,$B45)="","",INDEX(Homiladorlar!$B$5:$B$804,$B45)))</f>
        <v/>
      </c>
      <c r="D45" s="30" t="str">
        <f aca="false">IF($B45="","",IF(INDEX(Homiladorlar!$C$5:$C$804,$B45)="","",INDEX(Homiladorlar!$C$5:$C$804,$B45)))</f>
        <v/>
      </c>
      <c r="E45" s="5" t="str">
        <f aca="false">IF($B45="","",IF(INDEX(Homiladorlar!$F$5:$F$804,$B45)="","",INDEX(Homiladorlar!$F$5:$F$804,$B45)))</f>
        <v/>
      </c>
      <c r="F45" s="5" t="str">
        <f aca="false">IF($B45="","",IF(INDEX(Homiladorlar!$E$5:$E$804,$B45)="","",INDEX(Homiladorlar!$E$5:$E$804,$B45)))</f>
        <v/>
      </c>
      <c r="G45" s="5" t="str">
        <f aca="false">IF($B45="","",IF(INDEX(Homiladorlar!$O$5:$O$804,$B45)="","",INDEX(Homiladorlar!$O$5:$O$804,$B45)))</f>
        <v/>
      </c>
      <c r="H45" s="5" t="str">
        <f aca="false">IF($B45="","",IF(INDEX(Homiladorlar!$Q$5:$Q$804,$B45)="","",INDEX(Homiladorlar!$Q$5:$Q$804,$B45)))</f>
        <v/>
      </c>
      <c r="I45" s="5" t="str">
        <f aca="false">IF($B45="","",IF(INDEX(Homiladorlar!$R$5:$R$804,$B45)="","",INDEX(Homiladorlar!$R$5:$R$804,$B45)))</f>
        <v/>
      </c>
      <c r="J45" s="5" t="str">
        <f aca="false">IF($B45="","",IF(INDEX(Homiladorlar!$K$5:$K$804,$B45)="","",INDEX(Homiladorlar!$K$5:$K$804,$B45)))</f>
        <v/>
      </c>
      <c r="K45" s="30" t="str">
        <f aca="false">IF($B45="","",IF(INDEX(Homiladorlar!$J$5:$J$804,$B45)="","",INDEX(Homiladorlar!$J$5:$J$804,$B45)))</f>
        <v/>
      </c>
      <c r="L45" s="30" t="str">
        <f aca="false">IF($B45="","",IF(INDEX(Homiladorlar!$T$5:$T$804,$B45)="","",INDEX(Homiladorlar!$T$5:$T$804,$B45)))</f>
        <v/>
      </c>
      <c r="M45" s="30" t="str">
        <f aca="false">IF($B45="","",IF(INDEX(Homiladorlar!$AB$5:$AB$804,$B45)="","",INDEX(Homiladorlar!$AB$5:$AB$804,$B45)))</f>
        <v/>
      </c>
      <c r="N45" s="5" t="str">
        <f aca="false">IF($B45="","",IF(INDEX(Homiladorlar!$AC$5:$AC$804,$B45)="","",INDEX(Homiladorlar!$AC$5:$AC$804,$B45)))</f>
        <v/>
      </c>
    </row>
    <row r="46" customFormat="false" ht="15" hidden="false" customHeight="false" outlineLevel="0" collapsed="false">
      <c r="A46" s="5" t="n">
        <v>42</v>
      </c>
      <c r="B46" s="29" t="str">
        <f aca="false">IFERROR(MATCH(A46,Homiladorlar!$AH$5:$AH$804,0),"")</f>
        <v/>
      </c>
      <c r="C46" s="5" t="str">
        <f aca="false">IF($B46="","",IF(INDEX(Homiladorlar!$B$5:$B$804,$B46)="","",INDEX(Homiladorlar!$B$5:$B$804,$B46)))</f>
        <v/>
      </c>
      <c r="D46" s="30" t="str">
        <f aca="false">IF($B46="","",IF(INDEX(Homiladorlar!$C$5:$C$804,$B46)="","",INDEX(Homiladorlar!$C$5:$C$804,$B46)))</f>
        <v/>
      </c>
      <c r="E46" s="5" t="str">
        <f aca="false">IF($B46="","",IF(INDEX(Homiladorlar!$F$5:$F$804,$B46)="","",INDEX(Homiladorlar!$F$5:$F$804,$B46)))</f>
        <v/>
      </c>
      <c r="F46" s="5" t="str">
        <f aca="false">IF($B46="","",IF(INDEX(Homiladorlar!$E$5:$E$804,$B46)="","",INDEX(Homiladorlar!$E$5:$E$804,$B46)))</f>
        <v/>
      </c>
      <c r="G46" s="5" t="str">
        <f aca="false">IF($B46="","",IF(INDEX(Homiladorlar!$O$5:$O$804,$B46)="","",INDEX(Homiladorlar!$O$5:$O$804,$B46)))</f>
        <v/>
      </c>
      <c r="H46" s="5" t="str">
        <f aca="false">IF($B46="","",IF(INDEX(Homiladorlar!$Q$5:$Q$804,$B46)="","",INDEX(Homiladorlar!$Q$5:$Q$804,$B46)))</f>
        <v/>
      </c>
      <c r="I46" s="5" t="str">
        <f aca="false">IF($B46="","",IF(INDEX(Homiladorlar!$R$5:$R$804,$B46)="","",INDEX(Homiladorlar!$R$5:$R$804,$B46)))</f>
        <v/>
      </c>
      <c r="J46" s="5" t="str">
        <f aca="false">IF($B46="","",IF(INDEX(Homiladorlar!$K$5:$K$804,$B46)="","",INDEX(Homiladorlar!$K$5:$K$804,$B46)))</f>
        <v/>
      </c>
      <c r="K46" s="30" t="str">
        <f aca="false">IF($B46="","",IF(INDEX(Homiladorlar!$J$5:$J$804,$B46)="","",INDEX(Homiladorlar!$J$5:$J$804,$B46)))</f>
        <v/>
      </c>
      <c r="L46" s="30" t="str">
        <f aca="false">IF($B46="","",IF(INDEX(Homiladorlar!$T$5:$T$804,$B46)="","",INDEX(Homiladorlar!$T$5:$T$804,$B46)))</f>
        <v/>
      </c>
      <c r="M46" s="30" t="str">
        <f aca="false">IF($B46="","",IF(INDEX(Homiladorlar!$AB$5:$AB$804,$B46)="","",INDEX(Homiladorlar!$AB$5:$AB$804,$B46)))</f>
        <v/>
      </c>
      <c r="N46" s="5" t="str">
        <f aca="false">IF($B46="","",IF(INDEX(Homiladorlar!$AC$5:$AC$804,$B46)="","",INDEX(Homiladorlar!$AC$5:$AC$804,$B46)))</f>
        <v/>
      </c>
    </row>
    <row r="47" customFormat="false" ht="15" hidden="false" customHeight="false" outlineLevel="0" collapsed="false">
      <c r="A47" s="5" t="n">
        <v>43</v>
      </c>
      <c r="B47" s="29" t="str">
        <f aca="false">IFERROR(MATCH(A47,Homiladorlar!$AH$5:$AH$804,0),"")</f>
        <v/>
      </c>
      <c r="C47" s="5" t="str">
        <f aca="false">IF($B47="","",IF(INDEX(Homiladorlar!$B$5:$B$804,$B47)="","",INDEX(Homiladorlar!$B$5:$B$804,$B47)))</f>
        <v/>
      </c>
      <c r="D47" s="30" t="str">
        <f aca="false">IF($B47="","",IF(INDEX(Homiladorlar!$C$5:$C$804,$B47)="","",INDEX(Homiladorlar!$C$5:$C$804,$B47)))</f>
        <v/>
      </c>
      <c r="E47" s="5" t="str">
        <f aca="false">IF($B47="","",IF(INDEX(Homiladorlar!$F$5:$F$804,$B47)="","",INDEX(Homiladorlar!$F$5:$F$804,$B47)))</f>
        <v/>
      </c>
      <c r="F47" s="5" t="str">
        <f aca="false">IF($B47="","",IF(INDEX(Homiladorlar!$E$5:$E$804,$B47)="","",INDEX(Homiladorlar!$E$5:$E$804,$B47)))</f>
        <v/>
      </c>
      <c r="G47" s="5" t="str">
        <f aca="false">IF($B47="","",IF(INDEX(Homiladorlar!$O$5:$O$804,$B47)="","",INDEX(Homiladorlar!$O$5:$O$804,$B47)))</f>
        <v/>
      </c>
      <c r="H47" s="5" t="str">
        <f aca="false">IF($B47="","",IF(INDEX(Homiladorlar!$Q$5:$Q$804,$B47)="","",INDEX(Homiladorlar!$Q$5:$Q$804,$B47)))</f>
        <v/>
      </c>
      <c r="I47" s="5" t="str">
        <f aca="false">IF($B47="","",IF(INDEX(Homiladorlar!$R$5:$R$804,$B47)="","",INDEX(Homiladorlar!$R$5:$R$804,$B47)))</f>
        <v/>
      </c>
      <c r="J47" s="5" t="str">
        <f aca="false">IF($B47="","",IF(INDEX(Homiladorlar!$K$5:$K$804,$B47)="","",INDEX(Homiladorlar!$K$5:$K$804,$B47)))</f>
        <v/>
      </c>
      <c r="K47" s="30" t="str">
        <f aca="false">IF($B47="","",IF(INDEX(Homiladorlar!$J$5:$J$804,$B47)="","",INDEX(Homiladorlar!$J$5:$J$804,$B47)))</f>
        <v/>
      </c>
      <c r="L47" s="30" t="str">
        <f aca="false">IF($B47="","",IF(INDEX(Homiladorlar!$T$5:$T$804,$B47)="","",INDEX(Homiladorlar!$T$5:$T$804,$B47)))</f>
        <v/>
      </c>
      <c r="M47" s="30" t="str">
        <f aca="false">IF($B47="","",IF(INDEX(Homiladorlar!$AB$5:$AB$804,$B47)="","",INDEX(Homiladorlar!$AB$5:$AB$804,$B47)))</f>
        <v/>
      </c>
      <c r="N47" s="5" t="str">
        <f aca="false">IF($B47="","",IF(INDEX(Homiladorlar!$AC$5:$AC$804,$B47)="","",INDEX(Homiladorlar!$AC$5:$AC$804,$B47)))</f>
        <v/>
      </c>
    </row>
    <row r="48" customFormat="false" ht="15" hidden="false" customHeight="false" outlineLevel="0" collapsed="false">
      <c r="A48" s="5" t="n">
        <v>44</v>
      </c>
      <c r="B48" s="29" t="str">
        <f aca="false">IFERROR(MATCH(A48,Homiladorlar!$AH$5:$AH$804,0),"")</f>
        <v/>
      </c>
      <c r="C48" s="5" t="str">
        <f aca="false">IF($B48="","",IF(INDEX(Homiladorlar!$B$5:$B$804,$B48)="","",INDEX(Homiladorlar!$B$5:$B$804,$B48)))</f>
        <v/>
      </c>
      <c r="D48" s="30" t="str">
        <f aca="false">IF($B48="","",IF(INDEX(Homiladorlar!$C$5:$C$804,$B48)="","",INDEX(Homiladorlar!$C$5:$C$804,$B48)))</f>
        <v/>
      </c>
      <c r="E48" s="5" t="str">
        <f aca="false">IF($B48="","",IF(INDEX(Homiladorlar!$F$5:$F$804,$B48)="","",INDEX(Homiladorlar!$F$5:$F$804,$B48)))</f>
        <v/>
      </c>
      <c r="F48" s="5" t="str">
        <f aca="false">IF($B48="","",IF(INDEX(Homiladorlar!$E$5:$E$804,$B48)="","",INDEX(Homiladorlar!$E$5:$E$804,$B48)))</f>
        <v/>
      </c>
      <c r="G48" s="5" t="str">
        <f aca="false">IF($B48="","",IF(INDEX(Homiladorlar!$O$5:$O$804,$B48)="","",INDEX(Homiladorlar!$O$5:$O$804,$B48)))</f>
        <v/>
      </c>
      <c r="H48" s="5" t="str">
        <f aca="false">IF($B48="","",IF(INDEX(Homiladorlar!$Q$5:$Q$804,$B48)="","",INDEX(Homiladorlar!$Q$5:$Q$804,$B48)))</f>
        <v/>
      </c>
      <c r="I48" s="5" t="str">
        <f aca="false">IF($B48="","",IF(INDEX(Homiladorlar!$R$5:$R$804,$B48)="","",INDEX(Homiladorlar!$R$5:$R$804,$B48)))</f>
        <v/>
      </c>
      <c r="J48" s="5" t="str">
        <f aca="false">IF($B48="","",IF(INDEX(Homiladorlar!$K$5:$K$804,$B48)="","",INDEX(Homiladorlar!$K$5:$K$804,$B48)))</f>
        <v/>
      </c>
      <c r="K48" s="30" t="str">
        <f aca="false">IF($B48="","",IF(INDEX(Homiladorlar!$J$5:$J$804,$B48)="","",INDEX(Homiladorlar!$J$5:$J$804,$B48)))</f>
        <v/>
      </c>
      <c r="L48" s="30" t="str">
        <f aca="false">IF($B48="","",IF(INDEX(Homiladorlar!$T$5:$T$804,$B48)="","",INDEX(Homiladorlar!$T$5:$T$804,$B48)))</f>
        <v/>
      </c>
      <c r="M48" s="30" t="str">
        <f aca="false">IF($B48="","",IF(INDEX(Homiladorlar!$AB$5:$AB$804,$B48)="","",INDEX(Homiladorlar!$AB$5:$AB$804,$B48)))</f>
        <v/>
      </c>
      <c r="N48" s="5" t="str">
        <f aca="false">IF($B48="","",IF(INDEX(Homiladorlar!$AC$5:$AC$804,$B48)="","",INDEX(Homiladorlar!$AC$5:$AC$804,$B48)))</f>
        <v/>
      </c>
    </row>
    <row r="49" customFormat="false" ht="15" hidden="false" customHeight="false" outlineLevel="0" collapsed="false">
      <c r="A49" s="5" t="n">
        <v>45</v>
      </c>
      <c r="B49" s="29" t="str">
        <f aca="false">IFERROR(MATCH(A49,Homiladorlar!$AH$5:$AH$804,0),"")</f>
        <v/>
      </c>
      <c r="C49" s="5" t="str">
        <f aca="false">IF($B49="","",IF(INDEX(Homiladorlar!$B$5:$B$804,$B49)="","",INDEX(Homiladorlar!$B$5:$B$804,$B49)))</f>
        <v/>
      </c>
      <c r="D49" s="30" t="str">
        <f aca="false">IF($B49="","",IF(INDEX(Homiladorlar!$C$5:$C$804,$B49)="","",INDEX(Homiladorlar!$C$5:$C$804,$B49)))</f>
        <v/>
      </c>
      <c r="E49" s="5" t="str">
        <f aca="false">IF($B49="","",IF(INDEX(Homiladorlar!$F$5:$F$804,$B49)="","",INDEX(Homiladorlar!$F$5:$F$804,$B49)))</f>
        <v/>
      </c>
      <c r="F49" s="5" t="str">
        <f aca="false">IF($B49="","",IF(INDEX(Homiladorlar!$E$5:$E$804,$B49)="","",INDEX(Homiladorlar!$E$5:$E$804,$B49)))</f>
        <v/>
      </c>
      <c r="G49" s="5" t="str">
        <f aca="false">IF($B49="","",IF(INDEX(Homiladorlar!$O$5:$O$804,$B49)="","",INDEX(Homiladorlar!$O$5:$O$804,$B49)))</f>
        <v/>
      </c>
      <c r="H49" s="5" t="str">
        <f aca="false">IF($B49="","",IF(INDEX(Homiladorlar!$Q$5:$Q$804,$B49)="","",INDEX(Homiladorlar!$Q$5:$Q$804,$B49)))</f>
        <v/>
      </c>
      <c r="I49" s="5" t="str">
        <f aca="false">IF($B49="","",IF(INDEX(Homiladorlar!$R$5:$R$804,$B49)="","",INDEX(Homiladorlar!$R$5:$R$804,$B49)))</f>
        <v/>
      </c>
      <c r="J49" s="5" t="str">
        <f aca="false">IF($B49="","",IF(INDEX(Homiladorlar!$K$5:$K$804,$B49)="","",INDEX(Homiladorlar!$K$5:$K$804,$B49)))</f>
        <v/>
      </c>
      <c r="K49" s="30" t="str">
        <f aca="false">IF($B49="","",IF(INDEX(Homiladorlar!$J$5:$J$804,$B49)="","",INDEX(Homiladorlar!$J$5:$J$804,$B49)))</f>
        <v/>
      </c>
      <c r="L49" s="30" t="str">
        <f aca="false">IF($B49="","",IF(INDEX(Homiladorlar!$T$5:$T$804,$B49)="","",INDEX(Homiladorlar!$T$5:$T$804,$B49)))</f>
        <v/>
      </c>
      <c r="M49" s="30" t="str">
        <f aca="false">IF($B49="","",IF(INDEX(Homiladorlar!$AB$5:$AB$804,$B49)="","",INDEX(Homiladorlar!$AB$5:$AB$804,$B49)))</f>
        <v/>
      </c>
      <c r="N49" s="5" t="str">
        <f aca="false">IF($B49="","",IF(INDEX(Homiladorlar!$AC$5:$AC$804,$B49)="","",INDEX(Homiladorlar!$AC$5:$AC$804,$B49)))</f>
        <v/>
      </c>
    </row>
    <row r="50" customFormat="false" ht="15" hidden="false" customHeight="false" outlineLevel="0" collapsed="false">
      <c r="A50" s="5" t="n">
        <v>46</v>
      </c>
      <c r="B50" s="29" t="str">
        <f aca="false">IFERROR(MATCH(A50,Homiladorlar!$AH$5:$AH$804,0),"")</f>
        <v/>
      </c>
      <c r="C50" s="5" t="str">
        <f aca="false">IF($B50="","",IF(INDEX(Homiladorlar!$B$5:$B$804,$B50)="","",INDEX(Homiladorlar!$B$5:$B$804,$B50)))</f>
        <v/>
      </c>
      <c r="D50" s="30" t="str">
        <f aca="false">IF($B50="","",IF(INDEX(Homiladorlar!$C$5:$C$804,$B50)="","",INDEX(Homiladorlar!$C$5:$C$804,$B50)))</f>
        <v/>
      </c>
      <c r="E50" s="5" t="str">
        <f aca="false">IF($B50="","",IF(INDEX(Homiladorlar!$F$5:$F$804,$B50)="","",INDEX(Homiladorlar!$F$5:$F$804,$B50)))</f>
        <v/>
      </c>
      <c r="F50" s="5" t="str">
        <f aca="false">IF($B50="","",IF(INDEX(Homiladorlar!$E$5:$E$804,$B50)="","",INDEX(Homiladorlar!$E$5:$E$804,$B50)))</f>
        <v/>
      </c>
      <c r="G50" s="5" t="str">
        <f aca="false">IF($B50="","",IF(INDEX(Homiladorlar!$O$5:$O$804,$B50)="","",INDEX(Homiladorlar!$O$5:$O$804,$B50)))</f>
        <v/>
      </c>
      <c r="H50" s="5" t="str">
        <f aca="false">IF($B50="","",IF(INDEX(Homiladorlar!$Q$5:$Q$804,$B50)="","",INDEX(Homiladorlar!$Q$5:$Q$804,$B50)))</f>
        <v/>
      </c>
      <c r="I50" s="5" t="str">
        <f aca="false">IF($B50="","",IF(INDEX(Homiladorlar!$R$5:$R$804,$B50)="","",INDEX(Homiladorlar!$R$5:$R$804,$B50)))</f>
        <v/>
      </c>
      <c r="J50" s="5" t="str">
        <f aca="false">IF($B50="","",IF(INDEX(Homiladorlar!$K$5:$K$804,$B50)="","",INDEX(Homiladorlar!$K$5:$K$804,$B50)))</f>
        <v/>
      </c>
      <c r="K50" s="30" t="str">
        <f aca="false">IF($B50="","",IF(INDEX(Homiladorlar!$J$5:$J$804,$B50)="","",INDEX(Homiladorlar!$J$5:$J$804,$B50)))</f>
        <v/>
      </c>
      <c r="L50" s="30" t="str">
        <f aca="false">IF($B50="","",IF(INDEX(Homiladorlar!$T$5:$T$804,$B50)="","",INDEX(Homiladorlar!$T$5:$T$804,$B50)))</f>
        <v/>
      </c>
      <c r="M50" s="30" t="str">
        <f aca="false">IF($B50="","",IF(INDEX(Homiladorlar!$AB$5:$AB$804,$B50)="","",INDEX(Homiladorlar!$AB$5:$AB$804,$B50)))</f>
        <v/>
      </c>
      <c r="N50" s="5" t="str">
        <f aca="false">IF($B50="","",IF(INDEX(Homiladorlar!$AC$5:$AC$804,$B50)="","",INDEX(Homiladorlar!$AC$5:$AC$804,$B50)))</f>
        <v/>
      </c>
    </row>
    <row r="51" customFormat="false" ht="15" hidden="false" customHeight="false" outlineLevel="0" collapsed="false">
      <c r="A51" s="5" t="n">
        <v>47</v>
      </c>
      <c r="B51" s="29" t="str">
        <f aca="false">IFERROR(MATCH(A51,Homiladorlar!$AH$5:$AH$804,0),"")</f>
        <v/>
      </c>
      <c r="C51" s="5" t="str">
        <f aca="false">IF($B51="","",IF(INDEX(Homiladorlar!$B$5:$B$804,$B51)="","",INDEX(Homiladorlar!$B$5:$B$804,$B51)))</f>
        <v/>
      </c>
      <c r="D51" s="30" t="str">
        <f aca="false">IF($B51="","",IF(INDEX(Homiladorlar!$C$5:$C$804,$B51)="","",INDEX(Homiladorlar!$C$5:$C$804,$B51)))</f>
        <v/>
      </c>
      <c r="E51" s="5" t="str">
        <f aca="false">IF($B51="","",IF(INDEX(Homiladorlar!$F$5:$F$804,$B51)="","",INDEX(Homiladorlar!$F$5:$F$804,$B51)))</f>
        <v/>
      </c>
      <c r="F51" s="5" t="str">
        <f aca="false">IF($B51="","",IF(INDEX(Homiladorlar!$E$5:$E$804,$B51)="","",INDEX(Homiladorlar!$E$5:$E$804,$B51)))</f>
        <v/>
      </c>
      <c r="G51" s="5" t="str">
        <f aca="false">IF($B51="","",IF(INDEX(Homiladorlar!$O$5:$O$804,$B51)="","",INDEX(Homiladorlar!$O$5:$O$804,$B51)))</f>
        <v/>
      </c>
      <c r="H51" s="5" t="str">
        <f aca="false">IF($B51="","",IF(INDEX(Homiladorlar!$Q$5:$Q$804,$B51)="","",INDEX(Homiladorlar!$Q$5:$Q$804,$B51)))</f>
        <v/>
      </c>
      <c r="I51" s="5" t="str">
        <f aca="false">IF($B51="","",IF(INDEX(Homiladorlar!$R$5:$R$804,$B51)="","",INDEX(Homiladorlar!$R$5:$R$804,$B51)))</f>
        <v/>
      </c>
      <c r="J51" s="5" t="str">
        <f aca="false">IF($B51="","",IF(INDEX(Homiladorlar!$K$5:$K$804,$B51)="","",INDEX(Homiladorlar!$K$5:$K$804,$B51)))</f>
        <v/>
      </c>
      <c r="K51" s="30" t="str">
        <f aca="false">IF($B51="","",IF(INDEX(Homiladorlar!$J$5:$J$804,$B51)="","",INDEX(Homiladorlar!$J$5:$J$804,$B51)))</f>
        <v/>
      </c>
      <c r="L51" s="30" t="str">
        <f aca="false">IF($B51="","",IF(INDEX(Homiladorlar!$T$5:$T$804,$B51)="","",INDEX(Homiladorlar!$T$5:$T$804,$B51)))</f>
        <v/>
      </c>
      <c r="M51" s="30" t="str">
        <f aca="false">IF($B51="","",IF(INDEX(Homiladorlar!$AB$5:$AB$804,$B51)="","",INDEX(Homiladorlar!$AB$5:$AB$804,$B51)))</f>
        <v/>
      </c>
      <c r="N51" s="5" t="str">
        <f aca="false">IF($B51="","",IF(INDEX(Homiladorlar!$AC$5:$AC$804,$B51)="","",INDEX(Homiladorlar!$AC$5:$AC$804,$B51)))</f>
        <v/>
      </c>
    </row>
    <row r="52" customFormat="false" ht="15" hidden="false" customHeight="false" outlineLevel="0" collapsed="false">
      <c r="A52" s="5" t="n">
        <v>48</v>
      </c>
      <c r="B52" s="29" t="str">
        <f aca="false">IFERROR(MATCH(A52,Homiladorlar!$AH$5:$AH$804,0),"")</f>
        <v/>
      </c>
      <c r="C52" s="5" t="str">
        <f aca="false">IF($B52="","",IF(INDEX(Homiladorlar!$B$5:$B$804,$B52)="","",INDEX(Homiladorlar!$B$5:$B$804,$B52)))</f>
        <v/>
      </c>
      <c r="D52" s="30" t="str">
        <f aca="false">IF($B52="","",IF(INDEX(Homiladorlar!$C$5:$C$804,$B52)="","",INDEX(Homiladorlar!$C$5:$C$804,$B52)))</f>
        <v/>
      </c>
      <c r="E52" s="5" t="str">
        <f aca="false">IF($B52="","",IF(INDEX(Homiladorlar!$F$5:$F$804,$B52)="","",INDEX(Homiladorlar!$F$5:$F$804,$B52)))</f>
        <v/>
      </c>
      <c r="F52" s="5" t="str">
        <f aca="false">IF($B52="","",IF(INDEX(Homiladorlar!$E$5:$E$804,$B52)="","",INDEX(Homiladorlar!$E$5:$E$804,$B52)))</f>
        <v/>
      </c>
      <c r="G52" s="5" t="str">
        <f aca="false">IF($B52="","",IF(INDEX(Homiladorlar!$O$5:$O$804,$B52)="","",INDEX(Homiladorlar!$O$5:$O$804,$B52)))</f>
        <v/>
      </c>
      <c r="H52" s="5" t="str">
        <f aca="false">IF($B52="","",IF(INDEX(Homiladorlar!$Q$5:$Q$804,$B52)="","",INDEX(Homiladorlar!$Q$5:$Q$804,$B52)))</f>
        <v/>
      </c>
      <c r="I52" s="5" t="str">
        <f aca="false">IF($B52="","",IF(INDEX(Homiladorlar!$R$5:$R$804,$B52)="","",INDEX(Homiladorlar!$R$5:$R$804,$B52)))</f>
        <v/>
      </c>
      <c r="J52" s="5" t="str">
        <f aca="false">IF($B52="","",IF(INDEX(Homiladorlar!$K$5:$K$804,$B52)="","",INDEX(Homiladorlar!$K$5:$K$804,$B52)))</f>
        <v/>
      </c>
      <c r="K52" s="30" t="str">
        <f aca="false">IF($B52="","",IF(INDEX(Homiladorlar!$J$5:$J$804,$B52)="","",INDEX(Homiladorlar!$J$5:$J$804,$B52)))</f>
        <v/>
      </c>
      <c r="L52" s="30" t="str">
        <f aca="false">IF($B52="","",IF(INDEX(Homiladorlar!$T$5:$T$804,$B52)="","",INDEX(Homiladorlar!$T$5:$T$804,$B52)))</f>
        <v/>
      </c>
      <c r="M52" s="30" t="str">
        <f aca="false">IF($B52="","",IF(INDEX(Homiladorlar!$AB$5:$AB$804,$B52)="","",INDEX(Homiladorlar!$AB$5:$AB$804,$B52)))</f>
        <v/>
      </c>
      <c r="N52" s="5" t="str">
        <f aca="false">IF($B52="","",IF(INDEX(Homiladorlar!$AC$5:$AC$804,$B52)="","",INDEX(Homiladorlar!$AC$5:$AC$804,$B52)))</f>
        <v/>
      </c>
    </row>
    <row r="53" customFormat="false" ht="15" hidden="false" customHeight="false" outlineLevel="0" collapsed="false">
      <c r="A53" s="5" t="n">
        <v>49</v>
      </c>
      <c r="B53" s="29" t="str">
        <f aca="false">IFERROR(MATCH(A53,Homiladorlar!$AH$5:$AH$804,0),"")</f>
        <v/>
      </c>
      <c r="C53" s="5" t="str">
        <f aca="false">IF($B53="","",IF(INDEX(Homiladorlar!$B$5:$B$804,$B53)="","",INDEX(Homiladorlar!$B$5:$B$804,$B53)))</f>
        <v/>
      </c>
      <c r="D53" s="30" t="str">
        <f aca="false">IF($B53="","",IF(INDEX(Homiladorlar!$C$5:$C$804,$B53)="","",INDEX(Homiladorlar!$C$5:$C$804,$B53)))</f>
        <v/>
      </c>
      <c r="E53" s="5" t="str">
        <f aca="false">IF($B53="","",IF(INDEX(Homiladorlar!$F$5:$F$804,$B53)="","",INDEX(Homiladorlar!$F$5:$F$804,$B53)))</f>
        <v/>
      </c>
      <c r="F53" s="5" t="str">
        <f aca="false">IF($B53="","",IF(INDEX(Homiladorlar!$E$5:$E$804,$B53)="","",INDEX(Homiladorlar!$E$5:$E$804,$B53)))</f>
        <v/>
      </c>
      <c r="G53" s="5" t="str">
        <f aca="false">IF($B53="","",IF(INDEX(Homiladorlar!$O$5:$O$804,$B53)="","",INDEX(Homiladorlar!$O$5:$O$804,$B53)))</f>
        <v/>
      </c>
      <c r="H53" s="5" t="str">
        <f aca="false">IF($B53="","",IF(INDEX(Homiladorlar!$Q$5:$Q$804,$B53)="","",INDEX(Homiladorlar!$Q$5:$Q$804,$B53)))</f>
        <v/>
      </c>
      <c r="I53" s="5" t="str">
        <f aca="false">IF($B53="","",IF(INDEX(Homiladorlar!$R$5:$R$804,$B53)="","",INDEX(Homiladorlar!$R$5:$R$804,$B53)))</f>
        <v/>
      </c>
      <c r="J53" s="5" t="str">
        <f aca="false">IF($B53="","",IF(INDEX(Homiladorlar!$K$5:$K$804,$B53)="","",INDEX(Homiladorlar!$K$5:$K$804,$B53)))</f>
        <v/>
      </c>
      <c r="K53" s="30" t="str">
        <f aca="false">IF($B53="","",IF(INDEX(Homiladorlar!$J$5:$J$804,$B53)="","",INDEX(Homiladorlar!$J$5:$J$804,$B53)))</f>
        <v/>
      </c>
      <c r="L53" s="30" t="str">
        <f aca="false">IF($B53="","",IF(INDEX(Homiladorlar!$T$5:$T$804,$B53)="","",INDEX(Homiladorlar!$T$5:$T$804,$B53)))</f>
        <v/>
      </c>
      <c r="M53" s="30" t="str">
        <f aca="false">IF($B53="","",IF(INDEX(Homiladorlar!$AB$5:$AB$804,$B53)="","",INDEX(Homiladorlar!$AB$5:$AB$804,$B53)))</f>
        <v/>
      </c>
      <c r="N53" s="5" t="str">
        <f aca="false">IF($B53="","",IF(INDEX(Homiladorlar!$AC$5:$AC$804,$B53)="","",INDEX(Homiladorlar!$AC$5:$AC$804,$B53)))</f>
        <v/>
      </c>
    </row>
    <row r="54" customFormat="false" ht="15" hidden="false" customHeight="false" outlineLevel="0" collapsed="false">
      <c r="A54" s="5" t="n">
        <v>50</v>
      </c>
      <c r="B54" s="29" t="str">
        <f aca="false">IFERROR(MATCH(A54,Homiladorlar!$AH$5:$AH$804,0),"")</f>
        <v/>
      </c>
      <c r="C54" s="5" t="str">
        <f aca="false">IF($B54="","",IF(INDEX(Homiladorlar!$B$5:$B$804,$B54)="","",INDEX(Homiladorlar!$B$5:$B$804,$B54)))</f>
        <v/>
      </c>
      <c r="D54" s="30" t="str">
        <f aca="false">IF($B54="","",IF(INDEX(Homiladorlar!$C$5:$C$804,$B54)="","",INDEX(Homiladorlar!$C$5:$C$804,$B54)))</f>
        <v/>
      </c>
      <c r="E54" s="5" t="str">
        <f aca="false">IF($B54="","",IF(INDEX(Homiladorlar!$F$5:$F$804,$B54)="","",INDEX(Homiladorlar!$F$5:$F$804,$B54)))</f>
        <v/>
      </c>
      <c r="F54" s="5" t="str">
        <f aca="false">IF($B54="","",IF(INDEX(Homiladorlar!$E$5:$E$804,$B54)="","",INDEX(Homiladorlar!$E$5:$E$804,$B54)))</f>
        <v/>
      </c>
      <c r="G54" s="5" t="str">
        <f aca="false">IF($B54="","",IF(INDEX(Homiladorlar!$O$5:$O$804,$B54)="","",INDEX(Homiladorlar!$O$5:$O$804,$B54)))</f>
        <v/>
      </c>
      <c r="H54" s="5" t="str">
        <f aca="false">IF($B54="","",IF(INDEX(Homiladorlar!$Q$5:$Q$804,$B54)="","",INDEX(Homiladorlar!$Q$5:$Q$804,$B54)))</f>
        <v/>
      </c>
      <c r="I54" s="5" t="str">
        <f aca="false">IF($B54="","",IF(INDEX(Homiladorlar!$R$5:$R$804,$B54)="","",INDEX(Homiladorlar!$R$5:$R$804,$B54)))</f>
        <v/>
      </c>
      <c r="J54" s="5" t="str">
        <f aca="false">IF($B54="","",IF(INDEX(Homiladorlar!$K$5:$K$804,$B54)="","",INDEX(Homiladorlar!$K$5:$K$804,$B54)))</f>
        <v/>
      </c>
      <c r="K54" s="30" t="str">
        <f aca="false">IF($B54="","",IF(INDEX(Homiladorlar!$J$5:$J$804,$B54)="","",INDEX(Homiladorlar!$J$5:$J$804,$B54)))</f>
        <v/>
      </c>
      <c r="L54" s="30" t="str">
        <f aca="false">IF($B54="","",IF(INDEX(Homiladorlar!$T$5:$T$804,$B54)="","",INDEX(Homiladorlar!$T$5:$T$804,$B54)))</f>
        <v/>
      </c>
      <c r="M54" s="30" t="str">
        <f aca="false">IF($B54="","",IF(INDEX(Homiladorlar!$AB$5:$AB$804,$B54)="","",INDEX(Homiladorlar!$AB$5:$AB$804,$B54)))</f>
        <v/>
      </c>
      <c r="N54" s="5" t="str">
        <f aca="false">IF($B54="","",IF(INDEX(Homiladorlar!$AC$5:$AC$804,$B54)="","",INDEX(Homiladorlar!$AC$5:$AC$804,$B54)))</f>
        <v/>
      </c>
    </row>
    <row r="55" customFormat="false" ht="15" hidden="false" customHeight="false" outlineLevel="0" collapsed="false">
      <c r="A55" s="5" t="n">
        <v>51</v>
      </c>
      <c r="B55" s="29" t="str">
        <f aca="false">IFERROR(MATCH(A55,Homiladorlar!$AH$5:$AH$804,0),"")</f>
        <v/>
      </c>
      <c r="C55" s="5" t="str">
        <f aca="false">IF($B55="","",IF(INDEX(Homiladorlar!$B$5:$B$804,$B55)="","",INDEX(Homiladorlar!$B$5:$B$804,$B55)))</f>
        <v/>
      </c>
      <c r="D55" s="30" t="str">
        <f aca="false">IF($B55="","",IF(INDEX(Homiladorlar!$C$5:$C$804,$B55)="","",INDEX(Homiladorlar!$C$5:$C$804,$B55)))</f>
        <v/>
      </c>
      <c r="E55" s="5" t="str">
        <f aca="false">IF($B55="","",IF(INDEX(Homiladorlar!$F$5:$F$804,$B55)="","",INDEX(Homiladorlar!$F$5:$F$804,$B55)))</f>
        <v/>
      </c>
      <c r="F55" s="5" t="str">
        <f aca="false">IF($B55="","",IF(INDEX(Homiladorlar!$E$5:$E$804,$B55)="","",INDEX(Homiladorlar!$E$5:$E$804,$B55)))</f>
        <v/>
      </c>
      <c r="G55" s="5" t="str">
        <f aca="false">IF($B55="","",IF(INDEX(Homiladorlar!$O$5:$O$804,$B55)="","",INDEX(Homiladorlar!$O$5:$O$804,$B55)))</f>
        <v/>
      </c>
      <c r="H55" s="5" t="str">
        <f aca="false">IF($B55="","",IF(INDEX(Homiladorlar!$Q$5:$Q$804,$B55)="","",INDEX(Homiladorlar!$Q$5:$Q$804,$B55)))</f>
        <v/>
      </c>
      <c r="I55" s="5" t="str">
        <f aca="false">IF($B55="","",IF(INDEX(Homiladorlar!$R$5:$R$804,$B55)="","",INDEX(Homiladorlar!$R$5:$R$804,$B55)))</f>
        <v/>
      </c>
      <c r="J55" s="5" t="str">
        <f aca="false">IF($B55="","",IF(INDEX(Homiladorlar!$K$5:$K$804,$B55)="","",INDEX(Homiladorlar!$K$5:$K$804,$B55)))</f>
        <v/>
      </c>
      <c r="K55" s="30" t="str">
        <f aca="false">IF($B55="","",IF(INDEX(Homiladorlar!$J$5:$J$804,$B55)="","",INDEX(Homiladorlar!$J$5:$J$804,$B55)))</f>
        <v/>
      </c>
      <c r="L55" s="30" t="str">
        <f aca="false">IF($B55="","",IF(INDEX(Homiladorlar!$T$5:$T$804,$B55)="","",INDEX(Homiladorlar!$T$5:$T$804,$B55)))</f>
        <v/>
      </c>
      <c r="M55" s="30" t="str">
        <f aca="false">IF($B55="","",IF(INDEX(Homiladorlar!$AB$5:$AB$804,$B55)="","",INDEX(Homiladorlar!$AB$5:$AB$804,$B55)))</f>
        <v/>
      </c>
      <c r="N55" s="5" t="str">
        <f aca="false">IF($B55="","",IF(INDEX(Homiladorlar!$AC$5:$AC$804,$B55)="","",INDEX(Homiladorlar!$AC$5:$AC$804,$B55)))</f>
        <v/>
      </c>
    </row>
    <row r="56" customFormat="false" ht="15" hidden="false" customHeight="false" outlineLevel="0" collapsed="false">
      <c r="A56" s="5" t="n">
        <v>52</v>
      </c>
      <c r="B56" s="29" t="str">
        <f aca="false">IFERROR(MATCH(A56,Homiladorlar!$AH$5:$AH$804,0),"")</f>
        <v/>
      </c>
      <c r="C56" s="5" t="str">
        <f aca="false">IF($B56="","",IF(INDEX(Homiladorlar!$B$5:$B$804,$B56)="","",INDEX(Homiladorlar!$B$5:$B$804,$B56)))</f>
        <v/>
      </c>
      <c r="D56" s="30" t="str">
        <f aca="false">IF($B56="","",IF(INDEX(Homiladorlar!$C$5:$C$804,$B56)="","",INDEX(Homiladorlar!$C$5:$C$804,$B56)))</f>
        <v/>
      </c>
      <c r="E56" s="5" t="str">
        <f aca="false">IF($B56="","",IF(INDEX(Homiladorlar!$F$5:$F$804,$B56)="","",INDEX(Homiladorlar!$F$5:$F$804,$B56)))</f>
        <v/>
      </c>
      <c r="F56" s="5" t="str">
        <f aca="false">IF($B56="","",IF(INDEX(Homiladorlar!$E$5:$E$804,$B56)="","",INDEX(Homiladorlar!$E$5:$E$804,$B56)))</f>
        <v/>
      </c>
      <c r="G56" s="5" t="str">
        <f aca="false">IF($B56="","",IF(INDEX(Homiladorlar!$O$5:$O$804,$B56)="","",INDEX(Homiladorlar!$O$5:$O$804,$B56)))</f>
        <v/>
      </c>
      <c r="H56" s="5" t="str">
        <f aca="false">IF($B56="","",IF(INDEX(Homiladorlar!$Q$5:$Q$804,$B56)="","",INDEX(Homiladorlar!$Q$5:$Q$804,$B56)))</f>
        <v/>
      </c>
      <c r="I56" s="5" t="str">
        <f aca="false">IF($B56="","",IF(INDEX(Homiladorlar!$R$5:$R$804,$B56)="","",INDEX(Homiladorlar!$R$5:$R$804,$B56)))</f>
        <v/>
      </c>
      <c r="J56" s="5" t="str">
        <f aca="false">IF($B56="","",IF(INDEX(Homiladorlar!$K$5:$K$804,$B56)="","",INDEX(Homiladorlar!$K$5:$K$804,$B56)))</f>
        <v/>
      </c>
      <c r="K56" s="30" t="str">
        <f aca="false">IF($B56="","",IF(INDEX(Homiladorlar!$J$5:$J$804,$B56)="","",INDEX(Homiladorlar!$J$5:$J$804,$B56)))</f>
        <v/>
      </c>
      <c r="L56" s="30" t="str">
        <f aca="false">IF($B56="","",IF(INDEX(Homiladorlar!$T$5:$T$804,$B56)="","",INDEX(Homiladorlar!$T$5:$T$804,$B56)))</f>
        <v/>
      </c>
      <c r="M56" s="30" t="str">
        <f aca="false">IF($B56="","",IF(INDEX(Homiladorlar!$AB$5:$AB$804,$B56)="","",INDEX(Homiladorlar!$AB$5:$AB$804,$B56)))</f>
        <v/>
      </c>
      <c r="N56" s="5" t="str">
        <f aca="false">IF($B56="","",IF(INDEX(Homiladorlar!$AC$5:$AC$804,$B56)="","",INDEX(Homiladorlar!$AC$5:$AC$804,$B56)))</f>
        <v/>
      </c>
    </row>
    <row r="57" customFormat="false" ht="15" hidden="false" customHeight="false" outlineLevel="0" collapsed="false">
      <c r="A57" s="5" t="n">
        <v>53</v>
      </c>
      <c r="B57" s="29" t="str">
        <f aca="false">IFERROR(MATCH(A57,Homiladorlar!$AH$5:$AH$804,0),"")</f>
        <v/>
      </c>
      <c r="C57" s="5" t="str">
        <f aca="false">IF($B57="","",IF(INDEX(Homiladorlar!$B$5:$B$804,$B57)="","",INDEX(Homiladorlar!$B$5:$B$804,$B57)))</f>
        <v/>
      </c>
      <c r="D57" s="30" t="str">
        <f aca="false">IF($B57="","",IF(INDEX(Homiladorlar!$C$5:$C$804,$B57)="","",INDEX(Homiladorlar!$C$5:$C$804,$B57)))</f>
        <v/>
      </c>
      <c r="E57" s="5" t="str">
        <f aca="false">IF($B57="","",IF(INDEX(Homiladorlar!$F$5:$F$804,$B57)="","",INDEX(Homiladorlar!$F$5:$F$804,$B57)))</f>
        <v/>
      </c>
      <c r="F57" s="5" t="str">
        <f aca="false">IF($B57="","",IF(INDEX(Homiladorlar!$E$5:$E$804,$B57)="","",INDEX(Homiladorlar!$E$5:$E$804,$B57)))</f>
        <v/>
      </c>
      <c r="G57" s="5" t="str">
        <f aca="false">IF($B57="","",IF(INDEX(Homiladorlar!$O$5:$O$804,$B57)="","",INDEX(Homiladorlar!$O$5:$O$804,$B57)))</f>
        <v/>
      </c>
      <c r="H57" s="5" t="str">
        <f aca="false">IF($B57="","",IF(INDEX(Homiladorlar!$Q$5:$Q$804,$B57)="","",INDEX(Homiladorlar!$Q$5:$Q$804,$B57)))</f>
        <v/>
      </c>
      <c r="I57" s="5" t="str">
        <f aca="false">IF($B57="","",IF(INDEX(Homiladorlar!$R$5:$R$804,$B57)="","",INDEX(Homiladorlar!$R$5:$R$804,$B57)))</f>
        <v/>
      </c>
      <c r="J57" s="5" t="str">
        <f aca="false">IF($B57="","",IF(INDEX(Homiladorlar!$K$5:$K$804,$B57)="","",INDEX(Homiladorlar!$K$5:$K$804,$B57)))</f>
        <v/>
      </c>
      <c r="K57" s="30" t="str">
        <f aca="false">IF($B57="","",IF(INDEX(Homiladorlar!$J$5:$J$804,$B57)="","",INDEX(Homiladorlar!$J$5:$J$804,$B57)))</f>
        <v/>
      </c>
      <c r="L57" s="30" t="str">
        <f aca="false">IF($B57="","",IF(INDEX(Homiladorlar!$T$5:$T$804,$B57)="","",INDEX(Homiladorlar!$T$5:$T$804,$B57)))</f>
        <v/>
      </c>
      <c r="M57" s="30" t="str">
        <f aca="false">IF($B57="","",IF(INDEX(Homiladorlar!$AB$5:$AB$804,$B57)="","",INDEX(Homiladorlar!$AB$5:$AB$804,$B57)))</f>
        <v/>
      </c>
      <c r="N57" s="5" t="str">
        <f aca="false">IF($B57="","",IF(INDEX(Homiladorlar!$AC$5:$AC$804,$B57)="","",INDEX(Homiladorlar!$AC$5:$AC$804,$B57)))</f>
        <v/>
      </c>
    </row>
    <row r="58" customFormat="false" ht="15" hidden="false" customHeight="false" outlineLevel="0" collapsed="false">
      <c r="A58" s="5" t="n">
        <v>54</v>
      </c>
      <c r="B58" s="29" t="str">
        <f aca="false">IFERROR(MATCH(A58,Homiladorlar!$AH$5:$AH$804,0),"")</f>
        <v/>
      </c>
      <c r="C58" s="5" t="str">
        <f aca="false">IF($B58="","",IF(INDEX(Homiladorlar!$B$5:$B$804,$B58)="","",INDEX(Homiladorlar!$B$5:$B$804,$B58)))</f>
        <v/>
      </c>
      <c r="D58" s="30" t="str">
        <f aca="false">IF($B58="","",IF(INDEX(Homiladorlar!$C$5:$C$804,$B58)="","",INDEX(Homiladorlar!$C$5:$C$804,$B58)))</f>
        <v/>
      </c>
      <c r="E58" s="5" t="str">
        <f aca="false">IF($B58="","",IF(INDEX(Homiladorlar!$F$5:$F$804,$B58)="","",INDEX(Homiladorlar!$F$5:$F$804,$B58)))</f>
        <v/>
      </c>
      <c r="F58" s="5" t="str">
        <f aca="false">IF($B58="","",IF(INDEX(Homiladorlar!$E$5:$E$804,$B58)="","",INDEX(Homiladorlar!$E$5:$E$804,$B58)))</f>
        <v/>
      </c>
      <c r="G58" s="5" t="str">
        <f aca="false">IF($B58="","",IF(INDEX(Homiladorlar!$O$5:$O$804,$B58)="","",INDEX(Homiladorlar!$O$5:$O$804,$B58)))</f>
        <v/>
      </c>
      <c r="H58" s="5" t="str">
        <f aca="false">IF($B58="","",IF(INDEX(Homiladorlar!$Q$5:$Q$804,$B58)="","",INDEX(Homiladorlar!$Q$5:$Q$804,$B58)))</f>
        <v/>
      </c>
      <c r="I58" s="5" t="str">
        <f aca="false">IF($B58="","",IF(INDEX(Homiladorlar!$R$5:$R$804,$B58)="","",INDEX(Homiladorlar!$R$5:$R$804,$B58)))</f>
        <v/>
      </c>
      <c r="J58" s="5" t="str">
        <f aca="false">IF($B58="","",IF(INDEX(Homiladorlar!$K$5:$K$804,$B58)="","",INDEX(Homiladorlar!$K$5:$K$804,$B58)))</f>
        <v/>
      </c>
      <c r="K58" s="30" t="str">
        <f aca="false">IF($B58="","",IF(INDEX(Homiladorlar!$J$5:$J$804,$B58)="","",INDEX(Homiladorlar!$J$5:$J$804,$B58)))</f>
        <v/>
      </c>
      <c r="L58" s="30" t="str">
        <f aca="false">IF($B58="","",IF(INDEX(Homiladorlar!$T$5:$T$804,$B58)="","",INDEX(Homiladorlar!$T$5:$T$804,$B58)))</f>
        <v/>
      </c>
      <c r="M58" s="30" t="str">
        <f aca="false">IF($B58="","",IF(INDEX(Homiladorlar!$AB$5:$AB$804,$B58)="","",INDEX(Homiladorlar!$AB$5:$AB$804,$B58)))</f>
        <v/>
      </c>
      <c r="N58" s="5" t="str">
        <f aca="false">IF($B58="","",IF(INDEX(Homiladorlar!$AC$5:$AC$804,$B58)="","",INDEX(Homiladorlar!$AC$5:$AC$804,$B58)))</f>
        <v/>
      </c>
    </row>
    <row r="59" customFormat="false" ht="15" hidden="false" customHeight="false" outlineLevel="0" collapsed="false">
      <c r="A59" s="5" t="n">
        <v>55</v>
      </c>
      <c r="B59" s="29" t="str">
        <f aca="false">IFERROR(MATCH(A59,Homiladorlar!$AH$5:$AH$804,0),"")</f>
        <v/>
      </c>
      <c r="C59" s="5" t="str">
        <f aca="false">IF($B59="","",IF(INDEX(Homiladorlar!$B$5:$B$804,$B59)="","",INDEX(Homiladorlar!$B$5:$B$804,$B59)))</f>
        <v/>
      </c>
      <c r="D59" s="30" t="str">
        <f aca="false">IF($B59="","",IF(INDEX(Homiladorlar!$C$5:$C$804,$B59)="","",INDEX(Homiladorlar!$C$5:$C$804,$B59)))</f>
        <v/>
      </c>
      <c r="E59" s="5" t="str">
        <f aca="false">IF($B59="","",IF(INDEX(Homiladorlar!$F$5:$F$804,$B59)="","",INDEX(Homiladorlar!$F$5:$F$804,$B59)))</f>
        <v/>
      </c>
      <c r="F59" s="5" t="str">
        <f aca="false">IF($B59="","",IF(INDEX(Homiladorlar!$E$5:$E$804,$B59)="","",INDEX(Homiladorlar!$E$5:$E$804,$B59)))</f>
        <v/>
      </c>
      <c r="G59" s="5" t="str">
        <f aca="false">IF($B59="","",IF(INDEX(Homiladorlar!$O$5:$O$804,$B59)="","",INDEX(Homiladorlar!$O$5:$O$804,$B59)))</f>
        <v/>
      </c>
      <c r="H59" s="5" t="str">
        <f aca="false">IF($B59="","",IF(INDEX(Homiladorlar!$Q$5:$Q$804,$B59)="","",INDEX(Homiladorlar!$Q$5:$Q$804,$B59)))</f>
        <v/>
      </c>
      <c r="I59" s="5" t="str">
        <f aca="false">IF($B59="","",IF(INDEX(Homiladorlar!$R$5:$R$804,$B59)="","",INDEX(Homiladorlar!$R$5:$R$804,$B59)))</f>
        <v/>
      </c>
      <c r="J59" s="5" t="str">
        <f aca="false">IF($B59="","",IF(INDEX(Homiladorlar!$K$5:$K$804,$B59)="","",INDEX(Homiladorlar!$K$5:$K$804,$B59)))</f>
        <v/>
      </c>
      <c r="K59" s="30" t="str">
        <f aca="false">IF($B59="","",IF(INDEX(Homiladorlar!$J$5:$J$804,$B59)="","",INDEX(Homiladorlar!$J$5:$J$804,$B59)))</f>
        <v/>
      </c>
      <c r="L59" s="30" t="str">
        <f aca="false">IF($B59="","",IF(INDEX(Homiladorlar!$T$5:$T$804,$B59)="","",INDEX(Homiladorlar!$T$5:$T$804,$B59)))</f>
        <v/>
      </c>
      <c r="M59" s="30" t="str">
        <f aca="false">IF($B59="","",IF(INDEX(Homiladorlar!$AB$5:$AB$804,$B59)="","",INDEX(Homiladorlar!$AB$5:$AB$804,$B59)))</f>
        <v/>
      </c>
      <c r="N59" s="5" t="str">
        <f aca="false">IF($B59="","",IF(INDEX(Homiladorlar!$AC$5:$AC$804,$B59)="","",INDEX(Homiladorlar!$AC$5:$AC$804,$B59)))</f>
        <v/>
      </c>
    </row>
    <row r="60" customFormat="false" ht="15" hidden="false" customHeight="false" outlineLevel="0" collapsed="false">
      <c r="A60" s="5" t="n">
        <v>56</v>
      </c>
      <c r="B60" s="29" t="str">
        <f aca="false">IFERROR(MATCH(A60,Homiladorlar!$AH$5:$AH$804,0),"")</f>
        <v/>
      </c>
      <c r="C60" s="5" t="str">
        <f aca="false">IF($B60="","",IF(INDEX(Homiladorlar!$B$5:$B$804,$B60)="","",INDEX(Homiladorlar!$B$5:$B$804,$B60)))</f>
        <v/>
      </c>
      <c r="D60" s="30" t="str">
        <f aca="false">IF($B60="","",IF(INDEX(Homiladorlar!$C$5:$C$804,$B60)="","",INDEX(Homiladorlar!$C$5:$C$804,$B60)))</f>
        <v/>
      </c>
      <c r="E60" s="5" t="str">
        <f aca="false">IF($B60="","",IF(INDEX(Homiladorlar!$F$5:$F$804,$B60)="","",INDEX(Homiladorlar!$F$5:$F$804,$B60)))</f>
        <v/>
      </c>
      <c r="F60" s="5" t="str">
        <f aca="false">IF($B60="","",IF(INDEX(Homiladorlar!$E$5:$E$804,$B60)="","",INDEX(Homiladorlar!$E$5:$E$804,$B60)))</f>
        <v/>
      </c>
      <c r="G60" s="5" t="str">
        <f aca="false">IF($B60="","",IF(INDEX(Homiladorlar!$O$5:$O$804,$B60)="","",INDEX(Homiladorlar!$O$5:$O$804,$B60)))</f>
        <v/>
      </c>
      <c r="H60" s="5" t="str">
        <f aca="false">IF($B60="","",IF(INDEX(Homiladorlar!$Q$5:$Q$804,$B60)="","",INDEX(Homiladorlar!$Q$5:$Q$804,$B60)))</f>
        <v/>
      </c>
      <c r="I60" s="5" t="str">
        <f aca="false">IF($B60="","",IF(INDEX(Homiladorlar!$R$5:$R$804,$B60)="","",INDEX(Homiladorlar!$R$5:$R$804,$B60)))</f>
        <v/>
      </c>
      <c r="J60" s="5" t="str">
        <f aca="false">IF($B60="","",IF(INDEX(Homiladorlar!$K$5:$K$804,$B60)="","",INDEX(Homiladorlar!$K$5:$K$804,$B60)))</f>
        <v/>
      </c>
      <c r="K60" s="30" t="str">
        <f aca="false">IF($B60="","",IF(INDEX(Homiladorlar!$J$5:$J$804,$B60)="","",INDEX(Homiladorlar!$J$5:$J$804,$B60)))</f>
        <v/>
      </c>
      <c r="L60" s="30" t="str">
        <f aca="false">IF($B60="","",IF(INDEX(Homiladorlar!$T$5:$T$804,$B60)="","",INDEX(Homiladorlar!$T$5:$T$804,$B60)))</f>
        <v/>
      </c>
      <c r="M60" s="30" t="str">
        <f aca="false">IF($B60="","",IF(INDEX(Homiladorlar!$AB$5:$AB$804,$B60)="","",INDEX(Homiladorlar!$AB$5:$AB$804,$B60)))</f>
        <v/>
      </c>
      <c r="N60" s="5" t="str">
        <f aca="false">IF($B60="","",IF(INDEX(Homiladorlar!$AC$5:$AC$804,$B60)="","",INDEX(Homiladorlar!$AC$5:$AC$804,$B60)))</f>
        <v/>
      </c>
    </row>
    <row r="61" customFormat="false" ht="15" hidden="false" customHeight="false" outlineLevel="0" collapsed="false">
      <c r="A61" s="5" t="n">
        <v>57</v>
      </c>
      <c r="B61" s="29" t="str">
        <f aca="false">IFERROR(MATCH(A61,Homiladorlar!$AH$5:$AH$804,0),"")</f>
        <v/>
      </c>
      <c r="C61" s="5" t="str">
        <f aca="false">IF($B61="","",IF(INDEX(Homiladorlar!$B$5:$B$804,$B61)="","",INDEX(Homiladorlar!$B$5:$B$804,$B61)))</f>
        <v/>
      </c>
      <c r="D61" s="30" t="str">
        <f aca="false">IF($B61="","",IF(INDEX(Homiladorlar!$C$5:$C$804,$B61)="","",INDEX(Homiladorlar!$C$5:$C$804,$B61)))</f>
        <v/>
      </c>
      <c r="E61" s="5" t="str">
        <f aca="false">IF($B61="","",IF(INDEX(Homiladorlar!$F$5:$F$804,$B61)="","",INDEX(Homiladorlar!$F$5:$F$804,$B61)))</f>
        <v/>
      </c>
      <c r="F61" s="5" t="str">
        <f aca="false">IF($B61="","",IF(INDEX(Homiladorlar!$E$5:$E$804,$B61)="","",INDEX(Homiladorlar!$E$5:$E$804,$B61)))</f>
        <v/>
      </c>
      <c r="G61" s="5" t="str">
        <f aca="false">IF($B61="","",IF(INDEX(Homiladorlar!$O$5:$O$804,$B61)="","",INDEX(Homiladorlar!$O$5:$O$804,$B61)))</f>
        <v/>
      </c>
      <c r="H61" s="5" t="str">
        <f aca="false">IF($B61="","",IF(INDEX(Homiladorlar!$Q$5:$Q$804,$B61)="","",INDEX(Homiladorlar!$Q$5:$Q$804,$B61)))</f>
        <v/>
      </c>
      <c r="I61" s="5" t="str">
        <f aca="false">IF($B61="","",IF(INDEX(Homiladorlar!$R$5:$R$804,$B61)="","",INDEX(Homiladorlar!$R$5:$R$804,$B61)))</f>
        <v/>
      </c>
      <c r="J61" s="5" t="str">
        <f aca="false">IF($B61="","",IF(INDEX(Homiladorlar!$K$5:$K$804,$B61)="","",INDEX(Homiladorlar!$K$5:$K$804,$B61)))</f>
        <v/>
      </c>
      <c r="K61" s="30" t="str">
        <f aca="false">IF($B61="","",IF(INDEX(Homiladorlar!$J$5:$J$804,$B61)="","",INDEX(Homiladorlar!$J$5:$J$804,$B61)))</f>
        <v/>
      </c>
      <c r="L61" s="30" t="str">
        <f aca="false">IF($B61="","",IF(INDEX(Homiladorlar!$T$5:$T$804,$B61)="","",INDEX(Homiladorlar!$T$5:$T$804,$B61)))</f>
        <v/>
      </c>
      <c r="M61" s="30" t="str">
        <f aca="false">IF($B61="","",IF(INDEX(Homiladorlar!$AB$5:$AB$804,$B61)="","",INDEX(Homiladorlar!$AB$5:$AB$804,$B61)))</f>
        <v/>
      </c>
      <c r="N61" s="5" t="str">
        <f aca="false">IF($B61="","",IF(INDEX(Homiladorlar!$AC$5:$AC$804,$B61)="","",INDEX(Homiladorlar!$AC$5:$AC$804,$B61)))</f>
        <v/>
      </c>
    </row>
    <row r="62" customFormat="false" ht="15" hidden="false" customHeight="false" outlineLevel="0" collapsed="false">
      <c r="A62" s="5" t="n">
        <v>58</v>
      </c>
      <c r="B62" s="29" t="str">
        <f aca="false">IFERROR(MATCH(A62,Homiladorlar!$AH$5:$AH$804,0),"")</f>
        <v/>
      </c>
      <c r="C62" s="5" t="str">
        <f aca="false">IF($B62="","",IF(INDEX(Homiladorlar!$B$5:$B$804,$B62)="","",INDEX(Homiladorlar!$B$5:$B$804,$B62)))</f>
        <v/>
      </c>
      <c r="D62" s="30" t="str">
        <f aca="false">IF($B62="","",IF(INDEX(Homiladorlar!$C$5:$C$804,$B62)="","",INDEX(Homiladorlar!$C$5:$C$804,$B62)))</f>
        <v/>
      </c>
      <c r="E62" s="5" t="str">
        <f aca="false">IF($B62="","",IF(INDEX(Homiladorlar!$F$5:$F$804,$B62)="","",INDEX(Homiladorlar!$F$5:$F$804,$B62)))</f>
        <v/>
      </c>
      <c r="F62" s="5" t="str">
        <f aca="false">IF($B62="","",IF(INDEX(Homiladorlar!$E$5:$E$804,$B62)="","",INDEX(Homiladorlar!$E$5:$E$804,$B62)))</f>
        <v/>
      </c>
      <c r="G62" s="5" t="str">
        <f aca="false">IF($B62="","",IF(INDEX(Homiladorlar!$O$5:$O$804,$B62)="","",INDEX(Homiladorlar!$O$5:$O$804,$B62)))</f>
        <v/>
      </c>
      <c r="H62" s="5" t="str">
        <f aca="false">IF($B62="","",IF(INDEX(Homiladorlar!$Q$5:$Q$804,$B62)="","",INDEX(Homiladorlar!$Q$5:$Q$804,$B62)))</f>
        <v/>
      </c>
      <c r="I62" s="5" t="str">
        <f aca="false">IF($B62="","",IF(INDEX(Homiladorlar!$R$5:$R$804,$B62)="","",INDEX(Homiladorlar!$R$5:$R$804,$B62)))</f>
        <v/>
      </c>
      <c r="J62" s="5" t="str">
        <f aca="false">IF($B62="","",IF(INDEX(Homiladorlar!$K$5:$K$804,$B62)="","",INDEX(Homiladorlar!$K$5:$K$804,$B62)))</f>
        <v/>
      </c>
      <c r="K62" s="30" t="str">
        <f aca="false">IF($B62="","",IF(INDEX(Homiladorlar!$J$5:$J$804,$B62)="","",INDEX(Homiladorlar!$J$5:$J$804,$B62)))</f>
        <v/>
      </c>
      <c r="L62" s="30" t="str">
        <f aca="false">IF($B62="","",IF(INDEX(Homiladorlar!$T$5:$T$804,$B62)="","",INDEX(Homiladorlar!$T$5:$T$804,$B62)))</f>
        <v/>
      </c>
      <c r="M62" s="30" t="str">
        <f aca="false">IF($B62="","",IF(INDEX(Homiladorlar!$AB$5:$AB$804,$B62)="","",INDEX(Homiladorlar!$AB$5:$AB$804,$B62)))</f>
        <v/>
      </c>
      <c r="N62" s="5" t="str">
        <f aca="false">IF($B62="","",IF(INDEX(Homiladorlar!$AC$5:$AC$804,$B62)="","",INDEX(Homiladorlar!$AC$5:$AC$804,$B62)))</f>
        <v/>
      </c>
    </row>
    <row r="63" customFormat="false" ht="15" hidden="false" customHeight="false" outlineLevel="0" collapsed="false">
      <c r="A63" s="5" t="n">
        <v>59</v>
      </c>
      <c r="B63" s="29" t="str">
        <f aca="false">IFERROR(MATCH(A63,Homiladorlar!$AH$5:$AH$804,0),"")</f>
        <v/>
      </c>
      <c r="C63" s="5" t="str">
        <f aca="false">IF($B63="","",IF(INDEX(Homiladorlar!$B$5:$B$804,$B63)="","",INDEX(Homiladorlar!$B$5:$B$804,$B63)))</f>
        <v/>
      </c>
      <c r="D63" s="30" t="str">
        <f aca="false">IF($B63="","",IF(INDEX(Homiladorlar!$C$5:$C$804,$B63)="","",INDEX(Homiladorlar!$C$5:$C$804,$B63)))</f>
        <v/>
      </c>
      <c r="E63" s="5" t="str">
        <f aca="false">IF($B63="","",IF(INDEX(Homiladorlar!$F$5:$F$804,$B63)="","",INDEX(Homiladorlar!$F$5:$F$804,$B63)))</f>
        <v/>
      </c>
      <c r="F63" s="5" t="str">
        <f aca="false">IF($B63="","",IF(INDEX(Homiladorlar!$E$5:$E$804,$B63)="","",INDEX(Homiladorlar!$E$5:$E$804,$B63)))</f>
        <v/>
      </c>
      <c r="G63" s="5" t="str">
        <f aca="false">IF($B63="","",IF(INDEX(Homiladorlar!$O$5:$O$804,$B63)="","",INDEX(Homiladorlar!$O$5:$O$804,$B63)))</f>
        <v/>
      </c>
      <c r="H63" s="5" t="str">
        <f aca="false">IF($B63="","",IF(INDEX(Homiladorlar!$Q$5:$Q$804,$B63)="","",INDEX(Homiladorlar!$Q$5:$Q$804,$B63)))</f>
        <v/>
      </c>
      <c r="I63" s="5" t="str">
        <f aca="false">IF($B63="","",IF(INDEX(Homiladorlar!$R$5:$R$804,$B63)="","",INDEX(Homiladorlar!$R$5:$R$804,$B63)))</f>
        <v/>
      </c>
      <c r="J63" s="5" t="str">
        <f aca="false">IF($B63="","",IF(INDEX(Homiladorlar!$K$5:$K$804,$B63)="","",INDEX(Homiladorlar!$K$5:$K$804,$B63)))</f>
        <v/>
      </c>
      <c r="K63" s="30" t="str">
        <f aca="false">IF($B63="","",IF(INDEX(Homiladorlar!$J$5:$J$804,$B63)="","",INDEX(Homiladorlar!$J$5:$J$804,$B63)))</f>
        <v/>
      </c>
      <c r="L63" s="30" t="str">
        <f aca="false">IF($B63="","",IF(INDEX(Homiladorlar!$T$5:$T$804,$B63)="","",INDEX(Homiladorlar!$T$5:$T$804,$B63)))</f>
        <v/>
      </c>
      <c r="M63" s="30" t="str">
        <f aca="false">IF($B63="","",IF(INDEX(Homiladorlar!$AB$5:$AB$804,$B63)="","",INDEX(Homiladorlar!$AB$5:$AB$804,$B63)))</f>
        <v/>
      </c>
      <c r="N63" s="5" t="str">
        <f aca="false">IF($B63="","",IF(INDEX(Homiladorlar!$AC$5:$AC$804,$B63)="","",INDEX(Homiladorlar!$AC$5:$AC$804,$B63)))</f>
        <v/>
      </c>
    </row>
    <row r="64" customFormat="false" ht="15" hidden="false" customHeight="false" outlineLevel="0" collapsed="false">
      <c r="A64" s="5" t="n">
        <v>60</v>
      </c>
      <c r="B64" s="29" t="str">
        <f aca="false">IFERROR(MATCH(A64,Homiladorlar!$AH$5:$AH$804,0),"")</f>
        <v/>
      </c>
      <c r="C64" s="5" t="str">
        <f aca="false">IF($B64="","",IF(INDEX(Homiladorlar!$B$5:$B$804,$B64)="","",INDEX(Homiladorlar!$B$5:$B$804,$B64)))</f>
        <v/>
      </c>
      <c r="D64" s="30" t="str">
        <f aca="false">IF($B64="","",IF(INDEX(Homiladorlar!$C$5:$C$804,$B64)="","",INDEX(Homiladorlar!$C$5:$C$804,$B64)))</f>
        <v/>
      </c>
      <c r="E64" s="5" t="str">
        <f aca="false">IF($B64="","",IF(INDEX(Homiladorlar!$F$5:$F$804,$B64)="","",INDEX(Homiladorlar!$F$5:$F$804,$B64)))</f>
        <v/>
      </c>
      <c r="F64" s="5" t="str">
        <f aca="false">IF($B64="","",IF(INDEX(Homiladorlar!$E$5:$E$804,$B64)="","",INDEX(Homiladorlar!$E$5:$E$804,$B64)))</f>
        <v/>
      </c>
      <c r="G64" s="5" t="str">
        <f aca="false">IF($B64="","",IF(INDEX(Homiladorlar!$O$5:$O$804,$B64)="","",INDEX(Homiladorlar!$O$5:$O$804,$B64)))</f>
        <v/>
      </c>
      <c r="H64" s="5" t="str">
        <f aca="false">IF($B64="","",IF(INDEX(Homiladorlar!$Q$5:$Q$804,$B64)="","",INDEX(Homiladorlar!$Q$5:$Q$804,$B64)))</f>
        <v/>
      </c>
      <c r="I64" s="5" t="str">
        <f aca="false">IF($B64="","",IF(INDEX(Homiladorlar!$R$5:$R$804,$B64)="","",INDEX(Homiladorlar!$R$5:$R$804,$B64)))</f>
        <v/>
      </c>
      <c r="J64" s="5" t="str">
        <f aca="false">IF($B64="","",IF(INDEX(Homiladorlar!$K$5:$K$804,$B64)="","",INDEX(Homiladorlar!$K$5:$K$804,$B64)))</f>
        <v/>
      </c>
      <c r="K64" s="30" t="str">
        <f aca="false">IF($B64="","",IF(INDEX(Homiladorlar!$J$5:$J$804,$B64)="","",INDEX(Homiladorlar!$J$5:$J$804,$B64)))</f>
        <v/>
      </c>
      <c r="L64" s="30" t="str">
        <f aca="false">IF($B64="","",IF(INDEX(Homiladorlar!$T$5:$T$804,$B64)="","",INDEX(Homiladorlar!$T$5:$T$804,$B64)))</f>
        <v/>
      </c>
      <c r="M64" s="30" t="str">
        <f aca="false">IF($B64="","",IF(INDEX(Homiladorlar!$AB$5:$AB$804,$B64)="","",INDEX(Homiladorlar!$AB$5:$AB$804,$B64)))</f>
        <v/>
      </c>
      <c r="N64" s="5" t="str">
        <f aca="false">IF($B64="","",IF(INDEX(Homiladorlar!$AC$5:$AC$804,$B64)="","",INDEX(Homiladorlar!$AC$5:$AC$804,$B64)))</f>
        <v/>
      </c>
    </row>
    <row r="65" customFormat="false" ht="15" hidden="false" customHeight="false" outlineLevel="0" collapsed="false">
      <c r="A65" s="5" t="n">
        <v>61</v>
      </c>
      <c r="B65" s="29" t="str">
        <f aca="false">IFERROR(MATCH(A65,Homiladorlar!$AH$5:$AH$804,0),"")</f>
        <v/>
      </c>
      <c r="C65" s="5" t="str">
        <f aca="false">IF($B65="","",IF(INDEX(Homiladorlar!$B$5:$B$804,$B65)="","",INDEX(Homiladorlar!$B$5:$B$804,$B65)))</f>
        <v/>
      </c>
      <c r="D65" s="30" t="str">
        <f aca="false">IF($B65="","",IF(INDEX(Homiladorlar!$C$5:$C$804,$B65)="","",INDEX(Homiladorlar!$C$5:$C$804,$B65)))</f>
        <v/>
      </c>
      <c r="E65" s="5" t="str">
        <f aca="false">IF($B65="","",IF(INDEX(Homiladorlar!$F$5:$F$804,$B65)="","",INDEX(Homiladorlar!$F$5:$F$804,$B65)))</f>
        <v/>
      </c>
      <c r="F65" s="5" t="str">
        <f aca="false">IF($B65="","",IF(INDEX(Homiladorlar!$E$5:$E$804,$B65)="","",INDEX(Homiladorlar!$E$5:$E$804,$B65)))</f>
        <v/>
      </c>
      <c r="G65" s="5" t="str">
        <f aca="false">IF($B65="","",IF(INDEX(Homiladorlar!$O$5:$O$804,$B65)="","",INDEX(Homiladorlar!$O$5:$O$804,$B65)))</f>
        <v/>
      </c>
      <c r="H65" s="5" t="str">
        <f aca="false">IF($B65="","",IF(INDEX(Homiladorlar!$Q$5:$Q$804,$B65)="","",INDEX(Homiladorlar!$Q$5:$Q$804,$B65)))</f>
        <v/>
      </c>
      <c r="I65" s="5" t="str">
        <f aca="false">IF($B65="","",IF(INDEX(Homiladorlar!$R$5:$R$804,$B65)="","",INDEX(Homiladorlar!$R$5:$R$804,$B65)))</f>
        <v/>
      </c>
      <c r="J65" s="5" t="str">
        <f aca="false">IF($B65="","",IF(INDEX(Homiladorlar!$K$5:$K$804,$B65)="","",INDEX(Homiladorlar!$K$5:$K$804,$B65)))</f>
        <v/>
      </c>
      <c r="K65" s="30" t="str">
        <f aca="false">IF($B65="","",IF(INDEX(Homiladorlar!$J$5:$J$804,$B65)="","",INDEX(Homiladorlar!$J$5:$J$804,$B65)))</f>
        <v/>
      </c>
      <c r="L65" s="30" t="str">
        <f aca="false">IF($B65="","",IF(INDEX(Homiladorlar!$T$5:$T$804,$B65)="","",INDEX(Homiladorlar!$T$5:$T$804,$B65)))</f>
        <v/>
      </c>
      <c r="M65" s="30" t="str">
        <f aca="false">IF($B65="","",IF(INDEX(Homiladorlar!$AB$5:$AB$804,$B65)="","",INDEX(Homiladorlar!$AB$5:$AB$804,$B65)))</f>
        <v/>
      </c>
      <c r="N65" s="5" t="str">
        <f aca="false">IF($B65="","",IF(INDEX(Homiladorlar!$AC$5:$AC$804,$B65)="","",INDEX(Homiladorlar!$AC$5:$AC$804,$B65)))</f>
        <v/>
      </c>
    </row>
    <row r="66" customFormat="false" ht="15" hidden="false" customHeight="false" outlineLevel="0" collapsed="false">
      <c r="A66" s="5" t="n">
        <v>62</v>
      </c>
      <c r="B66" s="29" t="str">
        <f aca="false">IFERROR(MATCH(A66,Homiladorlar!$AH$5:$AH$804,0),"")</f>
        <v/>
      </c>
      <c r="C66" s="5" t="str">
        <f aca="false">IF($B66="","",IF(INDEX(Homiladorlar!$B$5:$B$804,$B66)="","",INDEX(Homiladorlar!$B$5:$B$804,$B66)))</f>
        <v/>
      </c>
      <c r="D66" s="30" t="str">
        <f aca="false">IF($B66="","",IF(INDEX(Homiladorlar!$C$5:$C$804,$B66)="","",INDEX(Homiladorlar!$C$5:$C$804,$B66)))</f>
        <v/>
      </c>
      <c r="E66" s="5" t="str">
        <f aca="false">IF($B66="","",IF(INDEX(Homiladorlar!$F$5:$F$804,$B66)="","",INDEX(Homiladorlar!$F$5:$F$804,$B66)))</f>
        <v/>
      </c>
      <c r="F66" s="5" t="str">
        <f aca="false">IF($B66="","",IF(INDEX(Homiladorlar!$E$5:$E$804,$B66)="","",INDEX(Homiladorlar!$E$5:$E$804,$B66)))</f>
        <v/>
      </c>
      <c r="G66" s="5" t="str">
        <f aca="false">IF($B66="","",IF(INDEX(Homiladorlar!$O$5:$O$804,$B66)="","",INDEX(Homiladorlar!$O$5:$O$804,$B66)))</f>
        <v/>
      </c>
      <c r="H66" s="5" t="str">
        <f aca="false">IF($B66="","",IF(INDEX(Homiladorlar!$Q$5:$Q$804,$B66)="","",INDEX(Homiladorlar!$Q$5:$Q$804,$B66)))</f>
        <v/>
      </c>
      <c r="I66" s="5" t="str">
        <f aca="false">IF($B66="","",IF(INDEX(Homiladorlar!$R$5:$R$804,$B66)="","",INDEX(Homiladorlar!$R$5:$R$804,$B66)))</f>
        <v/>
      </c>
      <c r="J66" s="5" t="str">
        <f aca="false">IF($B66="","",IF(INDEX(Homiladorlar!$K$5:$K$804,$B66)="","",INDEX(Homiladorlar!$K$5:$K$804,$B66)))</f>
        <v/>
      </c>
      <c r="K66" s="30" t="str">
        <f aca="false">IF($B66="","",IF(INDEX(Homiladorlar!$J$5:$J$804,$B66)="","",INDEX(Homiladorlar!$J$5:$J$804,$B66)))</f>
        <v/>
      </c>
      <c r="L66" s="30" t="str">
        <f aca="false">IF($B66="","",IF(INDEX(Homiladorlar!$T$5:$T$804,$B66)="","",INDEX(Homiladorlar!$T$5:$T$804,$B66)))</f>
        <v/>
      </c>
      <c r="M66" s="30" t="str">
        <f aca="false">IF($B66="","",IF(INDEX(Homiladorlar!$AB$5:$AB$804,$B66)="","",INDEX(Homiladorlar!$AB$5:$AB$804,$B66)))</f>
        <v/>
      </c>
      <c r="N66" s="5" t="str">
        <f aca="false">IF($B66="","",IF(INDEX(Homiladorlar!$AC$5:$AC$804,$B66)="","",INDEX(Homiladorlar!$AC$5:$AC$804,$B66)))</f>
        <v/>
      </c>
    </row>
    <row r="67" customFormat="false" ht="15" hidden="false" customHeight="false" outlineLevel="0" collapsed="false">
      <c r="A67" s="5" t="n">
        <v>63</v>
      </c>
      <c r="B67" s="29" t="str">
        <f aca="false">IFERROR(MATCH(A67,Homiladorlar!$AH$5:$AH$804,0),"")</f>
        <v/>
      </c>
      <c r="C67" s="5" t="str">
        <f aca="false">IF($B67="","",IF(INDEX(Homiladorlar!$B$5:$B$804,$B67)="","",INDEX(Homiladorlar!$B$5:$B$804,$B67)))</f>
        <v/>
      </c>
      <c r="D67" s="30" t="str">
        <f aca="false">IF($B67="","",IF(INDEX(Homiladorlar!$C$5:$C$804,$B67)="","",INDEX(Homiladorlar!$C$5:$C$804,$B67)))</f>
        <v/>
      </c>
      <c r="E67" s="5" t="str">
        <f aca="false">IF($B67="","",IF(INDEX(Homiladorlar!$F$5:$F$804,$B67)="","",INDEX(Homiladorlar!$F$5:$F$804,$B67)))</f>
        <v/>
      </c>
      <c r="F67" s="5" t="str">
        <f aca="false">IF($B67="","",IF(INDEX(Homiladorlar!$E$5:$E$804,$B67)="","",INDEX(Homiladorlar!$E$5:$E$804,$B67)))</f>
        <v/>
      </c>
      <c r="G67" s="5" t="str">
        <f aca="false">IF($B67="","",IF(INDEX(Homiladorlar!$O$5:$O$804,$B67)="","",INDEX(Homiladorlar!$O$5:$O$804,$B67)))</f>
        <v/>
      </c>
      <c r="H67" s="5" t="str">
        <f aca="false">IF($B67="","",IF(INDEX(Homiladorlar!$Q$5:$Q$804,$B67)="","",INDEX(Homiladorlar!$Q$5:$Q$804,$B67)))</f>
        <v/>
      </c>
      <c r="I67" s="5" t="str">
        <f aca="false">IF($B67="","",IF(INDEX(Homiladorlar!$R$5:$R$804,$B67)="","",INDEX(Homiladorlar!$R$5:$R$804,$B67)))</f>
        <v/>
      </c>
      <c r="J67" s="5" t="str">
        <f aca="false">IF($B67="","",IF(INDEX(Homiladorlar!$K$5:$K$804,$B67)="","",INDEX(Homiladorlar!$K$5:$K$804,$B67)))</f>
        <v/>
      </c>
      <c r="K67" s="30" t="str">
        <f aca="false">IF($B67="","",IF(INDEX(Homiladorlar!$J$5:$J$804,$B67)="","",INDEX(Homiladorlar!$J$5:$J$804,$B67)))</f>
        <v/>
      </c>
      <c r="L67" s="30" t="str">
        <f aca="false">IF($B67="","",IF(INDEX(Homiladorlar!$T$5:$T$804,$B67)="","",INDEX(Homiladorlar!$T$5:$T$804,$B67)))</f>
        <v/>
      </c>
      <c r="M67" s="30" t="str">
        <f aca="false">IF($B67="","",IF(INDEX(Homiladorlar!$AB$5:$AB$804,$B67)="","",INDEX(Homiladorlar!$AB$5:$AB$804,$B67)))</f>
        <v/>
      </c>
      <c r="N67" s="5" t="str">
        <f aca="false">IF($B67="","",IF(INDEX(Homiladorlar!$AC$5:$AC$804,$B67)="","",INDEX(Homiladorlar!$AC$5:$AC$804,$B67)))</f>
        <v/>
      </c>
    </row>
    <row r="68" customFormat="false" ht="15" hidden="false" customHeight="false" outlineLevel="0" collapsed="false">
      <c r="A68" s="5" t="n">
        <v>64</v>
      </c>
      <c r="B68" s="29" t="str">
        <f aca="false">IFERROR(MATCH(A68,Homiladorlar!$AH$5:$AH$804,0),"")</f>
        <v/>
      </c>
      <c r="C68" s="5" t="str">
        <f aca="false">IF($B68="","",IF(INDEX(Homiladorlar!$B$5:$B$804,$B68)="","",INDEX(Homiladorlar!$B$5:$B$804,$B68)))</f>
        <v/>
      </c>
      <c r="D68" s="30" t="str">
        <f aca="false">IF($B68="","",IF(INDEX(Homiladorlar!$C$5:$C$804,$B68)="","",INDEX(Homiladorlar!$C$5:$C$804,$B68)))</f>
        <v/>
      </c>
      <c r="E68" s="5" t="str">
        <f aca="false">IF($B68="","",IF(INDEX(Homiladorlar!$F$5:$F$804,$B68)="","",INDEX(Homiladorlar!$F$5:$F$804,$B68)))</f>
        <v/>
      </c>
      <c r="F68" s="5" t="str">
        <f aca="false">IF($B68="","",IF(INDEX(Homiladorlar!$E$5:$E$804,$B68)="","",INDEX(Homiladorlar!$E$5:$E$804,$B68)))</f>
        <v/>
      </c>
      <c r="G68" s="5" t="str">
        <f aca="false">IF($B68="","",IF(INDEX(Homiladorlar!$O$5:$O$804,$B68)="","",INDEX(Homiladorlar!$O$5:$O$804,$B68)))</f>
        <v/>
      </c>
      <c r="H68" s="5" t="str">
        <f aca="false">IF($B68="","",IF(INDEX(Homiladorlar!$Q$5:$Q$804,$B68)="","",INDEX(Homiladorlar!$Q$5:$Q$804,$B68)))</f>
        <v/>
      </c>
      <c r="I68" s="5" t="str">
        <f aca="false">IF($B68="","",IF(INDEX(Homiladorlar!$R$5:$R$804,$B68)="","",INDEX(Homiladorlar!$R$5:$R$804,$B68)))</f>
        <v/>
      </c>
      <c r="J68" s="5" t="str">
        <f aca="false">IF($B68="","",IF(INDEX(Homiladorlar!$K$5:$K$804,$B68)="","",INDEX(Homiladorlar!$K$5:$K$804,$B68)))</f>
        <v/>
      </c>
      <c r="K68" s="30" t="str">
        <f aca="false">IF($B68="","",IF(INDEX(Homiladorlar!$J$5:$J$804,$B68)="","",INDEX(Homiladorlar!$J$5:$J$804,$B68)))</f>
        <v/>
      </c>
      <c r="L68" s="30" t="str">
        <f aca="false">IF($B68="","",IF(INDEX(Homiladorlar!$T$5:$T$804,$B68)="","",INDEX(Homiladorlar!$T$5:$T$804,$B68)))</f>
        <v/>
      </c>
      <c r="M68" s="30" t="str">
        <f aca="false">IF($B68="","",IF(INDEX(Homiladorlar!$AB$5:$AB$804,$B68)="","",INDEX(Homiladorlar!$AB$5:$AB$804,$B68)))</f>
        <v/>
      </c>
      <c r="N68" s="5" t="str">
        <f aca="false">IF($B68="","",IF(INDEX(Homiladorlar!$AC$5:$AC$804,$B68)="","",INDEX(Homiladorlar!$AC$5:$AC$804,$B68)))</f>
        <v/>
      </c>
    </row>
    <row r="69" customFormat="false" ht="15" hidden="false" customHeight="false" outlineLevel="0" collapsed="false">
      <c r="A69" s="5" t="n">
        <v>65</v>
      </c>
      <c r="B69" s="29" t="str">
        <f aca="false">IFERROR(MATCH(A69,Homiladorlar!$AH$5:$AH$804,0),"")</f>
        <v/>
      </c>
      <c r="C69" s="5" t="str">
        <f aca="false">IF($B69="","",IF(INDEX(Homiladorlar!$B$5:$B$804,$B69)="","",INDEX(Homiladorlar!$B$5:$B$804,$B69)))</f>
        <v/>
      </c>
      <c r="D69" s="30" t="str">
        <f aca="false">IF($B69="","",IF(INDEX(Homiladorlar!$C$5:$C$804,$B69)="","",INDEX(Homiladorlar!$C$5:$C$804,$B69)))</f>
        <v/>
      </c>
      <c r="E69" s="5" t="str">
        <f aca="false">IF($B69="","",IF(INDEX(Homiladorlar!$F$5:$F$804,$B69)="","",INDEX(Homiladorlar!$F$5:$F$804,$B69)))</f>
        <v/>
      </c>
      <c r="F69" s="5" t="str">
        <f aca="false">IF($B69="","",IF(INDEX(Homiladorlar!$E$5:$E$804,$B69)="","",INDEX(Homiladorlar!$E$5:$E$804,$B69)))</f>
        <v/>
      </c>
      <c r="G69" s="5" t="str">
        <f aca="false">IF($B69="","",IF(INDEX(Homiladorlar!$O$5:$O$804,$B69)="","",INDEX(Homiladorlar!$O$5:$O$804,$B69)))</f>
        <v/>
      </c>
      <c r="H69" s="5" t="str">
        <f aca="false">IF($B69="","",IF(INDEX(Homiladorlar!$Q$5:$Q$804,$B69)="","",INDEX(Homiladorlar!$Q$5:$Q$804,$B69)))</f>
        <v/>
      </c>
      <c r="I69" s="5" t="str">
        <f aca="false">IF($B69="","",IF(INDEX(Homiladorlar!$R$5:$R$804,$B69)="","",INDEX(Homiladorlar!$R$5:$R$804,$B69)))</f>
        <v/>
      </c>
      <c r="J69" s="5" t="str">
        <f aca="false">IF($B69="","",IF(INDEX(Homiladorlar!$K$5:$K$804,$B69)="","",INDEX(Homiladorlar!$K$5:$K$804,$B69)))</f>
        <v/>
      </c>
      <c r="K69" s="30" t="str">
        <f aca="false">IF($B69="","",IF(INDEX(Homiladorlar!$J$5:$J$804,$B69)="","",INDEX(Homiladorlar!$J$5:$J$804,$B69)))</f>
        <v/>
      </c>
      <c r="L69" s="30" t="str">
        <f aca="false">IF($B69="","",IF(INDEX(Homiladorlar!$T$5:$T$804,$B69)="","",INDEX(Homiladorlar!$T$5:$T$804,$B69)))</f>
        <v/>
      </c>
      <c r="M69" s="30" t="str">
        <f aca="false">IF($B69="","",IF(INDEX(Homiladorlar!$AB$5:$AB$804,$B69)="","",INDEX(Homiladorlar!$AB$5:$AB$804,$B69)))</f>
        <v/>
      </c>
      <c r="N69" s="5" t="str">
        <f aca="false">IF($B69="","",IF(INDEX(Homiladorlar!$AC$5:$AC$804,$B69)="","",INDEX(Homiladorlar!$AC$5:$AC$804,$B69)))</f>
        <v/>
      </c>
    </row>
    <row r="70" customFormat="false" ht="15" hidden="false" customHeight="false" outlineLevel="0" collapsed="false">
      <c r="A70" s="5" t="n">
        <v>66</v>
      </c>
      <c r="B70" s="29" t="str">
        <f aca="false">IFERROR(MATCH(A70,Homiladorlar!$AH$5:$AH$804,0),"")</f>
        <v/>
      </c>
      <c r="C70" s="5" t="str">
        <f aca="false">IF($B70="","",IF(INDEX(Homiladorlar!$B$5:$B$804,$B70)="","",INDEX(Homiladorlar!$B$5:$B$804,$B70)))</f>
        <v/>
      </c>
      <c r="D70" s="30" t="str">
        <f aca="false">IF($B70="","",IF(INDEX(Homiladorlar!$C$5:$C$804,$B70)="","",INDEX(Homiladorlar!$C$5:$C$804,$B70)))</f>
        <v/>
      </c>
      <c r="E70" s="5" t="str">
        <f aca="false">IF($B70="","",IF(INDEX(Homiladorlar!$F$5:$F$804,$B70)="","",INDEX(Homiladorlar!$F$5:$F$804,$B70)))</f>
        <v/>
      </c>
      <c r="F70" s="5" t="str">
        <f aca="false">IF($B70="","",IF(INDEX(Homiladorlar!$E$5:$E$804,$B70)="","",INDEX(Homiladorlar!$E$5:$E$804,$B70)))</f>
        <v/>
      </c>
      <c r="G70" s="5" t="str">
        <f aca="false">IF($B70="","",IF(INDEX(Homiladorlar!$O$5:$O$804,$B70)="","",INDEX(Homiladorlar!$O$5:$O$804,$B70)))</f>
        <v/>
      </c>
      <c r="H70" s="5" t="str">
        <f aca="false">IF($B70="","",IF(INDEX(Homiladorlar!$Q$5:$Q$804,$B70)="","",INDEX(Homiladorlar!$Q$5:$Q$804,$B70)))</f>
        <v/>
      </c>
      <c r="I70" s="5" t="str">
        <f aca="false">IF($B70="","",IF(INDEX(Homiladorlar!$R$5:$R$804,$B70)="","",INDEX(Homiladorlar!$R$5:$R$804,$B70)))</f>
        <v/>
      </c>
      <c r="J70" s="5" t="str">
        <f aca="false">IF($B70="","",IF(INDEX(Homiladorlar!$K$5:$K$804,$B70)="","",INDEX(Homiladorlar!$K$5:$K$804,$B70)))</f>
        <v/>
      </c>
      <c r="K70" s="30" t="str">
        <f aca="false">IF($B70="","",IF(INDEX(Homiladorlar!$J$5:$J$804,$B70)="","",INDEX(Homiladorlar!$J$5:$J$804,$B70)))</f>
        <v/>
      </c>
      <c r="L70" s="30" t="str">
        <f aca="false">IF($B70="","",IF(INDEX(Homiladorlar!$T$5:$T$804,$B70)="","",INDEX(Homiladorlar!$T$5:$T$804,$B70)))</f>
        <v/>
      </c>
      <c r="M70" s="30" t="str">
        <f aca="false">IF($B70="","",IF(INDEX(Homiladorlar!$AB$5:$AB$804,$B70)="","",INDEX(Homiladorlar!$AB$5:$AB$804,$B70)))</f>
        <v/>
      </c>
      <c r="N70" s="5" t="str">
        <f aca="false">IF($B70="","",IF(INDEX(Homiladorlar!$AC$5:$AC$804,$B70)="","",INDEX(Homiladorlar!$AC$5:$AC$804,$B70)))</f>
        <v/>
      </c>
    </row>
    <row r="71" customFormat="false" ht="15" hidden="false" customHeight="false" outlineLevel="0" collapsed="false">
      <c r="A71" s="5" t="n">
        <v>67</v>
      </c>
      <c r="B71" s="29" t="str">
        <f aca="false">IFERROR(MATCH(A71,Homiladorlar!$AH$5:$AH$804,0),"")</f>
        <v/>
      </c>
      <c r="C71" s="5" t="str">
        <f aca="false">IF($B71="","",IF(INDEX(Homiladorlar!$B$5:$B$804,$B71)="","",INDEX(Homiladorlar!$B$5:$B$804,$B71)))</f>
        <v/>
      </c>
      <c r="D71" s="30" t="str">
        <f aca="false">IF($B71="","",IF(INDEX(Homiladorlar!$C$5:$C$804,$B71)="","",INDEX(Homiladorlar!$C$5:$C$804,$B71)))</f>
        <v/>
      </c>
      <c r="E71" s="5" t="str">
        <f aca="false">IF($B71="","",IF(INDEX(Homiladorlar!$F$5:$F$804,$B71)="","",INDEX(Homiladorlar!$F$5:$F$804,$B71)))</f>
        <v/>
      </c>
      <c r="F71" s="5" t="str">
        <f aca="false">IF($B71="","",IF(INDEX(Homiladorlar!$E$5:$E$804,$B71)="","",INDEX(Homiladorlar!$E$5:$E$804,$B71)))</f>
        <v/>
      </c>
      <c r="G71" s="5" t="str">
        <f aca="false">IF($B71="","",IF(INDEX(Homiladorlar!$O$5:$O$804,$B71)="","",INDEX(Homiladorlar!$O$5:$O$804,$B71)))</f>
        <v/>
      </c>
      <c r="H71" s="5" t="str">
        <f aca="false">IF($B71="","",IF(INDEX(Homiladorlar!$Q$5:$Q$804,$B71)="","",INDEX(Homiladorlar!$Q$5:$Q$804,$B71)))</f>
        <v/>
      </c>
      <c r="I71" s="5" t="str">
        <f aca="false">IF($B71="","",IF(INDEX(Homiladorlar!$R$5:$R$804,$B71)="","",INDEX(Homiladorlar!$R$5:$R$804,$B71)))</f>
        <v/>
      </c>
      <c r="J71" s="5" t="str">
        <f aca="false">IF($B71="","",IF(INDEX(Homiladorlar!$K$5:$K$804,$B71)="","",INDEX(Homiladorlar!$K$5:$K$804,$B71)))</f>
        <v/>
      </c>
      <c r="K71" s="30" t="str">
        <f aca="false">IF($B71="","",IF(INDEX(Homiladorlar!$J$5:$J$804,$B71)="","",INDEX(Homiladorlar!$J$5:$J$804,$B71)))</f>
        <v/>
      </c>
      <c r="L71" s="30" t="str">
        <f aca="false">IF($B71="","",IF(INDEX(Homiladorlar!$T$5:$T$804,$B71)="","",INDEX(Homiladorlar!$T$5:$T$804,$B71)))</f>
        <v/>
      </c>
      <c r="M71" s="30" t="str">
        <f aca="false">IF($B71="","",IF(INDEX(Homiladorlar!$AB$5:$AB$804,$B71)="","",INDEX(Homiladorlar!$AB$5:$AB$804,$B71)))</f>
        <v/>
      </c>
      <c r="N71" s="5" t="str">
        <f aca="false">IF($B71="","",IF(INDEX(Homiladorlar!$AC$5:$AC$804,$B71)="","",INDEX(Homiladorlar!$AC$5:$AC$804,$B71)))</f>
        <v/>
      </c>
    </row>
    <row r="72" customFormat="false" ht="15" hidden="false" customHeight="false" outlineLevel="0" collapsed="false">
      <c r="A72" s="5" t="n">
        <v>68</v>
      </c>
      <c r="B72" s="29" t="str">
        <f aca="false">IFERROR(MATCH(A72,Homiladorlar!$AH$5:$AH$804,0),"")</f>
        <v/>
      </c>
      <c r="C72" s="5" t="str">
        <f aca="false">IF($B72="","",IF(INDEX(Homiladorlar!$B$5:$B$804,$B72)="","",INDEX(Homiladorlar!$B$5:$B$804,$B72)))</f>
        <v/>
      </c>
      <c r="D72" s="30" t="str">
        <f aca="false">IF($B72="","",IF(INDEX(Homiladorlar!$C$5:$C$804,$B72)="","",INDEX(Homiladorlar!$C$5:$C$804,$B72)))</f>
        <v/>
      </c>
      <c r="E72" s="5" t="str">
        <f aca="false">IF($B72="","",IF(INDEX(Homiladorlar!$F$5:$F$804,$B72)="","",INDEX(Homiladorlar!$F$5:$F$804,$B72)))</f>
        <v/>
      </c>
      <c r="F72" s="5" t="str">
        <f aca="false">IF($B72="","",IF(INDEX(Homiladorlar!$E$5:$E$804,$B72)="","",INDEX(Homiladorlar!$E$5:$E$804,$B72)))</f>
        <v/>
      </c>
      <c r="G72" s="5" t="str">
        <f aca="false">IF($B72="","",IF(INDEX(Homiladorlar!$O$5:$O$804,$B72)="","",INDEX(Homiladorlar!$O$5:$O$804,$B72)))</f>
        <v/>
      </c>
      <c r="H72" s="5" t="str">
        <f aca="false">IF($B72="","",IF(INDEX(Homiladorlar!$Q$5:$Q$804,$B72)="","",INDEX(Homiladorlar!$Q$5:$Q$804,$B72)))</f>
        <v/>
      </c>
      <c r="I72" s="5" t="str">
        <f aca="false">IF($B72="","",IF(INDEX(Homiladorlar!$R$5:$R$804,$B72)="","",INDEX(Homiladorlar!$R$5:$R$804,$B72)))</f>
        <v/>
      </c>
      <c r="J72" s="5" t="str">
        <f aca="false">IF($B72="","",IF(INDEX(Homiladorlar!$K$5:$K$804,$B72)="","",INDEX(Homiladorlar!$K$5:$K$804,$B72)))</f>
        <v/>
      </c>
      <c r="K72" s="30" t="str">
        <f aca="false">IF($B72="","",IF(INDEX(Homiladorlar!$J$5:$J$804,$B72)="","",INDEX(Homiladorlar!$J$5:$J$804,$B72)))</f>
        <v/>
      </c>
      <c r="L72" s="30" t="str">
        <f aca="false">IF($B72="","",IF(INDEX(Homiladorlar!$T$5:$T$804,$B72)="","",INDEX(Homiladorlar!$T$5:$T$804,$B72)))</f>
        <v/>
      </c>
      <c r="M72" s="30" t="str">
        <f aca="false">IF($B72="","",IF(INDEX(Homiladorlar!$AB$5:$AB$804,$B72)="","",INDEX(Homiladorlar!$AB$5:$AB$804,$B72)))</f>
        <v/>
      </c>
      <c r="N72" s="5" t="str">
        <f aca="false">IF($B72="","",IF(INDEX(Homiladorlar!$AC$5:$AC$804,$B72)="","",INDEX(Homiladorlar!$AC$5:$AC$804,$B72)))</f>
        <v/>
      </c>
    </row>
    <row r="73" customFormat="false" ht="15" hidden="false" customHeight="false" outlineLevel="0" collapsed="false">
      <c r="A73" s="5" t="n">
        <v>69</v>
      </c>
      <c r="B73" s="29" t="str">
        <f aca="false">IFERROR(MATCH(A73,Homiladorlar!$AH$5:$AH$804,0),"")</f>
        <v/>
      </c>
      <c r="C73" s="5" t="str">
        <f aca="false">IF($B73="","",IF(INDEX(Homiladorlar!$B$5:$B$804,$B73)="","",INDEX(Homiladorlar!$B$5:$B$804,$B73)))</f>
        <v/>
      </c>
      <c r="D73" s="30" t="str">
        <f aca="false">IF($B73="","",IF(INDEX(Homiladorlar!$C$5:$C$804,$B73)="","",INDEX(Homiladorlar!$C$5:$C$804,$B73)))</f>
        <v/>
      </c>
      <c r="E73" s="5" t="str">
        <f aca="false">IF($B73="","",IF(INDEX(Homiladorlar!$F$5:$F$804,$B73)="","",INDEX(Homiladorlar!$F$5:$F$804,$B73)))</f>
        <v/>
      </c>
      <c r="F73" s="5" t="str">
        <f aca="false">IF($B73="","",IF(INDEX(Homiladorlar!$E$5:$E$804,$B73)="","",INDEX(Homiladorlar!$E$5:$E$804,$B73)))</f>
        <v/>
      </c>
      <c r="G73" s="5" t="str">
        <f aca="false">IF($B73="","",IF(INDEX(Homiladorlar!$O$5:$O$804,$B73)="","",INDEX(Homiladorlar!$O$5:$O$804,$B73)))</f>
        <v/>
      </c>
      <c r="H73" s="5" t="str">
        <f aca="false">IF($B73="","",IF(INDEX(Homiladorlar!$Q$5:$Q$804,$B73)="","",INDEX(Homiladorlar!$Q$5:$Q$804,$B73)))</f>
        <v/>
      </c>
      <c r="I73" s="5" t="str">
        <f aca="false">IF($B73="","",IF(INDEX(Homiladorlar!$R$5:$R$804,$B73)="","",INDEX(Homiladorlar!$R$5:$R$804,$B73)))</f>
        <v/>
      </c>
      <c r="J73" s="5" t="str">
        <f aca="false">IF($B73="","",IF(INDEX(Homiladorlar!$K$5:$K$804,$B73)="","",INDEX(Homiladorlar!$K$5:$K$804,$B73)))</f>
        <v/>
      </c>
      <c r="K73" s="30" t="str">
        <f aca="false">IF($B73="","",IF(INDEX(Homiladorlar!$J$5:$J$804,$B73)="","",INDEX(Homiladorlar!$J$5:$J$804,$B73)))</f>
        <v/>
      </c>
      <c r="L73" s="30" t="str">
        <f aca="false">IF($B73="","",IF(INDEX(Homiladorlar!$T$5:$T$804,$B73)="","",INDEX(Homiladorlar!$T$5:$T$804,$B73)))</f>
        <v/>
      </c>
      <c r="M73" s="30" t="str">
        <f aca="false">IF($B73="","",IF(INDEX(Homiladorlar!$AB$5:$AB$804,$B73)="","",INDEX(Homiladorlar!$AB$5:$AB$804,$B73)))</f>
        <v/>
      </c>
      <c r="N73" s="5" t="str">
        <f aca="false">IF($B73="","",IF(INDEX(Homiladorlar!$AC$5:$AC$804,$B73)="","",INDEX(Homiladorlar!$AC$5:$AC$804,$B73)))</f>
        <v/>
      </c>
    </row>
    <row r="74" customFormat="false" ht="15" hidden="false" customHeight="false" outlineLevel="0" collapsed="false">
      <c r="A74" s="5" t="n">
        <v>70</v>
      </c>
      <c r="B74" s="29" t="str">
        <f aca="false">IFERROR(MATCH(A74,Homiladorlar!$AH$5:$AH$804,0),"")</f>
        <v/>
      </c>
      <c r="C74" s="5" t="str">
        <f aca="false">IF($B74="","",IF(INDEX(Homiladorlar!$B$5:$B$804,$B74)="","",INDEX(Homiladorlar!$B$5:$B$804,$B74)))</f>
        <v/>
      </c>
      <c r="D74" s="30" t="str">
        <f aca="false">IF($B74="","",IF(INDEX(Homiladorlar!$C$5:$C$804,$B74)="","",INDEX(Homiladorlar!$C$5:$C$804,$B74)))</f>
        <v/>
      </c>
      <c r="E74" s="5" t="str">
        <f aca="false">IF($B74="","",IF(INDEX(Homiladorlar!$F$5:$F$804,$B74)="","",INDEX(Homiladorlar!$F$5:$F$804,$B74)))</f>
        <v/>
      </c>
      <c r="F74" s="5" t="str">
        <f aca="false">IF($B74="","",IF(INDEX(Homiladorlar!$E$5:$E$804,$B74)="","",INDEX(Homiladorlar!$E$5:$E$804,$B74)))</f>
        <v/>
      </c>
      <c r="G74" s="5" t="str">
        <f aca="false">IF($B74="","",IF(INDEX(Homiladorlar!$O$5:$O$804,$B74)="","",INDEX(Homiladorlar!$O$5:$O$804,$B74)))</f>
        <v/>
      </c>
      <c r="H74" s="5" t="str">
        <f aca="false">IF($B74="","",IF(INDEX(Homiladorlar!$Q$5:$Q$804,$B74)="","",INDEX(Homiladorlar!$Q$5:$Q$804,$B74)))</f>
        <v/>
      </c>
      <c r="I74" s="5" t="str">
        <f aca="false">IF($B74="","",IF(INDEX(Homiladorlar!$R$5:$R$804,$B74)="","",INDEX(Homiladorlar!$R$5:$R$804,$B74)))</f>
        <v/>
      </c>
      <c r="J74" s="5" t="str">
        <f aca="false">IF($B74="","",IF(INDEX(Homiladorlar!$K$5:$K$804,$B74)="","",INDEX(Homiladorlar!$K$5:$K$804,$B74)))</f>
        <v/>
      </c>
      <c r="K74" s="30" t="str">
        <f aca="false">IF($B74="","",IF(INDEX(Homiladorlar!$J$5:$J$804,$B74)="","",INDEX(Homiladorlar!$J$5:$J$804,$B74)))</f>
        <v/>
      </c>
      <c r="L74" s="30" t="str">
        <f aca="false">IF($B74="","",IF(INDEX(Homiladorlar!$T$5:$T$804,$B74)="","",INDEX(Homiladorlar!$T$5:$T$804,$B74)))</f>
        <v/>
      </c>
      <c r="M74" s="30" t="str">
        <f aca="false">IF($B74="","",IF(INDEX(Homiladorlar!$AB$5:$AB$804,$B74)="","",INDEX(Homiladorlar!$AB$5:$AB$804,$B74)))</f>
        <v/>
      </c>
      <c r="N74" s="5" t="str">
        <f aca="false">IF($B74="","",IF(INDEX(Homiladorlar!$AC$5:$AC$804,$B74)="","",INDEX(Homiladorlar!$AC$5:$AC$804,$B74)))</f>
        <v/>
      </c>
    </row>
    <row r="75" customFormat="false" ht="15" hidden="false" customHeight="false" outlineLevel="0" collapsed="false">
      <c r="A75" s="5" t="n">
        <v>71</v>
      </c>
      <c r="B75" s="29" t="str">
        <f aca="false">IFERROR(MATCH(A75,Homiladorlar!$AH$5:$AH$804,0),"")</f>
        <v/>
      </c>
      <c r="C75" s="5" t="str">
        <f aca="false">IF($B75="","",IF(INDEX(Homiladorlar!$B$5:$B$804,$B75)="","",INDEX(Homiladorlar!$B$5:$B$804,$B75)))</f>
        <v/>
      </c>
      <c r="D75" s="30" t="str">
        <f aca="false">IF($B75="","",IF(INDEX(Homiladorlar!$C$5:$C$804,$B75)="","",INDEX(Homiladorlar!$C$5:$C$804,$B75)))</f>
        <v/>
      </c>
      <c r="E75" s="5" t="str">
        <f aca="false">IF($B75="","",IF(INDEX(Homiladorlar!$F$5:$F$804,$B75)="","",INDEX(Homiladorlar!$F$5:$F$804,$B75)))</f>
        <v/>
      </c>
      <c r="F75" s="5" t="str">
        <f aca="false">IF($B75="","",IF(INDEX(Homiladorlar!$E$5:$E$804,$B75)="","",INDEX(Homiladorlar!$E$5:$E$804,$B75)))</f>
        <v/>
      </c>
      <c r="G75" s="5" t="str">
        <f aca="false">IF($B75="","",IF(INDEX(Homiladorlar!$O$5:$O$804,$B75)="","",INDEX(Homiladorlar!$O$5:$O$804,$B75)))</f>
        <v/>
      </c>
      <c r="H75" s="5" t="str">
        <f aca="false">IF($B75="","",IF(INDEX(Homiladorlar!$Q$5:$Q$804,$B75)="","",INDEX(Homiladorlar!$Q$5:$Q$804,$B75)))</f>
        <v/>
      </c>
      <c r="I75" s="5" t="str">
        <f aca="false">IF($B75="","",IF(INDEX(Homiladorlar!$R$5:$R$804,$B75)="","",INDEX(Homiladorlar!$R$5:$R$804,$B75)))</f>
        <v/>
      </c>
      <c r="J75" s="5" t="str">
        <f aca="false">IF($B75="","",IF(INDEX(Homiladorlar!$K$5:$K$804,$B75)="","",INDEX(Homiladorlar!$K$5:$K$804,$B75)))</f>
        <v/>
      </c>
      <c r="K75" s="30" t="str">
        <f aca="false">IF($B75="","",IF(INDEX(Homiladorlar!$J$5:$J$804,$B75)="","",INDEX(Homiladorlar!$J$5:$J$804,$B75)))</f>
        <v/>
      </c>
      <c r="L75" s="30" t="str">
        <f aca="false">IF($B75="","",IF(INDEX(Homiladorlar!$T$5:$T$804,$B75)="","",INDEX(Homiladorlar!$T$5:$T$804,$B75)))</f>
        <v/>
      </c>
      <c r="M75" s="30" t="str">
        <f aca="false">IF($B75="","",IF(INDEX(Homiladorlar!$AB$5:$AB$804,$B75)="","",INDEX(Homiladorlar!$AB$5:$AB$804,$B75)))</f>
        <v/>
      </c>
      <c r="N75" s="5" t="str">
        <f aca="false">IF($B75="","",IF(INDEX(Homiladorlar!$AC$5:$AC$804,$B75)="","",INDEX(Homiladorlar!$AC$5:$AC$804,$B75)))</f>
        <v/>
      </c>
    </row>
    <row r="76" customFormat="false" ht="15" hidden="false" customHeight="false" outlineLevel="0" collapsed="false">
      <c r="A76" s="5" t="n">
        <v>72</v>
      </c>
      <c r="B76" s="29" t="str">
        <f aca="false">IFERROR(MATCH(A76,Homiladorlar!$AH$5:$AH$804,0),"")</f>
        <v/>
      </c>
      <c r="C76" s="5" t="str">
        <f aca="false">IF($B76="","",IF(INDEX(Homiladorlar!$B$5:$B$804,$B76)="","",INDEX(Homiladorlar!$B$5:$B$804,$B76)))</f>
        <v/>
      </c>
      <c r="D76" s="30" t="str">
        <f aca="false">IF($B76="","",IF(INDEX(Homiladorlar!$C$5:$C$804,$B76)="","",INDEX(Homiladorlar!$C$5:$C$804,$B76)))</f>
        <v/>
      </c>
      <c r="E76" s="5" t="str">
        <f aca="false">IF($B76="","",IF(INDEX(Homiladorlar!$F$5:$F$804,$B76)="","",INDEX(Homiladorlar!$F$5:$F$804,$B76)))</f>
        <v/>
      </c>
      <c r="F76" s="5" t="str">
        <f aca="false">IF($B76="","",IF(INDEX(Homiladorlar!$E$5:$E$804,$B76)="","",INDEX(Homiladorlar!$E$5:$E$804,$B76)))</f>
        <v/>
      </c>
      <c r="G76" s="5" t="str">
        <f aca="false">IF($B76="","",IF(INDEX(Homiladorlar!$O$5:$O$804,$B76)="","",INDEX(Homiladorlar!$O$5:$O$804,$B76)))</f>
        <v/>
      </c>
      <c r="H76" s="5" t="str">
        <f aca="false">IF($B76="","",IF(INDEX(Homiladorlar!$Q$5:$Q$804,$B76)="","",INDEX(Homiladorlar!$Q$5:$Q$804,$B76)))</f>
        <v/>
      </c>
      <c r="I76" s="5" t="str">
        <f aca="false">IF($B76="","",IF(INDEX(Homiladorlar!$R$5:$R$804,$B76)="","",INDEX(Homiladorlar!$R$5:$R$804,$B76)))</f>
        <v/>
      </c>
      <c r="J76" s="5" t="str">
        <f aca="false">IF($B76="","",IF(INDEX(Homiladorlar!$K$5:$K$804,$B76)="","",INDEX(Homiladorlar!$K$5:$K$804,$B76)))</f>
        <v/>
      </c>
      <c r="K76" s="30" t="str">
        <f aca="false">IF($B76="","",IF(INDEX(Homiladorlar!$J$5:$J$804,$B76)="","",INDEX(Homiladorlar!$J$5:$J$804,$B76)))</f>
        <v/>
      </c>
      <c r="L76" s="30" t="str">
        <f aca="false">IF($B76="","",IF(INDEX(Homiladorlar!$T$5:$T$804,$B76)="","",INDEX(Homiladorlar!$T$5:$T$804,$B76)))</f>
        <v/>
      </c>
      <c r="M76" s="30" t="str">
        <f aca="false">IF($B76="","",IF(INDEX(Homiladorlar!$AB$5:$AB$804,$B76)="","",INDEX(Homiladorlar!$AB$5:$AB$804,$B76)))</f>
        <v/>
      </c>
      <c r="N76" s="5" t="str">
        <f aca="false">IF($B76="","",IF(INDEX(Homiladorlar!$AC$5:$AC$804,$B76)="","",INDEX(Homiladorlar!$AC$5:$AC$804,$B76)))</f>
        <v/>
      </c>
    </row>
    <row r="77" customFormat="false" ht="15" hidden="false" customHeight="false" outlineLevel="0" collapsed="false">
      <c r="A77" s="5" t="n">
        <v>73</v>
      </c>
      <c r="B77" s="29" t="str">
        <f aca="false">IFERROR(MATCH(A77,Homiladorlar!$AH$5:$AH$804,0),"")</f>
        <v/>
      </c>
      <c r="C77" s="5" t="str">
        <f aca="false">IF($B77="","",IF(INDEX(Homiladorlar!$B$5:$B$804,$B77)="","",INDEX(Homiladorlar!$B$5:$B$804,$B77)))</f>
        <v/>
      </c>
      <c r="D77" s="30" t="str">
        <f aca="false">IF($B77="","",IF(INDEX(Homiladorlar!$C$5:$C$804,$B77)="","",INDEX(Homiladorlar!$C$5:$C$804,$B77)))</f>
        <v/>
      </c>
      <c r="E77" s="5" t="str">
        <f aca="false">IF($B77="","",IF(INDEX(Homiladorlar!$F$5:$F$804,$B77)="","",INDEX(Homiladorlar!$F$5:$F$804,$B77)))</f>
        <v/>
      </c>
      <c r="F77" s="5" t="str">
        <f aca="false">IF($B77="","",IF(INDEX(Homiladorlar!$E$5:$E$804,$B77)="","",INDEX(Homiladorlar!$E$5:$E$804,$B77)))</f>
        <v/>
      </c>
      <c r="G77" s="5" t="str">
        <f aca="false">IF($B77="","",IF(INDEX(Homiladorlar!$O$5:$O$804,$B77)="","",INDEX(Homiladorlar!$O$5:$O$804,$B77)))</f>
        <v/>
      </c>
      <c r="H77" s="5" t="str">
        <f aca="false">IF($B77="","",IF(INDEX(Homiladorlar!$Q$5:$Q$804,$B77)="","",INDEX(Homiladorlar!$Q$5:$Q$804,$B77)))</f>
        <v/>
      </c>
      <c r="I77" s="5" t="str">
        <f aca="false">IF($B77="","",IF(INDEX(Homiladorlar!$R$5:$R$804,$B77)="","",INDEX(Homiladorlar!$R$5:$R$804,$B77)))</f>
        <v/>
      </c>
      <c r="J77" s="5" t="str">
        <f aca="false">IF($B77="","",IF(INDEX(Homiladorlar!$K$5:$K$804,$B77)="","",INDEX(Homiladorlar!$K$5:$K$804,$B77)))</f>
        <v/>
      </c>
      <c r="K77" s="30" t="str">
        <f aca="false">IF($B77="","",IF(INDEX(Homiladorlar!$J$5:$J$804,$B77)="","",INDEX(Homiladorlar!$J$5:$J$804,$B77)))</f>
        <v/>
      </c>
      <c r="L77" s="30" t="str">
        <f aca="false">IF($B77="","",IF(INDEX(Homiladorlar!$T$5:$T$804,$B77)="","",INDEX(Homiladorlar!$T$5:$T$804,$B77)))</f>
        <v/>
      </c>
      <c r="M77" s="30" t="str">
        <f aca="false">IF($B77="","",IF(INDEX(Homiladorlar!$AB$5:$AB$804,$B77)="","",INDEX(Homiladorlar!$AB$5:$AB$804,$B77)))</f>
        <v/>
      </c>
      <c r="N77" s="5" t="str">
        <f aca="false">IF($B77="","",IF(INDEX(Homiladorlar!$AC$5:$AC$804,$B77)="","",INDEX(Homiladorlar!$AC$5:$AC$804,$B77)))</f>
        <v/>
      </c>
    </row>
    <row r="78" customFormat="false" ht="15" hidden="false" customHeight="false" outlineLevel="0" collapsed="false">
      <c r="A78" s="5" t="n">
        <v>74</v>
      </c>
      <c r="B78" s="29" t="str">
        <f aca="false">IFERROR(MATCH(A78,Homiladorlar!$AH$5:$AH$804,0),"")</f>
        <v/>
      </c>
      <c r="C78" s="5" t="str">
        <f aca="false">IF($B78="","",IF(INDEX(Homiladorlar!$B$5:$B$804,$B78)="","",INDEX(Homiladorlar!$B$5:$B$804,$B78)))</f>
        <v/>
      </c>
      <c r="D78" s="30" t="str">
        <f aca="false">IF($B78="","",IF(INDEX(Homiladorlar!$C$5:$C$804,$B78)="","",INDEX(Homiladorlar!$C$5:$C$804,$B78)))</f>
        <v/>
      </c>
      <c r="E78" s="5" t="str">
        <f aca="false">IF($B78="","",IF(INDEX(Homiladorlar!$F$5:$F$804,$B78)="","",INDEX(Homiladorlar!$F$5:$F$804,$B78)))</f>
        <v/>
      </c>
      <c r="F78" s="5" t="str">
        <f aca="false">IF($B78="","",IF(INDEX(Homiladorlar!$E$5:$E$804,$B78)="","",INDEX(Homiladorlar!$E$5:$E$804,$B78)))</f>
        <v/>
      </c>
      <c r="G78" s="5" t="str">
        <f aca="false">IF($B78="","",IF(INDEX(Homiladorlar!$O$5:$O$804,$B78)="","",INDEX(Homiladorlar!$O$5:$O$804,$B78)))</f>
        <v/>
      </c>
      <c r="H78" s="5" t="str">
        <f aca="false">IF($B78="","",IF(INDEX(Homiladorlar!$Q$5:$Q$804,$B78)="","",INDEX(Homiladorlar!$Q$5:$Q$804,$B78)))</f>
        <v/>
      </c>
      <c r="I78" s="5" t="str">
        <f aca="false">IF($B78="","",IF(INDEX(Homiladorlar!$R$5:$R$804,$B78)="","",INDEX(Homiladorlar!$R$5:$R$804,$B78)))</f>
        <v/>
      </c>
      <c r="J78" s="5" t="str">
        <f aca="false">IF($B78="","",IF(INDEX(Homiladorlar!$K$5:$K$804,$B78)="","",INDEX(Homiladorlar!$K$5:$K$804,$B78)))</f>
        <v/>
      </c>
      <c r="K78" s="30" t="str">
        <f aca="false">IF($B78="","",IF(INDEX(Homiladorlar!$J$5:$J$804,$B78)="","",INDEX(Homiladorlar!$J$5:$J$804,$B78)))</f>
        <v/>
      </c>
      <c r="L78" s="30" t="str">
        <f aca="false">IF($B78="","",IF(INDEX(Homiladorlar!$T$5:$T$804,$B78)="","",INDEX(Homiladorlar!$T$5:$T$804,$B78)))</f>
        <v/>
      </c>
      <c r="M78" s="30" t="str">
        <f aca="false">IF($B78="","",IF(INDEX(Homiladorlar!$AB$5:$AB$804,$B78)="","",INDEX(Homiladorlar!$AB$5:$AB$804,$B78)))</f>
        <v/>
      </c>
      <c r="N78" s="5" t="str">
        <f aca="false">IF($B78="","",IF(INDEX(Homiladorlar!$AC$5:$AC$804,$B78)="","",INDEX(Homiladorlar!$AC$5:$AC$804,$B78)))</f>
        <v/>
      </c>
    </row>
    <row r="79" customFormat="false" ht="15" hidden="false" customHeight="false" outlineLevel="0" collapsed="false">
      <c r="A79" s="5" t="n">
        <v>75</v>
      </c>
      <c r="B79" s="29" t="str">
        <f aca="false">IFERROR(MATCH(A79,Homiladorlar!$AH$5:$AH$804,0),"")</f>
        <v/>
      </c>
      <c r="C79" s="5" t="str">
        <f aca="false">IF($B79="","",IF(INDEX(Homiladorlar!$B$5:$B$804,$B79)="","",INDEX(Homiladorlar!$B$5:$B$804,$B79)))</f>
        <v/>
      </c>
      <c r="D79" s="30" t="str">
        <f aca="false">IF($B79="","",IF(INDEX(Homiladorlar!$C$5:$C$804,$B79)="","",INDEX(Homiladorlar!$C$5:$C$804,$B79)))</f>
        <v/>
      </c>
      <c r="E79" s="5" t="str">
        <f aca="false">IF($B79="","",IF(INDEX(Homiladorlar!$F$5:$F$804,$B79)="","",INDEX(Homiladorlar!$F$5:$F$804,$B79)))</f>
        <v/>
      </c>
      <c r="F79" s="5" t="str">
        <f aca="false">IF($B79="","",IF(INDEX(Homiladorlar!$E$5:$E$804,$B79)="","",INDEX(Homiladorlar!$E$5:$E$804,$B79)))</f>
        <v/>
      </c>
      <c r="G79" s="5" t="str">
        <f aca="false">IF($B79="","",IF(INDEX(Homiladorlar!$O$5:$O$804,$B79)="","",INDEX(Homiladorlar!$O$5:$O$804,$B79)))</f>
        <v/>
      </c>
      <c r="H79" s="5" t="str">
        <f aca="false">IF($B79="","",IF(INDEX(Homiladorlar!$Q$5:$Q$804,$B79)="","",INDEX(Homiladorlar!$Q$5:$Q$804,$B79)))</f>
        <v/>
      </c>
      <c r="I79" s="5" t="str">
        <f aca="false">IF($B79="","",IF(INDEX(Homiladorlar!$R$5:$R$804,$B79)="","",INDEX(Homiladorlar!$R$5:$R$804,$B79)))</f>
        <v/>
      </c>
      <c r="J79" s="5" t="str">
        <f aca="false">IF($B79="","",IF(INDEX(Homiladorlar!$K$5:$K$804,$B79)="","",INDEX(Homiladorlar!$K$5:$K$804,$B79)))</f>
        <v/>
      </c>
      <c r="K79" s="30" t="str">
        <f aca="false">IF($B79="","",IF(INDEX(Homiladorlar!$J$5:$J$804,$B79)="","",INDEX(Homiladorlar!$J$5:$J$804,$B79)))</f>
        <v/>
      </c>
      <c r="L79" s="30" t="str">
        <f aca="false">IF($B79="","",IF(INDEX(Homiladorlar!$T$5:$T$804,$B79)="","",INDEX(Homiladorlar!$T$5:$T$804,$B79)))</f>
        <v/>
      </c>
      <c r="M79" s="30" t="str">
        <f aca="false">IF($B79="","",IF(INDEX(Homiladorlar!$AB$5:$AB$804,$B79)="","",INDEX(Homiladorlar!$AB$5:$AB$804,$B79)))</f>
        <v/>
      </c>
      <c r="N79" s="5" t="str">
        <f aca="false">IF($B79="","",IF(INDEX(Homiladorlar!$AC$5:$AC$804,$B79)="","",INDEX(Homiladorlar!$AC$5:$AC$804,$B79)))</f>
        <v/>
      </c>
    </row>
    <row r="80" customFormat="false" ht="15" hidden="false" customHeight="false" outlineLevel="0" collapsed="false">
      <c r="A80" s="5" t="n">
        <v>76</v>
      </c>
      <c r="B80" s="29" t="str">
        <f aca="false">IFERROR(MATCH(A80,Homiladorlar!$AH$5:$AH$804,0),"")</f>
        <v/>
      </c>
      <c r="C80" s="5" t="str">
        <f aca="false">IF($B80="","",IF(INDEX(Homiladorlar!$B$5:$B$804,$B80)="","",INDEX(Homiladorlar!$B$5:$B$804,$B80)))</f>
        <v/>
      </c>
      <c r="D80" s="30" t="str">
        <f aca="false">IF($B80="","",IF(INDEX(Homiladorlar!$C$5:$C$804,$B80)="","",INDEX(Homiladorlar!$C$5:$C$804,$B80)))</f>
        <v/>
      </c>
      <c r="E80" s="5" t="str">
        <f aca="false">IF($B80="","",IF(INDEX(Homiladorlar!$F$5:$F$804,$B80)="","",INDEX(Homiladorlar!$F$5:$F$804,$B80)))</f>
        <v/>
      </c>
      <c r="F80" s="5" t="str">
        <f aca="false">IF($B80="","",IF(INDEX(Homiladorlar!$E$5:$E$804,$B80)="","",INDEX(Homiladorlar!$E$5:$E$804,$B80)))</f>
        <v/>
      </c>
      <c r="G80" s="5" t="str">
        <f aca="false">IF($B80="","",IF(INDEX(Homiladorlar!$O$5:$O$804,$B80)="","",INDEX(Homiladorlar!$O$5:$O$804,$B80)))</f>
        <v/>
      </c>
      <c r="H80" s="5" t="str">
        <f aca="false">IF($B80="","",IF(INDEX(Homiladorlar!$Q$5:$Q$804,$B80)="","",INDEX(Homiladorlar!$Q$5:$Q$804,$B80)))</f>
        <v/>
      </c>
      <c r="I80" s="5" t="str">
        <f aca="false">IF($B80="","",IF(INDEX(Homiladorlar!$R$5:$R$804,$B80)="","",INDEX(Homiladorlar!$R$5:$R$804,$B80)))</f>
        <v/>
      </c>
      <c r="J80" s="5" t="str">
        <f aca="false">IF($B80="","",IF(INDEX(Homiladorlar!$K$5:$K$804,$B80)="","",INDEX(Homiladorlar!$K$5:$K$804,$B80)))</f>
        <v/>
      </c>
      <c r="K80" s="30" t="str">
        <f aca="false">IF($B80="","",IF(INDEX(Homiladorlar!$J$5:$J$804,$B80)="","",INDEX(Homiladorlar!$J$5:$J$804,$B80)))</f>
        <v/>
      </c>
      <c r="L80" s="30" t="str">
        <f aca="false">IF($B80="","",IF(INDEX(Homiladorlar!$T$5:$T$804,$B80)="","",INDEX(Homiladorlar!$T$5:$T$804,$B80)))</f>
        <v/>
      </c>
      <c r="M80" s="30" t="str">
        <f aca="false">IF($B80="","",IF(INDEX(Homiladorlar!$AB$5:$AB$804,$B80)="","",INDEX(Homiladorlar!$AB$5:$AB$804,$B80)))</f>
        <v/>
      </c>
      <c r="N80" s="5" t="str">
        <f aca="false">IF($B80="","",IF(INDEX(Homiladorlar!$AC$5:$AC$804,$B80)="","",INDEX(Homiladorlar!$AC$5:$AC$804,$B80)))</f>
        <v/>
      </c>
    </row>
    <row r="81" customFormat="false" ht="15" hidden="false" customHeight="false" outlineLevel="0" collapsed="false">
      <c r="A81" s="5" t="n">
        <v>77</v>
      </c>
      <c r="B81" s="29" t="str">
        <f aca="false">IFERROR(MATCH(A81,Homiladorlar!$AH$5:$AH$804,0),"")</f>
        <v/>
      </c>
      <c r="C81" s="5" t="str">
        <f aca="false">IF($B81="","",IF(INDEX(Homiladorlar!$B$5:$B$804,$B81)="","",INDEX(Homiladorlar!$B$5:$B$804,$B81)))</f>
        <v/>
      </c>
      <c r="D81" s="30" t="str">
        <f aca="false">IF($B81="","",IF(INDEX(Homiladorlar!$C$5:$C$804,$B81)="","",INDEX(Homiladorlar!$C$5:$C$804,$B81)))</f>
        <v/>
      </c>
      <c r="E81" s="5" t="str">
        <f aca="false">IF($B81="","",IF(INDEX(Homiladorlar!$F$5:$F$804,$B81)="","",INDEX(Homiladorlar!$F$5:$F$804,$B81)))</f>
        <v/>
      </c>
      <c r="F81" s="5" t="str">
        <f aca="false">IF($B81="","",IF(INDEX(Homiladorlar!$E$5:$E$804,$B81)="","",INDEX(Homiladorlar!$E$5:$E$804,$B81)))</f>
        <v/>
      </c>
      <c r="G81" s="5" t="str">
        <f aca="false">IF($B81="","",IF(INDEX(Homiladorlar!$O$5:$O$804,$B81)="","",INDEX(Homiladorlar!$O$5:$O$804,$B81)))</f>
        <v/>
      </c>
      <c r="H81" s="5" t="str">
        <f aca="false">IF($B81="","",IF(INDEX(Homiladorlar!$Q$5:$Q$804,$B81)="","",INDEX(Homiladorlar!$Q$5:$Q$804,$B81)))</f>
        <v/>
      </c>
      <c r="I81" s="5" t="str">
        <f aca="false">IF($B81="","",IF(INDEX(Homiladorlar!$R$5:$R$804,$B81)="","",INDEX(Homiladorlar!$R$5:$R$804,$B81)))</f>
        <v/>
      </c>
      <c r="J81" s="5" t="str">
        <f aca="false">IF($B81="","",IF(INDEX(Homiladorlar!$K$5:$K$804,$B81)="","",INDEX(Homiladorlar!$K$5:$K$804,$B81)))</f>
        <v/>
      </c>
      <c r="K81" s="30" t="str">
        <f aca="false">IF($B81="","",IF(INDEX(Homiladorlar!$J$5:$J$804,$B81)="","",INDEX(Homiladorlar!$J$5:$J$804,$B81)))</f>
        <v/>
      </c>
      <c r="L81" s="30" t="str">
        <f aca="false">IF($B81="","",IF(INDEX(Homiladorlar!$T$5:$T$804,$B81)="","",INDEX(Homiladorlar!$T$5:$T$804,$B81)))</f>
        <v/>
      </c>
      <c r="M81" s="30" t="str">
        <f aca="false">IF($B81="","",IF(INDEX(Homiladorlar!$AB$5:$AB$804,$B81)="","",INDEX(Homiladorlar!$AB$5:$AB$804,$B81)))</f>
        <v/>
      </c>
      <c r="N81" s="5" t="str">
        <f aca="false">IF($B81="","",IF(INDEX(Homiladorlar!$AC$5:$AC$804,$B81)="","",INDEX(Homiladorlar!$AC$5:$AC$804,$B81)))</f>
        <v/>
      </c>
    </row>
    <row r="82" customFormat="false" ht="15" hidden="false" customHeight="false" outlineLevel="0" collapsed="false">
      <c r="A82" s="5" t="n">
        <v>78</v>
      </c>
      <c r="B82" s="29" t="str">
        <f aca="false">IFERROR(MATCH(A82,Homiladorlar!$AH$5:$AH$804,0),"")</f>
        <v/>
      </c>
      <c r="C82" s="5" t="str">
        <f aca="false">IF($B82="","",IF(INDEX(Homiladorlar!$B$5:$B$804,$B82)="","",INDEX(Homiladorlar!$B$5:$B$804,$B82)))</f>
        <v/>
      </c>
      <c r="D82" s="30" t="str">
        <f aca="false">IF($B82="","",IF(INDEX(Homiladorlar!$C$5:$C$804,$B82)="","",INDEX(Homiladorlar!$C$5:$C$804,$B82)))</f>
        <v/>
      </c>
      <c r="E82" s="5" t="str">
        <f aca="false">IF($B82="","",IF(INDEX(Homiladorlar!$F$5:$F$804,$B82)="","",INDEX(Homiladorlar!$F$5:$F$804,$B82)))</f>
        <v/>
      </c>
      <c r="F82" s="5" t="str">
        <f aca="false">IF($B82="","",IF(INDEX(Homiladorlar!$E$5:$E$804,$B82)="","",INDEX(Homiladorlar!$E$5:$E$804,$B82)))</f>
        <v/>
      </c>
      <c r="G82" s="5" t="str">
        <f aca="false">IF($B82="","",IF(INDEX(Homiladorlar!$O$5:$O$804,$B82)="","",INDEX(Homiladorlar!$O$5:$O$804,$B82)))</f>
        <v/>
      </c>
      <c r="H82" s="5" t="str">
        <f aca="false">IF($B82="","",IF(INDEX(Homiladorlar!$Q$5:$Q$804,$B82)="","",INDEX(Homiladorlar!$Q$5:$Q$804,$B82)))</f>
        <v/>
      </c>
      <c r="I82" s="5" t="str">
        <f aca="false">IF($B82="","",IF(INDEX(Homiladorlar!$R$5:$R$804,$B82)="","",INDEX(Homiladorlar!$R$5:$R$804,$B82)))</f>
        <v/>
      </c>
      <c r="J82" s="5" t="str">
        <f aca="false">IF($B82="","",IF(INDEX(Homiladorlar!$K$5:$K$804,$B82)="","",INDEX(Homiladorlar!$K$5:$K$804,$B82)))</f>
        <v/>
      </c>
      <c r="K82" s="30" t="str">
        <f aca="false">IF($B82="","",IF(INDEX(Homiladorlar!$J$5:$J$804,$B82)="","",INDEX(Homiladorlar!$J$5:$J$804,$B82)))</f>
        <v/>
      </c>
      <c r="L82" s="30" t="str">
        <f aca="false">IF($B82="","",IF(INDEX(Homiladorlar!$T$5:$T$804,$B82)="","",INDEX(Homiladorlar!$T$5:$T$804,$B82)))</f>
        <v/>
      </c>
      <c r="M82" s="30" t="str">
        <f aca="false">IF($B82="","",IF(INDEX(Homiladorlar!$AB$5:$AB$804,$B82)="","",INDEX(Homiladorlar!$AB$5:$AB$804,$B82)))</f>
        <v/>
      </c>
      <c r="N82" s="5" t="str">
        <f aca="false">IF($B82="","",IF(INDEX(Homiladorlar!$AC$5:$AC$804,$B82)="","",INDEX(Homiladorlar!$AC$5:$AC$804,$B82)))</f>
        <v/>
      </c>
    </row>
    <row r="83" customFormat="false" ht="15" hidden="false" customHeight="false" outlineLevel="0" collapsed="false">
      <c r="A83" s="5" t="n">
        <v>79</v>
      </c>
      <c r="B83" s="29" t="str">
        <f aca="false">IFERROR(MATCH(A83,Homiladorlar!$AH$5:$AH$804,0),"")</f>
        <v/>
      </c>
      <c r="C83" s="5" t="str">
        <f aca="false">IF($B83="","",IF(INDEX(Homiladorlar!$B$5:$B$804,$B83)="","",INDEX(Homiladorlar!$B$5:$B$804,$B83)))</f>
        <v/>
      </c>
      <c r="D83" s="30" t="str">
        <f aca="false">IF($B83="","",IF(INDEX(Homiladorlar!$C$5:$C$804,$B83)="","",INDEX(Homiladorlar!$C$5:$C$804,$B83)))</f>
        <v/>
      </c>
      <c r="E83" s="5" t="str">
        <f aca="false">IF($B83="","",IF(INDEX(Homiladorlar!$F$5:$F$804,$B83)="","",INDEX(Homiladorlar!$F$5:$F$804,$B83)))</f>
        <v/>
      </c>
      <c r="F83" s="5" t="str">
        <f aca="false">IF($B83="","",IF(INDEX(Homiladorlar!$E$5:$E$804,$B83)="","",INDEX(Homiladorlar!$E$5:$E$804,$B83)))</f>
        <v/>
      </c>
      <c r="G83" s="5" t="str">
        <f aca="false">IF($B83="","",IF(INDEX(Homiladorlar!$O$5:$O$804,$B83)="","",INDEX(Homiladorlar!$O$5:$O$804,$B83)))</f>
        <v/>
      </c>
      <c r="H83" s="5" t="str">
        <f aca="false">IF($B83="","",IF(INDEX(Homiladorlar!$Q$5:$Q$804,$B83)="","",INDEX(Homiladorlar!$Q$5:$Q$804,$B83)))</f>
        <v/>
      </c>
      <c r="I83" s="5" t="str">
        <f aca="false">IF($B83="","",IF(INDEX(Homiladorlar!$R$5:$R$804,$B83)="","",INDEX(Homiladorlar!$R$5:$R$804,$B83)))</f>
        <v/>
      </c>
      <c r="J83" s="5" t="str">
        <f aca="false">IF($B83="","",IF(INDEX(Homiladorlar!$K$5:$K$804,$B83)="","",INDEX(Homiladorlar!$K$5:$K$804,$B83)))</f>
        <v/>
      </c>
      <c r="K83" s="30" t="str">
        <f aca="false">IF($B83="","",IF(INDEX(Homiladorlar!$J$5:$J$804,$B83)="","",INDEX(Homiladorlar!$J$5:$J$804,$B83)))</f>
        <v/>
      </c>
      <c r="L83" s="30" t="str">
        <f aca="false">IF($B83="","",IF(INDEX(Homiladorlar!$T$5:$T$804,$B83)="","",INDEX(Homiladorlar!$T$5:$T$804,$B83)))</f>
        <v/>
      </c>
      <c r="M83" s="30" t="str">
        <f aca="false">IF($B83="","",IF(INDEX(Homiladorlar!$AB$5:$AB$804,$B83)="","",INDEX(Homiladorlar!$AB$5:$AB$804,$B83)))</f>
        <v/>
      </c>
      <c r="N83" s="5" t="str">
        <f aca="false">IF($B83="","",IF(INDEX(Homiladorlar!$AC$5:$AC$804,$B83)="","",INDEX(Homiladorlar!$AC$5:$AC$804,$B83)))</f>
        <v/>
      </c>
    </row>
    <row r="84" customFormat="false" ht="15" hidden="false" customHeight="false" outlineLevel="0" collapsed="false">
      <c r="A84" s="5" t="n">
        <v>80</v>
      </c>
      <c r="B84" s="29" t="str">
        <f aca="false">IFERROR(MATCH(A84,Homiladorlar!$AH$5:$AH$804,0),"")</f>
        <v/>
      </c>
      <c r="C84" s="5" t="str">
        <f aca="false">IF($B84="","",IF(INDEX(Homiladorlar!$B$5:$B$804,$B84)="","",INDEX(Homiladorlar!$B$5:$B$804,$B84)))</f>
        <v/>
      </c>
      <c r="D84" s="30" t="str">
        <f aca="false">IF($B84="","",IF(INDEX(Homiladorlar!$C$5:$C$804,$B84)="","",INDEX(Homiladorlar!$C$5:$C$804,$B84)))</f>
        <v/>
      </c>
      <c r="E84" s="5" t="str">
        <f aca="false">IF($B84="","",IF(INDEX(Homiladorlar!$F$5:$F$804,$B84)="","",INDEX(Homiladorlar!$F$5:$F$804,$B84)))</f>
        <v/>
      </c>
      <c r="F84" s="5" t="str">
        <f aca="false">IF($B84="","",IF(INDEX(Homiladorlar!$E$5:$E$804,$B84)="","",INDEX(Homiladorlar!$E$5:$E$804,$B84)))</f>
        <v/>
      </c>
      <c r="G84" s="5" t="str">
        <f aca="false">IF($B84="","",IF(INDEX(Homiladorlar!$O$5:$O$804,$B84)="","",INDEX(Homiladorlar!$O$5:$O$804,$B84)))</f>
        <v/>
      </c>
      <c r="H84" s="5" t="str">
        <f aca="false">IF($B84="","",IF(INDEX(Homiladorlar!$Q$5:$Q$804,$B84)="","",INDEX(Homiladorlar!$Q$5:$Q$804,$B84)))</f>
        <v/>
      </c>
      <c r="I84" s="5" t="str">
        <f aca="false">IF($B84="","",IF(INDEX(Homiladorlar!$R$5:$R$804,$B84)="","",INDEX(Homiladorlar!$R$5:$R$804,$B84)))</f>
        <v/>
      </c>
      <c r="J84" s="5" t="str">
        <f aca="false">IF($B84="","",IF(INDEX(Homiladorlar!$K$5:$K$804,$B84)="","",INDEX(Homiladorlar!$K$5:$K$804,$B84)))</f>
        <v/>
      </c>
      <c r="K84" s="30" t="str">
        <f aca="false">IF($B84="","",IF(INDEX(Homiladorlar!$J$5:$J$804,$B84)="","",INDEX(Homiladorlar!$J$5:$J$804,$B84)))</f>
        <v/>
      </c>
      <c r="L84" s="30" t="str">
        <f aca="false">IF($B84="","",IF(INDEX(Homiladorlar!$T$5:$T$804,$B84)="","",INDEX(Homiladorlar!$T$5:$T$804,$B84)))</f>
        <v/>
      </c>
      <c r="M84" s="30" t="str">
        <f aca="false">IF($B84="","",IF(INDEX(Homiladorlar!$AB$5:$AB$804,$B84)="","",INDEX(Homiladorlar!$AB$5:$AB$804,$B84)))</f>
        <v/>
      </c>
      <c r="N84" s="5" t="str">
        <f aca="false">IF($B84="","",IF(INDEX(Homiladorlar!$AC$5:$AC$804,$B84)="","",INDEX(Homiladorlar!$AC$5:$AC$804,$B84)))</f>
        <v/>
      </c>
    </row>
    <row r="85" customFormat="false" ht="15" hidden="false" customHeight="false" outlineLevel="0" collapsed="false">
      <c r="A85" s="5" t="n">
        <v>81</v>
      </c>
      <c r="B85" s="29" t="str">
        <f aca="false">IFERROR(MATCH(A85,Homiladorlar!$AH$5:$AH$804,0),"")</f>
        <v/>
      </c>
      <c r="C85" s="5" t="str">
        <f aca="false">IF($B85="","",IF(INDEX(Homiladorlar!$B$5:$B$804,$B85)="","",INDEX(Homiladorlar!$B$5:$B$804,$B85)))</f>
        <v/>
      </c>
      <c r="D85" s="30" t="str">
        <f aca="false">IF($B85="","",IF(INDEX(Homiladorlar!$C$5:$C$804,$B85)="","",INDEX(Homiladorlar!$C$5:$C$804,$B85)))</f>
        <v/>
      </c>
      <c r="E85" s="5" t="str">
        <f aca="false">IF($B85="","",IF(INDEX(Homiladorlar!$F$5:$F$804,$B85)="","",INDEX(Homiladorlar!$F$5:$F$804,$B85)))</f>
        <v/>
      </c>
      <c r="F85" s="5" t="str">
        <f aca="false">IF($B85="","",IF(INDEX(Homiladorlar!$E$5:$E$804,$B85)="","",INDEX(Homiladorlar!$E$5:$E$804,$B85)))</f>
        <v/>
      </c>
      <c r="G85" s="5" t="str">
        <f aca="false">IF($B85="","",IF(INDEX(Homiladorlar!$O$5:$O$804,$B85)="","",INDEX(Homiladorlar!$O$5:$O$804,$B85)))</f>
        <v/>
      </c>
      <c r="H85" s="5" t="str">
        <f aca="false">IF($B85="","",IF(INDEX(Homiladorlar!$Q$5:$Q$804,$B85)="","",INDEX(Homiladorlar!$Q$5:$Q$804,$B85)))</f>
        <v/>
      </c>
      <c r="I85" s="5" t="str">
        <f aca="false">IF($B85="","",IF(INDEX(Homiladorlar!$R$5:$R$804,$B85)="","",INDEX(Homiladorlar!$R$5:$R$804,$B85)))</f>
        <v/>
      </c>
      <c r="J85" s="5" t="str">
        <f aca="false">IF($B85="","",IF(INDEX(Homiladorlar!$K$5:$K$804,$B85)="","",INDEX(Homiladorlar!$K$5:$K$804,$B85)))</f>
        <v/>
      </c>
      <c r="K85" s="30" t="str">
        <f aca="false">IF($B85="","",IF(INDEX(Homiladorlar!$J$5:$J$804,$B85)="","",INDEX(Homiladorlar!$J$5:$J$804,$B85)))</f>
        <v/>
      </c>
      <c r="L85" s="30" t="str">
        <f aca="false">IF($B85="","",IF(INDEX(Homiladorlar!$T$5:$T$804,$B85)="","",INDEX(Homiladorlar!$T$5:$T$804,$B85)))</f>
        <v/>
      </c>
      <c r="M85" s="30" t="str">
        <f aca="false">IF($B85="","",IF(INDEX(Homiladorlar!$AB$5:$AB$804,$B85)="","",INDEX(Homiladorlar!$AB$5:$AB$804,$B85)))</f>
        <v/>
      </c>
      <c r="N85" s="5" t="str">
        <f aca="false">IF($B85="","",IF(INDEX(Homiladorlar!$AC$5:$AC$804,$B85)="","",INDEX(Homiladorlar!$AC$5:$AC$804,$B85)))</f>
        <v/>
      </c>
    </row>
    <row r="86" customFormat="false" ht="15" hidden="false" customHeight="false" outlineLevel="0" collapsed="false">
      <c r="A86" s="5" t="n">
        <v>82</v>
      </c>
      <c r="B86" s="29" t="str">
        <f aca="false">IFERROR(MATCH(A86,Homiladorlar!$AH$5:$AH$804,0),"")</f>
        <v/>
      </c>
      <c r="C86" s="5" t="str">
        <f aca="false">IF($B86="","",IF(INDEX(Homiladorlar!$B$5:$B$804,$B86)="","",INDEX(Homiladorlar!$B$5:$B$804,$B86)))</f>
        <v/>
      </c>
      <c r="D86" s="30" t="str">
        <f aca="false">IF($B86="","",IF(INDEX(Homiladorlar!$C$5:$C$804,$B86)="","",INDEX(Homiladorlar!$C$5:$C$804,$B86)))</f>
        <v/>
      </c>
      <c r="E86" s="5" t="str">
        <f aca="false">IF($B86="","",IF(INDEX(Homiladorlar!$F$5:$F$804,$B86)="","",INDEX(Homiladorlar!$F$5:$F$804,$B86)))</f>
        <v/>
      </c>
      <c r="F86" s="5" t="str">
        <f aca="false">IF($B86="","",IF(INDEX(Homiladorlar!$E$5:$E$804,$B86)="","",INDEX(Homiladorlar!$E$5:$E$804,$B86)))</f>
        <v/>
      </c>
      <c r="G86" s="5" t="str">
        <f aca="false">IF($B86="","",IF(INDEX(Homiladorlar!$O$5:$O$804,$B86)="","",INDEX(Homiladorlar!$O$5:$O$804,$B86)))</f>
        <v/>
      </c>
      <c r="H86" s="5" t="str">
        <f aca="false">IF($B86="","",IF(INDEX(Homiladorlar!$Q$5:$Q$804,$B86)="","",INDEX(Homiladorlar!$Q$5:$Q$804,$B86)))</f>
        <v/>
      </c>
      <c r="I86" s="5" t="str">
        <f aca="false">IF($B86="","",IF(INDEX(Homiladorlar!$R$5:$R$804,$B86)="","",INDEX(Homiladorlar!$R$5:$R$804,$B86)))</f>
        <v/>
      </c>
      <c r="J86" s="5" t="str">
        <f aca="false">IF($B86="","",IF(INDEX(Homiladorlar!$K$5:$K$804,$B86)="","",INDEX(Homiladorlar!$K$5:$K$804,$B86)))</f>
        <v/>
      </c>
      <c r="K86" s="30" t="str">
        <f aca="false">IF($B86="","",IF(INDEX(Homiladorlar!$J$5:$J$804,$B86)="","",INDEX(Homiladorlar!$J$5:$J$804,$B86)))</f>
        <v/>
      </c>
      <c r="L86" s="30" t="str">
        <f aca="false">IF($B86="","",IF(INDEX(Homiladorlar!$T$5:$T$804,$B86)="","",INDEX(Homiladorlar!$T$5:$T$804,$B86)))</f>
        <v/>
      </c>
      <c r="M86" s="30" t="str">
        <f aca="false">IF($B86="","",IF(INDEX(Homiladorlar!$AB$5:$AB$804,$B86)="","",INDEX(Homiladorlar!$AB$5:$AB$804,$B86)))</f>
        <v/>
      </c>
      <c r="N86" s="5" t="str">
        <f aca="false">IF($B86="","",IF(INDEX(Homiladorlar!$AC$5:$AC$804,$B86)="","",INDEX(Homiladorlar!$AC$5:$AC$804,$B86)))</f>
        <v/>
      </c>
    </row>
    <row r="87" customFormat="false" ht="15" hidden="false" customHeight="false" outlineLevel="0" collapsed="false">
      <c r="A87" s="5" t="n">
        <v>83</v>
      </c>
      <c r="B87" s="29" t="str">
        <f aca="false">IFERROR(MATCH(A87,Homiladorlar!$AH$5:$AH$804,0),"")</f>
        <v/>
      </c>
      <c r="C87" s="5" t="str">
        <f aca="false">IF($B87="","",IF(INDEX(Homiladorlar!$B$5:$B$804,$B87)="","",INDEX(Homiladorlar!$B$5:$B$804,$B87)))</f>
        <v/>
      </c>
      <c r="D87" s="30" t="str">
        <f aca="false">IF($B87="","",IF(INDEX(Homiladorlar!$C$5:$C$804,$B87)="","",INDEX(Homiladorlar!$C$5:$C$804,$B87)))</f>
        <v/>
      </c>
      <c r="E87" s="5" t="str">
        <f aca="false">IF($B87="","",IF(INDEX(Homiladorlar!$F$5:$F$804,$B87)="","",INDEX(Homiladorlar!$F$5:$F$804,$B87)))</f>
        <v/>
      </c>
      <c r="F87" s="5" t="str">
        <f aca="false">IF($B87="","",IF(INDEX(Homiladorlar!$E$5:$E$804,$B87)="","",INDEX(Homiladorlar!$E$5:$E$804,$B87)))</f>
        <v/>
      </c>
      <c r="G87" s="5" t="str">
        <f aca="false">IF($B87="","",IF(INDEX(Homiladorlar!$O$5:$O$804,$B87)="","",INDEX(Homiladorlar!$O$5:$O$804,$B87)))</f>
        <v/>
      </c>
      <c r="H87" s="5" t="str">
        <f aca="false">IF($B87="","",IF(INDEX(Homiladorlar!$Q$5:$Q$804,$B87)="","",INDEX(Homiladorlar!$Q$5:$Q$804,$B87)))</f>
        <v/>
      </c>
      <c r="I87" s="5" t="str">
        <f aca="false">IF($B87="","",IF(INDEX(Homiladorlar!$R$5:$R$804,$B87)="","",INDEX(Homiladorlar!$R$5:$R$804,$B87)))</f>
        <v/>
      </c>
      <c r="J87" s="5" t="str">
        <f aca="false">IF($B87="","",IF(INDEX(Homiladorlar!$K$5:$K$804,$B87)="","",INDEX(Homiladorlar!$K$5:$K$804,$B87)))</f>
        <v/>
      </c>
      <c r="K87" s="30" t="str">
        <f aca="false">IF($B87="","",IF(INDEX(Homiladorlar!$J$5:$J$804,$B87)="","",INDEX(Homiladorlar!$J$5:$J$804,$B87)))</f>
        <v/>
      </c>
      <c r="L87" s="30" t="str">
        <f aca="false">IF($B87="","",IF(INDEX(Homiladorlar!$T$5:$T$804,$B87)="","",INDEX(Homiladorlar!$T$5:$T$804,$B87)))</f>
        <v/>
      </c>
      <c r="M87" s="30" t="str">
        <f aca="false">IF($B87="","",IF(INDEX(Homiladorlar!$AB$5:$AB$804,$B87)="","",INDEX(Homiladorlar!$AB$5:$AB$804,$B87)))</f>
        <v/>
      </c>
      <c r="N87" s="5" t="str">
        <f aca="false">IF($B87="","",IF(INDEX(Homiladorlar!$AC$5:$AC$804,$B87)="","",INDEX(Homiladorlar!$AC$5:$AC$804,$B87)))</f>
        <v/>
      </c>
    </row>
    <row r="88" customFormat="false" ht="15" hidden="false" customHeight="false" outlineLevel="0" collapsed="false">
      <c r="A88" s="5" t="n">
        <v>84</v>
      </c>
      <c r="B88" s="29" t="str">
        <f aca="false">IFERROR(MATCH(A88,Homiladorlar!$AH$5:$AH$804,0),"")</f>
        <v/>
      </c>
      <c r="C88" s="5" t="str">
        <f aca="false">IF($B88="","",IF(INDEX(Homiladorlar!$B$5:$B$804,$B88)="","",INDEX(Homiladorlar!$B$5:$B$804,$B88)))</f>
        <v/>
      </c>
      <c r="D88" s="30" t="str">
        <f aca="false">IF($B88="","",IF(INDEX(Homiladorlar!$C$5:$C$804,$B88)="","",INDEX(Homiladorlar!$C$5:$C$804,$B88)))</f>
        <v/>
      </c>
      <c r="E88" s="5" t="str">
        <f aca="false">IF($B88="","",IF(INDEX(Homiladorlar!$F$5:$F$804,$B88)="","",INDEX(Homiladorlar!$F$5:$F$804,$B88)))</f>
        <v/>
      </c>
      <c r="F88" s="5" t="str">
        <f aca="false">IF($B88="","",IF(INDEX(Homiladorlar!$E$5:$E$804,$B88)="","",INDEX(Homiladorlar!$E$5:$E$804,$B88)))</f>
        <v/>
      </c>
      <c r="G88" s="5" t="str">
        <f aca="false">IF($B88="","",IF(INDEX(Homiladorlar!$O$5:$O$804,$B88)="","",INDEX(Homiladorlar!$O$5:$O$804,$B88)))</f>
        <v/>
      </c>
      <c r="H88" s="5" t="str">
        <f aca="false">IF($B88="","",IF(INDEX(Homiladorlar!$Q$5:$Q$804,$B88)="","",INDEX(Homiladorlar!$Q$5:$Q$804,$B88)))</f>
        <v/>
      </c>
      <c r="I88" s="5" t="str">
        <f aca="false">IF($B88="","",IF(INDEX(Homiladorlar!$R$5:$R$804,$B88)="","",INDEX(Homiladorlar!$R$5:$R$804,$B88)))</f>
        <v/>
      </c>
      <c r="J88" s="5" t="str">
        <f aca="false">IF($B88="","",IF(INDEX(Homiladorlar!$K$5:$K$804,$B88)="","",INDEX(Homiladorlar!$K$5:$K$804,$B88)))</f>
        <v/>
      </c>
      <c r="K88" s="30" t="str">
        <f aca="false">IF($B88="","",IF(INDEX(Homiladorlar!$J$5:$J$804,$B88)="","",INDEX(Homiladorlar!$J$5:$J$804,$B88)))</f>
        <v/>
      </c>
      <c r="L88" s="30" t="str">
        <f aca="false">IF($B88="","",IF(INDEX(Homiladorlar!$T$5:$T$804,$B88)="","",INDEX(Homiladorlar!$T$5:$T$804,$B88)))</f>
        <v/>
      </c>
      <c r="M88" s="30" t="str">
        <f aca="false">IF($B88="","",IF(INDEX(Homiladorlar!$AB$5:$AB$804,$B88)="","",INDEX(Homiladorlar!$AB$5:$AB$804,$B88)))</f>
        <v/>
      </c>
      <c r="N88" s="5" t="str">
        <f aca="false">IF($B88="","",IF(INDEX(Homiladorlar!$AC$5:$AC$804,$B88)="","",INDEX(Homiladorlar!$AC$5:$AC$804,$B88)))</f>
        <v/>
      </c>
    </row>
    <row r="89" customFormat="false" ht="15" hidden="false" customHeight="false" outlineLevel="0" collapsed="false">
      <c r="A89" s="5" t="n">
        <v>85</v>
      </c>
      <c r="B89" s="29" t="str">
        <f aca="false">IFERROR(MATCH(A89,Homiladorlar!$AH$5:$AH$804,0),"")</f>
        <v/>
      </c>
      <c r="C89" s="5" t="str">
        <f aca="false">IF($B89="","",IF(INDEX(Homiladorlar!$B$5:$B$804,$B89)="","",INDEX(Homiladorlar!$B$5:$B$804,$B89)))</f>
        <v/>
      </c>
      <c r="D89" s="30" t="str">
        <f aca="false">IF($B89="","",IF(INDEX(Homiladorlar!$C$5:$C$804,$B89)="","",INDEX(Homiladorlar!$C$5:$C$804,$B89)))</f>
        <v/>
      </c>
      <c r="E89" s="5" t="str">
        <f aca="false">IF($B89="","",IF(INDEX(Homiladorlar!$F$5:$F$804,$B89)="","",INDEX(Homiladorlar!$F$5:$F$804,$B89)))</f>
        <v/>
      </c>
      <c r="F89" s="5" t="str">
        <f aca="false">IF($B89="","",IF(INDEX(Homiladorlar!$E$5:$E$804,$B89)="","",INDEX(Homiladorlar!$E$5:$E$804,$B89)))</f>
        <v/>
      </c>
      <c r="G89" s="5" t="str">
        <f aca="false">IF($B89="","",IF(INDEX(Homiladorlar!$O$5:$O$804,$B89)="","",INDEX(Homiladorlar!$O$5:$O$804,$B89)))</f>
        <v/>
      </c>
      <c r="H89" s="5" t="str">
        <f aca="false">IF($B89="","",IF(INDEX(Homiladorlar!$Q$5:$Q$804,$B89)="","",INDEX(Homiladorlar!$Q$5:$Q$804,$B89)))</f>
        <v/>
      </c>
      <c r="I89" s="5" t="str">
        <f aca="false">IF($B89="","",IF(INDEX(Homiladorlar!$R$5:$R$804,$B89)="","",INDEX(Homiladorlar!$R$5:$R$804,$B89)))</f>
        <v/>
      </c>
      <c r="J89" s="5" t="str">
        <f aca="false">IF($B89="","",IF(INDEX(Homiladorlar!$K$5:$K$804,$B89)="","",INDEX(Homiladorlar!$K$5:$K$804,$B89)))</f>
        <v/>
      </c>
      <c r="K89" s="30" t="str">
        <f aca="false">IF($B89="","",IF(INDEX(Homiladorlar!$J$5:$J$804,$B89)="","",INDEX(Homiladorlar!$J$5:$J$804,$B89)))</f>
        <v/>
      </c>
      <c r="L89" s="30" t="str">
        <f aca="false">IF($B89="","",IF(INDEX(Homiladorlar!$T$5:$T$804,$B89)="","",INDEX(Homiladorlar!$T$5:$T$804,$B89)))</f>
        <v/>
      </c>
      <c r="M89" s="30" t="str">
        <f aca="false">IF($B89="","",IF(INDEX(Homiladorlar!$AB$5:$AB$804,$B89)="","",INDEX(Homiladorlar!$AB$5:$AB$804,$B89)))</f>
        <v/>
      </c>
      <c r="N89" s="5" t="str">
        <f aca="false">IF($B89="","",IF(INDEX(Homiladorlar!$AC$5:$AC$804,$B89)="","",INDEX(Homiladorlar!$AC$5:$AC$804,$B89)))</f>
        <v/>
      </c>
    </row>
    <row r="90" customFormat="false" ht="15" hidden="false" customHeight="false" outlineLevel="0" collapsed="false">
      <c r="A90" s="5" t="n">
        <v>86</v>
      </c>
      <c r="B90" s="29" t="str">
        <f aca="false">IFERROR(MATCH(A90,Homiladorlar!$AH$5:$AH$804,0),"")</f>
        <v/>
      </c>
      <c r="C90" s="5" t="str">
        <f aca="false">IF($B90="","",IF(INDEX(Homiladorlar!$B$5:$B$804,$B90)="","",INDEX(Homiladorlar!$B$5:$B$804,$B90)))</f>
        <v/>
      </c>
      <c r="D90" s="30" t="str">
        <f aca="false">IF($B90="","",IF(INDEX(Homiladorlar!$C$5:$C$804,$B90)="","",INDEX(Homiladorlar!$C$5:$C$804,$B90)))</f>
        <v/>
      </c>
      <c r="E90" s="5" t="str">
        <f aca="false">IF($B90="","",IF(INDEX(Homiladorlar!$F$5:$F$804,$B90)="","",INDEX(Homiladorlar!$F$5:$F$804,$B90)))</f>
        <v/>
      </c>
      <c r="F90" s="5" t="str">
        <f aca="false">IF($B90="","",IF(INDEX(Homiladorlar!$E$5:$E$804,$B90)="","",INDEX(Homiladorlar!$E$5:$E$804,$B90)))</f>
        <v/>
      </c>
      <c r="G90" s="5" t="str">
        <f aca="false">IF($B90="","",IF(INDEX(Homiladorlar!$O$5:$O$804,$B90)="","",INDEX(Homiladorlar!$O$5:$O$804,$B90)))</f>
        <v/>
      </c>
      <c r="H90" s="5" t="str">
        <f aca="false">IF($B90="","",IF(INDEX(Homiladorlar!$Q$5:$Q$804,$B90)="","",INDEX(Homiladorlar!$Q$5:$Q$804,$B90)))</f>
        <v/>
      </c>
      <c r="I90" s="5" t="str">
        <f aca="false">IF($B90="","",IF(INDEX(Homiladorlar!$R$5:$R$804,$B90)="","",INDEX(Homiladorlar!$R$5:$R$804,$B90)))</f>
        <v/>
      </c>
      <c r="J90" s="5" t="str">
        <f aca="false">IF($B90="","",IF(INDEX(Homiladorlar!$K$5:$K$804,$B90)="","",INDEX(Homiladorlar!$K$5:$K$804,$B90)))</f>
        <v/>
      </c>
      <c r="K90" s="30" t="str">
        <f aca="false">IF($B90="","",IF(INDEX(Homiladorlar!$J$5:$J$804,$B90)="","",INDEX(Homiladorlar!$J$5:$J$804,$B90)))</f>
        <v/>
      </c>
      <c r="L90" s="30" t="str">
        <f aca="false">IF($B90="","",IF(INDEX(Homiladorlar!$T$5:$T$804,$B90)="","",INDEX(Homiladorlar!$T$5:$T$804,$B90)))</f>
        <v/>
      </c>
      <c r="M90" s="30" t="str">
        <f aca="false">IF($B90="","",IF(INDEX(Homiladorlar!$AB$5:$AB$804,$B90)="","",INDEX(Homiladorlar!$AB$5:$AB$804,$B90)))</f>
        <v/>
      </c>
      <c r="N90" s="5" t="str">
        <f aca="false">IF($B90="","",IF(INDEX(Homiladorlar!$AC$5:$AC$804,$B90)="","",INDEX(Homiladorlar!$AC$5:$AC$804,$B90)))</f>
        <v/>
      </c>
    </row>
    <row r="91" customFormat="false" ht="15" hidden="false" customHeight="false" outlineLevel="0" collapsed="false">
      <c r="A91" s="5" t="n">
        <v>87</v>
      </c>
      <c r="B91" s="29" t="str">
        <f aca="false">IFERROR(MATCH(A91,Homiladorlar!$AH$5:$AH$804,0),"")</f>
        <v/>
      </c>
      <c r="C91" s="5" t="str">
        <f aca="false">IF($B91="","",IF(INDEX(Homiladorlar!$B$5:$B$804,$B91)="","",INDEX(Homiladorlar!$B$5:$B$804,$B91)))</f>
        <v/>
      </c>
      <c r="D91" s="30" t="str">
        <f aca="false">IF($B91="","",IF(INDEX(Homiladorlar!$C$5:$C$804,$B91)="","",INDEX(Homiladorlar!$C$5:$C$804,$B91)))</f>
        <v/>
      </c>
      <c r="E91" s="5" t="str">
        <f aca="false">IF($B91="","",IF(INDEX(Homiladorlar!$F$5:$F$804,$B91)="","",INDEX(Homiladorlar!$F$5:$F$804,$B91)))</f>
        <v/>
      </c>
      <c r="F91" s="5" t="str">
        <f aca="false">IF($B91="","",IF(INDEX(Homiladorlar!$E$5:$E$804,$B91)="","",INDEX(Homiladorlar!$E$5:$E$804,$B91)))</f>
        <v/>
      </c>
      <c r="G91" s="5" t="str">
        <f aca="false">IF($B91="","",IF(INDEX(Homiladorlar!$O$5:$O$804,$B91)="","",INDEX(Homiladorlar!$O$5:$O$804,$B91)))</f>
        <v/>
      </c>
      <c r="H91" s="5" t="str">
        <f aca="false">IF($B91="","",IF(INDEX(Homiladorlar!$Q$5:$Q$804,$B91)="","",INDEX(Homiladorlar!$Q$5:$Q$804,$B91)))</f>
        <v/>
      </c>
      <c r="I91" s="5" t="str">
        <f aca="false">IF($B91="","",IF(INDEX(Homiladorlar!$R$5:$R$804,$B91)="","",INDEX(Homiladorlar!$R$5:$R$804,$B91)))</f>
        <v/>
      </c>
      <c r="J91" s="5" t="str">
        <f aca="false">IF($B91="","",IF(INDEX(Homiladorlar!$K$5:$K$804,$B91)="","",INDEX(Homiladorlar!$K$5:$K$804,$B91)))</f>
        <v/>
      </c>
      <c r="K91" s="30" t="str">
        <f aca="false">IF($B91="","",IF(INDEX(Homiladorlar!$J$5:$J$804,$B91)="","",INDEX(Homiladorlar!$J$5:$J$804,$B91)))</f>
        <v/>
      </c>
      <c r="L91" s="30" t="str">
        <f aca="false">IF($B91="","",IF(INDEX(Homiladorlar!$T$5:$T$804,$B91)="","",INDEX(Homiladorlar!$T$5:$T$804,$B91)))</f>
        <v/>
      </c>
      <c r="M91" s="30" t="str">
        <f aca="false">IF($B91="","",IF(INDEX(Homiladorlar!$AB$5:$AB$804,$B91)="","",INDEX(Homiladorlar!$AB$5:$AB$804,$B91)))</f>
        <v/>
      </c>
      <c r="N91" s="5" t="str">
        <f aca="false">IF($B91="","",IF(INDEX(Homiladorlar!$AC$5:$AC$804,$B91)="","",INDEX(Homiladorlar!$AC$5:$AC$804,$B91)))</f>
        <v/>
      </c>
    </row>
    <row r="92" customFormat="false" ht="15" hidden="false" customHeight="false" outlineLevel="0" collapsed="false">
      <c r="A92" s="5" t="n">
        <v>88</v>
      </c>
      <c r="B92" s="29" t="str">
        <f aca="false">IFERROR(MATCH(A92,Homiladorlar!$AH$5:$AH$804,0),"")</f>
        <v/>
      </c>
      <c r="C92" s="5" t="str">
        <f aca="false">IF($B92="","",IF(INDEX(Homiladorlar!$B$5:$B$804,$B92)="","",INDEX(Homiladorlar!$B$5:$B$804,$B92)))</f>
        <v/>
      </c>
      <c r="D92" s="30" t="str">
        <f aca="false">IF($B92="","",IF(INDEX(Homiladorlar!$C$5:$C$804,$B92)="","",INDEX(Homiladorlar!$C$5:$C$804,$B92)))</f>
        <v/>
      </c>
      <c r="E92" s="5" t="str">
        <f aca="false">IF($B92="","",IF(INDEX(Homiladorlar!$F$5:$F$804,$B92)="","",INDEX(Homiladorlar!$F$5:$F$804,$B92)))</f>
        <v/>
      </c>
      <c r="F92" s="5" t="str">
        <f aca="false">IF($B92="","",IF(INDEX(Homiladorlar!$E$5:$E$804,$B92)="","",INDEX(Homiladorlar!$E$5:$E$804,$B92)))</f>
        <v/>
      </c>
      <c r="G92" s="5" t="str">
        <f aca="false">IF($B92="","",IF(INDEX(Homiladorlar!$O$5:$O$804,$B92)="","",INDEX(Homiladorlar!$O$5:$O$804,$B92)))</f>
        <v/>
      </c>
      <c r="H92" s="5" t="str">
        <f aca="false">IF($B92="","",IF(INDEX(Homiladorlar!$Q$5:$Q$804,$B92)="","",INDEX(Homiladorlar!$Q$5:$Q$804,$B92)))</f>
        <v/>
      </c>
      <c r="I92" s="5" t="str">
        <f aca="false">IF($B92="","",IF(INDEX(Homiladorlar!$R$5:$R$804,$B92)="","",INDEX(Homiladorlar!$R$5:$R$804,$B92)))</f>
        <v/>
      </c>
      <c r="J92" s="5" t="str">
        <f aca="false">IF($B92="","",IF(INDEX(Homiladorlar!$K$5:$K$804,$B92)="","",INDEX(Homiladorlar!$K$5:$K$804,$B92)))</f>
        <v/>
      </c>
      <c r="K92" s="30" t="str">
        <f aca="false">IF($B92="","",IF(INDEX(Homiladorlar!$J$5:$J$804,$B92)="","",INDEX(Homiladorlar!$J$5:$J$804,$B92)))</f>
        <v/>
      </c>
      <c r="L92" s="30" t="str">
        <f aca="false">IF($B92="","",IF(INDEX(Homiladorlar!$T$5:$T$804,$B92)="","",INDEX(Homiladorlar!$T$5:$T$804,$B92)))</f>
        <v/>
      </c>
      <c r="M92" s="30" t="str">
        <f aca="false">IF($B92="","",IF(INDEX(Homiladorlar!$AB$5:$AB$804,$B92)="","",INDEX(Homiladorlar!$AB$5:$AB$804,$B92)))</f>
        <v/>
      </c>
      <c r="N92" s="5" t="str">
        <f aca="false">IF($B92="","",IF(INDEX(Homiladorlar!$AC$5:$AC$804,$B92)="","",INDEX(Homiladorlar!$AC$5:$AC$804,$B92)))</f>
        <v/>
      </c>
    </row>
    <row r="93" customFormat="false" ht="15" hidden="false" customHeight="false" outlineLevel="0" collapsed="false">
      <c r="A93" s="5" t="n">
        <v>89</v>
      </c>
      <c r="B93" s="29" t="str">
        <f aca="false">IFERROR(MATCH(A93,Homiladorlar!$AH$5:$AH$804,0),"")</f>
        <v/>
      </c>
      <c r="C93" s="5" t="str">
        <f aca="false">IF($B93="","",IF(INDEX(Homiladorlar!$B$5:$B$804,$B93)="","",INDEX(Homiladorlar!$B$5:$B$804,$B93)))</f>
        <v/>
      </c>
      <c r="D93" s="30" t="str">
        <f aca="false">IF($B93="","",IF(INDEX(Homiladorlar!$C$5:$C$804,$B93)="","",INDEX(Homiladorlar!$C$5:$C$804,$B93)))</f>
        <v/>
      </c>
      <c r="E93" s="5" t="str">
        <f aca="false">IF($B93="","",IF(INDEX(Homiladorlar!$F$5:$F$804,$B93)="","",INDEX(Homiladorlar!$F$5:$F$804,$B93)))</f>
        <v/>
      </c>
      <c r="F93" s="5" t="str">
        <f aca="false">IF($B93="","",IF(INDEX(Homiladorlar!$E$5:$E$804,$B93)="","",INDEX(Homiladorlar!$E$5:$E$804,$B93)))</f>
        <v/>
      </c>
      <c r="G93" s="5" t="str">
        <f aca="false">IF($B93="","",IF(INDEX(Homiladorlar!$O$5:$O$804,$B93)="","",INDEX(Homiladorlar!$O$5:$O$804,$B93)))</f>
        <v/>
      </c>
      <c r="H93" s="5" t="str">
        <f aca="false">IF($B93="","",IF(INDEX(Homiladorlar!$Q$5:$Q$804,$B93)="","",INDEX(Homiladorlar!$Q$5:$Q$804,$B93)))</f>
        <v/>
      </c>
      <c r="I93" s="5" t="str">
        <f aca="false">IF($B93="","",IF(INDEX(Homiladorlar!$R$5:$R$804,$B93)="","",INDEX(Homiladorlar!$R$5:$R$804,$B93)))</f>
        <v/>
      </c>
      <c r="J93" s="5" t="str">
        <f aca="false">IF($B93="","",IF(INDEX(Homiladorlar!$K$5:$K$804,$B93)="","",INDEX(Homiladorlar!$K$5:$K$804,$B93)))</f>
        <v/>
      </c>
      <c r="K93" s="30" t="str">
        <f aca="false">IF($B93="","",IF(INDEX(Homiladorlar!$J$5:$J$804,$B93)="","",INDEX(Homiladorlar!$J$5:$J$804,$B93)))</f>
        <v/>
      </c>
      <c r="L93" s="30" t="str">
        <f aca="false">IF($B93="","",IF(INDEX(Homiladorlar!$T$5:$T$804,$B93)="","",INDEX(Homiladorlar!$T$5:$T$804,$B93)))</f>
        <v/>
      </c>
      <c r="M93" s="30" t="str">
        <f aca="false">IF($B93="","",IF(INDEX(Homiladorlar!$AB$5:$AB$804,$B93)="","",INDEX(Homiladorlar!$AB$5:$AB$804,$B93)))</f>
        <v/>
      </c>
      <c r="N93" s="5" t="str">
        <f aca="false">IF($B93="","",IF(INDEX(Homiladorlar!$AC$5:$AC$804,$B93)="","",INDEX(Homiladorlar!$AC$5:$AC$804,$B93)))</f>
        <v/>
      </c>
    </row>
    <row r="94" customFormat="false" ht="15" hidden="false" customHeight="false" outlineLevel="0" collapsed="false">
      <c r="A94" s="5" t="n">
        <v>90</v>
      </c>
      <c r="B94" s="29" t="str">
        <f aca="false">IFERROR(MATCH(A94,Homiladorlar!$AH$5:$AH$804,0),"")</f>
        <v/>
      </c>
      <c r="C94" s="5" t="str">
        <f aca="false">IF($B94="","",IF(INDEX(Homiladorlar!$B$5:$B$804,$B94)="","",INDEX(Homiladorlar!$B$5:$B$804,$B94)))</f>
        <v/>
      </c>
      <c r="D94" s="30" t="str">
        <f aca="false">IF($B94="","",IF(INDEX(Homiladorlar!$C$5:$C$804,$B94)="","",INDEX(Homiladorlar!$C$5:$C$804,$B94)))</f>
        <v/>
      </c>
      <c r="E94" s="5" t="str">
        <f aca="false">IF($B94="","",IF(INDEX(Homiladorlar!$F$5:$F$804,$B94)="","",INDEX(Homiladorlar!$F$5:$F$804,$B94)))</f>
        <v/>
      </c>
      <c r="F94" s="5" t="str">
        <f aca="false">IF($B94="","",IF(INDEX(Homiladorlar!$E$5:$E$804,$B94)="","",INDEX(Homiladorlar!$E$5:$E$804,$B94)))</f>
        <v/>
      </c>
      <c r="G94" s="5" t="str">
        <f aca="false">IF($B94="","",IF(INDEX(Homiladorlar!$O$5:$O$804,$B94)="","",INDEX(Homiladorlar!$O$5:$O$804,$B94)))</f>
        <v/>
      </c>
      <c r="H94" s="5" t="str">
        <f aca="false">IF($B94="","",IF(INDEX(Homiladorlar!$Q$5:$Q$804,$B94)="","",INDEX(Homiladorlar!$Q$5:$Q$804,$B94)))</f>
        <v/>
      </c>
      <c r="I94" s="5" t="str">
        <f aca="false">IF($B94="","",IF(INDEX(Homiladorlar!$R$5:$R$804,$B94)="","",INDEX(Homiladorlar!$R$5:$R$804,$B94)))</f>
        <v/>
      </c>
      <c r="J94" s="5" t="str">
        <f aca="false">IF($B94="","",IF(INDEX(Homiladorlar!$K$5:$K$804,$B94)="","",INDEX(Homiladorlar!$K$5:$K$804,$B94)))</f>
        <v/>
      </c>
      <c r="K94" s="30" t="str">
        <f aca="false">IF($B94="","",IF(INDEX(Homiladorlar!$J$5:$J$804,$B94)="","",INDEX(Homiladorlar!$J$5:$J$804,$B94)))</f>
        <v/>
      </c>
      <c r="L94" s="30" t="str">
        <f aca="false">IF($B94="","",IF(INDEX(Homiladorlar!$T$5:$T$804,$B94)="","",INDEX(Homiladorlar!$T$5:$T$804,$B94)))</f>
        <v/>
      </c>
      <c r="M94" s="30" t="str">
        <f aca="false">IF($B94="","",IF(INDEX(Homiladorlar!$AB$5:$AB$804,$B94)="","",INDEX(Homiladorlar!$AB$5:$AB$804,$B94)))</f>
        <v/>
      </c>
      <c r="N94" s="5" t="str">
        <f aca="false">IF($B94="","",IF(INDEX(Homiladorlar!$AC$5:$AC$804,$B94)="","",INDEX(Homiladorlar!$AC$5:$AC$804,$B94)))</f>
        <v/>
      </c>
    </row>
    <row r="95" customFormat="false" ht="15" hidden="false" customHeight="false" outlineLevel="0" collapsed="false">
      <c r="A95" s="5" t="n">
        <v>91</v>
      </c>
      <c r="B95" s="29" t="str">
        <f aca="false">IFERROR(MATCH(A95,Homiladorlar!$AH$5:$AH$804,0),"")</f>
        <v/>
      </c>
      <c r="C95" s="5" t="str">
        <f aca="false">IF($B95="","",IF(INDEX(Homiladorlar!$B$5:$B$804,$B95)="","",INDEX(Homiladorlar!$B$5:$B$804,$B95)))</f>
        <v/>
      </c>
      <c r="D95" s="30" t="str">
        <f aca="false">IF($B95="","",IF(INDEX(Homiladorlar!$C$5:$C$804,$B95)="","",INDEX(Homiladorlar!$C$5:$C$804,$B95)))</f>
        <v/>
      </c>
      <c r="E95" s="5" t="str">
        <f aca="false">IF($B95="","",IF(INDEX(Homiladorlar!$F$5:$F$804,$B95)="","",INDEX(Homiladorlar!$F$5:$F$804,$B95)))</f>
        <v/>
      </c>
      <c r="F95" s="5" t="str">
        <f aca="false">IF($B95="","",IF(INDEX(Homiladorlar!$E$5:$E$804,$B95)="","",INDEX(Homiladorlar!$E$5:$E$804,$B95)))</f>
        <v/>
      </c>
      <c r="G95" s="5" t="str">
        <f aca="false">IF($B95="","",IF(INDEX(Homiladorlar!$O$5:$O$804,$B95)="","",INDEX(Homiladorlar!$O$5:$O$804,$B95)))</f>
        <v/>
      </c>
      <c r="H95" s="5" t="str">
        <f aca="false">IF($B95="","",IF(INDEX(Homiladorlar!$Q$5:$Q$804,$B95)="","",INDEX(Homiladorlar!$Q$5:$Q$804,$B95)))</f>
        <v/>
      </c>
      <c r="I95" s="5" t="str">
        <f aca="false">IF($B95="","",IF(INDEX(Homiladorlar!$R$5:$R$804,$B95)="","",INDEX(Homiladorlar!$R$5:$R$804,$B95)))</f>
        <v/>
      </c>
      <c r="J95" s="5" t="str">
        <f aca="false">IF($B95="","",IF(INDEX(Homiladorlar!$K$5:$K$804,$B95)="","",INDEX(Homiladorlar!$K$5:$K$804,$B95)))</f>
        <v/>
      </c>
      <c r="K95" s="30" t="str">
        <f aca="false">IF($B95="","",IF(INDEX(Homiladorlar!$J$5:$J$804,$B95)="","",INDEX(Homiladorlar!$J$5:$J$804,$B95)))</f>
        <v/>
      </c>
      <c r="L95" s="30" t="str">
        <f aca="false">IF($B95="","",IF(INDEX(Homiladorlar!$T$5:$T$804,$B95)="","",INDEX(Homiladorlar!$T$5:$T$804,$B95)))</f>
        <v/>
      </c>
      <c r="M95" s="30" t="str">
        <f aca="false">IF($B95="","",IF(INDEX(Homiladorlar!$AB$5:$AB$804,$B95)="","",INDEX(Homiladorlar!$AB$5:$AB$804,$B95)))</f>
        <v/>
      </c>
      <c r="N95" s="5" t="str">
        <f aca="false">IF($B95="","",IF(INDEX(Homiladorlar!$AC$5:$AC$804,$B95)="","",INDEX(Homiladorlar!$AC$5:$AC$804,$B95)))</f>
        <v/>
      </c>
    </row>
    <row r="96" customFormat="false" ht="15" hidden="false" customHeight="false" outlineLevel="0" collapsed="false">
      <c r="A96" s="5" t="n">
        <v>92</v>
      </c>
      <c r="B96" s="29" t="str">
        <f aca="false">IFERROR(MATCH(A96,Homiladorlar!$AH$5:$AH$804,0),"")</f>
        <v/>
      </c>
      <c r="C96" s="5" t="str">
        <f aca="false">IF($B96="","",IF(INDEX(Homiladorlar!$B$5:$B$804,$B96)="","",INDEX(Homiladorlar!$B$5:$B$804,$B96)))</f>
        <v/>
      </c>
      <c r="D96" s="30" t="str">
        <f aca="false">IF($B96="","",IF(INDEX(Homiladorlar!$C$5:$C$804,$B96)="","",INDEX(Homiladorlar!$C$5:$C$804,$B96)))</f>
        <v/>
      </c>
      <c r="E96" s="5" t="str">
        <f aca="false">IF($B96="","",IF(INDEX(Homiladorlar!$F$5:$F$804,$B96)="","",INDEX(Homiladorlar!$F$5:$F$804,$B96)))</f>
        <v/>
      </c>
      <c r="F96" s="5" t="str">
        <f aca="false">IF($B96="","",IF(INDEX(Homiladorlar!$E$5:$E$804,$B96)="","",INDEX(Homiladorlar!$E$5:$E$804,$B96)))</f>
        <v/>
      </c>
      <c r="G96" s="5" t="str">
        <f aca="false">IF($B96="","",IF(INDEX(Homiladorlar!$O$5:$O$804,$B96)="","",INDEX(Homiladorlar!$O$5:$O$804,$B96)))</f>
        <v/>
      </c>
      <c r="H96" s="5" t="str">
        <f aca="false">IF($B96="","",IF(INDEX(Homiladorlar!$Q$5:$Q$804,$B96)="","",INDEX(Homiladorlar!$Q$5:$Q$804,$B96)))</f>
        <v/>
      </c>
      <c r="I96" s="5" t="str">
        <f aca="false">IF($B96="","",IF(INDEX(Homiladorlar!$R$5:$R$804,$B96)="","",INDEX(Homiladorlar!$R$5:$R$804,$B96)))</f>
        <v/>
      </c>
      <c r="J96" s="5" t="str">
        <f aca="false">IF($B96="","",IF(INDEX(Homiladorlar!$K$5:$K$804,$B96)="","",INDEX(Homiladorlar!$K$5:$K$804,$B96)))</f>
        <v/>
      </c>
      <c r="K96" s="30" t="str">
        <f aca="false">IF($B96="","",IF(INDEX(Homiladorlar!$J$5:$J$804,$B96)="","",INDEX(Homiladorlar!$J$5:$J$804,$B96)))</f>
        <v/>
      </c>
      <c r="L96" s="30" t="str">
        <f aca="false">IF($B96="","",IF(INDEX(Homiladorlar!$T$5:$T$804,$B96)="","",INDEX(Homiladorlar!$T$5:$T$804,$B96)))</f>
        <v/>
      </c>
      <c r="M96" s="30" t="str">
        <f aca="false">IF($B96="","",IF(INDEX(Homiladorlar!$AB$5:$AB$804,$B96)="","",INDEX(Homiladorlar!$AB$5:$AB$804,$B96)))</f>
        <v/>
      </c>
      <c r="N96" s="5" t="str">
        <f aca="false">IF($B96="","",IF(INDEX(Homiladorlar!$AC$5:$AC$804,$B96)="","",INDEX(Homiladorlar!$AC$5:$AC$804,$B96)))</f>
        <v/>
      </c>
    </row>
    <row r="97" customFormat="false" ht="15" hidden="false" customHeight="false" outlineLevel="0" collapsed="false">
      <c r="A97" s="5" t="n">
        <v>93</v>
      </c>
      <c r="B97" s="29" t="str">
        <f aca="false">IFERROR(MATCH(A97,Homiladorlar!$AH$5:$AH$804,0),"")</f>
        <v/>
      </c>
      <c r="C97" s="5" t="str">
        <f aca="false">IF($B97="","",IF(INDEX(Homiladorlar!$B$5:$B$804,$B97)="","",INDEX(Homiladorlar!$B$5:$B$804,$B97)))</f>
        <v/>
      </c>
      <c r="D97" s="30" t="str">
        <f aca="false">IF($B97="","",IF(INDEX(Homiladorlar!$C$5:$C$804,$B97)="","",INDEX(Homiladorlar!$C$5:$C$804,$B97)))</f>
        <v/>
      </c>
      <c r="E97" s="5" t="str">
        <f aca="false">IF($B97="","",IF(INDEX(Homiladorlar!$F$5:$F$804,$B97)="","",INDEX(Homiladorlar!$F$5:$F$804,$B97)))</f>
        <v/>
      </c>
      <c r="F97" s="5" t="str">
        <f aca="false">IF($B97="","",IF(INDEX(Homiladorlar!$E$5:$E$804,$B97)="","",INDEX(Homiladorlar!$E$5:$E$804,$B97)))</f>
        <v/>
      </c>
      <c r="G97" s="5" t="str">
        <f aca="false">IF($B97="","",IF(INDEX(Homiladorlar!$O$5:$O$804,$B97)="","",INDEX(Homiladorlar!$O$5:$O$804,$B97)))</f>
        <v/>
      </c>
      <c r="H97" s="5" t="str">
        <f aca="false">IF($B97="","",IF(INDEX(Homiladorlar!$Q$5:$Q$804,$B97)="","",INDEX(Homiladorlar!$Q$5:$Q$804,$B97)))</f>
        <v/>
      </c>
      <c r="I97" s="5" t="str">
        <f aca="false">IF($B97="","",IF(INDEX(Homiladorlar!$R$5:$R$804,$B97)="","",INDEX(Homiladorlar!$R$5:$R$804,$B97)))</f>
        <v/>
      </c>
      <c r="J97" s="5" t="str">
        <f aca="false">IF($B97="","",IF(INDEX(Homiladorlar!$K$5:$K$804,$B97)="","",INDEX(Homiladorlar!$K$5:$K$804,$B97)))</f>
        <v/>
      </c>
      <c r="K97" s="30" t="str">
        <f aca="false">IF($B97="","",IF(INDEX(Homiladorlar!$J$5:$J$804,$B97)="","",INDEX(Homiladorlar!$J$5:$J$804,$B97)))</f>
        <v/>
      </c>
      <c r="L97" s="30" t="str">
        <f aca="false">IF($B97="","",IF(INDEX(Homiladorlar!$T$5:$T$804,$B97)="","",INDEX(Homiladorlar!$T$5:$T$804,$B97)))</f>
        <v/>
      </c>
      <c r="M97" s="30" t="str">
        <f aca="false">IF($B97="","",IF(INDEX(Homiladorlar!$AB$5:$AB$804,$B97)="","",INDEX(Homiladorlar!$AB$5:$AB$804,$B97)))</f>
        <v/>
      </c>
      <c r="N97" s="5" t="str">
        <f aca="false">IF($B97="","",IF(INDEX(Homiladorlar!$AC$5:$AC$804,$B97)="","",INDEX(Homiladorlar!$AC$5:$AC$804,$B97)))</f>
        <v/>
      </c>
    </row>
    <row r="98" customFormat="false" ht="15" hidden="false" customHeight="false" outlineLevel="0" collapsed="false">
      <c r="A98" s="5" t="n">
        <v>94</v>
      </c>
      <c r="B98" s="29" t="str">
        <f aca="false">IFERROR(MATCH(A98,Homiladorlar!$AH$5:$AH$804,0),"")</f>
        <v/>
      </c>
      <c r="C98" s="5" t="str">
        <f aca="false">IF($B98="","",IF(INDEX(Homiladorlar!$B$5:$B$804,$B98)="","",INDEX(Homiladorlar!$B$5:$B$804,$B98)))</f>
        <v/>
      </c>
      <c r="D98" s="30" t="str">
        <f aca="false">IF($B98="","",IF(INDEX(Homiladorlar!$C$5:$C$804,$B98)="","",INDEX(Homiladorlar!$C$5:$C$804,$B98)))</f>
        <v/>
      </c>
      <c r="E98" s="5" t="str">
        <f aca="false">IF($B98="","",IF(INDEX(Homiladorlar!$F$5:$F$804,$B98)="","",INDEX(Homiladorlar!$F$5:$F$804,$B98)))</f>
        <v/>
      </c>
      <c r="F98" s="5" t="str">
        <f aca="false">IF($B98="","",IF(INDEX(Homiladorlar!$E$5:$E$804,$B98)="","",INDEX(Homiladorlar!$E$5:$E$804,$B98)))</f>
        <v/>
      </c>
      <c r="G98" s="5" t="str">
        <f aca="false">IF($B98="","",IF(INDEX(Homiladorlar!$O$5:$O$804,$B98)="","",INDEX(Homiladorlar!$O$5:$O$804,$B98)))</f>
        <v/>
      </c>
      <c r="H98" s="5" t="str">
        <f aca="false">IF($B98="","",IF(INDEX(Homiladorlar!$Q$5:$Q$804,$B98)="","",INDEX(Homiladorlar!$Q$5:$Q$804,$B98)))</f>
        <v/>
      </c>
      <c r="I98" s="5" t="str">
        <f aca="false">IF($B98="","",IF(INDEX(Homiladorlar!$R$5:$R$804,$B98)="","",INDEX(Homiladorlar!$R$5:$R$804,$B98)))</f>
        <v/>
      </c>
      <c r="J98" s="5" t="str">
        <f aca="false">IF($B98="","",IF(INDEX(Homiladorlar!$K$5:$K$804,$B98)="","",INDEX(Homiladorlar!$K$5:$K$804,$B98)))</f>
        <v/>
      </c>
      <c r="K98" s="30" t="str">
        <f aca="false">IF($B98="","",IF(INDEX(Homiladorlar!$J$5:$J$804,$B98)="","",INDEX(Homiladorlar!$J$5:$J$804,$B98)))</f>
        <v/>
      </c>
      <c r="L98" s="30" t="str">
        <f aca="false">IF($B98="","",IF(INDEX(Homiladorlar!$T$5:$T$804,$B98)="","",INDEX(Homiladorlar!$T$5:$T$804,$B98)))</f>
        <v/>
      </c>
      <c r="M98" s="30" t="str">
        <f aca="false">IF($B98="","",IF(INDEX(Homiladorlar!$AB$5:$AB$804,$B98)="","",INDEX(Homiladorlar!$AB$5:$AB$804,$B98)))</f>
        <v/>
      </c>
      <c r="N98" s="5" t="str">
        <f aca="false">IF($B98="","",IF(INDEX(Homiladorlar!$AC$5:$AC$804,$B98)="","",INDEX(Homiladorlar!$AC$5:$AC$804,$B98)))</f>
        <v/>
      </c>
    </row>
    <row r="99" customFormat="false" ht="15" hidden="false" customHeight="false" outlineLevel="0" collapsed="false">
      <c r="A99" s="5" t="n">
        <v>95</v>
      </c>
      <c r="B99" s="29" t="str">
        <f aca="false">IFERROR(MATCH(A99,Homiladorlar!$AH$5:$AH$804,0),"")</f>
        <v/>
      </c>
      <c r="C99" s="5" t="str">
        <f aca="false">IF($B99="","",IF(INDEX(Homiladorlar!$B$5:$B$804,$B99)="","",INDEX(Homiladorlar!$B$5:$B$804,$B99)))</f>
        <v/>
      </c>
      <c r="D99" s="30" t="str">
        <f aca="false">IF($B99="","",IF(INDEX(Homiladorlar!$C$5:$C$804,$B99)="","",INDEX(Homiladorlar!$C$5:$C$804,$B99)))</f>
        <v/>
      </c>
      <c r="E99" s="5" t="str">
        <f aca="false">IF($B99="","",IF(INDEX(Homiladorlar!$F$5:$F$804,$B99)="","",INDEX(Homiladorlar!$F$5:$F$804,$B99)))</f>
        <v/>
      </c>
      <c r="F99" s="5" t="str">
        <f aca="false">IF($B99="","",IF(INDEX(Homiladorlar!$E$5:$E$804,$B99)="","",INDEX(Homiladorlar!$E$5:$E$804,$B99)))</f>
        <v/>
      </c>
      <c r="G99" s="5" t="str">
        <f aca="false">IF($B99="","",IF(INDEX(Homiladorlar!$O$5:$O$804,$B99)="","",INDEX(Homiladorlar!$O$5:$O$804,$B99)))</f>
        <v/>
      </c>
      <c r="H99" s="5" t="str">
        <f aca="false">IF($B99="","",IF(INDEX(Homiladorlar!$Q$5:$Q$804,$B99)="","",INDEX(Homiladorlar!$Q$5:$Q$804,$B99)))</f>
        <v/>
      </c>
      <c r="I99" s="5" t="str">
        <f aca="false">IF($B99="","",IF(INDEX(Homiladorlar!$R$5:$R$804,$B99)="","",INDEX(Homiladorlar!$R$5:$R$804,$B99)))</f>
        <v/>
      </c>
      <c r="J99" s="5" t="str">
        <f aca="false">IF($B99="","",IF(INDEX(Homiladorlar!$K$5:$K$804,$B99)="","",INDEX(Homiladorlar!$K$5:$K$804,$B99)))</f>
        <v/>
      </c>
      <c r="K99" s="30" t="str">
        <f aca="false">IF($B99="","",IF(INDEX(Homiladorlar!$J$5:$J$804,$B99)="","",INDEX(Homiladorlar!$J$5:$J$804,$B99)))</f>
        <v/>
      </c>
      <c r="L99" s="30" t="str">
        <f aca="false">IF($B99="","",IF(INDEX(Homiladorlar!$T$5:$T$804,$B99)="","",INDEX(Homiladorlar!$T$5:$T$804,$B99)))</f>
        <v/>
      </c>
      <c r="M99" s="30" t="str">
        <f aca="false">IF($B99="","",IF(INDEX(Homiladorlar!$AB$5:$AB$804,$B99)="","",INDEX(Homiladorlar!$AB$5:$AB$804,$B99)))</f>
        <v/>
      </c>
      <c r="N99" s="5" t="str">
        <f aca="false">IF($B99="","",IF(INDEX(Homiladorlar!$AC$5:$AC$804,$B99)="","",INDEX(Homiladorlar!$AC$5:$AC$804,$B99)))</f>
        <v/>
      </c>
    </row>
    <row r="100" customFormat="false" ht="15" hidden="false" customHeight="false" outlineLevel="0" collapsed="false">
      <c r="A100" s="5" t="n">
        <v>96</v>
      </c>
      <c r="B100" s="29" t="str">
        <f aca="false">IFERROR(MATCH(A100,Homiladorlar!$AH$5:$AH$804,0),"")</f>
        <v/>
      </c>
      <c r="C100" s="5" t="str">
        <f aca="false">IF($B100="","",IF(INDEX(Homiladorlar!$B$5:$B$804,$B100)="","",INDEX(Homiladorlar!$B$5:$B$804,$B100)))</f>
        <v/>
      </c>
      <c r="D100" s="30" t="str">
        <f aca="false">IF($B100="","",IF(INDEX(Homiladorlar!$C$5:$C$804,$B100)="","",INDEX(Homiladorlar!$C$5:$C$804,$B100)))</f>
        <v/>
      </c>
      <c r="E100" s="5" t="str">
        <f aca="false">IF($B100="","",IF(INDEX(Homiladorlar!$F$5:$F$804,$B100)="","",INDEX(Homiladorlar!$F$5:$F$804,$B100)))</f>
        <v/>
      </c>
      <c r="F100" s="5" t="str">
        <f aca="false">IF($B100="","",IF(INDEX(Homiladorlar!$E$5:$E$804,$B100)="","",INDEX(Homiladorlar!$E$5:$E$804,$B100)))</f>
        <v/>
      </c>
      <c r="G100" s="5" t="str">
        <f aca="false">IF($B100="","",IF(INDEX(Homiladorlar!$O$5:$O$804,$B100)="","",INDEX(Homiladorlar!$O$5:$O$804,$B100)))</f>
        <v/>
      </c>
      <c r="H100" s="5" t="str">
        <f aca="false">IF($B100="","",IF(INDEX(Homiladorlar!$Q$5:$Q$804,$B100)="","",INDEX(Homiladorlar!$Q$5:$Q$804,$B100)))</f>
        <v/>
      </c>
      <c r="I100" s="5" t="str">
        <f aca="false">IF($B100="","",IF(INDEX(Homiladorlar!$R$5:$R$804,$B100)="","",INDEX(Homiladorlar!$R$5:$R$804,$B100)))</f>
        <v/>
      </c>
      <c r="J100" s="5" t="str">
        <f aca="false">IF($B100="","",IF(INDEX(Homiladorlar!$K$5:$K$804,$B100)="","",INDEX(Homiladorlar!$K$5:$K$804,$B100)))</f>
        <v/>
      </c>
      <c r="K100" s="30" t="str">
        <f aca="false">IF($B100="","",IF(INDEX(Homiladorlar!$J$5:$J$804,$B100)="","",INDEX(Homiladorlar!$J$5:$J$804,$B100)))</f>
        <v/>
      </c>
      <c r="L100" s="30" t="str">
        <f aca="false">IF($B100="","",IF(INDEX(Homiladorlar!$T$5:$T$804,$B100)="","",INDEX(Homiladorlar!$T$5:$T$804,$B100)))</f>
        <v/>
      </c>
      <c r="M100" s="30" t="str">
        <f aca="false">IF($B100="","",IF(INDEX(Homiladorlar!$AB$5:$AB$804,$B100)="","",INDEX(Homiladorlar!$AB$5:$AB$804,$B100)))</f>
        <v/>
      </c>
      <c r="N100" s="5" t="str">
        <f aca="false">IF($B100="","",IF(INDEX(Homiladorlar!$AC$5:$AC$804,$B100)="","",INDEX(Homiladorlar!$AC$5:$AC$804,$B100)))</f>
        <v/>
      </c>
    </row>
    <row r="101" customFormat="false" ht="15" hidden="false" customHeight="false" outlineLevel="0" collapsed="false">
      <c r="A101" s="5" t="n">
        <v>97</v>
      </c>
      <c r="B101" s="29" t="str">
        <f aca="false">IFERROR(MATCH(A101,Homiladorlar!$AH$5:$AH$804,0),"")</f>
        <v/>
      </c>
      <c r="C101" s="5" t="str">
        <f aca="false">IF($B101="","",IF(INDEX(Homiladorlar!$B$5:$B$804,$B101)="","",INDEX(Homiladorlar!$B$5:$B$804,$B101)))</f>
        <v/>
      </c>
      <c r="D101" s="30" t="str">
        <f aca="false">IF($B101="","",IF(INDEX(Homiladorlar!$C$5:$C$804,$B101)="","",INDEX(Homiladorlar!$C$5:$C$804,$B101)))</f>
        <v/>
      </c>
      <c r="E101" s="5" t="str">
        <f aca="false">IF($B101="","",IF(INDEX(Homiladorlar!$F$5:$F$804,$B101)="","",INDEX(Homiladorlar!$F$5:$F$804,$B101)))</f>
        <v/>
      </c>
      <c r="F101" s="5" t="str">
        <f aca="false">IF($B101="","",IF(INDEX(Homiladorlar!$E$5:$E$804,$B101)="","",INDEX(Homiladorlar!$E$5:$E$804,$B101)))</f>
        <v/>
      </c>
      <c r="G101" s="5" t="str">
        <f aca="false">IF($B101="","",IF(INDEX(Homiladorlar!$O$5:$O$804,$B101)="","",INDEX(Homiladorlar!$O$5:$O$804,$B101)))</f>
        <v/>
      </c>
      <c r="H101" s="5" t="str">
        <f aca="false">IF($B101="","",IF(INDEX(Homiladorlar!$Q$5:$Q$804,$B101)="","",INDEX(Homiladorlar!$Q$5:$Q$804,$B101)))</f>
        <v/>
      </c>
      <c r="I101" s="5" t="str">
        <f aca="false">IF($B101="","",IF(INDEX(Homiladorlar!$R$5:$R$804,$B101)="","",INDEX(Homiladorlar!$R$5:$R$804,$B101)))</f>
        <v/>
      </c>
      <c r="J101" s="5" t="str">
        <f aca="false">IF($B101="","",IF(INDEX(Homiladorlar!$K$5:$K$804,$B101)="","",INDEX(Homiladorlar!$K$5:$K$804,$B101)))</f>
        <v/>
      </c>
      <c r="K101" s="30" t="str">
        <f aca="false">IF($B101="","",IF(INDEX(Homiladorlar!$J$5:$J$804,$B101)="","",INDEX(Homiladorlar!$J$5:$J$804,$B101)))</f>
        <v/>
      </c>
      <c r="L101" s="30" t="str">
        <f aca="false">IF($B101="","",IF(INDEX(Homiladorlar!$T$5:$T$804,$B101)="","",INDEX(Homiladorlar!$T$5:$T$804,$B101)))</f>
        <v/>
      </c>
      <c r="M101" s="30" t="str">
        <f aca="false">IF($B101="","",IF(INDEX(Homiladorlar!$AB$5:$AB$804,$B101)="","",INDEX(Homiladorlar!$AB$5:$AB$804,$B101)))</f>
        <v/>
      </c>
      <c r="N101" s="5" t="str">
        <f aca="false">IF($B101="","",IF(INDEX(Homiladorlar!$AC$5:$AC$804,$B101)="","",INDEX(Homiladorlar!$AC$5:$AC$804,$B101)))</f>
        <v/>
      </c>
    </row>
    <row r="102" customFormat="false" ht="15" hidden="false" customHeight="false" outlineLevel="0" collapsed="false">
      <c r="A102" s="5" t="n">
        <v>98</v>
      </c>
      <c r="B102" s="29" t="str">
        <f aca="false">IFERROR(MATCH(A102,Homiladorlar!$AH$5:$AH$804,0),"")</f>
        <v/>
      </c>
      <c r="C102" s="5" t="str">
        <f aca="false">IF($B102="","",IF(INDEX(Homiladorlar!$B$5:$B$804,$B102)="","",INDEX(Homiladorlar!$B$5:$B$804,$B102)))</f>
        <v/>
      </c>
      <c r="D102" s="30" t="str">
        <f aca="false">IF($B102="","",IF(INDEX(Homiladorlar!$C$5:$C$804,$B102)="","",INDEX(Homiladorlar!$C$5:$C$804,$B102)))</f>
        <v/>
      </c>
      <c r="E102" s="5" t="str">
        <f aca="false">IF($B102="","",IF(INDEX(Homiladorlar!$F$5:$F$804,$B102)="","",INDEX(Homiladorlar!$F$5:$F$804,$B102)))</f>
        <v/>
      </c>
      <c r="F102" s="5" t="str">
        <f aca="false">IF($B102="","",IF(INDEX(Homiladorlar!$E$5:$E$804,$B102)="","",INDEX(Homiladorlar!$E$5:$E$804,$B102)))</f>
        <v/>
      </c>
      <c r="G102" s="5" t="str">
        <f aca="false">IF($B102="","",IF(INDEX(Homiladorlar!$O$5:$O$804,$B102)="","",INDEX(Homiladorlar!$O$5:$O$804,$B102)))</f>
        <v/>
      </c>
      <c r="H102" s="5" t="str">
        <f aca="false">IF($B102="","",IF(INDEX(Homiladorlar!$Q$5:$Q$804,$B102)="","",INDEX(Homiladorlar!$Q$5:$Q$804,$B102)))</f>
        <v/>
      </c>
      <c r="I102" s="5" t="str">
        <f aca="false">IF($B102="","",IF(INDEX(Homiladorlar!$R$5:$R$804,$B102)="","",INDEX(Homiladorlar!$R$5:$R$804,$B102)))</f>
        <v/>
      </c>
      <c r="J102" s="5" t="str">
        <f aca="false">IF($B102="","",IF(INDEX(Homiladorlar!$K$5:$K$804,$B102)="","",INDEX(Homiladorlar!$K$5:$K$804,$B102)))</f>
        <v/>
      </c>
      <c r="K102" s="30" t="str">
        <f aca="false">IF($B102="","",IF(INDEX(Homiladorlar!$J$5:$J$804,$B102)="","",INDEX(Homiladorlar!$J$5:$J$804,$B102)))</f>
        <v/>
      </c>
      <c r="L102" s="30" t="str">
        <f aca="false">IF($B102="","",IF(INDEX(Homiladorlar!$T$5:$T$804,$B102)="","",INDEX(Homiladorlar!$T$5:$T$804,$B102)))</f>
        <v/>
      </c>
      <c r="M102" s="30" t="str">
        <f aca="false">IF($B102="","",IF(INDEX(Homiladorlar!$AB$5:$AB$804,$B102)="","",INDEX(Homiladorlar!$AB$5:$AB$804,$B102)))</f>
        <v/>
      </c>
      <c r="N102" s="5" t="str">
        <f aca="false">IF($B102="","",IF(INDEX(Homiladorlar!$AC$5:$AC$804,$B102)="","",INDEX(Homiladorlar!$AC$5:$AC$804,$B102)))</f>
        <v/>
      </c>
    </row>
    <row r="103" customFormat="false" ht="15" hidden="false" customHeight="false" outlineLevel="0" collapsed="false">
      <c r="A103" s="5" t="n">
        <v>99</v>
      </c>
      <c r="B103" s="29" t="str">
        <f aca="false">IFERROR(MATCH(A103,Homiladorlar!$AH$5:$AH$804,0),"")</f>
        <v/>
      </c>
      <c r="C103" s="5" t="str">
        <f aca="false">IF($B103="","",IF(INDEX(Homiladorlar!$B$5:$B$804,$B103)="","",INDEX(Homiladorlar!$B$5:$B$804,$B103)))</f>
        <v/>
      </c>
      <c r="D103" s="30" t="str">
        <f aca="false">IF($B103="","",IF(INDEX(Homiladorlar!$C$5:$C$804,$B103)="","",INDEX(Homiladorlar!$C$5:$C$804,$B103)))</f>
        <v/>
      </c>
      <c r="E103" s="5" t="str">
        <f aca="false">IF($B103="","",IF(INDEX(Homiladorlar!$F$5:$F$804,$B103)="","",INDEX(Homiladorlar!$F$5:$F$804,$B103)))</f>
        <v/>
      </c>
      <c r="F103" s="5" t="str">
        <f aca="false">IF($B103="","",IF(INDEX(Homiladorlar!$E$5:$E$804,$B103)="","",INDEX(Homiladorlar!$E$5:$E$804,$B103)))</f>
        <v/>
      </c>
      <c r="G103" s="5" t="str">
        <f aca="false">IF($B103="","",IF(INDEX(Homiladorlar!$O$5:$O$804,$B103)="","",INDEX(Homiladorlar!$O$5:$O$804,$B103)))</f>
        <v/>
      </c>
      <c r="H103" s="5" t="str">
        <f aca="false">IF($B103="","",IF(INDEX(Homiladorlar!$Q$5:$Q$804,$B103)="","",INDEX(Homiladorlar!$Q$5:$Q$804,$B103)))</f>
        <v/>
      </c>
      <c r="I103" s="5" t="str">
        <f aca="false">IF($B103="","",IF(INDEX(Homiladorlar!$R$5:$R$804,$B103)="","",INDEX(Homiladorlar!$R$5:$R$804,$B103)))</f>
        <v/>
      </c>
      <c r="J103" s="5" t="str">
        <f aca="false">IF($B103="","",IF(INDEX(Homiladorlar!$K$5:$K$804,$B103)="","",INDEX(Homiladorlar!$K$5:$K$804,$B103)))</f>
        <v/>
      </c>
      <c r="K103" s="30" t="str">
        <f aca="false">IF($B103="","",IF(INDEX(Homiladorlar!$J$5:$J$804,$B103)="","",INDEX(Homiladorlar!$J$5:$J$804,$B103)))</f>
        <v/>
      </c>
      <c r="L103" s="30" t="str">
        <f aca="false">IF($B103="","",IF(INDEX(Homiladorlar!$T$5:$T$804,$B103)="","",INDEX(Homiladorlar!$T$5:$T$804,$B103)))</f>
        <v/>
      </c>
      <c r="M103" s="30" t="str">
        <f aca="false">IF($B103="","",IF(INDEX(Homiladorlar!$AB$5:$AB$804,$B103)="","",INDEX(Homiladorlar!$AB$5:$AB$804,$B103)))</f>
        <v/>
      </c>
      <c r="N103" s="5" t="str">
        <f aca="false">IF($B103="","",IF(INDEX(Homiladorlar!$AC$5:$AC$804,$B103)="","",INDEX(Homiladorlar!$AC$5:$AC$804,$B103)))</f>
        <v/>
      </c>
    </row>
    <row r="104" customFormat="false" ht="15" hidden="false" customHeight="false" outlineLevel="0" collapsed="false">
      <c r="A104" s="5" t="n">
        <v>100</v>
      </c>
      <c r="B104" s="29" t="str">
        <f aca="false">IFERROR(MATCH(A104,Homiladorlar!$AH$5:$AH$804,0),"")</f>
        <v/>
      </c>
      <c r="C104" s="5" t="str">
        <f aca="false">IF($B104="","",IF(INDEX(Homiladorlar!$B$5:$B$804,$B104)="","",INDEX(Homiladorlar!$B$5:$B$804,$B104)))</f>
        <v/>
      </c>
      <c r="D104" s="30" t="str">
        <f aca="false">IF($B104="","",IF(INDEX(Homiladorlar!$C$5:$C$804,$B104)="","",INDEX(Homiladorlar!$C$5:$C$804,$B104)))</f>
        <v/>
      </c>
      <c r="E104" s="5" t="str">
        <f aca="false">IF($B104="","",IF(INDEX(Homiladorlar!$F$5:$F$804,$B104)="","",INDEX(Homiladorlar!$F$5:$F$804,$B104)))</f>
        <v/>
      </c>
      <c r="F104" s="5" t="str">
        <f aca="false">IF($B104="","",IF(INDEX(Homiladorlar!$E$5:$E$804,$B104)="","",INDEX(Homiladorlar!$E$5:$E$804,$B104)))</f>
        <v/>
      </c>
      <c r="G104" s="5" t="str">
        <f aca="false">IF($B104="","",IF(INDEX(Homiladorlar!$O$5:$O$804,$B104)="","",INDEX(Homiladorlar!$O$5:$O$804,$B104)))</f>
        <v/>
      </c>
      <c r="H104" s="5" t="str">
        <f aca="false">IF($B104="","",IF(INDEX(Homiladorlar!$Q$5:$Q$804,$B104)="","",INDEX(Homiladorlar!$Q$5:$Q$804,$B104)))</f>
        <v/>
      </c>
      <c r="I104" s="5" t="str">
        <f aca="false">IF($B104="","",IF(INDEX(Homiladorlar!$R$5:$R$804,$B104)="","",INDEX(Homiladorlar!$R$5:$R$804,$B104)))</f>
        <v/>
      </c>
      <c r="J104" s="5" t="str">
        <f aca="false">IF($B104="","",IF(INDEX(Homiladorlar!$K$5:$K$804,$B104)="","",INDEX(Homiladorlar!$K$5:$K$804,$B104)))</f>
        <v/>
      </c>
      <c r="K104" s="30" t="str">
        <f aca="false">IF($B104="","",IF(INDEX(Homiladorlar!$J$5:$J$804,$B104)="","",INDEX(Homiladorlar!$J$5:$J$804,$B104)))</f>
        <v/>
      </c>
      <c r="L104" s="30" t="str">
        <f aca="false">IF($B104="","",IF(INDEX(Homiladorlar!$T$5:$T$804,$B104)="","",INDEX(Homiladorlar!$T$5:$T$804,$B104)))</f>
        <v/>
      </c>
      <c r="M104" s="30" t="str">
        <f aca="false">IF($B104="","",IF(INDEX(Homiladorlar!$AB$5:$AB$804,$B104)="","",INDEX(Homiladorlar!$AB$5:$AB$804,$B104)))</f>
        <v/>
      </c>
      <c r="N104" s="5" t="str">
        <f aca="false">IF($B104="","",IF(INDEX(Homiladorlar!$AC$5:$AC$804,$B104)="","",INDEX(Homiladorlar!$AC$5:$AC$804,$B104)))</f>
        <v/>
      </c>
    </row>
    <row r="105" customFormat="false" ht="15" hidden="false" customHeight="false" outlineLevel="0" collapsed="false">
      <c r="A105" s="5" t="n">
        <v>101</v>
      </c>
      <c r="B105" s="29" t="str">
        <f aca="false">IFERROR(MATCH(A105,Homiladorlar!$AH$5:$AH$804,0),"")</f>
        <v/>
      </c>
      <c r="C105" s="5" t="str">
        <f aca="false">IF($B105="","",IF(INDEX(Homiladorlar!$B$5:$B$804,$B105)="","",INDEX(Homiladorlar!$B$5:$B$804,$B105)))</f>
        <v/>
      </c>
      <c r="D105" s="30" t="str">
        <f aca="false">IF($B105="","",IF(INDEX(Homiladorlar!$C$5:$C$804,$B105)="","",INDEX(Homiladorlar!$C$5:$C$804,$B105)))</f>
        <v/>
      </c>
      <c r="E105" s="5" t="str">
        <f aca="false">IF($B105="","",IF(INDEX(Homiladorlar!$F$5:$F$804,$B105)="","",INDEX(Homiladorlar!$F$5:$F$804,$B105)))</f>
        <v/>
      </c>
      <c r="F105" s="5" t="str">
        <f aca="false">IF($B105="","",IF(INDEX(Homiladorlar!$E$5:$E$804,$B105)="","",INDEX(Homiladorlar!$E$5:$E$804,$B105)))</f>
        <v/>
      </c>
      <c r="G105" s="5" t="str">
        <f aca="false">IF($B105="","",IF(INDEX(Homiladorlar!$O$5:$O$804,$B105)="","",INDEX(Homiladorlar!$O$5:$O$804,$B105)))</f>
        <v/>
      </c>
      <c r="H105" s="5" t="str">
        <f aca="false">IF($B105="","",IF(INDEX(Homiladorlar!$Q$5:$Q$804,$B105)="","",INDEX(Homiladorlar!$Q$5:$Q$804,$B105)))</f>
        <v/>
      </c>
      <c r="I105" s="5" t="str">
        <f aca="false">IF($B105="","",IF(INDEX(Homiladorlar!$R$5:$R$804,$B105)="","",INDEX(Homiladorlar!$R$5:$R$804,$B105)))</f>
        <v/>
      </c>
      <c r="J105" s="5" t="str">
        <f aca="false">IF($B105="","",IF(INDEX(Homiladorlar!$K$5:$K$804,$B105)="","",INDEX(Homiladorlar!$K$5:$K$804,$B105)))</f>
        <v/>
      </c>
      <c r="K105" s="30" t="str">
        <f aca="false">IF($B105="","",IF(INDEX(Homiladorlar!$J$5:$J$804,$B105)="","",INDEX(Homiladorlar!$J$5:$J$804,$B105)))</f>
        <v/>
      </c>
      <c r="L105" s="30" t="str">
        <f aca="false">IF($B105="","",IF(INDEX(Homiladorlar!$T$5:$T$804,$B105)="","",INDEX(Homiladorlar!$T$5:$T$804,$B105)))</f>
        <v/>
      </c>
      <c r="M105" s="30" t="str">
        <f aca="false">IF($B105="","",IF(INDEX(Homiladorlar!$AB$5:$AB$804,$B105)="","",INDEX(Homiladorlar!$AB$5:$AB$804,$B105)))</f>
        <v/>
      </c>
      <c r="N105" s="5" t="str">
        <f aca="false">IF($B105="","",IF(INDEX(Homiladorlar!$AC$5:$AC$804,$B105)="","",INDEX(Homiladorlar!$AC$5:$AC$804,$B105)))</f>
        <v/>
      </c>
    </row>
    <row r="106" customFormat="false" ht="15" hidden="false" customHeight="false" outlineLevel="0" collapsed="false">
      <c r="A106" s="5" t="n">
        <v>102</v>
      </c>
      <c r="B106" s="29" t="str">
        <f aca="false">IFERROR(MATCH(A106,Homiladorlar!$AH$5:$AH$804,0),"")</f>
        <v/>
      </c>
      <c r="C106" s="5" t="str">
        <f aca="false">IF($B106="","",IF(INDEX(Homiladorlar!$B$5:$B$804,$B106)="","",INDEX(Homiladorlar!$B$5:$B$804,$B106)))</f>
        <v/>
      </c>
      <c r="D106" s="30" t="str">
        <f aca="false">IF($B106="","",IF(INDEX(Homiladorlar!$C$5:$C$804,$B106)="","",INDEX(Homiladorlar!$C$5:$C$804,$B106)))</f>
        <v/>
      </c>
      <c r="E106" s="5" t="str">
        <f aca="false">IF($B106="","",IF(INDEX(Homiladorlar!$F$5:$F$804,$B106)="","",INDEX(Homiladorlar!$F$5:$F$804,$B106)))</f>
        <v/>
      </c>
      <c r="F106" s="5" t="str">
        <f aca="false">IF($B106="","",IF(INDEX(Homiladorlar!$E$5:$E$804,$B106)="","",INDEX(Homiladorlar!$E$5:$E$804,$B106)))</f>
        <v/>
      </c>
      <c r="G106" s="5" t="str">
        <f aca="false">IF($B106="","",IF(INDEX(Homiladorlar!$O$5:$O$804,$B106)="","",INDEX(Homiladorlar!$O$5:$O$804,$B106)))</f>
        <v/>
      </c>
      <c r="H106" s="5" t="str">
        <f aca="false">IF($B106="","",IF(INDEX(Homiladorlar!$Q$5:$Q$804,$B106)="","",INDEX(Homiladorlar!$Q$5:$Q$804,$B106)))</f>
        <v/>
      </c>
      <c r="I106" s="5" t="str">
        <f aca="false">IF($B106="","",IF(INDEX(Homiladorlar!$R$5:$R$804,$B106)="","",INDEX(Homiladorlar!$R$5:$R$804,$B106)))</f>
        <v/>
      </c>
      <c r="J106" s="5" t="str">
        <f aca="false">IF($B106="","",IF(INDEX(Homiladorlar!$K$5:$K$804,$B106)="","",INDEX(Homiladorlar!$K$5:$K$804,$B106)))</f>
        <v/>
      </c>
      <c r="K106" s="30" t="str">
        <f aca="false">IF($B106="","",IF(INDEX(Homiladorlar!$J$5:$J$804,$B106)="","",INDEX(Homiladorlar!$J$5:$J$804,$B106)))</f>
        <v/>
      </c>
      <c r="L106" s="30" t="str">
        <f aca="false">IF($B106="","",IF(INDEX(Homiladorlar!$T$5:$T$804,$B106)="","",INDEX(Homiladorlar!$T$5:$T$804,$B106)))</f>
        <v/>
      </c>
      <c r="M106" s="30" t="str">
        <f aca="false">IF($B106="","",IF(INDEX(Homiladorlar!$AB$5:$AB$804,$B106)="","",INDEX(Homiladorlar!$AB$5:$AB$804,$B106)))</f>
        <v/>
      </c>
      <c r="N106" s="5" t="str">
        <f aca="false">IF($B106="","",IF(INDEX(Homiladorlar!$AC$5:$AC$804,$B106)="","",INDEX(Homiladorlar!$AC$5:$AC$804,$B106)))</f>
        <v/>
      </c>
    </row>
    <row r="107" customFormat="false" ht="15" hidden="false" customHeight="false" outlineLevel="0" collapsed="false">
      <c r="A107" s="5" t="n">
        <v>103</v>
      </c>
      <c r="B107" s="29" t="str">
        <f aca="false">IFERROR(MATCH(A107,Homiladorlar!$AH$5:$AH$804,0),"")</f>
        <v/>
      </c>
      <c r="C107" s="5" t="str">
        <f aca="false">IF($B107="","",IF(INDEX(Homiladorlar!$B$5:$B$804,$B107)="","",INDEX(Homiladorlar!$B$5:$B$804,$B107)))</f>
        <v/>
      </c>
      <c r="D107" s="30" t="str">
        <f aca="false">IF($B107="","",IF(INDEX(Homiladorlar!$C$5:$C$804,$B107)="","",INDEX(Homiladorlar!$C$5:$C$804,$B107)))</f>
        <v/>
      </c>
      <c r="E107" s="5" t="str">
        <f aca="false">IF($B107="","",IF(INDEX(Homiladorlar!$F$5:$F$804,$B107)="","",INDEX(Homiladorlar!$F$5:$F$804,$B107)))</f>
        <v/>
      </c>
      <c r="F107" s="5" t="str">
        <f aca="false">IF($B107="","",IF(INDEX(Homiladorlar!$E$5:$E$804,$B107)="","",INDEX(Homiladorlar!$E$5:$E$804,$B107)))</f>
        <v/>
      </c>
      <c r="G107" s="5" t="str">
        <f aca="false">IF($B107="","",IF(INDEX(Homiladorlar!$O$5:$O$804,$B107)="","",INDEX(Homiladorlar!$O$5:$O$804,$B107)))</f>
        <v/>
      </c>
      <c r="H107" s="5" t="str">
        <f aca="false">IF($B107="","",IF(INDEX(Homiladorlar!$Q$5:$Q$804,$B107)="","",INDEX(Homiladorlar!$Q$5:$Q$804,$B107)))</f>
        <v/>
      </c>
      <c r="I107" s="5" t="str">
        <f aca="false">IF($B107="","",IF(INDEX(Homiladorlar!$R$5:$R$804,$B107)="","",INDEX(Homiladorlar!$R$5:$R$804,$B107)))</f>
        <v/>
      </c>
      <c r="J107" s="5" t="str">
        <f aca="false">IF($B107="","",IF(INDEX(Homiladorlar!$K$5:$K$804,$B107)="","",INDEX(Homiladorlar!$K$5:$K$804,$B107)))</f>
        <v/>
      </c>
      <c r="K107" s="30" t="str">
        <f aca="false">IF($B107="","",IF(INDEX(Homiladorlar!$J$5:$J$804,$B107)="","",INDEX(Homiladorlar!$J$5:$J$804,$B107)))</f>
        <v/>
      </c>
      <c r="L107" s="30" t="str">
        <f aca="false">IF($B107="","",IF(INDEX(Homiladorlar!$T$5:$T$804,$B107)="","",INDEX(Homiladorlar!$T$5:$T$804,$B107)))</f>
        <v/>
      </c>
      <c r="M107" s="30" t="str">
        <f aca="false">IF($B107="","",IF(INDEX(Homiladorlar!$AB$5:$AB$804,$B107)="","",INDEX(Homiladorlar!$AB$5:$AB$804,$B107)))</f>
        <v/>
      </c>
      <c r="N107" s="5" t="str">
        <f aca="false">IF($B107="","",IF(INDEX(Homiladorlar!$AC$5:$AC$804,$B107)="","",INDEX(Homiladorlar!$AC$5:$AC$804,$B107)))</f>
        <v/>
      </c>
    </row>
    <row r="108" customFormat="false" ht="15" hidden="false" customHeight="false" outlineLevel="0" collapsed="false">
      <c r="A108" s="5" t="n">
        <v>104</v>
      </c>
      <c r="B108" s="29" t="str">
        <f aca="false">IFERROR(MATCH(A108,Homiladorlar!$AH$5:$AH$804,0),"")</f>
        <v/>
      </c>
      <c r="C108" s="5" t="str">
        <f aca="false">IF($B108="","",IF(INDEX(Homiladorlar!$B$5:$B$804,$B108)="","",INDEX(Homiladorlar!$B$5:$B$804,$B108)))</f>
        <v/>
      </c>
      <c r="D108" s="30" t="str">
        <f aca="false">IF($B108="","",IF(INDEX(Homiladorlar!$C$5:$C$804,$B108)="","",INDEX(Homiladorlar!$C$5:$C$804,$B108)))</f>
        <v/>
      </c>
      <c r="E108" s="5" t="str">
        <f aca="false">IF($B108="","",IF(INDEX(Homiladorlar!$F$5:$F$804,$B108)="","",INDEX(Homiladorlar!$F$5:$F$804,$B108)))</f>
        <v/>
      </c>
      <c r="F108" s="5" t="str">
        <f aca="false">IF($B108="","",IF(INDEX(Homiladorlar!$E$5:$E$804,$B108)="","",INDEX(Homiladorlar!$E$5:$E$804,$B108)))</f>
        <v/>
      </c>
      <c r="G108" s="5" t="str">
        <f aca="false">IF($B108="","",IF(INDEX(Homiladorlar!$O$5:$O$804,$B108)="","",INDEX(Homiladorlar!$O$5:$O$804,$B108)))</f>
        <v/>
      </c>
      <c r="H108" s="5" t="str">
        <f aca="false">IF($B108="","",IF(INDEX(Homiladorlar!$Q$5:$Q$804,$B108)="","",INDEX(Homiladorlar!$Q$5:$Q$804,$B108)))</f>
        <v/>
      </c>
      <c r="I108" s="5" t="str">
        <f aca="false">IF($B108="","",IF(INDEX(Homiladorlar!$R$5:$R$804,$B108)="","",INDEX(Homiladorlar!$R$5:$R$804,$B108)))</f>
        <v/>
      </c>
      <c r="J108" s="5" t="str">
        <f aca="false">IF($B108="","",IF(INDEX(Homiladorlar!$K$5:$K$804,$B108)="","",INDEX(Homiladorlar!$K$5:$K$804,$B108)))</f>
        <v/>
      </c>
      <c r="K108" s="30" t="str">
        <f aca="false">IF($B108="","",IF(INDEX(Homiladorlar!$J$5:$J$804,$B108)="","",INDEX(Homiladorlar!$J$5:$J$804,$B108)))</f>
        <v/>
      </c>
      <c r="L108" s="30" t="str">
        <f aca="false">IF($B108="","",IF(INDEX(Homiladorlar!$T$5:$T$804,$B108)="","",INDEX(Homiladorlar!$T$5:$T$804,$B108)))</f>
        <v/>
      </c>
      <c r="M108" s="30" t="str">
        <f aca="false">IF($B108="","",IF(INDEX(Homiladorlar!$AB$5:$AB$804,$B108)="","",INDEX(Homiladorlar!$AB$5:$AB$804,$B108)))</f>
        <v/>
      </c>
      <c r="N108" s="5" t="str">
        <f aca="false">IF($B108="","",IF(INDEX(Homiladorlar!$AC$5:$AC$804,$B108)="","",INDEX(Homiladorlar!$AC$5:$AC$804,$B108)))</f>
        <v/>
      </c>
    </row>
    <row r="109" customFormat="false" ht="15" hidden="false" customHeight="false" outlineLevel="0" collapsed="false">
      <c r="A109" s="5" t="n">
        <v>105</v>
      </c>
      <c r="B109" s="29" t="str">
        <f aca="false">IFERROR(MATCH(A109,Homiladorlar!$AH$5:$AH$804,0),"")</f>
        <v/>
      </c>
      <c r="C109" s="5" t="str">
        <f aca="false">IF($B109="","",IF(INDEX(Homiladorlar!$B$5:$B$804,$B109)="","",INDEX(Homiladorlar!$B$5:$B$804,$B109)))</f>
        <v/>
      </c>
      <c r="D109" s="30" t="str">
        <f aca="false">IF($B109="","",IF(INDEX(Homiladorlar!$C$5:$C$804,$B109)="","",INDEX(Homiladorlar!$C$5:$C$804,$B109)))</f>
        <v/>
      </c>
      <c r="E109" s="5" t="str">
        <f aca="false">IF($B109="","",IF(INDEX(Homiladorlar!$F$5:$F$804,$B109)="","",INDEX(Homiladorlar!$F$5:$F$804,$B109)))</f>
        <v/>
      </c>
      <c r="F109" s="5" t="str">
        <f aca="false">IF($B109="","",IF(INDEX(Homiladorlar!$E$5:$E$804,$B109)="","",INDEX(Homiladorlar!$E$5:$E$804,$B109)))</f>
        <v/>
      </c>
      <c r="G109" s="5" t="str">
        <f aca="false">IF($B109="","",IF(INDEX(Homiladorlar!$O$5:$O$804,$B109)="","",INDEX(Homiladorlar!$O$5:$O$804,$B109)))</f>
        <v/>
      </c>
      <c r="H109" s="5" t="str">
        <f aca="false">IF($B109="","",IF(INDEX(Homiladorlar!$Q$5:$Q$804,$B109)="","",INDEX(Homiladorlar!$Q$5:$Q$804,$B109)))</f>
        <v/>
      </c>
      <c r="I109" s="5" t="str">
        <f aca="false">IF($B109="","",IF(INDEX(Homiladorlar!$R$5:$R$804,$B109)="","",INDEX(Homiladorlar!$R$5:$R$804,$B109)))</f>
        <v/>
      </c>
      <c r="J109" s="5" t="str">
        <f aca="false">IF($B109="","",IF(INDEX(Homiladorlar!$K$5:$K$804,$B109)="","",INDEX(Homiladorlar!$K$5:$K$804,$B109)))</f>
        <v/>
      </c>
      <c r="K109" s="30" t="str">
        <f aca="false">IF($B109="","",IF(INDEX(Homiladorlar!$J$5:$J$804,$B109)="","",INDEX(Homiladorlar!$J$5:$J$804,$B109)))</f>
        <v/>
      </c>
      <c r="L109" s="30" t="str">
        <f aca="false">IF($B109="","",IF(INDEX(Homiladorlar!$T$5:$T$804,$B109)="","",INDEX(Homiladorlar!$T$5:$T$804,$B109)))</f>
        <v/>
      </c>
      <c r="M109" s="30" t="str">
        <f aca="false">IF($B109="","",IF(INDEX(Homiladorlar!$AB$5:$AB$804,$B109)="","",INDEX(Homiladorlar!$AB$5:$AB$804,$B109)))</f>
        <v/>
      </c>
      <c r="N109" s="5" t="str">
        <f aca="false">IF($B109="","",IF(INDEX(Homiladorlar!$AC$5:$AC$804,$B109)="","",INDEX(Homiladorlar!$AC$5:$AC$804,$B109)))</f>
        <v/>
      </c>
    </row>
    <row r="110" customFormat="false" ht="15" hidden="false" customHeight="false" outlineLevel="0" collapsed="false">
      <c r="A110" s="5" t="n">
        <v>106</v>
      </c>
      <c r="B110" s="29" t="str">
        <f aca="false">IFERROR(MATCH(A110,Homiladorlar!$AH$5:$AH$804,0),"")</f>
        <v/>
      </c>
      <c r="C110" s="5" t="str">
        <f aca="false">IF($B110="","",IF(INDEX(Homiladorlar!$B$5:$B$804,$B110)="","",INDEX(Homiladorlar!$B$5:$B$804,$B110)))</f>
        <v/>
      </c>
      <c r="D110" s="30" t="str">
        <f aca="false">IF($B110="","",IF(INDEX(Homiladorlar!$C$5:$C$804,$B110)="","",INDEX(Homiladorlar!$C$5:$C$804,$B110)))</f>
        <v/>
      </c>
      <c r="E110" s="5" t="str">
        <f aca="false">IF($B110="","",IF(INDEX(Homiladorlar!$F$5:$F$804,$B110)="","",INDEX(Homiladorlar!$F$5:$F$804,$B110)))</f>
        <v/>
      </c>
      <c r="F110" s="5" t="str">
        <f aca="false">IF($B110="","",IF(INDEX(Homiladorlar!$E$5:$E$804,$B110)="","",INDEX(Homiladorlar!$E$5:$E$804,$B110)))</f>
        <v/>
      </c>
      <c r="G110" s="5" t="str">
        <f aca="false">IF($B110="","",IF(INDEX(Homiladorlar!$O$5:$O$804,$B110)="","",INDEX(Homiladorlar!$O$5:$O$804,$B110)))</f>
        <v/>
      </c>
      <c r="H110" s="5" t="str">
        <f aca="false">IF($B110="","",IF(INDEX(Homiladorlar!$Q$5:$Q$804,$B110)="","",INDEX(Homiladorlar!$Q$5:$Q$804,$B110)))</f>
        <v/>
      </c>
      <c r="I110" s="5" t="str">
        <f aca="false">IF($B110="","",IF(INDEX(Homiladorlar!$R$5:$R$804,$B110)="","",INDEX(Homiladorlar!$R$5:$R$804,$B110)))</f>
        <v/>
      </c>
      <c r="J110" s="5" t="str">
        <f aca="false">IF($B110="","",IF(INDEX(Homiladorlar!$K$5:$K$804,$B110)="","",INDEX(Homiladorlar!$K$5:$K$804,$B110)))</f>
        <v/>
      </c>
      <c r="K110" s="30" t="str">
        <f aca="false">IF($B110="","",IF(INDEX(Homiladorlar!$J$5:$J$804,$B110)="","",INDEX(Homiladorlar!$J$5:$J$804,$B110)))</f>
        <v/>
      </c>
      <c r="L110" s="30" t="str">
        <f aca="false">IF($B110="","",IF(INDEX(Homiladorlar!$T$5:$T$804,$B110)="","",INDEX(Homiladorlar!$T$5:$T$804,$B110)))</f>
        <v/>
      </c>
      <c r="M110" s="30" t="str">
        <f aca="false">IF($B110="","",IF(INDEX(Homiladorlar!$AB$5:$AB$804,$B110)="","",INDEX(Homiladorlar!$AB$5:$AB$804,$B110)))</f>
        <v/>
      </c>
      <c r="N110" s="5" t="str">
        <f aca="false">IF($B110="","",IF(INDEX(Homiladorlar!$AC$5:$AC$804,$B110)="","",INDEX(Homiladorlar!$AC$5:$AC$804,$B110)))</f>
        <v/>
      </c>
    </row>
    <row r="111" customFormat="false" ht="15" hidden="false" customHeight="false" outlineLevel="0" collapsed="false">
      <c r="A111" s="5" t="n">
        <v>107</v>
      </c>
      <c r="B111" s="29" t="str">
        <f aca="false">IFERROR(MATCH(A111,Homiladorlar!$AH$5:$AH$804,0),"")</f>
        <v/>
      </c>
      <c r="C111" s="5" t="str">
        <f aca="false">IF($B111="","",IF(INDEX(Homiladorlar!$B$5:$B$804,$B111)="","",INDEX(Homiladorlar!$B$5:$B$804,$B111)))</f>
        <v/>
      </c>
      <c r="D111" s="30" t="str">
        <f aca="false">IF($B111="","",IF(INDEX(Homiladorlar!$C$5:$C$804,$B111)="","",INDEX(Homiladorlar!$C$5:$C$804,$B111)))</f>
        <v/>
      </c>
      <c r="E111" s="5" t="str">
        <f aca="false">IF($B111="","",IF(INDEX(Homiladorlar!$F$5:$F$804,$B111)="","",INDEX(Homiladorlar!$F$5:$F$804,$B111)))</f>
        <v/>
      </c>
      <c r="F111" s="5" t="str">
        <f aca="false">IF($B111="","",IF(INDEX(Homiladorlar!$E$5:$E$804,$B111)="","",INDEX(Homiladorlar!$E$5:$E$804,$B111)))</f>
        <v/>
      </c>
      <c r="G111" s="5" t="str">
        <f aca="false">IF($B111="","",IF(INDEX(Homiladorlar!$O$5:$O$804,$B111)="","",INDEX(Homiladorlar!$O$5:$O$804,$B111)))</f>
        <v/>
      </c>
      <c r="H111" s="5" t="str">
        <f aca="false">IF($B111="","",IF(INDEX(Homiladorlar!$Q$5:$Q$804,$B111)="","",INDEX(Homiladorlar!$Q$5:$Q$804,$B111)))</f>
        <v/>
      </c>
      <c r="I111" s="5" t="str">
        <f aca="false">IF($B111="","",IF(INDEX(Homiladorlar!$R$5:$R$804,$B111)="","",INDEX(Homiladorlar!$R$5:$R$804,$B111)))</f>
        <v/>
      </c>
      <c r="J111" s="5" t="str">
        <f aca="false">IF($B111="","",IF(INDEX(Homiladorlar!$K$5:$K$804,$B111)="","",INDEX(Homiladorlar!$K$5:$K$804,$B111)))</f>
        <v/>
      </c>
      <c r="K111" s="30" t="str">
        <f aca="false">IF($B111="","",IF(INDEX(Homiladorlar!$J$5:$J$804,$B111)="","",INDEX(Homiladorlar!$J$5:$J$804,$B111)))</f>
        <v/>
      </c>
      <c r="L111" s="30" t="str">
        <f aca="false">IF($B111="","",IF(INDEX(Homiladorlar!$T$5:$T$804,$B111)="","",INDEX(Homiladorlar!$T$5:$T$804,$B111)))</f>
        <v/>
      </c>
      <c r="M111" s="30" t="str">
        <f aca="false">IF($B111="","",IF(INDEX(Homiladorlar!$AB$5:$AB$804,$B111)="","",INDEX(Homiladorlar!$AB$5:$AB$804,$B111)))</f>
        <v/>
      </c>
      <c r="N111" s="5" t="str">
        <f aca="false">IF($B111="","",IF(INDEX(Homiladorlar!$AC$5:$AC$804,$B111)="","",INDEX(Homiladorlar!$AC$5:$AC$804,$B111)))</f>
        <v/>
      </c>
    </row>
    <row r="112" customFormat="false" ht="15" hidden="false" customHeight="false" outlineLevel="0" collapsed="false">
      <c r="A112" s="5" t="n">
        <v>108</v>
      </c>
      <c r="B112" s="29" t="str">
        <f aca="false">IFERROR(MATCH(A112,Homiladorlar!$AH$5:$AH$804,0),"")</f>
        <v/>
      </c>
      <c r="C112" s="5" t="str">
        <f aca="false">IF($B112="","",IF(INDEX(Homiladorlar!$B$5:$B$804,$B112)="","",INDEX(Homiladorlar!$B$5:$B$804,$B112)))</f>
        <v/>
      </c>
      <c r="D112" s="30" t="str">
        <f aca="false">IF($B112="","",IF(INDEX(Homiladorlar!$C$5:$C$804,$B112)="","",INDEX(Homiladorlar!$C$5:$C$804,$B112)))</f>
        <v/>
      </c>
      <c r="E112" s="5" t="str">
        <f aca="false">IF($B112="","",IF(INDEX(Homiladorlar!$F$5:$F$804,$B112)="","",INDEX(Homiladorlar!$F$5:$F$804,$B112)))</f>
        <v/>
      </c>
      <c r="F112" s="5" t="str">
        <f aca="false">IF($B112="","",IF(INDEX(Homiladorlar!$E$5:$E$804,$B112)="","",INDEX(Homiladorlar!$E$5:$E$804,$B112)))</f>
        <v/>
      </c>
      <c r="G112" s="5" t="str">
        <f aca="false">IF($B112="","",IF(INDEX(Homiladorlar!$O$5:$O$804,$B112)="","",INDEX(Homiladorlar!$O$5:$O$804,$B112)))</f>
        <v/>
      </c>
      <c r="H112" s="5" t="str">
        <f aca="false">IF($B112="","",IF(INDEX(Homiladorlar!$Q$5:$Q$804,$B112)="","",INDEX(Homiladorlar!$Q$5:$Q$804,$B112)))</f>
        <v/>
      </c>
      <c r="I112" s="5" t="str">
        <f aca="false">IF($B112="","",IF(INDEX(Homiladorlar!$R$5:$R$804,$B112)="","",INDEX(Homiladorlar!$R$5:$R$804,$B112)))</f>
        <v/>
      </c>
      <c r="J112" s="5" t="str">
        <f aca="false">IF($B112="","",IF(INDEX(Homiladorlar!$K$5:$K$804,$B112)="","",INDEX(Homiladorlar!$K$5:$K$804,$B112)))</f>
        <v/>
      </c>
      <c r="K112" s="30" t="str">
        <f aca="false">IF($B112="","",IF(INDEX(Homiladorlar!$J$5:$J$804,$B112)="","",INDEX(Homiladorlar!$J$5:$J$804,$B112)))</f>
        <v/>
      </c>
      <c r="L112" s="30" t="str">
        <f aca="false">IF($B112="","",IF(INDEX(Homiladorlar!$T$5:$T$804,$B112)="","",INDEX(Homiladorlar!$T$5:$T$804,$B112)))</f>
        <v/>
      </c>
      <c r="M112" s="30" t="str">
        <f aca="false">IF($B112="","",IF(INDEX(Homiladorlar!$AB$5:$AB$804,$B112)="","",INDEX(Homiladorlar!$AB$5:$AB$804,$B112)))</f>
        <v/>
      </c>
      <c r="N112" s="5" t="str">
        <f aca="false">IF($B112="","",IF(INDEX(Homiladorlar!$AC$5:$AC$804,$B112)="","",INDEX(Homiladorlar!$AC$5:$AC$804,$B112)))</f>
        <v/>
      </c>
    </row>
    <row r="113" customFormat="false" ht="15" hidden="false" customHeight="false" outlineLevel="0" collapsed="false">
      <c r="A113" s="5" t="n">
        <v>109</v>
      </c>
      <c r="B113" s="29" t="str">
        <f aca="false">IFERROR(MATCH(A113,Homiladorlar!$AH$5:$AH$804,0),"")</f>
        <v/>
      </c>
      <c r="C113" s="5" t="str">
        <f aca="false">IF($B113="","",IF(INDEX(Homiladorlar!$B$5:$B$804,$B113)="","",INDEX(Homiladorlar!$B$5:$B$804,$B113)))</f>
        <v/>
      </c>
      <c r="D113" s="30" t="str">
        <f aca="false">IF($B113="","",IF(INDEX(Homiladorlar!$C$5:$C$804,$B113)="","",INDEX(Homiladorlar!$C$5:$C$804,$B113)))</f>
        <v/>
      </c>
      <c r="E113" s="5" t="str">
        <f aca="false">IF($B113="","",IF(INDEX(Homiladorlar!$F$5:$F$804,$B113)="","",INDEX(Homiladorlar!$F$5:$F$804,$B113)))</f>
        <v/>
      </c>
      <c r="F113" s="5" t="str">
        <f aca="false">IF($B113="","",IF(INDEX(Homiladorlar!$E$5:$E$804,$B113)="","",INDEX(Homiladorlar!$E$5:$E$804,$B113)))</f>
        <v/>
      </c>
      <c r="G113" s="5" t="str">
        <f aca="false">IF($B113="","",IF(INDEX(Homiladorlar!$O$5:$O$804,$B113)="","",INDEX(Homiladorlar!$O$5:$O$804,$B113)))</f>
        <v/>
      </c>
      <c r="H113" s="5" t="str">
        <f aca="false">IF($B113="","",IF(INDEX(Homiladorlar!$Q$5:$Q$804,$B113)="","",INDEX(Homiladorlar!$Q$5:$Q$804,$B113)))</f>
        <v/>
      </c>
      <c r="I113" s="5" t="str">
        <f aca="false">IF($B113="","",IF(INDEX(Homiladorlar!$R$5:$R$804,$B113)="","",INDEX(Homiladorlar!$R$5:$R$804,$B113)))</f>
        <v/>
      </c>
      <c r="J113" s="5" t="str">
        <f aca="false">IF($B113="","",IF(INDEX(Homiladorlar!$K$5:$K$804,$B113)="","",INDEX(Homiladorlar!$K$5:$K$804,$B113)))</f>
        <v/>
      </c>
      <c r="K113" s="30" t="str">
        <f aca="false">IF($B113="","",IF(INDEX(Homiladorlar!$J$5:$J$804,$B113)="","",INDEX(Homiladorlar!$J$5:$J$804,$B113)))</f>
        <v/>
      </c>
      <c r="L113" s="30" t="str">
        <f aca="false">IF($B113="","",IF(INDEX(Homiladorlar!$T$5:$T$804,$B113)="","",INDEX(Homiladorlar!$T$5:$T$804,$B113)))</f>
        <v/>
      </c>
      <c r="M113" s="30" t="str">
        <f aca="false">IF($B113="","",IF(INDEX(Homiladorlar!$AB$5:$AB$804,$B113)="","",INDEX(Homiladorlar!$AB$5:$AB$804,$B113)))</f>
        <v/>
      </c>
      <c r="N113" s="5" t="str">
        <f aca="false">IF($B113="","",IF(INDEX(Homiladorlar!$AC$5:$AC$804,$B113)="","",INDEX(Homiladorlar!$AC$5:$AC$804,$B113)))</f>
        <v/>
      </c>
    </row>
    <row r="114" customFormat="false" ht="15" hidden="false" customHeight="false" outlineLevel="0" collapsed="false">
      <c r="A114" s="5" t="n">
        <v>110</v>
      </c>
      <c r="B114" s="29" t="str">
        <f aca="false">IFERROR(MATCH(A114,Homiladorlar!$AH$5:$AH$804,0),"")</f>
        <v/>
      </c>
      <c r="C114" s="5" t="str">
        <f aca="false">IF($B114="","",IF(INDEX(Homiladorlar!$B$5:$B$804,$B114)="","",INDEX(Homiladorlar!$B$5:$B$804,$B114)))</f>
        <v/>
      </c>
      <c r="D114" s="30" t="str">
        <f aca="false">IF($B114="","",IF(INDEX(Homiladorlar!$C$5:$C$804,$B114)="","",INDEX(Homiladorlar!$C$5:$C$804,$B114)))</f>
        <v/>
      </c>
      <c r="E114" s="5" t="str">
        <f aca="false">IF($B114="","",IF(INDEX(Homiladorlar!$F$5:$F$804,$B114)="","",INDEX(Homiladorlar!$F$5:$F$804,$B114)))</f>
        <v/>
      </c>
      <c r="F114" s="5" t="str">
        <f aca="false">IF($B114="","",IF(INDEX(Homiladorlar!$E$5:$E$804,$B114)="","",INDEX(Homiladorlar!$E$5:$E$804,$B114)))</f>
        <v/>
      </c>
      <c r="G114" s="5" t="str">
        <f aca="false">IF($B114="","",IF(INDEX(Homiladorlar!$O$5:$O$804,$B114)="","",INDEX(Homiladorlar!$O$5:$O$804,$B114)))</f>
        <v/>
      </c>
      <c r="H114" s="5" t="str">
        <f aca="false">IF($B114="","",IF(INDEX(Homiladorlar!$Q$5:$Q$804,$B114)="","",INDEX(Homiladorlar!$Q$5:$Q$804,$B114)))</f>
        <v/>
      </c>
      <c r="I114" s="5" t="str">
        <f aca="false">IF($B114="","",IF(INDEX(Homiladorlar!$R$5:$R$804,$B114)="","",INDEX(Homiladorlar!$R$5:$R$804,$B114)))</f>
        <v/>
      </c>
      <c r="J114" s="5" t="str">
        <f aca="false">IF($B114="","",IF(INDEX(Homiladorlar!$K$5:$K$804,$B114)="","",INDEX(Homiladorlar!$K$5:$K$804,$B114)))</f>
        <v/>
      </c>
      <c r="K114" s="30" t="str">
        <f aca="false">IF($B114="","",IF(INDEX(Homiladorlar!$J$5:$J$804,$B114)="","",INDEX(Homiladorlar!$J$5:$J$804,$B114)))</f>
        <v/>
      </c>
      <c r="L114" s="30" t="str">
        <f aca="false">IF($B114="","",IF(INDEX(Homiladorlar!$T$5:$T$804,$B114)="","",INDEX(Homiladorlar!$T$5:$T$804,$B114)))</f>
        <v/>
      </c>
      <c r="M114" s="30" t="str">
        <f aca="false">IF($B114="","",IF(INDEX(Homiladorlar!$AB$5:$AB$804,$B114)="","",INDEX(Homiladorlar!$AB$5:$AB$804,$B114)))</f>
        <v/>
      </c>
      <c r="N114" s="5" t="str">
        <f aca="false">IF($B114="","",IF(INDEX(Homiladorlar!$AC$5:$AC$804,$B114)="","",INDEX(Homiladorlar!$AC$5:$AC$804,$B114)))</f>
        <v/>
      </c>
    </row>
    <row r="115" customFormat="false" ht="15" hidden="false" customHeight="false" outlineLevel="0" collapsed="false">
      <c r="A115" s="5" t="n">
        <v>111</v>
      </c>
      <c r="B115" s="29" t="str">
        <f aca="false">IFERROR(MATCH(A115,Homiladorlar!$AH$5:$AH$804,0),"")</f>
        <v/>
      </c>
      <c r="C115" s="5" t="str">
        <f aca="false">IF($B115="","",IF(INDEX(Homiladorlar!$B$5:$B$804,$B115)="","",INDEX(Homiladorlar!$B$5:$B$804,$B115)))</f>
        <v/>
      </c>
      <c r="D115" s="30" t="str">
        <f aca="false">IF($B115="","",IF(INDEX(Homiladorlar!$C$5:$C$804,$B115)="","",INDEX(Homiladorlar!$C$5:$C$804,$B115)))</f>
        <v/>
      </c>
      <c r="E115" s="5" t="str">
        <f aca="false">IF($B115="","",IF(INDEX(Homiladorlar!$F$5:$F$804,$B115)="","",INDEX(Homiladorlar!$F$5:$F$804,$B115)))</f>
        <v/>
      </c>
      <c r="F115" s="5" t="str">
        <f aca="false">IF($B115="","",IF(INDEX(Homiladorlar!$E$5:$E$804,$B115)="","",INDEX(Homiladorlar!$E$5:$E$804,$B115)))</f>
        <v/>
      </c>
      <c r="G115" s="5" t="str">
        <f aca="false">IF($B115="","",IF(INDEX(Homiladorlar!$O$5:$O$804,$B115)="","",INDEX(Homiladorlar!$O$5:$O$804,$B115)))</f>
        <v/>
      </c>
      <c r="H115" s="5" t="str">
        <f aca="false">IF($B115="","",IF(INDEX(Homiladorlar!$Q$5:$Q$804,$B115)="","",INDEX(Homiladorlar!$Q$5:$Q$804,$B115)))</f>
        <v/>
      </c>
      <c r="I115" s="5" t="str">
        <f aca="false">IF($B115="","",IF(INDEX(Homiladorlar!$R$5:$R$804,$B115)="","",INDEX(Homiladorlar!$R$5:$R$804,$B115)))</f>
        <v/>
      </c>
      <c r="J115" s="5" t="str">
        <f aca="false">IF($B115="","",IF(INDEX(Homiladorlar!$K$5:$K$804,$B115)="","",INDEX(Homiladorlar!$K$5:$K$804,$B115)))</f>
        <v/>
      </c>
      <c r="K115" s="30" t="str">
        <f aca="false">IF($B115="","",IF(INDEX(Homiladorlar!$J$5:$J$804,$B115)="","",INDEX(Homiladorlar!$J$5:$J$804,$B115)))</f>
        <v/>
      </c>
      <c r="L115" s="30" t="str">
        <f aca="false">IF($B115="","",IF(INDEX(Homiladorlar!$T$5:$T$804,$B115)="","",INDEX(Homiladorlar!$T$5:$T$804,$B115)))</f>
        <v/>
      </c>
      <c r="M115" s="30" t="str">
        <f aca="false">IF($B115="","",IF(INDEX(Homiladorlar!$AB$5:$AB$804,$B115)="","",INDEX(Homiladorlar!$AB$5:$AB$804,$B115)))</f>
        <v/>
      </c>
      <c r="N115" s="5" t="str">
        <f aca="false">IF($B115="","",IF(INDEX(Homiladorlar!$AC$5:$AC$804,$B115)="","",INDEX(Homiladorlar!$AC$5:$AC$804,$B115)))</f>
        <v/>
      </c>
    </row>
    <row r="116" customFormat="false" ht="15" hidden="false" customHeight="false" outlineLevel="0" collapsed="false">
      <c r="A116" s="5" t="n">
        <v>112</v>
      </c>
      <c r="B116" s="29" t="str">
        <f aca="false">IFERROR(MATCH(A116,Homiladorlar!$AH$5:$AH$804,0),"")</f>
        <v/>
      </c>
      <c r="C116" s="5" t="str">
        <f aca="false">IF($B116="","",IF(INDEX(Homiladorlar!$B$5:$B$804,$B116)="","",INDEX(Homiladorlar!$B$5:$B$804,$B116)))</f>
        <v/>
      </c>
      <c r="D116" s="30" t="str">
        <f aca="false">IF($B116="","",IF(INDEX(Homiladorlar!$C$5:$C$804,$B116)="","",INDEX(Homiladorlar!$C$5:$C$804,$B116)))</f>
        <v/>
      </c>
      <c r="E116" s="5" t="str">
        <f aca="false">IF($B116="","",IF(INDEX(Homiladorlar!$F$5:$F$804,$B116)="","",INDEX(Homiladorlar!$F$5:$F$804,$B116)))</f>
        <v/>
      </c>
      <c r="F116" s="5" t="str">
        <f aca="false">IF($B116="","",IF(INDEX(Homiladorlar!$E$5:$E$804,$B116)="","",INDEX(Homiladorlar!$E$5:$E$804,$B116)))</f>
        <v/>
      </c>
      <c r="G116" s="5" t="str">
        <f aca="false">IF($B116="","",IF(INDEX(Homiladorlar!$O$5:$O$804,$B116)="","",INDEX(Homiladorlar!$O$5:$O$804,$B116)))</f>
        <v/>
      </c>
      <c r="H116" s="5" t="str">
        <f aca="false">IF($B116="","",IF(INDEX(Homiladorlar!$Q$5:$Q$804,$B116)="","",INDEX(Homiladorlar!$Q$5:$Q$804,$B116)))</f>
        <v/>
      </c>
      <c r="I116" s="5" t="str">
        <f aca="false">IF($B116="","",IF(INDEX(Homiladorlar!$R$5:$R$804,$B116)="","",INDEX(Homiladorlar!$R$5:$R$804,$B116)))</f>
        <v/>
      </c>
      <c r="J116" s="5" t="str">
        <f aca="false">IF($B116="","",IF(INDEX(Homiladorlar!$K$5:$K$804,$B116)="","",INDEX(Homiladorlar!$K$5:$K$804,$B116)))</f>
        <v/>
      </c>
      <c r="K116" s="30" t="str">
        <f aca="false">IF($B116="","",IF(INDEX(Homiladorlar!$J$5:$J$804,$B116)="","",INDEX(Homiladorlar!$J$5:$J$804,$B116)))</f>
        <v/>
      </c>
      <c r="L116" s="30" t="str">
        <f aca="false">IF($B116="","",IF(INDEX(Homiladorlar!$T$5:$T$804,$B116)="","",INDEX(Homiladorlar!$T$5:$T$804,$B116)))</f>
        <v/>
      </c>
      <c r="M116" s="30" t="str">
        <f aca="false">IF($B116="","",IF(INDEX(Homiladorlar!$AB$5:$AB$804,$B116)="","",INDEX(Homiladorlar!$AB$5:$AB$804,$B116)))</f>
        <v/>
      </c>
      <c r="N116" s="5" t="str">
        <f aca="false">IF($B116="","",IF(INDEX(Homiladorlar!$AC$5:$AC$804,$B116)="","",INDEX(Homiladorlar!$AC$5:$AC$804,$B116)))</f>
        <v/>
      </c>
    </row>
    <row r="117" customFormat="false" ht="15" hidden="false" customHeight="false" outlineLevel="0" collapsed="false">
      <c r="A117" s="5" t="n">
        <v>113</v>
      </c>
      <c r="B117" s="29" t="str">
        <f aca="false">IFERROR(MATCH(A117,Homiladorlar!$AH$5:$AH$804,0),"")</f>
        <v/>
      </c>
      <c r="C117" s="5" t="str">
        <f aca="false">IF($B117="","",IF(INDEX(Homiladorlar!$B$5:$B$804,$B117)="","",INDEX(Homiladorlar!$B$5:$B$804,$B117)))</f>
        <v/>
      </c>
      <c r="D117" s="30" t="str">
        <f aca="false">IF($B117="","",IF(INDEX(Homiladorlar!$C$5:$C$804,$B117)="","",INDEX(Homiladorlar!$C$5:$C$804,$B117)))</f>
        <v/>
      </c>
      <c r="E117" s="5" t="str">
        <f aca="false">IF($B117="","",IF(INDEX(Homiladorlar!$F$5:$F$804,$B117)="","",INDEX(Homiladorlar!$F$5:$F$804,$B117)))</f>
        <v/>
      </c>
      <c r="F117" s="5" t="str">
        <f aca="false">IF($B117="","",IF(INDEX(Homiladorlar!$E$5:$E$804,$B117)="","",INDEX(Homiladorlar!$E$5:$E$804,$B117)))</f>
        <v/>
      </c>
      <c r="G117" s="5" t="str">
        <f aca="false">IF($B117="","",IF(INDEX(Homiladorlar!$O$5:$O$804,$B117)="","",INDEX(Homiladorlar!$O$5:$O$804,$B117)))</f>
        <v/>
      </c>
      <c r="H117" s="5" t="str">
        <f aca="false">IF($B117="","",IF(INDEX(Homiladorlar!$Q$5:$Q$804,$B117)="","",INDEX(Homiladorlar!$Q$5:$Q$804,$B117)))</f>
        <v/>
      </c>
      <c r="I117" s="5" t="str">
        <f aca="false">IF($B117="","",IF(INDEX(Homiladorlar!$R$5:$R$804,$B117)="","",INDEX(Homiladorlar!$R$5:$R$804,$B117)))</f>
        <v/>
      </c>
      <c r="J117" s="5" t="str">
        <f aca="false">IF($B117="","",IF(INDEX(Homiladorlar!$K$5:$K$804,$B117)="","",INDEX(Homiladorlar!$K$5:$K$804,$B117)))</f>
        <v/>
      </c>
      <c r="K117" s="30" t="str">
        <f aca="false">IF($B117="","",IF(INDEX(Homiladorlar!$J$5:$J$804,$B117)="","",INDEX(Homiladorlar!$J$5:$J$804,$B117)))</f>
        <v/>
      </c>
      <c r="L117" s="30" t="str">
        <f aca="false">IF($B117="","",IF(INDEX(Homiladorlar!$T$5:$T$804,$B117)="","",INDEX(Homiladorlar!$T$5:$T$804,$B117)))</f>
        <v/>
      </c>
      <c r="M117" s="30" t="str">
        <f aca="false">IF($B117="","",IF(INDEX(Homiladorlar!$AB$5:$AB$804,$B117)="","",INDEX(Homiladorlar!$AB$5:$AB$804,$B117)))</f>
        <v/>
      </c>
      <c r="N117" s="5" t="str">
        <f aca="false">IF($B117="","",IF(INDEX(Homiladorlar!$AC$5:$AC$804,$B117)="","",INDEX(Homiladorlar!$AC$5:$AC$804,$B117)))</f>
        <v/>
      </c>
    </row>
    <row r="118" customFormat="false" ht="15" hidden="false" customHeight="false" outlineLevel="0" collapsed="false">
      <c r="A118" s="5" t="n">
        <v>114</v>
      </c>
      <c r="B118" s="29" t="str">
        <f aca="false">IFERROR(MATCH(A118,Homiladorlar!$AH$5:$AH$804,0),"")</f>
        <v/>
      </c>
      <c r="C118" s="5" t="str">
        <f aca="false">IF($B118="","",IF(INDEX(Homiladorlar!$B$5:$B$804,$B118)="","",INDEX(Homiladorlar!$B$5:$B$804,$B118)))</f>
        <v/>
      </c>
      <c r="D118" s="30" t="str">
        <f aca="false">IF($B118="","",IF(INDEX(Homiladorlar!$C$5:$C$804,$B118)="","",INDEX(Homiladorlar!$C$5:$C$804,$B118)))</f>
        <v/>
      </c>
      <c r="E118" s="5" t="str">
        <f aca="false">IF($B118="","",IF(INDEX(Homiladorlar!$F$5:$F$804,$B118)="","",INDEX(Homiladorlar!$F$5:$F$804,$B118)))</f>
        <v/>
      </c>
      <c r="F118" s="5" t="str">
        <f aca="false">IF($B118="","",IF(INDEX(Homiladorlar!$E$5:$E$804,$B118)="","",INDEX(Homiladorlar!$E$5:$E$804,$B118)))</f>
        <v/>
      </c>
      <c r="G118" s="5" t="str">
        <f aca="false">IF($B118="","",IF(INDEX(Homiladorlar!$O$5:$O$804,$B118)="","",INDEX(Homiladorlar!$O$5:$O$804,$B118)))</f>
        <v/>
      </c>
      <c r="H118" s="5" t="str">
        <f aca="false">IF($B118="","",IF(INDEX(Homiladorlar!$Q$5:$Q$804,$B118)="","",INDEX(Homiladorlar!$Q$5:$Q$804,$B118)))</f>
        <v/>
      </c>
      <c r="I118" s="5" t="str">
        <f aca="false">IF($B118="","",IF(INDEX(Homiladorlar!$R$5:$R$804,$B118)="","",INDEX(Homiladorlar!$R$5:$R$804,$B118)))</f>
        <v/>
      </c>
      <c r="J118" s="5" t="str">
        <f aca="false">IF($B118="","",IF(INDEX(Homiladorlar!$K$5:$K$804,$B118)="","",INDEX(Homiladorlar!$K$5:$K$804,$B118)))</f>
        <v/>
      </c>
      <c r="K118" s="30" t="str">
        <f aca="false">IF($B118="","",IF(INDEX(Homiladorlar!$J$5:$J$804,$B118)="","",INDEX(Homiladorlar!$J$5:$J$804,$B118)))</f>
        <v/>
      </c>
      <c r="L118" s="30" t="str">
        <f aca="false">IF($B118="","",IF(INDEX(Homiladorlar!$T$5:$T$804,$B118)="","",INDEX(Homiladorlar!$T$5:$T$804,$B118)))</f>
        <v/>
      </c>
      <c r="M118" s="30" t="str">
        <f aca="false">IF($B118="","",IF(INDEX(Homiladorlar!$AB$5:$AB$804,$B118)="","",INDEX(Homiladorlar!$AB$5:$AB$804,$B118)))</f>
        <v/>
      </c>
      <c r="N118" s="5" t="str">
        <f aca="false">IF($B118="","",IF(INDEX(Homiladorlar!$AC$5:$AC$804,$B118)="","",INDEX(Homiladorlar!$AC$5:$AC$804,$B118)))</f>
        <v/>
      </c>
    </row>
    <row r="119" customFormat="false" ht="15" hidden="false" customHeight="false" outlineLevel="0" collapsed="false">
      <c r="A119" s="5" t="n">
        <v>115</v>
      </c>
      <c r="B119" s="29" t="str">
        <f aca="false">IFERROR(MATCH(A119,Homiladorlar!$AH$5:$AH$804,0),"")</f>
        <v/>
      </c>
      <c r="C119" s="5" t="str">
        <f aca="false">IF($B119="","",IF(INDEX(Homiladorlar!$B$5:$B$804,$B119)="","",INDEX(Homiladorlar!$B$5:$B$804,$B119)))</f>
        <v/>
      </c>
      <c r="D119" s="30" t="str">
        <f aca="false">IF($B119="","",IF(INDEX(Homiladorlar!$C$5:$C$804,$B119)="","",INDEX(Homiladorlar!$C$5:$C$804,$B119)))</f>
        <v/>
      </c>
      <c r="E119" s="5" t="str">
        <f aca="false">IF($B119="","",IF(INDEX(Homiladorlar!$F$5:$F$804,$B119)="","",INDEX(Homiladorlar!$F$5:$F$804,$B119)))</f>
        <v/>
      </c>
      <c r="F119" s="5" t="str">
        <f aca="false">IF($B119="","",IF(INDEX(Homiladorlar!$E$5:$E$804,$B119)="","",INDEX(Homiladorlar!$E$5:$E$804,$B119)))</f>
        <v/>
      </c>
      <c r="G119" s="5" t="str">
        <f aca="false">IF($B119="","",IF(INDEX(Homiladorlar!$O$5:$O$804,$B119)="","",INDEX(Homiladorlar!$O$5:$O$804,$B119)))</f>
        <v/>
      </c>
      <c r="H119" s="5" t="str">
        <f aca="false">IF($B119="","",IF(INDEX(Homiladorlar!$Q$5:$Q$804,$B119)="","",INDEX(Homiladorlar!$Q$5:$Q$804,$B119)))</f>
        <v/>
      </c>
      <c r="I119" s="5" t="str">
        <f aca="false">IF($B119="","",IF(INDEX(Homiladorlar!$R$5:$R$804,$B119)="","",INDEX(Homiladorlar!$R$5:$R$804,$B119)))</f>
        <v/>
      </c>
      <c r="J119" s="5" t="str">
        <f aca="false">IF($B119="","",IF(INDEX(Homiladorlar!$K$5:$K$804,$B119)="","",INDEX(Homiladorlar!$K$5:$K$804,$B119)))</f>
        <v/>
      </c>
      <c r="K119" s="30" t="str">
        <f aca="false">IF($B119="","",IF(INDEX(Homiladorlar!$J$5:$J$804,$B119)="","",INDEX(Homiladorlar!$J$5:$J$804,$B119)))</f>
        <v/>
      </c>
      <c r="L119" s="30" t="str">
        <f aca="false">IF($B119="","",IF(INDEX(Homiladorlar!$T$5:$T$804,$B119)="","",INDEX(Homiladorlar!$T$5:$T$804,$B119)))</f>
        <v/>
      </c>
      <c r="M119" s="30" t="str">
        <f aca="false">IF($B119="","",IF(INDEX(Homiladorlar!$AB$5:$AB$804,$B119)="","",INDEX(Homiladorlar!$AB$5:$AB$804,$B119)))</f>
        <v/>
      </c>
      <c r="N119" s="5" t="str">
        <f aca="false">IF($B119="","",IF(INDEX(Homiladorlar!$AC$5:$AC$804,$B119)="","",INDEX(Homiladorlar!$AC$5:$AC$804,$B119)))</f>
        <v/>
      </c>
    </row>
    <row r="120" customFormat="false" ht="15" hidden="false" customHeight="false" outlineLevel="0" collapsed="false">
      <c r="A120" s="5" t="n">
        <v>116</v>
      </c>
      <c r="B120" s="29" t="str">
        <f aca="false">IFERROR(MATCH(A120,Homiladorlar!$AH$5:$AH$804,0),"")</f>
        <v/>
      </c>
      <c r="C120" s="5" t="str">
        <f aca="false">IF($B120="","",IF(INDEX(Homiladorlar!$B$5:$B$804,$B120)="","",INDEX(Homiladorlar!$B$5:$B$804,$B120)))</f>
        <v/>
      </c>
      <c r="D120" s="30" t="str">
        <f aca="false">IF($B120="","",IF(INDEX(Homiladorlar!$C$5:$C$804,$B120)="","",INDEX(Homiladorlar!$C$5:$C$804,$B120)))</f>
        <v/>
      </c>
      <c r="E120" s="5" t="str">
        <f aca="false">IF($B120="","",IF(INDEX(Homiladorlar!$F$5:$F$804,$B120)="","",INDEX(Homiladorlar!$F$5:$F$804,$B120)))</f>
        <v/>
      </c>
      <c r="F120" s="5" t="str">
        <f aca="false">IF($B120="","",IF(INDEX(Homiladorlar!$E$5:$E$804,$B120)="","",INDEX(Homiladorlar!$E$5:$E$804,$B120)))</f>
        <v/>
      </c>
      <c r="G120" s="5" t="str">
        <f aca="false">IF($B120="","",IF(INDEX(Homiladorlar!$O$5:$O$804,$B120)="","",INDEX(Homiladorlar!$O$5:$O$804,$B120)))</f>
        <v/>
      </c>
      <c r="H120" s="5" t="str">
        <f aca="false">IF($B120="","",IF(INDEX(Homiladorlar!$Q$5:$Q$804,$B120)="","",INDEX(Homiladorlar!$Q$5:$Q$804,$B120)))</f>
        <v/>
      </c>
      <c r="I120" s="5" t="str">
        <f aca="false">IF($B120="","",IF(INDEX(Homiladorlar!$R$5:$R$804,$B120)="","",INDEX(Homiladorlar!$R$5:$R$804,$B120)))</f>
        <v/>
      </c>
      <c r="J120" s="5" t="str">
        <f aca="false">IF($B120="","",IF(INDEX(Homiladorlar!$K$5:$K$804,$B120)="","",INDEX(Homiladorlar!$K$5:$K$804,$B120)))</f>
        <v/>
      </c>
      <c r="K120" s="30" t="str">
        <f aca="false">IF($B120="","",IF(INDEX(Homiladorlar!$J$5:$J$804,$B120)="","",INDEX(Homiladorlar!$J$5:$J$804,$B120)))</f>
        <v/>
      </c>
      <c r="L120" s="30" t="str">
        <f aca="false">IF($B120="","",IF(INDEX(Homiladorlar!$T$5:$T$804,$B120)="","",INDEX(Homiladorlar!$T$5:$T$804,$B120)))</f>
        <v/>
      </c>
      <c r="M120" s="30" t="str">
        <f aca="false">IF($B120="","",IF(INDEX(Homiladorlar!$AB$5:$AB$804,$B120)="","",INDEX(Homiladorlar!$AB$5:$AB$804,$B120)))</f>
        <v/>
      </c>
      <c r="N120" s="5" t="str">
        <f aca="false">IF($B120="","",IF(INDEX(Homiladorlar!$AC$5:$AC$804,$B120)="","",INDEX(Homiladorlar!$AC$5:$AC$804,$B120)))</f>
        <v/>
      </c>
    </row>
    <row r="121" customFormat="false" ht="15" hidden="false" customHeight="false" outlineLevel="0" collapsed="false">
      <c r="A121" s="5" t="n">
        <v>117</v>
      </c>
      <c r="B121" s="29" t="str">
        <f aca="false">IFERROR(MATCH(A121,Homiladorlar!$AH$5:$AH$804,0),"")</f>
        <v/>
      </c>
      <c r="C121" s="5" t="str">
        <f aca="false">IF($B121="","",IF(INDEX(Homiladorlar!$B$5:$B$804,$B121)="","",INDEX(Homiladorlar!$B$5:$B$804,$B121)))</f>
        <v/>
      </c>
      <c r="D121" s="30" t="str">
        <f aca="false">IF($B121="","",IF(INDEX(Homiladorlar!$C$5:$C$804,$B121)="","",INDEX(Homiladorlar!$C$5:$C$804,$B121)))</f>
        <v/>
      </c>
      <c r="E121" s="5" t="str">
        <f aca="false">IF($B121="","",IF(INDEX(Homiladorlar!$F$5:$F$804,$B121)="","",INDEX(Homiladorlar!$F$5:$F$804,$B121)))</f>
        <v/>
      </c>
      <c r="F121" s="5" t="str">
        <f aca="false">IF($B121="","",IF(INDEX(Homiladorlar!$E$5:$E$804,$B121)="","",INDEX(Homiladorlar!$E$5:$E$804,$B121)))</f>
        <v/>
      </c>
      <c r="G121" s="5" t="str">
        <f aca="false">IF($B121="","",IF(INDEX(Homiladorlar!$O$5:$O$804,$B121)="","",INDEX(Homiladorlar!$O$5:$O$804,$B121)))</f>
        <v/>
      </c>
      <c r="H121" s="5" t="str">
        <f aca="false">IF($B121="","",IF(INDEX(Homiladorlar!$Q$5:$Q$804,$B121)="","",INDEX(Homiladorlar!$Q$5:$Q$804,$B121)))</f>
        <v/>
      </c>
      <c r="I121" s="5" t="str">
        <f aca="false">IF($B121="","",IF(INDEX(Homiladorlar!$R$5:$R$804,$B121)="","",INDEX(Homiladorlar!$R$5:$R$804,$B121)))</f>
        <v/>
      </c>
      <c r="J121" s="5" t="str">
        <f aca="false">IF($B121="","",IF(INDEX(Homiladorlar!$K$5:$K$804,$B121)="","",INDEX(Homiladorlar!$K$5:$K$804,$B121)))</f>
        <v/>
      </c>
      <c r="K121" s="30" t="str">
        <f aca="false">IF($B121="","",IF(INDEX(Homiladorlar!$J$5:$J$804,$B121)="","",INDEX(Homiladorlar!$J$5:$J$804,$B121)))</f>
        <v/>
      </c>
      <c r="L121" s="30" t="str">
        <f aca="false">IF($B121="","",IF(INDEX(Homiladorlar!$T$5:$T$804,$B121)="","",INDEX(Homiladorlar!$T$5:$T$804,$B121)))</f>
        <v/>
      </c>
      <c r="M121" s="30" t="str">
        <f aca="false">IF($B121="","",IF(INDEX(Homiladorlar!$AB$5:$AB$804,$B121)="","",INDEX(Homiladorlar!$AB$5:$AB$804,$B121)))</f>
        <v/>
      </c>
      <c r="N121" s="5" t="str">
        <f aca="false">IF($B121="","",IF(INDEX(Homiladorlar!$AC$5:$AC$804,$B121)="","",INDEX(Homiladorlar!$AC$5:$AC$804,$B121)))</f>
        <v/>
      </c>
    </row>
    <row r="122" customFormat="false" ht="15" hidden="false" customHeight="false" outlineLevel="0" collapsed="false">
      <c r="A122" s="5" t="n">
        <v>118</v>
      </c>
      <c r="B122" s="29" t="str">
        <f aca="false">IFERROR(MATCH(A122,Homiladorlar!$AH$5:$AH$804,0),"")</f>
        <v/>
      </c>
      <c r="C122" s="5" t="str">
        <f aca="false">IF($B122="","",IF(INDEX(Homiladorlar!$B$5:$B$804,$B122)="","",INDEX(Homiladorlar!$B$5:$B$804,$B122)))</f>
        <v/>
      </c>
      <c r="D122" s="30" t="str">
        <f aca="false">IF($B122="","",IF(INDEX(Homiladorlar!$C$5:$C$804,$B122)="","",INDEX(Homiladorlar!$C$5:$C$804,$B122)))</f>
        <v/>
      </c>
      <c r="E122" s="5" t="str">
        <f aca="false">IF($B122="","",IF(INDEX(Homiladorlar!$F$5:$F$804,$B122)="","",INDEX(Homiladorlar!$F$5:$F$804,$B122)))</f>
        <v/>
      </c>
      <c r="F122" s="5" t="str">
        <f aca="false">IF($B122="","",IF(INDEX(Homiladorlar!$E$5:$E$804,$B122)="","",INDEX(Homiladorlar!$E$5:$E$804,$B122)))</f>
        <v/>
      </c>
      <c r="G122" s="5" t="str">
        <f aca="false">IF($B122="","",IF(INDEX(Homiladorlar!$O$5:$O$804,$B122)="","",INDEX(Homiladorlar!$O$5:$O$804,$B122)))</f>
        <v/>
      </c>
      <c r="H122" s="5" t="str">
        <f aca="false">IF($B122="","",IF(INDEX(Homiladorlar!$Q$5:$Q$804,$B122)="","",INDEX(Homiladorlar!$Q$5:$Q$804,$B122)))</f>
        <v/>
      </c>
      <c r="I122" s="5" t="str">
        <f aca="false">IF($B122="","",IF(INDEX(Homiladorlar!$R$5:$R$804,$B122)="","",INDEX(Homiladorlar!$R$5:$R$804,$B122)))</f>
        <v/>
      </c>
      <c r="J122" s="5" t="str">
        <f aca="false">IF($B122="","",IF(INDEX(Homiladorlar!$K$5:$K$804,$B122)="","",INDEX(Homiladorlar!$K$5:$K$804,$B122)))</f>
        <v/>
      </c>
      <c r="K122" s="30" t="str">
        <f aca="false">IF($B122="","",IF(INDEX(Homiladorlar!$J$5:$J$804,$B122)="","",INDEX(Homiladorlar!$J$5:$J$804,$B122)))</f>
        <v/>
      </c>
      <c r="L122" s="30" t="str">
        <f aca="false">IF($B122="","",IF(INDEX(Homiladorlar!$T$5:$T$804,$B122)="","",INDEX(Homiladorlar!$T$5:$T$804,$B122)))</f>
        <v/>
      </c>
      <c r="M122" s="30" t="str">
        <f aca="false">IF($B122="","",IF(INDEX(Homiladorlar!$AB$5:$AB$804,$B122)="","",INDEX(Homiladorlar!$AB$5:$AB$804,$B122)))</f>
        <v/>
      </c>
      <c r="N122" s="5" t="str">
        <f aca="false">IF($B122="","",IF(INDEX(Homiladorlar!$AC$5:$AC$804,$B122)="","",INDEX(Homiladorlar!$AC$5:$AC$804,$B122)))</f>
        <v/>
      </c>
    </row>
    <row r="123" customFormat="false" ht="15" hidden="false" customHeight="false" outlineLevel="0" collapsed="false">
      <c r="A123" s="5" t="n">
        <v>119</v>
      </c>
      <c r="B123" s="29" t="str">
        <f aca="false">IFERROR(MATCH(A123,Homiladorlar!$AH$5:$AH$804,0),"")</f>
        <v/>
      </c>
      <c r="C123" s="5" t="str">
        <f aca="false">IF($B123="","",IF(INDEX(Homiladorlar!$B$5:$B$804,$B123)="","",INDEX(Homiladorlar!$B$5:$B$804,$B123)))</f>
        <v/>
      </c>
      <c r="D123" s="30" t="str">
        <f aca="false">IF($B123="","",IF(INDEX(Homiladorlar!$C$5:$C$804,$B123)="","",INDEX(Homiladorlar!$C$5:$C$804,$B123)))</f>
        <v/>
      </c>
      <c r="E123" s="5" t="str">
        <f aca="false">IF($B123="","",IF(INDEX(Homiladorlar!$F$5:$F$804,$B123)="","",INDEX(Homiladorlar!$F$5:$F$804,$B123)))</f>
        <v/>
      </c>
      <c r="F123" s="5" t="str">
        <f aca="false">IF($B123="","",IF(INDEX(Homiladorlar!$E$5:$E$804,$B123)="","",INDEX(Homiladorlar!$E$5:$E$804,$B123)))</f>
        <v/>
      </c>
      <c r="G123" s="5" t="str">
        <f aca="false">IF($B123="","",IF(INDEX(Homiladorlar!$O$5:$O$804,$B123)="","",INDEX(Homiladorlar!$O$5:$O$804,$B123)))</f>
        <v/>
      </c>
      <c r="H123" s="5" t="str">
        <f aca="false">IF($B123="","",IF(INDEX(Homiladorlar!$Q$5:$Q$804,$B123)="","",INDEX(Homiladorlar!$Q$5:$Q$804,$B123)))</f>
        <v/>
      </c>
      <c r="I123" s="5" t="str">
        <f aca="false">IF($B123="","",IF(INDEX(Homiladorlar!$R$5:$R$804,$B123)="","",INDEX(Homiladorlar!$R$5:$R$804,$B123)))</f>
        <v/>
      </c>
      <c r="J123" s="5" t="str">
        <f aca="false">IF($B123="","",IF(INDEX(Homiladorlar!$K$5:$K$804,$B123)="","",INDEX(Homiladorlar!$K$5:$K$804,$B123)))</f>
        <v/>
      </c>
      <c r="K123" s="30" t="str">
        <f aca="false">IF($B123="","",IF(INDEX(Homiladorlar!$J$5:$J$804,$B123)="","",INDEX(Homiladorlar!$J$5:$J$804,$B123)))</f>
        <v/>
      </c>
      <c r="L123" s="30" t="str">
        <f aca="false">IF($B123="","",IF(INDEX(Homiladorlar!$T$5:$T$804,$B123)="","",INDEX(Homiladorlar!$T$5:$T$804,$B123)))</f>
        <v/>
      </c>
      <c r="M123" s="30" t="str">
        <f aca="false">IF($B123="","",IF(INDEX(Homiladorlar!$AB$5:$AB$804,$B123)="","",INDEX(Homiladorlar!$AB$5:$AB$804,$B123)))</f>
        <v/>
      </c>
      <c r="N123" s="5" t="str">
        <f aca="false">IF($B123="","",IF(INDEX(Homiladorlar!$AC$5:$AC$804,$B123)="","",INDEX(Homiladorlar!$AC$5:$AC$804,$B123)))</f>
        <v/>
      </c>
    </row>
    <row r="124" customFormat="false" ht="15" hidden="false" customHeight="false" outlineLevel="0" collapsed="false">
      <c r="A124" s="5" t="n">
        <v>120</v>
      </c>
      <c r="B124" s="29" t="str">
        <f aca="false">IFERROR(MATCH(A124,Homiladorlar!$AH$5:$AH$804,0),"")</f>
        <v/>
      </c>
      <c r="C124" s="5" t="str">
        <f aca="false">IF($B124="","",IF(INDEX(Homiladorlar!$B$5:$B$804,$B124)="","",INDEX(Homiladorlar!$B$5:$B$804,$B124)))</f>
        <v/>
      </c>
      <c r="D124" s="30" t="str">
        <f aca="false">IF($B124="","",IF(INDEX(Homiladorlar!$C$5:$C$804,$B124)="","",INDEX(Homiladorlar!$C$5:$C$804,$B124)))</f>
        <v/>
      </c>
      <c r="E124" s="5" t="str">
        <f aca="false">IF($B124="","",IF(INDEX(Homiladorlar!$F$5:$F$804,$B124)="","",INDEX(Homiladorlar!$F$5:$F$804,$B124)))</f>
        <v/>
      </c>
      <c r="F124" s="5" t="str">
        <f aca="false">IF($B124="","",IF(INDEX(Homiladorlar!$E$5:$E$804,$B124)="","",INDEX(Homiladorlar!$E$5:$E$804,$B124)))</f>
        <v/>
      </c>
      <c r="G124" s="5" t="str">
        <f aca="false">IF($B124="","",IF(INDEX(Homiladorlar!$O$5:$O$804,$B124)="","",INDEX(Homiladorlar!$O$5:$O$804,$B124)))</f>
        <v/>
      </c>
      <c r="H124" s="5" t="str">
        <f aca="false">IF($B124="","",IF(INDEX(Homiladorlar!$Q$5:$Q$804,$B124)="","",INDEX(Homiladorlar!$Q$5:$Q$804,$B124)))</f>
        <v/>
      </c>
      <c r="I124" s="5" t="str">
        <f aca="false">IF($B124="","",IF(INDEX(Homiladorlar!$R$5:$R$804,$B124)="","",INDEX(Homiladorlar!$R$5:$R$804,$B124)))</f>
        <v/>
      </c>
      <c r="J124" s="5" t="str">
        <f aca="false">IF($B124="","",IF(INDEX(Homiladorlar!$K$5:$K$804,$B124)="","",INDEX(Homiladorlar!$K$5:$K$804,$B124)))</f>
        <v/>
      </c>
      <c r="K124" s="30" t="str">
        <f aca="false">IF($B124="","",IF(INDEX(Homiladorlar!$J$5:$J$804,$B124)="","",INDEX(Homiladorlar!$J$5:$J$804,$B124)))</f>
        <v/>
      </c>
      <c r="L124" s="30" t="str">
        <f aca="false">IF($B124="","",IF(INDEX(Homiladorlar!$T$5:$T$804,$B124)="","",INDEX(Homiladorlar!$T$5:$T$804,$B124)))</f>
        <v/>
      </c>
      <c r="M124" s="30" t="str">
        <f aca="false">IF($B124="","",IF(INDEX(Homiladorlar!$AB$5:$AB$804,$B124)="","",INDEX(Homiladorlar!$AB$5:$AB$804,$B124)))</f>
        <v/>
      </c>
      <c r="N124" s="5" t="str">
        <f aca="false">IF($B124="","",IF(INDEX(Homiladorlar!$AC$5:$AC$804,$B124)="","",INDEX(Homiladorlar!$AC$5:$AC$804,$B124)))</f>
        <v/>
      </c>
    </row>
    <row r="125" customFormat="false" ht="15" hidden="false" customHeight="false" outlineLevel="0" collapsed="false">
      <c r="A125" s="5" t="n">
        <v>121</v>
      </c>
      <c r="B125" s="29" t="str">
        <f aca="false">IFERROR(MATCH(A125,Homiladorlar!$AH$5:$AH$804,0),"")</f>
        <v/>
      </c>
      <c r="C125" s="5" t="str">
        <f aca="false">IF($B125="","",IF(INDEX(Homiladorlar!$B$5:$B$804,$B125)="","",INDEX(Homiladorlar!$B$5:$B$804,$B125)))</f>
        <v/>
      </c>
      <c r="D125" s="30" t="str">
        <f aca="false">IF($B125="","",IF(INDEX(Homiladorlar!$C$5:$C$804,$B125)="","",INDEX(Homiladorlar!$C$5:$C$804,$B125)))</f>
        <v/>
      </c>
      <c r="E125" s="5" t="str">
        <f aca="false">IF($B125="","",IF(INDEX(Homiladorlar!$F$5:$F$804,$B125)="","",INDEX(Homiladorlar!$F$5:$F$804,$B125)))</f>
        <v/>
      </c>
      <c r="F125" s="5" t="str">
        <f aca="false">IF($B125="","",IF(INDEX(Homiladorlar!$E$5:$E$804,$B125)="","",INDEX(Homiladorlar!$E$5:$E$804,$B125)))</f>
        <v/>
      </c>
      <c r="G125" s="5" t="str">
        <f aca="false">IF($B125="","",IF(INDEX(Homiladorlar!$O$5:$O$804,$B125)="","",INDEX(Homiladorlar!$O$5:$O$804,$B125)))</f>
        <v/>
      </c>
      <c r="H125" s="5" t="str">
        <f aca="false">IF($B125="","",IF(INDEX(Homiladorlar!$Q$5:$Q$804,$B125)="","",INDEX(Homiladorlar!$Q$5:$Q$804,$B125)))</f>
        <v/>
      </c>
      <c r="I125" s="5" t="str">
        <f aca="false">IF($B125="","",IF(INDEX(Homiladorlar!$R$5:$R$804,$B125)="","",INDEX(Homiladorlar!$R$5:$R$804,$B125)))</f>
        <v/>
      </c>
      <c r="J125" s="5" t="str">
        <f aca="false">IF($B125="","",IF(INDEX(Homiladorlar!$K$5:$K$804,$B125)="","",INDEX(Homiladorlar!$K$5:$K$804,$B125)))</f>
        <v/>
      </c>
      <c r="K125" s="30" t="str">
        <f aca="false">IF($B125="","",IF(INDEX(Homiladorlar!$J$5:$J$804,$B125)="","",INDEX(Homiladorlar!$J$5:$J$804,$B125)))</f>
        <v/>
      </c>
      <c r="L125" s="30" t="str">
        <f aca="false">IF($B125="","",IF(INDEX(Homiladorlar!$T$5:$T$804,$B125)="","",INDEX(Homiladorlar!$T$5:$T$804,$B125)))</f>
        <v/>
      </c>
      <c r="M125" s="30" t="str">
        <f aca="false">IF($B125="","",IF(INDEX(Homiladorlar!$AB$5:$AB$804,$B125)="","",INDEX(Homiladorlar!$AB$5:$AB$804,$B125)))</f>
        <v/>
      </c>
      <c r="N125" s="5" t="str">
        <f aca="false">IF($B125="","",IF(INDEX(Homiladorlar!$AC$5:$AC$804,$B125)="","",INDEX(Homiladorlar!$AC$5:$AC$804,$B125)))</f>
        <v/>
      </c>
    </row>
    <row r="126" customFormat="false" ht="15" hidden="false" customHeight="false" outlineLevel="0" collapsed="false">
      <c r="A126" s="5" t="n">
        <v>122</v>
      </c>
      <c r="B126" s="29" t="str">
        <f aca="false">IFERROR(MATCH(A126,Homiladorlar!$AH$5:$AH$804,0),"")</f>
        <v/>
      </c>
      <c r="C126" s="5" t="str">
        <f aca="false">IF($B126="","",IF(INDEX(Homiladorlar!$B$5:$B$804,$B126)="","",INDEX(Homiladorlar!$B$5:$B$804,$B126)))</f>
        <v/>
      </c>
      <c r="D126" s="30" t="str">
        <f aca="false">IF($B126="","",IF(INDEX(Homiladorlar!$C$5:$C$804,$B126)="","",INDEX(Homiladorlar!$C$5:$C$804,$B126)))</f>
        <v/>
      </c>
      <c r="E126" s="5" t="str">
        <f aca="false">IF($B126="","",IF(INDEX(Homiladorlar!$F$5:$F$804,$B126)="","",INDEX(Homiladorlar!$F$5:$F$804,$B126)))</f>
        <v/>
      </c>
      <c r="F126" s="5" t="str">
        <f aca="false">IF($B126="","",IF(INDEX(Homiladorlar!$E$5:$E$804,$B126)="","",INDEX(Homiladorlar!$E$5:$E$804,$B126)))</f>
        <v/>
      </c>
      <c r="G126" s="5" t="str">
        <f aca="false">IF($B126="","",IF(INDEX(Homiladorlar!$O$5:$O$804,$B126)="","",INDEX(Homiladorlar!$O$5:$O$804,$B126)))</f>
        <v/>
      </c>
      <c r="H126" s="5" t="str">
        <f aca="false">IF($B126="","",IF(INDEX(Homiladorlar!$Q$5:$Q$804,$B126)="","",INDEX(Homiladorlar!$Q$5:$Q$804,$B126)))</f>
        <v/>
      </c>
      <c r="I126" s="5" t="str">
        <f aca="false">IF($B126="","",IF(INDEX(Homiladorlar!$R$5:$R$804,$B126)="","",INDEX(Homiladorlar!$R$5:$R$804,$B126)))</f>
        <v/>
      </c>
      <c r="J126" s="5" t="str">
        <f aca="false">IF($B126="","",IF(INDEX(Homiladorlar!$K$5:$K$804,$B126)="","",INDEX(Homiladorlar!$K$5:$K$804,$B126)))</f>
        <v/>
      </c>
      <c r="K126" s="30" t="str">
        <f aca="false">IF($B126="","",IF(INDEX(Homiladorlar!$J$5:$J$804,$B126)="","",INDEX(Homiladorlar!$J$5:$J$804,$B126)))</f>
        <v/>
      </c>
      <c r="L126" s="30" t="str">
        <f aca="false">IF($B126="","",IF(INDEX(Homiladorlar!$T$5:$T$804,$B126)="","",INDEX(Homiladorlar!$T$5:$T$804,$B126)))</f>
        <v/>
      </c>
      <c r="M126" s="30" t="str">
        <f aca="false">IF($B126="","",IF(INDEX(Homiladorlar!$AB$5:$AB$804,$B126)="","",INDEX(Homiladorlar!$AB$5:$AB$804,$B126)))</f>
        <v/>
      </c>
      <c r="N126" s="5" t="str">
        <f aca="false">IF($B126="","",IF(INDEX(Homiladorlar!$AC$5:$AC$804,$B126)="","",INDEX(Homiladorlar!$AC$5:$AC$804,$B126)))</f>
        <v/>
      </c>
    </row>
    <row r="127" customFormat="false" ht="15" hidden="false" customHeight="false" outlineLevel="0" collapsed="false">
      <c r="A127" s="5" t="n">
        <v>123</v>
      </c>
      <c r="B127" s="29" t="str">
        <f aca="false">IFERROR(MATCH(A127,Homiladorlar!$AH$5:$AH$804,0),"")</f>
        <v/>
      </c>
      <c r="C127" s="5" t="str">
        <f aca="false">IF($B127="","",IF(INDEX(Homiladorlar!$B$5:$B$804,$B127)="","",INDEX(Homiladorlar!$B$5:$B$804,$B127)))</f>
        <v/>
      </c>
      <c r="D127" s="30" t="str">
        <f aca="false">IF($B127="","",IF(INDEX(Homiladorlar!$C$5:$C$804,$B127)="","",INDEX(Homiladorlar!$C$5:$C$804,$B127)))</f>
        <v/>
      </c>
      <c r="E127" s="5" t="str">
        <f aca="false">IF($B127="","",IF(INDEX(Homiladorlar!$F$5:$F$804,$B127)="","",INDEX(Homiladorlar!$F$5:$F$804,$B127)))</f>
        <v/>
      </c>
      <c r="F127" s="5" t="str">
        <f aca="false">IF($B127="","",IF(INDEX(Homiladorlar!$E$5:$E$804,$B127)="","",INDEX(Homiladorlar!$E$5:$E$804,$B127)))</f>
        <v/>
      </c>
      <c r="G127" s="5" t="str">
        <f aca="false">IF($B127="","",IF(INDEX(Homiladorlar!$O$5:$O$804,$B127)="","",INDEX(Homiladorlar!$O$5:$O$804,$B127)))</f>
        <v/>
      </c>
      <c r="H127" s="5" t="str">
        <f aca="false">IF($B127="","",IF(INDEX(Homiladorlar!$Q$5:$Q$804,$B127)="","",INDEX(Homiladorlar!$Q$5:$Q$804,$B127)))</f>
        <v/>
      </c>
      <c r="I127" s="5" t="str">
        <f aca="false">IF($B127="","",IF(INDEX(Homiladorlar!$R$5:$R$804,$B127)="","",INDEX(Homiladorlar!$R$5:$R$804,$B127)))</f>
        <v/>
      </c>
      <c r="J127" s="5" t="str">
        <f aca="false">IF($B127="","",IF(INDEX(Homiladorlar!$K$5:$K$804,$B127)="","",INDEX(Homiladorlar!$K$5:$K$804,$B127)))</f>
        <v/>
      </c>
      <c r="K127" s="30" t="str">
        <f aca="false">IF($B127="","",IF(INDEX(Homiladorlar!$J$5:$J$804,$B127)="","",INDEX(Homiladorlar!$J$5:$J$804,$B127)))</f>
        <v/>
      </c>
      <c r="L127" s="30" t="str">
        <f aca="false">IF($B127="","",IF(INDEX(Homiladorlar!$T$5:$T$804,$B127)="","",INDEX(Homiladorlar!$T$5:$T$804,$B127)))</f>
        <v/>
      </c>
      <c r="M127" s="30" t="str">
        <f aca="false">IF($B127="","",IF(INDEX(Homiladorlar!$AB$5:$AB$804,$B127)="","",INDEX(Homiladorlar!$AB$5:$AB$804,$B127)))</f>
        <v/>
      </c>
      <c r="N127" s="5" t="str">
        <f aca="false">IF($B127="","",IF(INDEX(Homiladorlar!$AC$5:$AC$804,$B127)="","",INDEX(Homiladorlar!$AC$5:$AC$804,$B127)))</f>
        <v/>
      </c>
    </row>
    <row r="128" customFormat="false" ht="15" hidden="false" customHeight="false" outlineLevel="0" collapsed="false">
      <c r="A128" s="5" t="n">
        <v>124</v>
      </c>
      <c r="B128" s="29" t="str">
        <f aca="false">IFERROR(MATCH(A128,Homiladorlar!$AH$5:$AH$804,0),"")</f>
        <v/>
      </c>
      <c r="C128" s="5" t="str">
        <f aca="false">IF($B128="","",IF(INDEX(Homiladorlar!$B$5:$B$804,$B128)="","",INDEX(Homiladorlar!$B$5:$B$804,$B128)))</f>
        <v/>
      </c>
      <c r="D128" s="30" t="str">
        <f aca="false">IF($B128="","",IF(INDEX(Homiladorlar!$C$5:$C$804,$B128)="","",INDEX(Homiladorlar!$C$5:$C$804,$B128)))</f>
        <v/>
      </c>
      <c r="E128" s="5" t="str">
        <f aca="false">IF($B128="","",IF(INDEX(Homiladorlar!$F$5:$F$804,$B128)="","",INDEX(Homiladorlar!$F$5:$F$804,$B128)))</f>
        <v/>
      </c>
      <c r="F128" s="5" t="str">
        <f aca="false">IF($B128="","",IF(INDEX(Homiladorlar!$E$5:$E$804,$B128)="","",INDEX(Homiladorlar!$E$5:$E$804,$B128)))</f>
        <v/>
      </c>
      <c r="G128" s="5" t="str">
        <f aca="false">IF($B128="","",IF(INDEX(Homiladorlar!$O$5:$O$804,$B128)="","",INDEX(Homiladorlar!$O$5:$O$804,$B128)))</f>
        <v/>
      </c>
      <c r="H128" s="5" t="str">
        <f aca="false">IF($B128="","",IF(INDEX(Homiladorlar!$Q$5:$Q$804,$B128)="","",INDEX(Homiladorlar!$Q$5:$Q$804,$B128)))</f>
        <v/>
      </c>
      <c r="I128" s="5" t="str">
        <f aca="false">IF($B128="","",IF(INDEX(Homiladorlar!$R$5:$R$804,$B128)="","",INDEX(Homiladorlar!$R$5:$R$804,$B128)))</f>
        <v/>
      </c>
      <c r="J128" s="5" t="str">
        <f aca="false">IF($B128="","",IF(INDEX(Homiladorlar!$K$5:$K$804,$B128)="","",INDEX(Homiladorlar!$K$5:$K$804,$B128)))</f>
        <v/>
      </c>
      <c r="K128" s="30" t="str">
        <f aca="false">IF($B128="","",IF(INDEX(Homiladorlar!$J$5:$J$804,$B128)="","",INDEX(Homiladorlar!$J$5:$J$804,$B128)))</f>
        <v/>
      </c>
      <c r="L128" s="30" t="str">
        <f aca="false">IF($B128="","",IF(INDEX(Homiladorlar!$T$5:$T$804,$B128)="","",INDEX(Homiladorlar!$T$5:$T$804,$B128)))</f>
        <v/>
      </c>
      <c r="M128" s="30" t="str">
        <f aca="false">IF($B128="","",IF(INDEX(Homiladorlar!$AB$5:$AB$804,$B128)="","",INDEX(Homiladorlar!$AB$5:$AB$804,$B128)))</f>
        <v/>
      </c>
      <c r="N128" s="5" t="str">
        <f aca="false">IF($B128="","",IF(INDEX(Homiladorlar!$AC$5:$AC$804,$B128)="","",INDEX(Homiladorlar!$AC$5:$AC$804,$B128)))</f>
        <v/>
      </c>
    </row>
    <row r="129" customFormat="false" ht="15" hidden="false" customHeight="false" outlineLevel="0" collapsed="false">
      <c r="A129" s="5" t="n">
        <v>125</v>
      </c>
      <c r="B129" s="29" t="str">
        <f aca="false">IFERROR(MATCH(A129,Homiladorlar!$AH$5:$AH$804,0),"")</f>
        <v/>
      </c>
      <c r="C129" s="5" t="str">
        <f aca="false">IF($B129="","",IF(INDEX(Homiladorlar!$B$5:$B$804,$B129)="","",INDEX(Homiladorlar!$B$5:$B$804,$B129)))</f>
        <v/>
      </c>
      <c r="D129" s="30" t="str">
        <f aca="false">IF($B129="","",IF(INDEX(Homiladorlar!$C$5:$C$804,$B129)="","",INDEX(Homiladorlar!$C$5:$C$804,$B129)))</f>
        <v/>
      </c>
      <c r="E129" s="5" t="str">
        <f aca="false">IF($B129="","",IF(INDEX(Homiladorlar!$F$5:$F$804,$B129)="","",INDEX(Homiladorlar!$F$5:$F$804,$B129)))</f>
        <v/>
      </c>
      <c r="F129" s="5" t="str">
        <f aca="false">IF($B129="","",IF(INDEX(Homiladorlar!$E$5:$E$804,$B129)="","",INDEX(Homiladorlar!$E$5:$E$804,$B129)))</f>
        <v/>
      </c>
      <c r="G129" s="5" t="str">
        <f aca="false">IF($B129="","",IF(INDEX(Homiladorlar!$O$5:$O$804,$B129)="","",INDEX(Homiladorlar!$O$5:$O$804,$B129)))</f>
        <v/>
      </c>
      <c r="H129" s="5" t="str">
        <f aca="false">IF($B129="","",IF(INDEX(Homiladorlar!$Q$5:$Q$804,$B129)="","",INDEX(Homiladorlar!$Q$5:$Q$804,$B129)))</f>
        <v/>
      </c>
      <c r="I129" s="5" t="str">
        <f aca="false">IF($B129="","",IF(INDEX(Homiladorlar!$R$5:$R$804,$B129)="","",INDEX(Homiladorlar!$R$5:$R$804,$B129)))</f>
        <v/>
      </c>
      <c r="J129" s="5" t="str">
        <f aca="false">IF($B129="","",IF(INDEX(Homiladorlar!$K$5:$K$804,$B129)="","",INDEX(Homiladorlar!$K$5:$K$804,$B129)))</f>
        <v/>
      </c>
      <c r="K129" s="30" t="str">
        <f aca="false">IF($B129="","",IF(INDEX(Homiladorlar!$J$5:$J$804,$B129)="","",INDEX(Homiladorlar!$J$5:$J$804,$B129)))</f>
        <v/>
      </c>
      <c r="L129" s="30" t="str">
        <f aca="false">IF($B129="","",IF(INDEX(Homiladorlar!$T$5:$T$804,$B129)="","",INDEX(Homiladorlar!$T$5:$T$804,$B129)))</f>
        <v/>
      </c>
      <c r="M129" s="30" t="str">
        <f aca="false">IF($B129="","",IF(INDEX(Homiladorlar!$AB$5:$AB$804,$B129)="","",INDEX(Homiladorlar!$AB$5:$AB$804,$B129)))</f>
        <v/>
      </c>
      <c r="N129" s="5" t="str">
        <f aca="false">IF($B129="","",IF(INDEX(Homiladorlar!$AC$5:$AC$804,$B129)="","",INDEX(Homiladorlar!$AC$5:$AC$804,$B129)))</f>
        <v/>
      </c>
    </row>
    <row r="130" customFormat="false" ht="15" hidden="false" customHeight="false" outlineLevel="0" collapsed="false">
      <c r="A130" s="5" t="n">
        <v>126</v>
      </c>
      <c r="B130" s="29" t="str">
        <f aca="false">IFERROR(MATCH(A130,Homiladorlar!$AH$5:$AH$804,0),"")</f>
        <v/>
      </c>
      <c r="C130" s="5" t="str">
        <f aca="false">IF($B130="","",IF(INDEX(Homiladorlar!$B$5:$B$804,$B130)="","",INDEX(Homiladorlar!$B$5:$B$804,$B130)))</f>
        <v/>
      </c>
      <c r="D130" s="30" t="str">
        <f aca="false">IF($B130="","",IF(INDEX(Homiladorlar!$C$5:$C$804,$B130)="","",INDEX(Homiladorlar!$C$5:$C$804,$B130)))</f>
        <v/>
      </c>
      <c r="E130" s="5" t="str">
        <f aca="false">IF($B130="","",IF(INDEX(Homiladorlar!$F$5:$F$804,$B130)="","",INDEX(Homiladorlar!$F$5:$F$804,$B130)))</f>
        <v/>
      </c>
      <c r="F130" s="5" t="str">
        <f aca="false">IF($B130="","",IF(INDEX(Homiladorlar!$E$5:$E$804,$B130)="","",INDEX(Homiladorlar!$E$5:$E$804,$B130)))</f>
        <v/>
      </c>
      <c r="G130" s="5" t="str">
        <f aca="false">IF($B130="","",IF(INDEX(Homiladorlar!$O$5:$O$804,$B130)="","",INDEX(Homiladorlar!$O$5:$O$804,$B130)))</f>
        <v/>
      </c>
      <c r="H130" s="5" t="str">
        <f aca="false">IF($B130="","",IF(INDEX(Homiladorlar!$Q$5:$Q$804,$B130)="","",INDEX(Homiladorlar!$Q$5:$Q$804,$B130)))</f>
        <v/>
      </c>
      <c r="I130" s="5" t="str">
        <f aca="false">IF($B130="","",IF(INDEX(Homiladorlar!$R$5:$R$804,$B130)="","",INDEX(Homiladorlar!$R$5:$R$804,$B130)))</f>
        <v/>
      </c>
      <c r="J130" s="5" t="str">
        <f aca="false">IF($B130="","",IF(INDEX(Homiladorlar!$K$5:$K$804,$B130)="","",INDEX(Homiladorlar!$K$5:$K$804,$B130)))</f>
        <v/>
      </c>
      <c r="K130" s="30" t="str">
        <f aca="false">IF($B130="","",IF(INDEX(Homiladorlar!$J$5:$J$804,$B130)="","",INDEX(Homiladorlar!$J$5:$J$804,$B130)))</f>
        <v/>
      </c>
      <c r="L130" s="30" t="str">
        <f aca="false">IF($B130="","",IF(INDEX(Homiladorlar!$T$5:$T$804,$B130)="","",INDEX(Homiladorlar!$T$5:$T$804,$B130)))</f>
        <v/>
      </c>
      <c r="M130" s="30" t="str">
        <f aca="false">IF($B130="","",IF(INDEX(Homiladorlar!$AB$5:$AB$804,$B130)="","",INDEX(Homiladorlar!$AB$5:$AB$804,$B130)))</f>
        <v/>
      </c>
      <c r="N130" s="5" t="str">
        <f aca="false">IF($B130="","",IF(INDEX(Homiladorlar!$AC$5:$AC$804,$B130)="","",INDEX(Homiladorlar!$AC$5:$AC$804,$B130)))</f>
        <v/>
      </c>
    </row>
    <row r="131" customFormat="false" ht="15" hidden="false" customHeight="false" outlineLevel="0" collapsed="false">
      <c r="A131" s="5" t="n">
        <v>127</v>
      </c>
      <c r="B131" s="29" t="str">
        <f aca="false">IFERROR(MATCH(A131,Homiladorlar!$AH$5:$AH$804,0),"")</f>
        <v/>
      </c>
      <c r="C131" s="5" t="str">
        <f aca="false">IF($B131="","",IF(INDEX(Homiladorlar!$B$5:$B$804,$B131)="","",INDEX(Homiladorlar!$B$5:$B$804,$B131)))</f>
        <v/>
      </c>
      <c r="D131" s="30" t="str">
        <f aca="false">IF($B131="","",IF(INDEX(Homiladorlar!$C$5:$C$804,$B131)="","",INDEX(Homiladorlar!$C$5:$C$804,$B131)))</f>
        <v/>
      </c>
      <c r="E131" s="5" t="str">
        <f aca="false">IF($B131="","",IF(INDEX(Homiladorlar!$F$5:$F$804,$B131)="","",INDEX(Homiladorlar!$F$5:$F$804,$B131)))</f>
        <v/>
      </c>
      <c r="F131" s="5" t="str">
        <f aca="false">IF($B131="","",IF(INDEX(Homiladorlar!$E$5:$E$804,$B131)="","",INDEX(Homiladorlar!$E$5:$E$804,$B131)))</f>
        <v/>
      </c>
      <c r="G131" s="5" t="str">
        <f aca="false">IF($B131="","",IF(INDEX(Homiladorlar!$O$5:$O$804,$B131)="","",INDEX(Homiladorlar!$O$5:$O$804,$B131)))</f>
        <v/>
      </c>
      <c r="H131" s="5" t="str">
        <f aca="false">IF($B131="","",IF(INDEX(Homiladorlar!$Q$5:$Q$804,$B131)="","",INDEX(Homiladorlar!$Q$5:$Q$804,$B131)))</f>
        <v/>
      </c>
      <c r="I131" s="5" t="str">
        <f aca="false">IF($B131="","",IF(INDEX(Homiladorlar!$R$5:$R$804,$B131)="","",INDEX(Homiladorlar!$R$5:$R$804,$B131)))</f>
        <v/>
      </c>
      <c r="J131" s="5" t="str">
        <f aca="false">IF($B131="","",IF(INDEX(Homiladorlar!$K$5:$K$804,$B131)="","",INDEX(Homiladorlar!$K$5:$K$804,$B131)))</f>
        <v/>
      </c>
      <c r="K131" s="30" t="str">
        <f aca="false">IF($B131="","",IF(INDEX(Homiladorlar!$J$5:$J$804,$B131)="","",INDEX(Homiladorlar!$J$5:$J$804,$B131)))</f>
        <v/>
      </c>
      <c r="L131" s="30" t="str">
        <f aca="false">IF($B131="","",IF(INDEX(Homiladorlar!$T$5:$T$804,$B131)="","",INDEX(Homiladorlar!$T$5:$T$804,$B131)))</f>
        <v/>
      </c>
      <c r="M131" s="30" t="str">
        <f aca="false">IF($B131="","",IF(INDEX(Homiladorlar!$AB$5:$AB$804,$B131)="","",INDEX(Homiladorlar!$AB$5:$AB$804,$B131)))</f>
        <v/>
      </c>
      <c r="N131" s="5" t="str">
        <f aca="false">IF($B131="","",IF(INDEX(Homiladorlar!$AC$5:$AC$804,$B131)="","",INDEX(Homiladorlar!$AC$5:$AC$804,$B131)))</f>
        <v/>
      </c>
    </row>
    <row r="132" customFormat="false" ht="15" hidden="false" customHeight="false" outlineLevel="0" collapsed="false">
      <c r="A132" s="5" t="n">
        <v>128</v>
      </c>
      <c r="B132" s="29" t="str">
        <f aca="false">IFERROR(MATCH(A132,Homiladorlar!$AH$5:$AH$804,0),"")</f>
        <v/>
      </c>
      <c r="C132" s="5" t="str">
        <f aca="false">IF($B132="","",IF(INDEX(Homiladorlar!$B$5:$B$804,$B132)="","",INDEX(Homiladorlar!$B$5:$B$804,$B132)))</f>
        <v/>
      </c>
      <c r="D132" s="30" t="str">
        <f aca="false">IF($B132="","",IF(INDEX(Homiladorlar!$C$5:$C$804,$B132)="","",INDEX(Homiladorlar!$C$5:$C$804,$B132)))</f>
        <v/>
      </c>
      <c r="E132" s="5" t="str">
        <f aca="false">IF($B132="","",IF(INDEX(Homiladorlar!$F$5:$F$804,$B132)="","",INDEX(Homiladorlar!$F$5:$F$804,$B132)))</f>
        <v/>
      </c>
      <c r="F132" s="5" t="str">
        <f aca="false">IF($B132="","",IF(INDEX(Homiladorlar!$E$5:$E$804,$B132)="","",INDEX(Homiladorlar!$E$5:$E$804,$B132)))</f>
        <v/>
      </c>
      <c r="G132" s="5" t="str">
        <f aca="false">IF($B132="","",IF(INDEX(Homiladorlar!$O$5:$O$804,$B132)="","",INDEX(Homiladorlar!$O$5:$O$804,$B132)))</f>
        <v/>
      </c>
      <c r="H132" s="5" t="str">
        <f aca="false">IF($B132="","",IF(INDEX(Homiladorlar!$Q$5:$Q$804,$B132)="","",INDEX(Homiladorlar!$Q$5:$Q$804,$B132)))</f>
        <v/>
      </c>
      <c r="I132" s="5" t="str">
        <f aca="false">IF($B132="","",IF(INDEX(Homiladorlar!$R$5:$R$804,$B132)="","",INDEX(Homiladorlar!$R$5:$R$804,$B132)))</f>
        <v/>
      </c>
      <c r="J132" s="5" t="str">
        <f aca="false">IF($B132="","",IF(INDEX(Homiladorlar!$K$5:$K$804,$B132)="","",INDEX(Homiladorlar!$K$5:$K$804,$B132)))</f>
        <v/>
      </c>
      <c r="K132" s="30" t="str">
        <f aca="false">IF($B132="","",IF(INDEX(Homiladorlar!$J$5:$J$804,$B132)="","",INDEX(Homiladorlar!$J$5:$J$804,$B132)))</f>
        <v/>
      </c>
      <c r="L132" s="30" t="str">
        <f aca="false">IF($B132="","",IF(INDEX(Homiladorlar!$T$5:$T$804,$B132)="","",INDEX(Homiladorlar!$T$5:$T$804,$B132)))</f>
        <v/>
      </c>
      <c r="M132" s="30" t="str">
        <f aca="false">IF($B132="","",IF(INDEX(Homiladorlar!$AB$5:$AB$804,$B132)="","",INDEX(Homiladorlar!$AB$5:$AB$804,$B132)))</f>
        <v/>
      </c>
      <c r="N132" s="5" t="str">
        <f aca="false">IF($B132="","",IF(INDEX(Homiladorlar!$AC$5:$AC$804,$B132)="","",INDEX(Homiladorlar!$AC$5:$AC$804,$B132)))</f>
        <v/>
      </c>
    </row>
    <row r="133" customFormat="false" ht="15" hidden="false" customHeight="false" outlineLevel="0" collapsed="false">
      <c r="A133" s="5" t="n">
        <v>129</v>
      </c>
      <c r="B133" s="29" t="str">
        <f aca="false">IFERROR(MATCH(A133,Homiladorlar!$AH$5:$AH$804,0),"")</f>
        <v/>
      </c>
      <c r="C133" s="5" t="str">
        <f aca="false">IF($B133="","",IF(INDEX(Homiladorlar!$B$5:$B$804,$B133)="","",INDEX(Homiladorlar!$B$5:$B$804,$B133)))</f>
        <v/>
      </c>
      <c r="D133" s="30" t="str">
        <f aca="false">IF($B133="","",IF(INDEX(Homiladorlar!$C$5:$C$804,$B133)="","",INDEX(Homiladorlar!$C$5:$C$804,$B133)))</f>
        <v/>
      </c>
      <c r="E133" s="5" t="str">
        <f aca="false">IF($B133="","",IF(INDEX(Homiladorlar!$F$5:$F$804,$B133)="","",INDEX(Homiladorlar!$F$5:$F$804,$B133)))</f>
        <v/>
      </c>
      <c r="F133" s="5" t="str">
        <f aca="false">IF($B133="","",IF(INDEX(Homiladorlar!$E$5:$E$804,$B133)="","",INDEX(Homiladorlar!$E$5:$E$804,$B133)))</f>
        <v/>
      </c>
      <c r="G133" s="5" t="str">
        <f aca="false">IF($B133="","",IF(INDEX(Homiladorlar!$O$5:$O$804,$B133)="","",INDEX(Homiladorlar!$O$5:$O$804,$B133)))</f>
        <v/>
      </c>
      <c r="H133" s="5" t="str">
        <f aca="false">IF($B133="","",IF(INDEX(Homiladorlar!$Q$5:$Q$804,$B133)="","",INDEX(Homiladorlar!$Q$5:$Q$804,$B133)))</f>
        <v/>
      </c>
      <c r="I133" s="5" t="str">
        <f aca="false">IF($B133="","",IF(INDEX(Homiladorlar!$R$5:$R$804,$B133)="","",INDEX(Homiladorlar!$R$5:$R$804,$B133)))</f>
        <v/>
      </c>
      <c r="J133" s="5" t="str">
        <f aca="false">IF($B133="","",IF(INDEX(Homiladorlar!$K$5:$K$804,$B133)="","",INDEX(Homiladorlar!$K$5:$K$804,$B133)))</f>
        <v/>
      </c>
      <c r="K133" s="30" t="str">
        <f aca="false">IF($B133="","",IF(INDEX(Homiladorlar!$J$5:$J$804,$B133)="","",INDEX(Homiladorlar!$J$5:$J$804,$B133)))</f>
        <v/>
      </c>
      <c r="L133" s="30" t="str">
        <f aca="false">IF($B133="","",IF(INDEX(Homiladorlar!$T$5:$T$804,$B133)="","",INDEX(Homiladorlar!$T$5:$T$804,$B133)))</f>
        <v/>
      </c>
      <c r="M133" s="30" t="str">
        <f aca="false">IF($B133="","",IF(INDEX(Homiladorlar!$AB$5:$AB$804,$B133)="","",INDEX(Homiladorlar!$AB$5:$AB$804,$B133)))</f>
        <v/>
      </c>
      <c r="N133" s="5" t="str">
        <f aca="false">IF($B133="","",IF(INDEX(Homiladorlar!$AC$5:$AC$804,$B133)="","",INDEX(Homiladorlar!$AC$5:$AC$804,$B133)))</f>
        <v/>
      </c>
    </row>
    <row r="134" customFormat="false" ht="15" hidden="false" customHeight="false" outlineLevel="0" collapsed="false">
      <c r="A134" s="5" t="n">
        <v>130</v>
      </c>
      <c r="B134" s="29" t="str">
        <f aca="false">IFERROR(MATCH(A134,Homiladorlar!$AH$5:$AH$804,0),"")</f>
        <v/>
      </c>
      <c r="C134" s="5" t="str">
        <f aca="false">IF($B134="","",IF(INDEX(Homiladorlar!$B$5:$B$804,$B134)="","",INDEX(Homiladorlar!$B$5:$B$804,$B134)))</f>
        <v/>
      </c>
      <c r="D134" s="30" t="str">
        <f aca="false">IF($B134="","",IF(INDEX(Homiladorlar!$C$5:$C$804,$B134)="","",INDEX(Homiladorlar!$C$5:$C$804,$B134)))</f>
        <v/>
      </c>
      <c r="E134" s="5" t="str">
        <f aca="false">IF($B134="","",IF(INDEX(Homiladorlar!$F$5:$F$804,$B134)="","",INDEX(Homiladorlar!$F$5:$F$804,$B134)))</f>
        <v/>
      </c>
      <c r="F134" s="5" t="str">
        <f aca="false">IF($B134="","",IF(INDEX(Homiladorlar!$E$5:$E$804,$B134)="","",INDEX(Homiladorlar!$E$5:$E$804,$B134)))</f>
        <v/>
      </c>
      <c r="G134" s="5" t="str">
        <f aca="false">IF($B134="","",IF(INDEX(Homiladorlar!$O$5:$O$804,$B134)="","",INDEX(Homiladorlar!$O$5:$O$804,$B134)))</f>
        <v/>
      </c>
      <c r="H134" s="5" t="str">
        <f aca="false">IF($B134="","",IF(INDEX(Homiladorlar!$Q$5:$Q$804,$B134)="","",INDEX(Homiladorlar!$Q$5:$Q$804,$B134)))</f>
        <v/>
      </c>
      <c r="I134" s="5" t="str">
        <f aca="false">IF($B134="","",IF(INDEX(Homiladorlar!$R$5:$R$804,$B134)="","",INDEX(Homiladorlar!$R$5:$R$804,$B134)))</f>
        <v/>
      </c>
      <c r="J134" s="5" t="str">
        <f aca="false">IF($B134="","",IF(INDEX(Homiladorlar!$K$5:$K$804,$B134)="","",INDEX(Homiladorlar!$K$5:$K$804,$B134)))</f>
        <v/>
      </c>
      <c r="K134" s="30" t="str">
        <f aca="false">IF($B134="","",IF(INDEX(Homiladorlar!$J$5:$J$804,$B134)="","",INDEX(Homiladorlar!$J$5:$J$804,$B134)))</f>
        <v/>
      </c>
      <c r="L134" s="30" t="str">
        <f aca="false">IF($B134="","",IF(INDEX(Homiladorlar!$T$5:$T$804,$B134)="","",INDEX(Homiladorlar!$T$5:$T$804,$B134)))</f>
        <v/>
      </c>
      <c r="M134" s="30" t="str">
        <f aca="false">IF($B134="","",IF(INDEX(Homiladorlar!$AB$5:$AB$804,$B134)="","",INDEX(Homiladorlar!$AB$5:$AB$804,$B134)))</f>
        <v/>
      </c>
      <c r="N134" s="5" t="str">
        <f aca="false">IF($B134="","",IF(INDEX(Homiladorlar!$AC$5:$AC$804,$B134)="","",INDEX(Homiladorlar!$AC$5:$AC$804,$B134)))</f>
        <v/>
      </c>
    </row>
    <row r="135" customFormat="false" ht="15" hidden="false" customHeight="false" outlineLevel="0" collapsed="false">
      <c r="A135" s="5" t="n">
        <v>131</v>
      </c>
      <c r="B135" s="29" t="str">
        <f aca="false">IFERROR(MATCH(A135,Homiladorlar!$AH$5:$AH$804,0),"")</f>
        <v/>
      </c>
      <c r="C135" s="5" t="str">
        <f aca="false">IF($B135="","",IF(INDEX(Homiladorlar!$B$5:$B$804,$B135)="","",INDEX(Homiladorlar!$B$5:$B$804,$B135)))</f>
        <v/>
      </c>
      <c r="D135" s="30" t="str">
        <f aca="false">IF($B135="","",IF(INDEX(Homiladorlar!$C$5:$C$804,$B135)="","",INDEX(Homiladorlar!$C$5:$C$804,$B135)))</f>
        <v/>
      </c>
      <c r="E135" s="5" t="str">
        <f aca="false">IF($B135="","",IF(INDEX(Homiladorlar!$F$5:$F$804,$B135)="","",INDEX(Homiladorlar!$F$5:$F$804,$B135)))</f>
        <v/>
      </c>
      <c r="F135" s="5" t="str">
        <f aca="false">IF($B135="","",IF(INDEX(Homiladorlar!$E$5:$E$804,$B135)="","",INDEX(Homiladorlar!$E$5:$E$804,$B135)))</f>
        <v/>
      </c>
      <c r="G135" s="5" t="str">
        <f aca="false">IF($B135="","",IF(INDEX(Homiladorlar!$O$5:$O$804,$B135)="","",INDEX(Homiladorlar!$O$5:$O$804,$B135)))</f>
        <v/>
      </c>
      <c r="H135" s="5" t="str">
        <f aca="false">IF($B135="","",IF(INDEX(Homiladorlar!$Q$5:$Q$804,$B135)="","",INDEX(Homiladorlar!$Q$5:$Q$804,$B135)))</f>
        <v/>
      </c>
      <c r="I135" s="5" t="str">
        <f aca="false">IF($B135="","",IF(INDEX(Homiladorlar!$R$5:$R$804,$B135)="","",INDEX(Homiladorlar!$R$5:$R$804,$B135)))</f>
        <v/>
      </c>
      <c r="J135" s="5" t="str">
        <f aca="false">IF($B135="","",IF(INDEX(Homiladorlar!$K$5:$K$804,$B135)="","",INDEX(Homiladorlar!$K$5:$K$804,$B135)))</f>
        <v/>
      </c>
      <c r="K135" s="30" t="str">
        <f aca="false">IF($B135="","",IF(INDEX(Homiladorlar!$J$5:$J$804,$B135)="","",INDEX(Homiladorlar!$J$5:$J$804,$B135)))</f>
        <v/>
      </c>
      <c r="L135" s="30" t="str">
        <f aca="false">IF($B135="","",IF(INDEX(Homiladorlar!$T$5:$T$804,$B135)="","",INDEX(Homiladorlar!$T$5:$T$804,$B135)))</f>
        <v/>
      </c>
      <c r="M135" s="30" t="str">
        <f aca="false">IF($B135="","",IF(INDEX(Homiladorlar!$AB$5:$AB$804,$B135)="","",INDEX(Homiladorlar!$AB$5:$AB$804,$B135)))</f>
        <v/>
      </c>
      <c r="N135" s="5" t="str">
        <f aca="false">IF($B135="","",IF(INDEX(Homiladorlar!$AC$5:$AC$804,$B135)="","",INDEX(Homiladorlar!$AC$5:$AC$804,$B135)))</f>
        <v/>
      </c>
    </row>
    <row r="136" customFormat="false" ht="15" hidden="false" customHeight="false" outlineLevel="0" collapsed="false">
      <c r="A136" s="5" t="n">
        <v>132</v>
      </c>
      <c r="B136" s="29" t="str">
        <f aca="false">IFERROR(MATCH(A136,Homiladorlar!$AH$5:$AH$804,0),"")</f>
        <v/>
      </c>
      <c r="C136" s="5" t="str">
        <f aca="false">IF($B136="","",IF(INDEX(Homiladorlar!$B$5:$B$804,$B136)="","",INDEX(Homiladorlar!$B$5:$B$804,$B136)))</f>
        <v/>
      </c>
      <c r="D136" s="30" t="str">
        <f aca="false">IF($B136="","",IF(INDEX(Homiladorlar!$C$5:$C$804,$B136)="","",INDEX(Homiladorlar!$C$5:$C$804,$B136)))</f>
        <v/>
      </c>
      <c r="E136" s="5" t="str">
        <f aca="false">IF($B136="","",IF(INDEX(Homiladorlar!$F$5:$F$804,$B136)="","",INDEX(Homiladorlar!$F$5:$F$804,$B136)))</f>
        <v/>
      </c>
      <c r="F136" s="5" t="str">
        <f aca="false">IF($B136="","",IF(INDEX(Homiladorlar!$E$5:$E$804,$B136)="","",INDEX(Homiladorlar!$E$5:$E$804,$B136)))</f>
        <v/>
      </c>
      <c r="G136" s="5" t="str">
        <f aca="false">IF($B136="","",IF(INDEX(Homiladorlar!$O$5:$O$804,$B136)="","",INDEX(Homiladorlar!$O$5:$O$804,$B136)))</f>
        <v/>
      </c>
      <c r="H136" s="5" t="str">
        <f aca="false">IF($B136="","",IF(INDEX(Homiladorlar!$Q$5:$Q$804,$B136)="","",INDEX(Homiladorlar!$Q$5:$Q$804,$B136)))</f>
        <v/>
      </c>
      <c r="I136" s="5" t="str">
        <f aca="false">IF($B136="","",IF(INDEX(Homiladorlar!$R$5:$R$804,$B136)="","",INDEX(Homiladorlar!$R$5:$R$804,$B136)))</f>
        <v/>
      </c>
      <c r="J136" s="5" t="str">
        <f aca="false">IF($B136="","",IF(INDEX(Homiladorlar!$K$5:$K$804,$B136)="","",INDEX(Homiladorlar!$K$5:$K$804,$B136)))</f>
        <v/>
      </c>
      <c r="K136" s="30" t="str">
        <f aca="false">IF($B136="","",IF(INDEX(Homiladorlar!$J$5:$J$804,$B136)="","",INDEX(Homiladorlar!$J$5:$J$804,$B136)))</f>
        <v/>
      </c>
      <c r="L136" s="30" t="str">
        <f aca="false">IF($B136="","",IF(INDEX(Homiladorlar!$T$5:$T$804,$B136)="","",INDEX(Homiladorlar!$T$5:$T$804,$B136)))</f>
        <v/>
      </c>
      <c r="M136" s="30" t="str">
        <f aca="false">IF($B136="","",IF(INDEX(Homiladorlar!$AB$5:$AB$804,$B136)="","",INDEX(Homiladorlar!$AB$5:$AB$804,$B136)))</f>
        <v/>
      </c>
      <c r="N136" s="5" t="str">
        <f aca="false">IF($B136="","",IF(INDEX(Homiladorlar!$AC$5:$AC$804,$B136)="","",INDEX(Homiladorlar!$AC$5:$AC$804,$B136)))</f>
        <v/>
      </c>
    </row>
    <row r="137" customFormat="false" ht="15" hidden="false" customHeight="false" outlineLevel="0" collapsed="false">
      <c r="A137" s="5" t="n">
        <v>133</v>
      </c>
      <c r="B137" s="29" t="str">
        <f aca="false">IFERROR(MATCH(A137,Homiladorlar!$AH$5:$AH$804,0),"")</f>
        <v/>
      </c>
      <c r="C137" s="5" t="str">
        <f aca="false">IF($B137="","",IF(INDEX(Homiladorlar!$B$5:$B$804,$B137)="","",INDEX(Homiladorlar!$B$5:$B$804,$B137)))</f>
        <v/>
      </c>
      <c r="D137" s="30" t="str">
        <f aca="false">IF($B137="","",IF(INDEX(Homiladorlar!$C$5:$C$804,$B137)="","",INDEX(Homiladorlar!$C$5:$C$804,$B137)))</f>
        <v/>
      </c>
      <c r="E137" s="5" t="str">
        <f aca="false">IF($B137="","",IF(INDEX(Homiladorlar!$F$5:$F$804,$B137)="","",INDEX(Homiladorlar!$F$5:$F$804,$B137)))</f>
        <v/>
      </c>
      <c r="F137" s="5" t="str">
        <f aca="false">IF($B137="","",IF(INDEX(Homiladorlar!$E$5:$E$804,$B137)="","",INDEX(Homiladorlar!$E$5:$E$804,$B137)))</f>
        <v/>
      </c>
      <c r="G137" s="5" t="str">
        <f aca="false">IF($B137="","",IF(INDEX(Homiladorlar!$O$5:$O$804,$B137)="","",INDEX(Homiladorlar!$O$5:$O$804,$B137)))</f>
        <v/>
      </c>
      <c r="H137" s="5" t="str">
        <f aca="false">IF($B137="","",IF(INDEX(Homiladorlar!$Q$5:$Q$804,$B137)="","",INDEX(Homiladorlar!$Q$5:$Q$804,$B137)))</f>
        <v/>
      </c>
      <c r="I137" s="5" t="str">
        <f aca="false">IF($B137="","",IF(INDEX(Homiladorlar!$R$5:$R$804,$B137)="","",INDEX(Homiladorlar!$R$5:$R$804,$B137)))</f>
        <v/>
      </c>
      <c r="J137" s="5" t="str">
        <f aca="false">IF($B137="","",IF(INDEX(Homiladorlar!$K$5:$K$804,$B137)="","",INDEX(Homiladorlar!$K$5:$K$804,$B137)))</f>
        <v/>
      </c>
      <c r="K137" s="30" t="str">
        <f aca="false">IF($B137="","",IF(INDEX(Homiladorlar!$J$5:$J$804,$B137)="","",INDEX(Homiladorlar!$J$5:$J$804,$B137)))</f>
        <v/>
      </c>
      <c r="L137" s="30" t="str">
        <f aca="false">IF($B137="","",IF(INDEX(Homiladorlar!$T$5:$T$804,$B137)="","",INDEX(Homiladorlar!$T$5:$T$804,$B137)))</f>
        <v/>
      </c>
      <c r="M137" s="30" t="str">
        <f aca="false">IF($B137="","",IF(INDEX(Homiladorlar!$AB$5:$AB$804,$B137)="","",INDEX(Homiladorlar!$AB$5:$AB$804,$B137)))</f>
        <v/>
      </c>
      <c r="N137" s="5" t="str">
        <f aca="false">IF($B137="","",IF(INDEX(Homiladorlar!$AC$5:$AC$804,$B137)="","",INDEX(Homiladorlar!$AC$5:$AC$804,$B137)))</f>
        <v/>
      </c>
    </row>
    <row r="138" customFormat="false" ht="15" hidden="false" customHeight="false" outlineLevel="0" collapsed="false">
      <c r="A138" s="5" t="n">
        <v>134</v>
      </c>
      <c r="B138" s="29" t="str">
        <f aca="false">IFERROR(MATCH(A138,Homiladorlar!$AH$5:$AH$804,0),"")</f>
        <v/>
      </c>
      <c r="C138" s="5" t="str">
        <f aca="false">IF($B138="","",IF(INDEX(Homiladorlar!$B$5:$B$804,$B138)="","",INDEX(Homiladorlar!$B$5:$B$804,$B138)))</f>
        <v/>
      </c>
      <c r="D138" s="30" t="str">
        <f aca="false">IF($B138="","",IF(INDEX(Homiladorlar!$C$5:$C$804,$B138)="","",INDEX(Homiladorlar!$C$5:$C$804,$B138)))</f>
        <v/>
      </c>
      <c r="E138" s="5" t="str">
        <f aca="false">IF($B138="","",IF(INDEX(Homiladorlar!$F$5:$F$804,$B138)="","",INDEX(Homiladorlar!$F$5:$F$804,$B138)))</f>
        <v/>
      </c>
      <c r="F138" s="5" t="str">
        <f aca="false">IF($B138="","",IF(INDEX(Homiladorlar!$E$5:$E$804,$B138)="","",INDEX(Homiladorlar!$E$5:$E$804,$B138)))</f>
        <v/>
      </c>
      <c r="G138" s="5" t="str">
        <f aca="false">IF($B138="","",IF(INDEX(Homiladorlar!$O$5:$O$804,$B138)="","",INDEX(Homiladorlar!$O$5:$O$804,$B138)))</f>
        <v/>
      </c>
      <c r="H138" s="5" t="str">
        <f aca="false">IF($B138="","",IF(INDEX(Homiladorlar!$Q$5:$Q$804,$B138)="","",INDEX(Homiladorlar!$Q$5:$Q$804,$B138)))</f>
        <v/>
      </c>
      <c r="I138" s="5" t="str">
        <f aca="false">IF($B138="","",IF(INDEX(Homiladorlar!$R$5:$R$804,$B138)="","",INDEX(Homiladorlar!$R$5:$R$804,$B138)))</f>
        <v/>
      </c>
      <c r="J138" s="5" t="str">
        <f aca="false">IF($B138="","",IF(INDEX(Homiladorlar!$K$5:$K$804,$B138)="","",INDEX(Homiladorlar!$K$5:$K$804,$B138)))</f>
        <v/>
      </c>
      <c r="K138" s="30" t="str">
        <f aca="false">IF($B138="","",IF(INDEX(Homiladorlar!$J$5:$J$804,$B138)="","",INDEX(Homiladorlar!$J$5:$J$804,$B138)))</f>
        <v/>
      </c>
      <c r="L138" s="30" t="str">
        <f aca="false">IF($B138="","",IF(INDEX(Homiladorlar!$T$5:$T$804,$B138)="","",INDEX(Homiladorlar!$T$5:$T$804,$B138)))</f>
        <v/>
      </c>
      <c r="M138" s="30" t="str">
        <f aca="false">IF($B138="","",IF(INDEX(Homiladorlar!$AB$5:$AB$804,$B138)="","",INDEX(Homiladorlar!$AB$5:$AB$804,$B138)))</f>
        <v/>
      </c>
      <c r="N138" s="5" t="str">
        <f aca="false">IF($B138="","",IF(INDEX(Homiladorlar!$AC$5:$AC$804,$B138)="","",INDEX(Homiladorlar!$AC$5:$AC$804,$B138)))</f>
        <v/>
      </c>
    </row>
    <row r="139" customFormat="false" ht="15" hidden="false" customHeight="false" outlineLevel="0" collapsed="false">
      <c r="A139" s="5" t="n">
        <v>135</v>
      </c>
      <c r="B139" s="29" t="str">
        <f aca="false">IFERROR(MATCH(A139,Homiladorlar!$AH$5:$AH$804,0),"")</f>
        <v/>
      </c>
      <c r="C139" s="5" t="str">
        <f aca="false">IF($B139="","",IF(INDEX(Homiladorlar!$B$5:$B$804,$B139)="","",INDEX(Homiladorlar!$B$5:$B$804,$B139)))</f>
        <v/>
      </c>
      <c r="D139" s="30" t="str">
        <f aca="false">IF($B139="","",IF(INDEX(Homiladorlar!$C$5:$C$804,$B139)="","",INDEX(Homiladorlar!$C$5:$C$804,$B139)))</f>
        <v/>
      </c>
      <c r="E139" s="5" t="str">
        <f aca="false">IF($B139="","",IF(INDEX(Homiladorlar!$F$5:$F$804,$B139)="","",INDEX(Homiladorlar!$F$5:$F$804,$B139)))</f>
        <v/>
      </c>
      <c r="F139" s="5" t="str">
        <f aca="false">IF($B139="","",IF(INDEX(Homiladorlar!$E$5:$E$804,$B139)="","",INDEX(Homiladorlar!$E$5:$E$804,$B139)))</f>
        <v/>
      </c>
      <c r="G139" s="5" t="str">
        <f aca="false">IF($B139="","",IF(INDEX(Homiladorlar!$O$5:$O$804,$B139)="","",INDEX(Homiladorlar!$O$5:$O$804,$B139)))</f>
        <v/>
      </c>
      <c r="H139" s="5" t="str">
        <f aca="false">IF($B139="","",IF(INDEX(Homiladorlar!$Q$5:$Q$804,$B139)="","",INDEX(Homiladorlar!$Q$5:$Q$804,$B139)))</f>
        <v/>
      </c>
      <c r="I139" s="5" t="str">
        <f aca="false">IF($B139="","",IF(INDEX(Homiladorlar!$R$5:$R$804,$B139)="","",INDEX(Homiladorlar!$R$5:$R$804,$B139)))</f>
        <v/>
      </c>
      <c r="J139" s="5" t="str">
        <f aca="false">IF($B139="","",IF(INDEX(Homiladorlar!$K$5:$K$804,$B139)="","",INDEX(Homiladorlar!$K$5:$K$804,$B139)))</f>
        <v/>
      </c>
      <c r="K139" s="30" t="str">
        <f aca="false">IF($B139="","",IF(INDEX(Homiladorlar!$J$5:$J$804,$B139)="","",INDEX(Homiladorlar!$J$5:$J$804,$B139)))</f>
        <v/>
      </c>
      <c r="L139" s="30" t="str">
        <f aca="false">IF($B139="","",IF(INDEX(Homiladorlar!$T$5:$T$804,$B139)="","",INDEX(Homiladorlar!$T$5:$T$804,$B139)))</f>
        <v/>
      </c>
      <c r="M139" s="30" t="str">
        <f aca="false">IF($B139="","",IF(INDEX(Homiladorlar!$AB$5:$AB$804,$B139)="","",INDEX(Homiladorlar!$AB$5:$AB$804,$B139)))</f>
        <v/>
      </c>
      <c r="N139" s="5" t="str">
        <f aca="false">IF($B139="","",IF(INDEX(Homiladorlar!$AC$5:$AC$804,$B139)="","",INDEX(Homiladorlar!$AC$5:$AC$804,$B139)))</f>
        <v/>
      </c>
    </row>
    <row r="140" customFormat="false" ht="15" hidden="false" customHeight="false" outlineLevel="0" collapsed="false">
      <c r="A140" s="5" t="n">
        <v>136</v>
      </c>
      <c r="B140" s="29" t="str">
        <f aca="false">IFERROR(MATCH(A140,Homiladorlar!$AH$5:$AH$804,0),"")</f>
        <v/>
      </c>
      <c r="C140" s="5" t="str">
        <f aca="false">IF($B140="","",IF(INDEX(Homiladorlar!$B$5:$B$804,$B140)="","",INDEX(Homiladorlar!$B$5:$B$804,$B140)))</f>
        <v/>
      </c>
      <c r="D140" s="30" t="str">
        <f aca="false">IF($B140="","",IF(INDEX(Homiladorlar!$C$5:$C$804,$B140)="","",INDEX(Homiladorlar!$C$5:$C$804,$B140)))</f>
        <v/>
      </c>
      <c r="E140" s="5" t="str">
        <f aca="false">IF($B140="","",IF(INDEX(Homiladorlar!$F$5:$F$804,$B140)="","",INDEX(Homiladorlar!$F$5:$F$804,$B140)))</f>
        <v/>
      </c>
      <c r="F140" s="5" t="str">
        <f aca="false">IF($B140="","",IF(INDEX(Homiladorlar!$E$5:$E$804,$B140)="","",INDEX(Homiladorlar!$E$5:$E$804,$B140)))</f>
        <v/>
      </c>
      <c r="G140" s="5" t="str">
        <f aca="false">IF($B140="","",IF(INDEX(Homiladorlar!$O$5:$O$804,$B140)="","",INDEX(Homiladorlar!$O$5:$O$804,$B140)))</f>
        <v/>
      </c>
      <c r="H140" s="5" t="str">
        <f aca="false">IF($B140="","",IF(INDEX(Homiladorlar!$Q$5:$Q$804,$B140)="","",INDEX(Homiladorlar!$Q$5:$Q$804,$B140)))</f>
        <v/>
      </c>
      <c r="I140" s="5" t="str">
        <f aca="false">IF($B140="","",IF(INDEX(Homiladorlar!$R$5:$R$804,$B140)="","",INDEX(Homiladorlar!$R$5:$R$804,$B140)))</f>
        <v/>
      </c>
      <c r="J140" s="5" t="str">
        <f aca="false">IF($B140="","",IF(INDEX(Homiladorlar!$K$5:$K$804,$B140)="","",INDEX(Homiladorlar!$K$5:$K$804,$B140)))</f>
        <v/>
      </c>
      <c r="K140" s="30" t="str">
        <f aca="false">IF($B140="","",IF(INDEX(Homiladorlar!$J$5:$J$804,$B140)="","",INDEX(Homiladorlar!$J$5:$J$804,$B140)))</f>
        <v/>
      </c>
      <c r="L140" s="30" t="str">
        <f aca="false">IF($B140="","",IF(INDEX(Homiladorlar!$T$5:$T$804,$B140)="","",INDEX(Homiladorlar!$T$5:$T$804,$B140)))</f>
        <v/>
      </c>
      <c r="M140" s="30" t="str">
        <f aca="false">IF($B140="","",IF(INDEX(Homiladorlar!$AB$5:$AB$804,$B140)="","",INDEX(Homiladorlar!$AB$5:$AB$804,$B140)))</f>
        <v/>
      </c>
      <c r="N140" s="5" t="str">
        <f aca="false">IF($B140="","",IF(INDEX(Homiladorlar!$AC$5:$AC$804,$B140)="","",INDEX(Homiladorlar!$AC$5:$AC$804,$B140)))</f>
        <v/>
      </c>
    </row>
    <row r="141" customFormat="false" ht="15" hidden="false" customHeight="false" outlineLevel="0" collapsed="false">
      <c r="A141" s="5" t="n">
        <v>137</v>
      </c>
      <c r="B141" s="29" t="str">
        <f aca="false">IFERROR(MATCH(A141,Homiladorlar!$AH$5:$AH$804,0),"")</f>
        <v/>
      </c>
      <c r="C141" s="5" t="str">
        <f aca="false">IF($B141="","",IF(INDEX(Homiladorlar!$B$5:$B$804,$B141)="","",INDEX(Homiladorlar!$B$5:$B$804,$B141)))</f>
        <v/>
      </c>
      <c r="D141" s="30" t="str">
        <f aca="false">IF($B141="","",IF(INDEX(Homiladorlar!$C$5:$C$804,$B141)="","",INDEX(Homiladorlar!$C$5:$C$804,$B141)))</f>
        <v/>
      </c>
      <c r="E141" s="5" t="str">
        <f aca="false">IF($B141="","",IF(INDEX(Homiladorlar!$F$5:$F$804,$B141)="","",INDEX(Homiladorlar!$F$5:$F$804,$B141)))</f>
        <v/>
      </c>
      <c r="F141" s="5" t="str">
        <f aca="false">IF($B141="","",IF(INDEX(Homiladorlar!$E$5:$E$804,$B141)="","",INDEX(Homiladorlar!$E$5:$E$804,$B141)))</f>
        <v/>
      </c>
      <c r="G141" s="5" t="str">
        <f aca="false">IF($B141="","",IF(INDEX(Homiladorlar!$O$5:$O$804,$B141)="","",INDEX(Homiladorlar!$O$5:$O$804,$B141)))</f>
        <v/>
      </c>
      <c r="H141" s="5" t="str">
        <f aca="false">IF($B141="","",IF(INDEX(Homiladorlar!$Q$5:$Q$804,$B141)="","",INDEX(Homiladorlar!$Q$5:$Q$804,$B141)))</f>
        <v/>
      </c>
      <c r="I141" s="5" t="str">
        <f aca="false">IF($B141="","",IF(INDEX(Homiladorlar!$R$5:$R$804,$B141)="","",INDEX(Homiladorlar!$R$5:$R$804,$B141)))</f>
        <v/>
      </c>
      <c r="J141" s="5" t="str">
        <f aca="false">IF($B141="","",IF(INDEX(Homiladorlar!$K$5:$K$804,$B141)="","",INDEX(Homiladorlar!$K$5:$K$804,$B141)))</f>
        <v/>
      </c>
      <c r="K141" s="30" t="str">
        <f aca="false">IF($B141="","",IF(INDEX(Homiladorlar!$J$5:$J$804,$B141)="","",INDEX(Homiladorlar!$J$5:$J$804,$B141)))</f>
        <v/>
      </c>
      <c r="L141" s="30" t="str">
        <f aca="false">IF($B141="","",IF(INDEX(Homiladorlar!$T$5:$T$804,$B141)="","",INDEX(Homiladorlar!$T$5:$T$804,$B141)))</f>
        <v/>
      </c>
      <c r="M141" s="30" t="str">
        <f aca="false">IF($B141="","",IF(INDEX(Homiladorlar!$AB$5:$AB$804,$B141)="","",INDEX(Homiladorlar!$AB$5:$AB$804,$B141)))</f>
        <v/>
      </c>
      <c r="N141" s="5" t="str">
        <f aca="false">IF($B141="","",IF(INDEX(Homiladorlar!$AC$5:$AC$804,$B141)="","",INDEX(Homiladorlar!$AC$5:$AC$804,$B141)))</f>
        <v/>
      </c>
    </row>
    <row r="142" customFormat="false" ht="15" hidden="false" customHeight="false" outlineLevel="0" collapsed="false">
      <c r="A142" s="5" t="n">
        <v>138</v>
      </c>
      <c r="B142" s="29" t="str">
        <f aca="false">IFERROR(MATCH(A142,Homiladorlar!$AH$5:$AH$804,0),"")</f>
        <v/>
      </c>
      <c r="C142" s="5" t="str">
        <f aca="false">IF($B142="","",IF(INDEX(Homiladorlar!$B$5:$B$804,$B142)="","",INDEX(Homiladorlar!$B$5:$B$804,$B142)))</f>
        <v/>
      </c>
      <c r="D142" s="30" t="str">
        <f aca="false">IF($B142="","",IF(INDEX(Homiladorlar!$C$5:$C$804,$B142)="","",INDEX(Homiladorlar!$C$5:$C$804,$B142)))</f>
        <v/>
      </c>
      <c r="E142" s="5" t="str">
        <f aca="false">IF($B142="","",IF(INDEX(Homiladorlar!$F$5:$F$804,$B142)="","",INDEX(Homiladorlar!$F$5:$F$804,$B142)))</f>
        <v/>
      </c>
      <c r="F142" s="5" t="str">
        <f aca="false">IF($B142="","",IF(INDEX(Homiladorlar!$E$5:$E$804,$B142)="","",INDEX(Homiladorlar!$E$5:$E$804,$B142)))</f>
        <v/>
      </c>
      <c r="G142" s="5" t="str">
        <f aca="false">IF($B142="","",IF(INDEX(Homiladorlar!$O$5:$O$804,$B142)="","",INDEX(Homiladorlar!$O$5:$O$804,$B142)))</f>
        <v/>
      </c>
      <c r="H142" s="5" t="str">
        <f aca="false">IF($B142="","",IF(INDEX(Homiladorlar!$Q$5:$Q$804,$B142)="","",INDEX(Homiladorlar!$Q$5:$Q$804,$B142)))</f>
        <v/>
      </c>
      <c r="I142" s="5" t="str">
        <f aca="false">IF($B142="","",IF(INDEX(Homiladorlar!$R$5:$R$804,$B142)="","",INDEX(Homiladorlar!$R$5:$R$804,$B142)))</f>
        <v/>
      </c>
      <c r="J142" s="5" t="str">
        <f aca="false">IF($B142="","",IF(INDEX(Homiladorlar!$K$5:$K$804,$B142)="","",INDEX(Homiladorlar!$K$5:$K$804,$B142)))</f>
        <v/>
      </c>
      <c r="K142" s="30" t="str">
        <f aca="false">IF($B142="","",IF(INDEX(Homiladorlar!$J$5:$J$804,$B142)="","",INDEX(Homiladorlar!$J$5:$J$804,$B142)))</f>
        <v/>
      </c>
      <c r="L142" s="30" t="str">
        <f aca="false">IF($B142="","",IF(INDEX(Homiladorlar!$T$5:$T$804,$B142)="","",INDEX(Homiladorlar!$T$5:$T$804,$B142)))</f>
        <v/>
      </c>
      <c r="M142" s="30" t="str">
        <f aca="false">IF($B142="","",IF(INDEX(Homiladorlar!$AB$5:$AB$804,$B142)="","",INDEX(Homiladorlar!$AB$5:$AB$804,$B142)))</f>
        <v/>
      </c>
      <c r="N142" s="5" t="str">
        <f aca="false">IF($B142="","",IF(INDEX(Homiladorlar!$AC$5:$AC$804,$B142)="","",INDEX(Homiladorlar!$AC$5:$AC$804,$B142)))</f>
        <v/>
      </c>
    </row>
    <row r="143" customFormat="false" ht="15" hidden="false" customHeight="false" outlineLevel="0" collapsed="false">
      <c r="A143" s="5" t="n">
        <v>139</v>
      </c>
      <c r="B143" s="29" t="str">
        <f aca="false">IFERROR(MATCH(A143,Homiladorlar!$AH$5:$AH$804,0),"")</f>
        <v/>
      </c>
      <c r="C143" s="5" t="str">
        <f aca="false">IF($B143="","",IF(INDEX(Homiladorlar!$B$5:$B$804,$B143)="","",INDEX(Homiladorlar!$B$5:$B$804,$B143)))</f>
        <v/>
      </c>
      <c r="D143" s="30" t="str">
        <f aca="false">IF($B143="","",IF(INDEX(Homiladorlar!$C$5:$C$804,$B143)="","",INDEX(Homiladorlar!$C$5:$C$804,$B143)))</f>
        <v/>
      </c>
      <c r="E143" s="5" t="str">
        <f aca="false">IF($B143="","",IF(INDEX(Homiladorlar!$F$5:$F$804,$B143)="","",INDEX(Homiladorlar!$F$5:$F$804,$B143)))</f>
        <v/>
      </c>
      <c r="F143" s="5" t="str">
        <f aca="false">IF($B143="","",IF(INDEX(Homiladorlar!$E$5:$E$804,$B143)="","",INDEX(Homiladorlar!$E$5:$E$804,$B143)))</f>
        <v/>
      </c>
      <c r="G143" s="5" t="str">
        <f aca="false">IF($B143="","",IF(INDEX(Homiladorlar!$O$5:$O$804,$B143)="","",INDEX(Homiladorlar!$O$5:$O$804,$B143)))</f>
        <v/>
      </c>
      <c r="H143" s="5" t="str">
        <f aca="false">IF($B143="","",IF(INDEX(Homiladorlar!$Q$5:$Q$804,$B143)="","",INDEX(Homiladorlar!$Q$5:$Q$804,$B143)))</f>
        <v/>
      </c>
      <c r="I143" s="5" t="str">
        <f aca="false">IF($B143="","",IF(INDEX(Homiladorlar!$R$5:$R$804,$B143)="","",INDEX(Homiladorlar!$R$5:$R$804,$B143)))</f>
        <v/>
      </c>
      <c r="J143" s="5" t="str">
        <f aca="false">IF($B143="","",IF(INDEX(Homiladorlar!$K$5:$K$804,$B143)="","",INDEX(Homiladorlar!$K$5:$K$804,$B143)))</f>
        <v/>
      </c>
      <c r="K143" s="30" t="str">
        <f aca="false">IF($B143="","",IF(INDEX(Homiladorlar!$J$5:$J$804,$B143)="","",INDEX(Homiladorlar!$J$5:$J$804,$B143)))</f>
        <v/>
      </c>
      <c r="L143" s="30" t="str">
        <f aca="false">IF($B143="","",IF(INDEX(Homiladorlar!$T$5:$T$804,$B143)="","",INDEX(Homiladorlar!$T$5:$T$804,$B143)))</f>
        <v/>
      </c>
      <c r="M143" s="30" t="str">
        <f aca="false">IF($B143="","",IF(INDEX(Homiladorlar!$AB$5:$AB$804,$B143)="","",INDEX(Homiladorlar!$AB$5:$AB$804,$B143)))</f>
        <v/>
      </c>
      <c r="N143" s="5" t="str">
        <f aca="false">IF($B143="","",IF(INDEX(Homiladorlar!$AC$5:$AC$804,$B143)="","",INDEX(Homiladorlar!$AC$5:$AC$804,$B143)))</f>
        <v/>
      </c>
    </row>
    <row r="144" customFormat="false" ht="15" hidden="false" customHeight="false" outlineLevel="0" collapsed="false">
      <c r="A144" s="5" t="n">
        <v>140</v>
      </c>
      <c r="B144" s="29" t="str">
        <f aca="false">IFERROR(MATCH(A144,Homiladorlar!$AH$5:$AH$804,0),"")</f>
        <v/>
      </c>
      <c r="C144" s="5" t="str">
        <f aca="false">IF($B144="","",IF(INDEX(Homiladorlar!$B$5:$B$804,$B144)="","",INDEX(Homiladorlar!$B$5:$B$804,$B144)))</f>
        <v/>
      </c>
      <c r="D144" s="30" t="str">
        <f aca="false">IF($B144="","",IF(INDEX(Homiladorlar!$C$5:$C$804,$B144)="","",INDEX(Homiladorlar!$C$5:$C$804,$B144)))</f>
        <v/>
      </c>
      <c r="E144" s="5" t="str">
        <f aca="false">IF($B144="","",IF(INDEX(Homiladorlar!$F$5:$F$804,$B144)="","",INDEX(Homiladorlar!$F$5:$F$804,$B144)))</f>
        <v/>
      </c>
      <c r="F144" s="5" t="str">
        <f aca="false">IF($B144="","",IF(INDEX(Homiladorlar!$E$5:$E$804,$B144)="","",INDEX(Homiladorlar!$E$5:$E$804,$B144)))</f>
        <v/>
      </c>
      <c r="G144" s="5" t="str">
        <f aca="false">IF($B144="","",IF(INDEX(Homiladorlar!$O$5:$O$804,$B144)="","",INDEX(Homiladorlar!$O$5:$O$804,$B144)))</f>
        <v/>
      </c>
      <c r="H144" s="5" t="str">
        <f aca="false">IF($B144="","",IF(INDEX(Homiladorlar!$Q$5:$Q$804,$B144)="","",INDEX(Homiladorlar!$Q$5:$Q$804,$B144)))</f>
        <v/>
      </c>
      <c r="I144" s="5" t="str">
        <f aca="false">IF($B144="","",IF(INDEX(Homiladorlar!$R$5:$R$804,$B144)="","",INDEX(Homiladorlar!$R$5:$R$804,$B144)))</f>
        <v/>
      </c>
      <c r="J144" s="5" t="str">
        <f aca="false">IF($B144="","",IF(INDEX(Homiladorlar!$K$5:$K$804,$B144)="","",INDEX(Homiladorlar!$K$5:$K$804,$B144)))</f>
        <v/>
      </c>
      <c r="K144" s="30" t="str">
        <f aca="false">IF($B144="","",IF(INDEX(Homiladorlar!$J$5:$J$804,$B144)="","",INDEX(Homiladorlar!$J$5:$J$804,$B144)))</f>
        <v/>
      </c>
      <c r="L144" s="30" t="str">
        <f aca="false">IF($B144="","",IF(INDEX(Homiladorlar!$T$5:$T$804,$B144)="","",INDEX(Homiladorlar!$T$5:$T$804,$B144)))</f>
        <v/>
      </c>
      <c r="M144" s="30" t="str">
        <f aca="false">IF($B144="","",IF(INDEX(Homiladorlar!$AB$5:$AB$804,$B144)="","",INDEX(Homiladorlar!$AB$5:$AB$804,$B144)))</f>
        <v/>
      </c>
      <c r="N144" s="5" t="str">
        <f aca="false">IF($B144="","",IF(INDEX(Homiladorlar!$AC$5:$AC$804,$B144)="","",INDEX(Homiladorlar!$AC$5:$AC$804,$B144)))</f>
        <v/>
      </c>
    </row>
    <row r="145" customFormat="false" ht="15" hidden="false" customHeight="false" outlineLevel="0" collapsed="false">
      <c r="A145" s="5" t="n">
        <v>141</v>
      </c>
      <c r="B145" s="29" t="str">
        <f aca="false">IFERROR(MATCH(A145,Homiladorlar!$AH$5:$AH$804,0),"")</f>
        <v/>
      </c>
      <c r="C145" s="5" t="str">
        <f aca="false">IF($B145="","",IF(INDEX(Homiladorlar!$B$5:$B$804,$B145)="","",INDEX(Homiladorlar!$B$5:$B$804,$B145)))</f>
        <v/>
      </c>
      <c r="D145" s="30" t="str">
        <f aca="false">IF($B145="","",IF(INDEX(Homiladorlar!$C$5:$C$804,$B145)="","",INDEX(Homiladorlar!$C$5:$C$804,$B145)))</f>
        <v/>
      </c>
      <c r="E145" s="5" t="str">
        <f aca="false">IF($B145="","",IF(INDEX(Homiladorlar!$F$5:$F$804,$B145)="","",INDEX(Homiladorlar!$F$5:$F$804,$B145)))</f>
        <v/>
      </c>
      <c r="F145" s="5" t="str">
        <f aca="false">IF($B145="","",IF(INDEX(Homiladorlar!$E$5:$E$804,$B145)="","",INDEX(Homiladorlar!$E$5:$E$804,$B145)))</f>
        <v/>
      </c>
      <c r="G145" s="5" t="str">
        <f aca="false">IF($B145="","",IF(INDEX(Homiladorlar!$O$5:$O$804,$B145)="","",INDEX(Homiladorlar!$O$5:$O$804,$B145)))</f>
        <v/>
      </c>
      <c r="H145" s="5" t="str">
        <f aca="false">IF($B145="","",IF(INDEX(Homiladorlar!$Q$5:$Q$804,$B145)="","",INDEX(Homiladorlar!$Q$5:$Q$804,$B145)))</f>
        <v/>
      </c>
      <c r="I145" s="5" t="str">
        <f aca="false">IF($B145="","",IF(INDEX(Homiladorlar!$R$5:$R$804,$B145)="","",INDEX(Homiladorlar!$R$5:$R$804,$B145)))</f>
        <v/>
      </c>
      <c r="J145" s="5" t="str">
        <f aca="false">IF($B145="","",IF(INDEX(Homiladorlar!$K$5:$K$804,$B145)="","",INDEX(Homiladorlar!$K$5:$K$804,$B145)))</f>
        <v/>
      </c>
      <c r="K145" s="30" t="str">
        <f aca="false">IF($B145="","",IF(INDEX(Homiladorlar!$J$5:$J$804,$B145)="","",INDEX(Homiladorlar!$J$5:$J$804,$B145)))</f>
        <v/>
      </c>
      <c r="L145" s="30" t="str">
        <f aca="false">IF($B145="","",IF(INDEX(Homiladorlar!$T$5:$T$804,$B145)="","",INDEX(Homiladorlar!$T$5:$T$804,$B145)))</f>
        <v/>
      </c>
      <c r="M145" s="30" t="str">
        <f aca="false">IF($B145="","",IF(INDEX(Homiladorlar!$AB$5:$AB$804,$B145)="","",INDEX(Homiladorlar!$AB$5:$AB$804,$B145)))</f>
        <v/>
      </c>
      <c r="N145" s="5" t="str">
        <f aca="false">IF($B145="","",IF(INDEX(Homiladorlar!$AC$5:$AC$804,$B145)="","",INDEX(Homiladorlar!$AC$5:$AC$804,$B145)))</f>
        <v/>
      </c>
    </row>
    <row r="146" customFormat="false" ht="15" hidden="false" customHeight="false" outlineLevel="0" collapsed="false">
      <c r="A146" s="5" t="n">
        <v>142</v>
      </c>
      <c r="B146" s="29" t="str">
        <f aca="false">IFERROR(MATCH(A146,Homiladorlar!$AH$5:$AH$804,0),"")</f>
        <v/>
      </c>
      <c r="C146" s="5" t="str">
        <f aca="false">IF($B146="","",IF(INDEX(Homiladorlar!$B$5:$B$804,$B146)="","",INDEX(Homiladorlar!$B$5:$B$804,$B146)))</f>
        <v/>
      </c>
      <c r="D146" s="30" t="str">
        <f aca="false">IF($B146="","",IF(INDEX(Homiladorlar!$C$5:$C$804,$B146)="","",INDEX(Homiladorlar!$C$5:$C$804,$B146)))</f>
        <v/>
      </c>
      <c r="E146" s="5" t="str">
        <f aca="false">IF($B146="","",IF(INDEX(Homiladorlar!$F$5:$F$804,$B146)="","",INDEX(Homiladorlar!$F$5:$F$804,$B146)))</f>
        <v/>
      </c>
      <c r="F146" s="5" t="str">
        <f aca="false">IF($B146="","",IF(INDEX(Homiladorlar!$E$5:$E$804,$B146)="","",INDEX(Homiladorlar!$E$5:$E$804,$B146)))</f>
        <v/>
      </c>
      <c r="G146" s="5" t="str">
        <f aca="false">IF($B146="","",IF(INDEX(Homiladorlar!$O$5:$O$804,$B146)="","",INDEX(Homiladorlar!$O$5:$O$804,$B146)))</f>
        <v/>
      </c>
      <c r="H146" s="5" t="str">
        <f aca="false">IF($B146="","",IF(INDEX(Homiladorlar!$Q$5:$Q$804,$B146)="","",INDEX(Homiladorlar!$Q$5:$Q$804,$B146)))</f>
        <v/>
      </c>
      <c r="I146" s="5" t="str">
        <f aca="false">IF($B146="","",IF(INDEX(Homiladorlar!$R$5:$R$804,$B146)="","",INDEX(Homiladorlar!$R$5:$R$804,$B146)))</f>
        <v/>
      </c>
      <c r="J146" s="5" t="str">
        <f aca="false">IF($B146="","",IF(INDEX(Homiladorlar!$K$5:$K$804,$B146)="","",INDEX(Homiladorlar!$K$5:$K$804,$B146)))</f>
        <v/>
      </c>
      <c r="K146" s="30" t="str">
        <f aca="false">IF($B146="","",IF(INDEX(Homiladorlar!$J$5:$J$804,$B146)="","",INDEX(Homiladorlar!$J$5:$J$804,$B146)))</f>
        <v/>
      </c>
      <c r="L146" s="30" t="str">
        <f aca="false">IF($B146="","",IF(INDEX(Homiladorlar!$T$5:$T$804,$B146)="","",INDEX(Homiladorlar!$T$5:$T$804,$B146)))</f>
        <v/>
      </c>
      <c r="M146" s="30" t="str">
        <f aca="false">IF($B146="","",IF(INDEX(Homiladorlar!$AB$5:$AB$804,$B146)="","",INDEX(Homiladorlar!$AB$5:$AB$804,$B146)))</f>
        <v/>
      </c>
      <c r="N146" s="5" t="str">
        <f aca="false">IF($B146="","",IF(INDEX(Homiladorlar!$AC$5:$AC$804,$B146)="","",INDEX(Homiladorlar!$AC$5:$AC$804,$B146)))</f>
        <v/>
      </c>
    </row>
    <row r="147" customFormat="false" ht="15" hidden="false" customHeight="false" outlineLevel="0" collapsed="false">
      <c r="A147" s="5" t="n">
        <v>143</v>
      </c>
      <c r="B147" s="29" t="str">
        <f aca="false">IFERROR(MATCH(A147,Homiladorlar!$AH$5:$AH$804,0),"")</f>
        <v/>
      </c>
      <c r="C147" s="5" t="str">
        <f aca="false">IF($B147="","",IF(INDEX(Homiladorlar!$B$5:$B$804,$B147)="","",INDEX(Homiladorlar!$B$5:$B$804,$B147)))</f>
        <v/>
      </c>
      <c r="D147" s="30" t="str">
        <f aca="false">IF($B147="","",IF(INDEX(Homiladorlar!$C$5:$C$804,$B147)="","",INDEX(Homiladorlar!$C$5:$C$804,$B147)))</f>
        <v/>
      </c>
      <c r="E147" s="5" t="str">
        <f aca="false">IF($B147="","",IF(INDEX(Homiladorlar!$F$5:$F$804,$B147)="","",INDEX(Homiladorlar!$F$5:$F$804,$B147)))</f>
        <v/>
      </c>
      <c r="F147" s="5" t="str">
        <f aca="false">IF($B147="","",IF(INDEX(Homiladorlar!$E$5:$E$804,$B147)="","",INDEX(Homiladorlar!$E$5:$E$804,$B147)))</f>
        <v/>
      </c>
      <c r="G147" s="5" t="str">
        <f aca="false">IF($B147="","",IF(INDEX(Homiladorlar!$O$5:$O$804,$B147)="","",INDEX(Homiladorlar!$O$5:$O$804,$B147)))</f>
        <v/>
      </c>
      <c r="H147" s="5" t="str">
        <f aca="false">IF($B147="","",IF(INDEX(Homiladorlar!$Q$5:$Q$804,$B147)="","",INDEX(Homiladorlar!$Q$5:$Q$804,$B147)))</f>
        <v/>
      </c>
      <c r="I147" s="5" t="str">
        <f aca="false">IF($B147="","",IF(INDEX(Homiladorlar!$R$5:$R$804,$B147)="","",INDEX(Homiladorlar!$R$5:$R$804,$B147)))</f>
        <v/>
      </c>
      <c r="J147" s="5" t="str">
        <f aca="false">IF($B147="","",IF(INDEX(Homiladorlar!$K$5:$K$804,$B147)="","",INDEX(Homiladorlar!$K$5:$K$804,$B147)))</f>
        <v/>
      </c>
      <c r="K147" s="30" t="str">
        <f aca="false">IF($B147="","",IF(INDEX(Homiladorlar!$J$5:$J$804,$B147)="","",INDEX(Homiladorlar!$J$5:$J$804,$B147)))</f>
        <v/>
      </c>
      <c r="L147" s="30" t="str">
        <f aca="false">IF($B147="","",IF(INDEX(Homiladorlar!$T$5:$T$804,$B147)="","",INDEX(Homiladorlar!$T$5:$T$804,$B147)))</f>
        <v/>
      </c>
      <c r="M147" s="30" t="str">
        <f aca="false">IF($B147="","",IF(INDEX(Homiladorlar!$AB$5:$AB$804,$B147)="","",INDEX(Homiladorlar!$AB$5:$AB$804,$B147)))</f>
        <v/>
      </c>
      <c r="N147" s="5" t="str">
        <f aca="false">IF($B147="","",IF(INDEX(Homiladorlar!$AC$5:$AC$804,$B147)="","",INDEX(Homiladorlar!$AC$5:$AC$804,$B147)))</f>
        <v/>
      </c>
    </row>
    <row r="148" customFormat="false" ht="15" hidden="false" customHeight="false" outlineLevel="0" collapsed="false">
      <c r="A148" s="5" t="n">
        <v>144</v>
      </c>
      <c r="B148" s="29" t="str">
        <f aca="false">IFERROR(MATCH(A148,Homiladorlar!$AH$5:$AH$804,0),"")</f>
        <v/>
      </c>
      <c r="C148" s="5" t="str">
        <f aca="false">IF($B148="","",IF(INDEX(Homiladorlar!$B$5:$B$804,$B148)="","",INDEX(Homiladorlar!$B$5:$B$804,$B148)))</f>
        <v/>
      </c>
      <c r="D148" s="30" t="str">
        <f aca="false">IF($B148="","",IF(INDEX(Homiladorlar!$C$5:$C$804,$B148)="","",INDEX(Homiladorlar!$C$5:$C$804,$B148)))</f>
        <v/>
      </c>
      <c r="E148" s="5" t="str">
        <f aca="false">IF($B148="","",IF(INDEX(Homiladorlar!$F$5:$F$804,$B148)="","",INDEX(Homiladorlar!$F$5:$F$804,$B148)))</f>
        <v/>
      </c>
      <c r="F148" s="5" t="str">
        <f aca="false">IF($B148="","",IF(INDEX(Homiladorlar!$E$5:$E$804,$B148)="","",INDEX(Homiladorlar!$E$5:$E$804,$B148)))</f>
        <v/>
      </c>
      <c r="G148" s="5" t="str">
        <f aca="false">IF($B148="","",IF(INDEX(Homiladorlar!$O$5:$O$804,$B148)="","",INDEX(Homiladorlar!$O$5:$O$804,$B148)))</f>
        <v/>
      </c>
      <c r="H148" s="5" t="str">
        <f aca="false">IF($B148="","",IF(INDEX(Homiladorlar!$Q$5:$Q$804,$B148)="","",INDEX(Homiladorlar!$Q$5:$Q$804,$B148)))</f>
        <v/>
      </c>
      <c r="I148" s="5" t="str">
        <f aca="false">IF($B148="","",IF(INDEX(Homiladorlar!$R$5:$R$804,$B148)="","",INDEX(Homiladorlar!$R$5:$R$804,$B148)))</f>
        <v/>
      </c>
      <c r="J148" s="5" t="str">
        <f aca="false">IF($B148="","",IF(INDEX(Homiladorlar!$K$5:$K$804,$B148)="","",INDEX(Homiladorlar!$K$5:$K$804,$B148)))</f>
        <v/>
      </c>
      <c r="K148" s="30" t="str">
        <f aca="false">IF($B148="","",IF(INDEX(Homiladorlar!$J$5:$J$804,$B148)="","",INDEX(Homiladorlar!$J$5:$J$804,$B148)))</f>
        <v/>
      </c>
      <c r="L148" s="30" t="str">
        <f aca="false">IF($B148="","",IF(INDEX(Homiladorlar!$T$5:$T$804,$B148)="","",INDEX(Homiladorlar!$T$5:$T$804,$B148)))</f>
        <v/>
      </c>
      <c r="M148" s="30" t="str">
        <f aca="false">IF($B148="","",IF(INDEX(Homiladorlar!$AB$5:$AB$804,$B148)="","",INDEX(Homiladorlar!$AB$5:$AB$804,$B148)))</f>
        <v/>
      </c>
      <c r="N148" s="5" t="str">
        <f aca="false">IF($B148="","",IF(INDEX(Homiladorlar!$AC$5:$AC$804,$B148)="","",INDEX(Homiladorlar!$AC$5:$AC$804,$B148)))</f>
        <v/>
      </c>
    </row>
    <row r="149" customFormat="false" ht="15" hidden="false" customHeight="false" outlineLevel="0" collapsed="false">
      <c r="A149" s="5" t="n">
        <v>145</v>
      </c>
      <c r="B149" s="29" t="str">
        <f aca="false">IFERROR(MATCH(A149,Homiladorlar!$AH$5:$AH$804,0),"")</f>
        <v/>
      </c>
      <c r="C149" s="5" t="str">
        <f aca="false">IF($B149="","",IF(INDEX(Homiladorlar!$B$5:$B$804,$B149)="","",INDEX(Homiladorlar!$B$5:$B$804,$B149)))</f>
        <v/>
      </c>
      <c r="D149" s="30" t="str">
        <f aca="false">IF($B149="","",IF(INDEX(Homiladorlar!$C$5:$C$804,$B149)="","",INDEX(Homiladorlar!$C$5:$C$804,$B149)))</f>
        <v/>
      </c>
      <c r="E149" s="5" t="str">
        <f aca="false">IF($B149="","",IF(INDEX(Homiladorlar!$F$5:$F$804,$B149)="","",INDEX(Homiladorlar!$F$5:$F$804,$B149)))</f>
        <v/>
      </c>
      <c r="F149" s="5" t="str">
        <f aca="false">IF($B149="","",IF(INDEX(Homiladorlar!$E$5:$E$804,$B149)="","",INDEX(Homiladorlar!$E$5:$E$804,$B149)))</f>
        <v/>
      </c>
      <c r="G149" s="5" t="str">
        <f aca="false">IF($B149="","",IF(INDEX(Homiladorlar!$O$5:$O$804,$B149)="","",INDEX(Homiladorlar!$O$5:$O$804,$B149)))</f>
        <v/>
      </c>
      <c r="H149" s="5" t="str">
        <f aca="false">IF($B149="","",IF(INDEX(Homiladorlar!$Q$5:$Q$804,$B149)="","",INDEX(Homiladorlar!$Q$5:$Q$804,$B149)))</f>
        <v/>
      </c>
      <c r="I149" s="5" t="str">
        <f aca="false">IF($B149="","",IF(INDEX(Homiladorlar!$R$5:$R$804,$B149)="","",INDEX(Homiladorlar!$R$5:$R$804,$B149)))</f>
        <v/>
      </c>
      <c r="J149" s="5" t="str">
        <f aca="false">IF($B149="","",IF(INDEX(Homiladorlar!$K$5:$K$804,$B149)="","",INDEX(Homiladorlar!$K$5:$K$804,$B149)))</f>
        <v/>
      </c>
      <c r="K149" s="30" t="str">
        <f aca="false">IF($B149="","",IF(INDEX(Homiladorlar!$J$5:$J$804,$B149)="","",INDEX(Homiladorlar!$J$5:$J$804,$B149)))</f>
        <v/>
      </c>
      <c r="L149" s="30" t="str">
        <f aca="false">IF($B149="","",IF(INDEX(Homiladorlar!$T$5:$T$804,$B149)="","",INDEX(Homiladorlar!$T$5:$T$804,$B149)))</f>
        <v/>
      </c>
      <c r="M149" s="30" t="str">
        <f aca="false">IF($B149="","",IF(INDEX(Homiladorlar!$AB$5:$AB$804,$B149)="","",INDEX(Homiladorlar!$AB$5:$AB$804,$B149)))</f>
        <v/>
      </c>
      <c r="N149" s="5" t="str">
        <f aca="false">IF($B149="","",IF(INDEX(Homiladorlar!$AC$5:$AC$804,$B149)="","",INDEX(Homiladorlar!$AC$5:$AC$804,$B149)))</f>
        <v/>
      </c>
    </row>
    <row r="150" customFormat="false" ht="15" hidden="false" customHeight="false" outlineLevel="0" collapsed="false">
      <c r="A150" s="5" t="n">
        <v>146</v>
      </c>
      <c r="B150" s="29" t="str">
        <f aca="false">IFERROR(MATCH(A150,Homiladorlar!$AH$5:$AH$804,0),"")</f>
        <v/>
      </c>
      <c r="C150" s="5" t="str">
        <f aca="false">IF($B150="","",IF(INDEX(Homiladorlar!$B$5:$B$804,$B150)="","",INDEX(Homiladorlar!$B$5:$B$804,$B150)))</f>
        <v/>
      </c>
      <c r="D150" s="30" t="str">
        <f aca="false">IF($B150="","",IF(INDEX(Homiladorlar!$C$5:$C$804,$B150)="","",INDEX(Homiladorlar!$C$5:$C$804,$B150)))</f>
        <v/>
      </c>
      <c r="E150" s="5" t="str">
        <f aca="false">IF($B150="","",IF(INDEX(Homiladorlar!$F$5:$F$804,$B150)="","",INDEX(Homiladorlar!$F$5:$F$804,$B150)))</f>
        <v/>
      </c>
      <c r="F150" s="5" t="str">
        <f aca="false">IF($B150="","",IF(INDEX(Homiladorlar!$E$5:$E$804,$B150)="","",INDEX(Homiladorlar!$E$5:$E$804,$B150)))</f>
        <v/>
      </c>
      <c r="G150" s="5" t="str">
        <f aca="false">IF($B150="","",IF(INDEX(Homiladorlar!$O$5:$O$804,$B150)="","",INDEX(Homiladorlar!$O$5:$O$804,$B150)))</f>
        <v/>
      </c>
      <c r="H150" s="5" t="str">
        <f aca="false">IF($B150="","",IF(INDEX(Homiladorlar!$Q$5:$Q$804,$B150)="","",INDEX(Homiladorlar!$Q$5:$Q$804,$B150)))</f>
        <v/>
      </c>
      <c r="I150" s="5" t="str">
        <f aca="false">IF($B150="","",IF(INDEX(Homiladorlar!$R$5:$R$804,$B150)="","",INDEX(Homiladorlar!$R$5:$R$804,$B150)))</f>
        <v/>
      </c>
      <c r="J150" s="5" t="str">
        <f aca="false">IF($B150="","",IF(INDEX(Homiladorlar!$K$5:$K$804,$B150)="","",INDEX(Homiladorlar!$K$5:$K$804,$B150)))</f>
        <v/>
      </c>
      <c r="K150" s="30" t="str">
        <f aca="false">IF($B150="","",IF(INDEX(Homiladorlar!$J$5:$J$804,$B150)="","",INDEX(Homiladorlar!$J$5:$J$804,$B150)))</f>
        <v/>
      </c>
      <c r="L150" s="30" t="str">
        <f aca="false">IF($B150="","",IF(INDEX(Homiladorlar!$T$5:$T$804,$B150)="","",INDEX(Homiladorlar!$T$5:$T$804,$B150)))</f>
        <v/>
      </c>
      <c r="M150" s="30" t="str">
        <f aca="false">IF($B150="","",IF(INDEX(Homiladorlar!$AB$5:$AB$804,$B150)="","",INDEX(Homiladorlar!$AB$5:$AB$804,$B150)))</f>
        <v/>
      </c>
      <c r="N150" s="5" t="str">
        <f aca="false">IF($B150="","",IF(INDEX(Homiladorlar!$AC$5:$AC$804,$B150)="","",INDEX(Homiladorlar!$AC$5:$AC$804,$B150)))</f>
        <v/>
      </c>
    </row>
    <row r="151" customFormat="false" ht="15" hidden="false" customHeight="false" outlineLevel="0" collapsed="false">
      <c r="A151" s="5" t="n">
        <v>147</v>
      </c>
      <c r="B151" s="29" t="str">
        <f aca="false">IFERROR(MATCH(A151,Homiladorlar!$AH$5:$AH$804,0),"")</f>
        <v/>
      </c>
      <c r="C151" s="5" t="str">
        <f aca="false">IF($B151="","",IF(INDEX(Homiladorlar!$B$5:$B$804,$B151)="","",INDEX(Homiladorlar!$B$5:$B$804,$B151)))</f>
        <v/>
      </c>
      <c r="D151" s="30" t="str">
        <f aca="false">IF($B151="","",IF(INDEX(Homiladorlar!$C$5:$C$804,$B151)="","",INDEX(Homiladorlar!$C$5:$C$804,$B151)))</f>
        <v/>
      </c>
      <c r="E151" s="5" t="str">
        <f aca="false">IF($B151="","",IF(INDEX(Homiladorlar!$F$5:$F$804,$B151)="","",INDEX(Homiladorlar!$F$5:$F$804,$B151)))</f>
        <v/>
      </c>
      <c r="F151" s="5" t="str">
        <f aca="false">IF($B151="","",IF(INDEX(Homiladorlar!$E$5:$E$804,$B151)="","",INDEX(Homiladorlar!$E$5:$E$804,$B151)))</f>
        <v/>
      </c>
      <c r="G151" s="5" t="str">
        <f aca="false">IF($B151="","",IF(INDEX(Homiladorlar!$O$5:$O$804,$B151)="","",INDEX(Homiladorlar!$O$5:$O$804,$B151)))</f>
        <v/>
      </c>
      <c r="H151" s="5" t="str">
        <f aca="false">IF($B151="","",IF(INDEX(Homiladorlar!$Q$5:$Q$804,$B151)="","",INDEX(Homiladorlar!$Q$5:$Q$804,$B151)))</f>
        <v/>
      </c>
      <c r="I151" s="5" t="str">
        <f aca="false">IF($B151="","",IF(INDEX(Homiladorlar!$R$5:$R$804,$B151)="","",INDEX(Homiladorlar!$R$5:$R$804,$B151)))</f>
        <v/>
      </c>
      <c r="J151" s="5" t="str">
        <f aca="false">IF($B151="","",IF(INDEX(Homiladorlar!$K$5:$K$804,$B151)="","",INDEX(Homiladorlar!$K$5:$K$804,$B151)))</f>
        <v/>
      </c>
      <c r="K151" s="30" t="str">
        <f aca="false">IF($B151="","",IF(INDEX(Homiladorlar!$J$5:$J$804,$B151)="","",INDEX(Homiladorlar!$J$5:$J$804,$B151)))</f>
        <v/>
      </c>
      <c r="L151" s="30" t="str">
        <f aca="false">IF($B151="","",IF(INDEX(Homiladorlar!$T$5:$T$804,$B151)="","",INDEX(Homiladorlar!$T$5:$T$804,$B151)))</f>
        <v/>
      </c>
      <c r="M151" s="30" t="str">
        <f aca="false">IF($B151="","",IF(INDEX(Homiladorlar!$AB$5:$AB$804,$B151)="","",INDEX(Homiladorlar!$AB$5:$AB$804,$B151)))</f>
        <v/>
      </c>
      <c r="N151" s="5" t="str">
        <f aca="false">IF($B151="","",IF(INDEX(Homiladorlar!$AC$5:$AC$804,$B151)="","",INDEX(Homiladorlar!$AC$5:$AC$804,$B151)))</f>
        <v/>
      </c>
    </row>
    <row r="152" customFormat="false" ht="15" hidden="false" customHeight="false" outlineLevel="0" collapsed="false">
      <c r="A152" s="5" t="n">
        <v>148</v>
      </c>
      <c r="B152" s="29" t="str">
        <f aca="false">IFERROR(MATCH(A152,Homiladorlar!$AH$5:$AH$804,0),"")</f>
        <v/>
      </c>
      <c r="C152" s="5" t="str">
        <f aca="false">IF($B152="","",IF(INDEX(Homiladorlar!$B$5:$B$804,$B152)="","",INDEX(Homiladorlar!$B$5:$B$804,$B152)))</f>
        <v/>
      </c>
      <c r="D152" s="30" t="str">
        <f aca="false">IF($B152="","",IF(INDEX(Homiladorlar!$C$5:$C$804,$B152)="","",INDEX(Homiladorlar!$C$5:$C$804,$B152)))</f>
        <v/>
      </c>
      <c r="E152" s="5" t="str">
        <f aca="false">IF($B152="","",IF(INDEX(Homiladorlar!$F$5:$F$804,$B152)="","",INDEX(Homiladorlar!$F$5:$F$804,$B152)))</f>
        <v/>
      </c>
      <c r="F152" s="5" t="str">
        <f aca="false">IF($B152="","",IF(INDEX(Homiladorlar!$E$5:$E$804,$B152)="","",INDEX(Homiladorlar!$E$5:$E$804,$B152)))</f>
        <v/>
      </c>
      <c r="G152" s="5" t="str">
        <f aca="false">IF($B152="","",IF(INDEX(Homiladorlar!$O$5:$O$804,$B152)="","",INDEX(Homiladorlar!$O$5:$O$804,$B152)))</f>
        <v/>
      </c>
      <c r="H152" s="5" t="str">
        <f aca="false">IF($B152="","",IF(INDEX(Homiladorlar!$Q$5:$Q$804,$B152)="","",INDEX(Homiladorlar!$Q$5:$Q$804,$B152)))</f>
        <v/>
      </c>
      <c r="I152" s="5" t="str">
        <f aca="false">IF($B152="","",IF(INDEX(Homiladorlar!$R$5:$R$804,$B152)="","",INDEX(Homiladorlar!$R$5:$R$804,$B152)))</f>
        <v/>
      </c>
      <c r="J152" s="5" t="str">
        <f aca="false">IF($B152="","",IF(INDEX(Homiladorlar!$K$5:$K$804,$B152)="","",INDEX(Homiladorlar!$K$5:$K$804,$B152)))</f>
        <v/>
      </c>
      <c r="K152" s="30" t="str">
        <f aca="false">IF($B152="","",IF(INDEX(Homiladorlar!$J$5:$J$804,$B152)="","",INDEX(Homiladorlar!$J$5:$J$804,$B152)))</f>
        <v/>
      </c>
      <c r="L152" s="30" t="str">
        <f aca="false">IF($B152="","",IF(INDEX(Homiladorlar!$T$5:$T$804,$B152)="","",INDEX(Homiladorlar!$T$5:$T$804,$B152)))</f>
        <v/>
      </c>
      <c r="M152" s="30" t="str">
        <f aca="false">IF($B152="","",IF(INDEX(Homiladorlar!$AB$5:$AB$804,$B152)="","",INDEX(Homiladorlar!$AB$5:$AB$804,$B152)))</f>
        <v/>
      </c>
      <c r="N152" s="5" t="str">
        <f aca="false">IF($B152="","",IF(INDEX(Homiladorlar!$AC$5:$AC$804,$B152)="","",INDEX(Homiladorlar!$AC$5:$AC$804,$B152)))</f>
        <v/>
      </c>
    </row>
    <row r="153" customFormat="false" ht="15" hidden="false" customHeight="false" outlineLevel="0" collapsed="false">
      <c r="A153" s="5" t="n">
        <v>149</v>
      </c>
      <c r="B153" s="29" t="str">
        <f aca="false">IFERROR(MATCH(A153,Homiladorlar!$AH$5:$AH$804,0),"")</f>
        <v/>
      </c>
      <c r="C153" s="5" t="str">
        <f aca="false">IF($B153="","",IF(INDEX(Homiladorlar!$B$5:$B$804,$B153)="","",INDEX(Homiladorlar!$B$5:$B$804,$B153)))</f>
        <v/>
      </c>
      <c r="D153" s="30" t="str">
        <f aca="false">IF($B153="","",IF(INDEX(Homiladorlar!$C$5:$C$804,$B153)="","",INDEX(Homiladorlar!$C$5:$C$804,$B153)))</f>
        <v/>
      </c>
      <c r="E153" s="5" t="str">
        <f aca="false">IF($B153="","",IF(INDEX(Homiladorlar!$F$5:$F$804,$B153)="","",INDEX(Homiladorlar!$F$5:$F$804,$B153)))</f>
        <v/>
      </c>
      <c r="F153" s="5" t="str">
        <f aca="false">IF($B153="","",IF(INDEX(Homiladorlar!$E$5:$E$804,$B153)="","",INDEX(Homiladorlar!$E$5:$E$804,$B153)))</f>
        <v/>
      </c>
      <c r="G153" s="5" t="str">
        <f aca="false">IF($B153="","",IF(INDEX(Homiladorlar!$O$5:$O$804,$B153)="","",INDEX(Homiladorlar!$O$5:$O$804,$B153)))</f>
        <v/>
      </c>
      <c r="H153" s="5" t="str">
        <f aca="false">IF($B153="","",IF(INDEX(Homiladorlar!$Q$5:$Q$804,$B153)="","",INDEX(Homiladorlar!$Q$5:$Q$804,$B153)))</f>
        <v/>
      </c>
      <c r="I153" s="5" t="str">
        <f aca="false">IF($B153="","",IF(INDEX(Homiladorlar!$R$5:$R$804,$B153)="","",INDEX(Homiladorlar!$R$5:$R$804,$B153)))</f>
        <v/>
      </c>
      <c r="J153" s="5" t="str">
        <f aca="false">IF($B153="","",IF(INDEX(Homiladorlar!$K$5:$K$804,$B153)="","",INDEX(Homiladorlar!$K$5:$K$804,$B153)))</f>
        <v/>
      </c>
      <c r="K153" s="30" t="str">
        <f aca="false">IF($B153="","",IF(INDEX(Homiladorlar!$J$5:$J$804,$B153)="","",INDEX(Homiladorlar!$J$5:$J$804,$B153)))</f>
        <v/>
      </c>
      <c r="L153" s="30" t="str">
        <f aca="false">IF($B153="","",IF(INDEX(Homiladorlar!$T$5:$T$804,$B153)="","",INDEX(Homiladorlar!$T$5:$T$804,$B153)))</f>
        <v/>
      </c>
      <c r="M153" s="30" t="str">
        <f aca="false">IF($B153="","",IF(INDEX(Homiladorlar!$AB$5:$AB$804,$B153)="","",INDEX(Homiladorlar!$AB$5:$AB$804,$B153)))</f>
        <v/>
      </c>
      <c r="N153" s="5" t="str">
        <f aca="false">IF($B153="","",IF(INDEX(Homiladorlar!$AC$5:$AC$804,$B153)="","",INDEX(Homiladorlar!$AC$5:$AC$804,$B153)))</f>
        <v/>
      </c>
    </row>
    <row r="154" customFormat="false" ht="15" hidden="false" customHeight="false" outlineLevel="0" collapsed="false">
      <c r="A154" s="5" t="n">
        <v>150</v>
      </c>
      <c r="B154" s="29" t="str">
        <f aca="false">IFERROR(MATCH(A154,Homiladorlar!$AH$5:$AH$804,0),"")</f>
        <v/>
      </c>
      <c r="C154" s="5" t="str">
        <f aca="false">IF($B154="","",IF(INDEX(Homiladorlar!$B$5:$B$804,$B154)="","",INDEX(Homiladorlar!$B$5:$B$804,$B154)))</f>
        <v/>
      </c>
      <c r="D154" s="30" t="str">
        <f aca="false">IF($B154="","",IF(INDEX(Homiladorlar!$C$5:$C$804,$B154)="","",INDEX(Homiladorlar!$C$5:$C$804,$B154)))</f>
        <v/>
      </c>
      <c r="E154" s="5" t="str">
        <f aca="false">IF($B154="","",IF(INDEX(Homiladorlar!$F$5:$F$804,$B154)="","",INDEX(Homiladorlar!$F$5:$F$804,$B154)))</f>
        <v/>
      </c>
      <c r="F154" s="5" t="str">
        <f aca="false">IF($B154="","",IF(INDEX(Homiladorlar!$E$5:$E$804,$B154)="","",INDEX(Homiladorlar!$E$5:$E$804,$B154)))</f>
        <v/>
      </c>
      <c r="G154" s="5" t="str">
        <f aca="false">IF($B154="","",IF(INDEX(Homiladorlar!$O$5:$O$804,$B154)="","",INDEX(Homiladorlar!$O$5:$O$804,$B154)))</f>
        <v/>
      </c>
      <c r="H154" s="5" t="str">
        <f aca="false">IF($B154="","",IF(INDEX(Homiladorlar!$Q$5:$Q$804,$B154)="","",INDEX(Homiladorlar!$Q$5:$Q$804,$B154)))</f>
        <v/>
      </c>
      <c r="I154" s="5" t="str">
        <f aca="false">IF($B154="","",IF(INDEX(Homiladorlar!$R$5:$R$804,$B154)="","",INDEX(Homiladorlar!$R$5:$R$804,$B154)))</f>
        <v/>
      </c>
      <c r="J154" s="5" t="str">
        <f aca="false">IF($B154="","",IF(INDEX(Homiladorlar!$K$5:$K$804,$B154)="","",INDEX(Homiladorlar!$K$5:$K$804,$B154)))</f>
        <v/>
      </c>
      <c r="K154" s="30" t="str">
        <f aca="false">IF($B154="","",IF(INDEX(Homiladorlar!$J$5:$J$804,$B154)="","",INDEX(Homiladorlar!$J$5:$J$804,$B154)))</f>
        <v/>
      </c>
      <c r="L154" s="30" t="str">
        <f aca="false">IF($B154="","",IF(INDEX(Homiladorlar!$T$5:$T$804,$B154)="","",INDEX(Homiladorlar!$T$5:$T$804,$B154)))</f>
        <v/>
      </c>
      <c r="M154" s="30" t="str">
        <f aca="false">IF($B154="","",IF(INDEX(Homiladorlar!$AB$5:$AB$804,$B154)="","",INDEX(Homiladorlar!$AB$5:$AB$804,$B154)))</f>
        <v/>
      </c>
      <c r="N154" s="5" t="str">
        <f aca="false">IF($B154="","",IF(INDEX(Homiladorlar!$AC$5:$AC$804,$B154)="","",INDEX(Homiladorlar!$AC$5:$AC$804,$B154)))</f>
        <v/>
      </c>
    </row>
    <row r="155" customFormat="false" ht="15" hidden="false" customHeight="false" outlineLevel="0" collapsed="false">
      <c r="A155" s="5" t="n">
        <v>151</v>
      </c>
      <c r="B155" s="29" t="str">
        <f aca="false">IFERROR(MATCH(A155,Homiladorlar!$AH$5:$AH$804,0),"")</f>
        <v/>
      </c>
      <c r="C155" s="5" t="str">
        <f aca="false">IF($B155="","",IF(INDEX(Homiladorlar!$B$5:$B$804,$B155)="","",INDEX(Homiladorlar!$B$5:$B$804,$B155)))</f>
        <v/>
      </c>
      <c r="D155" s="30" t="str">
        <f aca="false">IF($B155="","",IF(INDEX(Homiladorlar!$C$5:$C$804,$B155)="","",INDEX(Homiladorlar!$C$5:$C$804,$B155)))</f>
        <v/>
      </c>
      <c r="E155" s="5" t="str">
        <f aca="false">IF($B155="","",IF(INDEX(Homiladorlar!$F$5:$F$804,$B155)="","",INDEX(Homiladorlar!$F$5:$F$804,$B155)))</f>
        <v/>
      </c>
      <c r="F155" s="5" t="str">
        <f aca="false">IF($B155="","",IF(INDEX(Homiladorlar!$E$5:$E$804,$B155)="","",INDEX(Homiladorlar!$E$5:$E$804,$B155)))</f>
        <v/>
      </c>
      <c r="G155" s="5" t="str">
        <f aca="false">IF($B155="","",IF(INDEX(Homiladorlar!$O$5:$O$804,$B155)="","",INDEX(Homiladorlar!$O$5:$O$804,$B155)))</f>
        <v/>
      </c>
      <c r="H155" s="5" t="str">
        <f aca="false">IF($B155="","",IF(INDEX(Homiladorlar!$Q$5:$Q$804,$B155)="","",INDEX(Homiladorlar!$Q$5:$Q$804,$B155)))</f>
        <v/>
      </c>
      <c r="I155" s="5" t="str">
        <f aca="false">IF($B155="","",IF(INDEX(Homiladorlar!$R$5:$R$804,$B155)="","",INDEX(Homiladorlar!$R$5:$R$804,$B155)))</f>
        <v/>
      </c>
      <c r="J155" s="5" t="str">
        <f aca="false">IF($B155="","",IF(INDEX(Homiladorlar!$K$5:$K$804,$B155)="","",INDEX(Homiladorlar!$K$5:$K$804,$B155)))</f>
        <v/>
      </c>
      <c r="K155" s="30" t="str">
        <f aca="false">IF($B155="","",IF(INDEX(Homiladorlar!$J$5:$J$804,$B155)="","",INDEX(Homiladorlar!$J$5:$J$804,$B155)))</f>
        <v/>
      </c>
      <c r="L155" s="30" t="str">
        <f aca="false">IF($B155="","",IF(INDEX(Homiladorlar!$T$5:$T$804,$B155)="","",INDEX(Homiladorlar!$T$5:$T$804,$B155)))</f>
        <v/>
      </c>
      <c r="M155" s="30" t="str">
        <f aca="false">IF($B155="","",IF(INDEX(Homiladorlar!$AB$5:$AB$804,$B155)="","",INDEX(Homiladorlar!$AB$5:$AB$804,$B155)))</f>
        <v/>
      </c>
      <c r="N155" s="5" t="str">
        <f aca="false">IF($B155="","",IF(INDEX(Homiladorlar!$AC$5:$AC$804,$B155)="","",INDEX(Homiladorlar!$AC$5:$AC$804,$B155)))</f>
        <v/>
      </c>
    </row>
    <row r="156" customFormat="false" ht="15" hidden="false" customHeight="false" outlineLevel="0" collapsed="false">
      <c r="A156" s="5" t="n">
        <v>152</v>
      </c>
      <c r="B156" s="29" t="str">
        <f aca="false">IFERROR(MATCH(A156,Homiladorlar!$AH$5:$AH$804,0),"")</f>
        <v/>
      </c>
      <c r="C156" s="5" t="str">
        <f aca="false">IF($B156="","",IF(INDEX(Homiladorlar!$B$5:$B$804,$B156)="","",INDEX(Homiladorlar!$B$5:$B$804,$B156)))</f>
        <v/>
      </c>
      <c r="D156" s="30" t="str">
        <f aca="false">IF($B156="","",IF(INDEX(Homiladorlar!$C$5:$C$804,$B156)="","",INDEX(Homiladorlar!$C$5:$C$804,$B156)))</f>
        <v/>
      </c>
      <c r="E156" s="5" t="str">
        <f aca="false">IF($B156="","",IF(INDEX(Homiladorlar!$F$5:$F$804,$B156)="","",INDEX(Homiladorlar!$F$5:$F$804,$B156)))</f>
        <v/>
      </c>
      <c r="F156" s="5" t="str">
        <f aca="false">IF($B156="","",IF(INDEX(Homiladorlar!$E$5:$E$804,$B156)="","",INDEX(Homiladorlar!$E$5:$E$804,$B156)))</f>
        <v/>
      </c>
      <c r="G156" s="5" t="str">
        <f aca="false">IF($B156="","",IF(INDEX(Homiladorlar!$O$5:$O$804,$B156)="","",INDEX(Homiladorlar!$O$5:$O$804,$B156)))</f>
        <v/>
      </c>
      <c r="H156" s="5" t="str">
        <f aca="false">IF($B156="","",IF(INDEX(Homiladorlar!$Q$5:$Q$804,$B156)="","",INDEX(Homiladorlar!$Q$5:$Q$804,$B156)))</f>
        <v/>
      </c>
      <c r="I156" s="5" t="str">
        <f aca="false">IF($B156="","",IF(INDEX(Homiladorlar!$R$5:$R$804,$B156)="","",INDEX(Homiladorlar!$R$5:$R$804,$B156)))</f>
        <v/>
      </c>
      <c r="J156" s="5" t="str">
        <f aca="false">IF($B156="","",IF(INDEX(Homiladorlar!$K$5:$K$804,$B156)="","",INDEX(Homiladorlar!$K$5:$K$804,$B156)))</f>
        <v/>
      </c>
      <c r="K156" s="30" t="str">
        <f aca="false">IF($B156="","",IF(INDEX(Homiladorlar!$J$5:$J$804,$B156)="","",INDEX(Homiladorlar!$J$5:$J$804,$B156)))</f>
        <v/>
      </c>
      <c r="L156" s="30" t="str">
        <f aca="false">IF($B156="","",IF(INDEX(Homiladorlar!$T$5:$T$804,$B156)="","",INDEX(Homiladorlar!$T$5:$T$804,$B156)))</f>
        <v/>
      </c>
      <c r="M156" s="30" t="str">
        <f aca="false">IF($B156="","",IF(INDEX(Homiladorlar!$AB$5:$AB$804,$B156)="","",INDEX(Homiladorlar!$AB$5:$AB$804,$B156)))</f>
        <v/>
      </c>
      <c r="N156" s="5" t="str">
        <f aca="false">IF($B156="","",IF(INDEX(Homiladorlar!$AC$5:$AC$804,$B156)="","",INDEX(Homiladorlar!$AC$5:$AC$804,$B156)))</f>
        <v/>
      </c>
    </row>
    <row r="157" customFormat="false" ht="15" hidden="false" customHeight="false" outlineLevel="0" collapsed="false">
      <c r="A157" s="5" t="n">
        <v>153</v>
      </c>
      <c r="B157" s="29" t="str">
        <f aca="false">IFERROR(MATCH(A157,Homiladorlar!$AH$5:$AH$804,0),"")</f>
        <v/>
      </c>
      <c r="C157" s="5" t="str">
        <f aca="false">IF($B157="","",IF(INDEX(Homiladorlar!$B$5:$B$804,$B157)="","",INDEX(Homiladorlar!$B$5:$B$804,$B157)))</f>
        <v/>
      </c>
      <c r="D157" s="30" t="str">
        <f aca="false">IF($B157="","",IF(INDEX(Homiladorlar!$C$5:$C$804,$B157)="","",INDEX(Homiladorlar!$C$5:$C$804,$B157)))</f>
        <v/>
      </c>
      <c r="E157" s="5" t="str">
        <f aca="false">IF($B157="","",IF(INDEX(Homiladorlar!$F$5:$F$804,$B157)="","",INDEX(Homiladorlar!$F$5:$F$804,$B157)))</f>
        <v/>
      </c>
      <c r="F157" s="5" t="str">
        <f aca="false">IF($B157="","",IF(INDEX(Homiladorlar!$E$5:$E$804,$B157)="","",INDEX(Homiladorlar!$E$5:$E$804,$B157)))</f>
        <v/>
      </c>
      <c r="G157" s="5" t="str">
        <f aca="false">IF($B157="","",IF(INDEX(Homiladorlar!$O$5:$O$804,$B157)="","",INDEX(Homiladorlar!$O$5:$O$804,$B157)))</f>
        <v/>
      </c>
      <c r="H157" s="5" t="str">
        <f aca="false">IF($B157="","",IF(INDEX(Homiladorlar!$Q$5:$Q$804,$B157)="","",INDEX(Homiladorlar!$Q$5:$Q$804,$B157)))</f>
        <v/>
      </c>
      <c r="I157" s="5" t="str">
        <f aca="false">IF($B157="","",IF(INDEX(Homiladorlar!$R$5:$R$804,$B157)="","",INDEX(Homiladorlar!$R$5:$R$804,$B157)))</f>
        <v/>
      </c>
      <c r="J157" s="5" t="str">
        <f aca="false">IF($B157="","",IF(INDEX(Homiladorlar!$K$5:$K$804,$B157)="","",INDEX(Homiladorlar!$K$5:$K$804,$B157)))</f>
        <v/>
      </c>
      <c r="K157" s="30" t="str">
        <f aca="false">IF($B157="","",IF(INDEX(Homiladorlar!$J$5:$J$804,$B157)="","",INDEX(Homiladorlar!$J$5:$J$804,$B157)))</f>
        <v/>
      </c>
      <c r="L157" s="30" t="str">
        <f aca="false">IF($B157="","",IF(INDEX(Homiladorlar!$T$5:$T$804,$B157)="","",INDEX(Homiladorlar!$T$5:$T$804,$B157)))</f>
        <v/>
      </c>
      <c r="M157" s="30" t="str">
        <f aca="false">IF($B157="","",IF(INDEX(Homiladorlar!$AB$5:$AB$804,$B157)="","",INDEX(Homiladorlar!$AB$5:$AB$804,$B157)))</f>
        <v/>
      </c>
      <c r="N157" s="5" t="str">
        <f aca="false">IF($B157="","",IF(INDEX(Homiladorlar!$AC$5:$AC$804,$B157)="","",INDEX(Homiladorlar!$AC$5:$AC$804,$B157)))</f>
        <v/>
      </c>
    </row>
    <row r="158" customFormat="false" ht="15" hidden="false" customHeight="false" outlineLevel="0" collapsed="false">
      <c r="A158" s="5" t="n">
        <v>154</v>
      </c>
      <c r="B158" s="29" t="str">
        <f aca="false">IFERROR(MATCH(A158,Homiladorlar!$AH$5:$AH$804,0),"")</f>
        <v/>
      </c>
      <c r="C158" s="5" t="str">
        <f aca="false">IF($B158="","",IF(INDEX(Homiladorlar!$B$5:$B$804,$B158)="","",INDEX(Homiladorlar!$B$5:$B$804,$B158)))</f>
        <v/>
      </c>
      <c r="D158" s="30" t="str">
        <f aca="false">IF($B158="","",IF(INDEX(Homiladorlar!$C$5:$C$804,$B158)="","",INDEX(Homiladorlar!$C$5:$C$804,$B158)))</f>
        <v/>
      </c>
      <c r="E158" s="5" t="str">
        <f aca="false">IF($B158="","",IF(INDEX(Homiladorlar!$F$5:$F$804,$B158)="","",INDEX(Homiladorlar!$F$5:$F$804,$B158)))</f>
        <v/>
      </c>
      <c r="F158" s="5" t="str">
        <f aca="false">IF($B158="","",IF(INDEX(Homiladorlar!$E$5:$E$804,$B158)="","",INDEX(Homiladorlar!$E$5:$E$804,$B158)))</f>
        <v/>
      </c>
      <c r="G158" s="5" t="str">
        <f aca="false">IF($B158="","",IF(INDEX(Homiladorlar!$O$5:$O$804,$B158)="","",INDEX(Homiladorlar!$O$5:$O$804,$B158)))</f>
        <v/>
      </c>
      <c r="H158" s="5" t="str">
        <f aca="false">IF($B158="","",IF(INDEX(Homiladorlar!$Q$5:$Q$804,$B158)="","",INDEX(Homiladorlar!$Q$5:$Q$804,$B158)))</f>
        <v/>
      </c>
      <c r="I158" s="5" t="str">
        <f aca="false">IF($B158="","",IF(INDEX(Homiladorlar!$R$5:$R$804,$B158)="","",INDEX(Homiladorlar!$R$5:$R$804,$B158)))</f>
        <v/>
      </c>
      <c r="J158" s="5" t="str">
        <f aca="false">IF($B158="","",IF(INDEX(Homiladorlar!$K$5:$K$804,$B158)="","",INDEX(Homiladorlar!$K$5:$K$804,$B158)))</f>
        <v/>
      </c>
      <c r="K158" s="30" t="str">
        <f aca="false">IF($B158="","",IF(INDEX(Homiladorlar!$J$5:$J$804,$B158)="","",INDEX(Homiladorlar!$J$5:$J$804,$B158)))</f>
        <v/>
      </c>
      <c r="L158" s="30" t="str">
        <f aca="false">IF($B158="","",IF(INDEX(Homiladorlar!$T$5:$T$804,$B158)="","",INDEX(Homiladorlar!$T$5:$T$804,$B158)))</f>
        <v/>
      </c>
      <c r="M158" s="30" t="str">
        <f aca="false">IF($B158="","",IF(INDEX(Homiladorlar!$AB$5:$AB$804,$B158)="","",INDEX(Homiladorlar!$AB$5:$AB$804,$B158)))</f>
        <v/>
      </c>
      <c r="N158" s="5" t="str">
        <f aca="false">IF($B158="","",IF(INDEX(Homiladorlar!$AC$5:$AC$804,$B158)="","",INDEX(Homiladorlar!$AC$5:$AC$804,$B158)))</f>
        <v/>
      </c>
    </row>
    <row r="159" customFormat="false" ht="15" hidden="false" customHeight="false" outlineLevel="0" collapsed="false">
      <c r="A159" s="5" t="n">
        <v>155</v>
      </c>
      <c r="B159" s="29" t="str">
        <f aca="false">IFERROR(MATCH(A159,Homiladorlar!$AH$5:$AH$804,0),"")</f>
        <v/>
      </c>
      <c r="C159" s="5" t="str">
        <f aca="false">IF($B159="","",IF(INDEX(Homiladorlar!$B$5:$B$804,$B159)="","",INDEX(Homiladorlar!$B$5:$B$804,$B159)))</f>
        <v/>
      </c>
      <c r="D159" s="30" t="str">
        <f aca="false">IF($B159="","",IF(INDEX(Homiladorlar!$C$5:$C$804,$B159)="","",INDEX(Homiladorlar!$C$5:$C$804,$B159)))</f>
        <v/>
      </c>
      <c r="E159" s="5" t="str">
        <f aca="false">IF($B159="","",IF(INDEX(Homiladorlar!$F$5:$F$804,$B159)="","",INDEX(Homiladorlar!$F$5:$F$804,$B159)))</f>
        <v/>
      </c>
      <c r="F159" s="5" t="str">
        <f aca="false">IF($B159="","",IF(INDEX(Homiladorlar!$E$5:$E$804,$B159)="","",INDEX(Homiladorlar!$E$5:$E$804,$B159)))</f>
        <v/>
      </c>
      <c r="G159" s="5" t="str">
        <f aca="false">IF($B159="","",IF(INDEX(Homiladorlar!$O$5:$O$804,$B159)="","",INDEX(Homiladorlar!$O$5:$O$804,$B159)))</f>
        <v/>
      </c>
      <c r="H159" s="5" t="str">
        <f aca="false">IF($B159="","",IF(INDEX(Homiladorlar!$Q$5:$Q$804,$B159)="","",INDEX(Homiladorlar!$Q$5:$Q$804,$B159)))</f>
        <v/>
      </c>
      <c r="I159" s="5" t="str">
        <f aca="false">IF($B159="","",IF(INDEX(Homiladorlar!$R$5:$R$804,$B159)="","",INDEX(Homiladorlar!$R$5:$R$804,$B159)))</f>
        <v/>
      </c>
      <c r="J159" s="5" t="str">
        <f aca="false">IF($B159="","",IF(INDEX(Homiladorlar!$K$5:$K$804,$B159)="","",INDEX(Homiladorlar!$K$5:$K$804,$B159)))</f>
        <v/>
      </c>
      <c r="K159" s="30" t="str">
        <f aca="false">IF($B159="","",IF(INDEX(Homiladorlar!$J$5:$J$804,$B159)="","",INDEX(Homiladorlar!$J$5:$J$804,$B159)))</f>
        <v/>
      </c>
      <c r="L159" s="30" t="str">
        <f aca="false">IF($B159="","",IF(INDEX(Homiladorlar!$T$5:$T$804,$B159)="","",INDEX(Homiladorlar!$T$5:$T$804,$B159)))</f>
        <v/>
      </c>
      <c r="M159" s="30" t="str">
        <f aca="false">IF($B159="","",IF(INDEX(Homiladorlar!$AB$5:$AB$804,$B159)="","",INDEX(Homiladorlar!$AB$5:$AB$804,$B159)))</f>
        <v/>
      </c>
      <c r="N159" s="5" t="str">
        <f aca="false">IF($B159="","",IF(INDEX(Homiladorlar!$AC$5:$AC$804,$B159)="","",INDEX(Homiladorlar!$AC$5:$AC$804,$B159)))</f>
        <v/>
      </c>
    </row>
    <row r="160" customFormat="false" ht="15" hidden="false" customHeight="false" outlineLevel="0" collapsed="false">
      <c r="A160" s="5" t="n">
        <v>156</v>
      </c>
      <c r="B160" s="29" t="str">
        <f aca="false">IFERROR(MATCH(A160,Homiladorlar!$AH$5:$AH$804,0),"")</f>
        <v/>
      </c>
      <c r="C160" s="5" t="str">
        <f aca="false">IF($B160="","",IF(INDEX(Homiladorlar!$B$5:$B$804,$B160)="","",INDEX(Homiladorlar!$B$5:$B$804,$B160)))</f>
        <v/>
      </c>
      <c r="D160" s="30" t="str">
        <f aca="false">IF($B160="","",IF(INDEX(Homiladorlar!$C$5:$C$804,$B160)="","",INDEX(Homiladorlar!$C$5:$C$804,$B160)))</f>
        <v/>
      </c>
      <c r="E160" s="5" t="str">
        <f aca="false">IF($B160="","",IF(INDEX(Homiladorlar!$F$5:$F$804,$B160)="","",INDEX(Homiladorlar!$F$5:$F$804,$B160)))</f>
        <v/>
      </c>
      <c r="F160" s="5" t="str">
        <f aca="false">IF($B160="","",IF(INDEX(Homiladorlar!$E$5:$E$804,$B160)="","",INDEX(Homiladorlar!$E$5:$E$804,$B160)))</f>
        <v/>
      </c>
      <c r="G160" s="5" t="str">
        <f aca="false">IF($B160="","",IF(INDEX(Homiladorlar!$O$5:$O$804,$B160)="","",INDEX(Homiladorlar!$O$5:$O$804,$B160)))</f>
        <v/>
      </c>
      <c r="H160" s="5" t="str">
        <f aca="false">IF($B160="","",IF(INDEX(Homiladorlar!$Q$5:$Q$804,$B160)="","",INDEX(Homiladorlar!$Q$5:$Q$804,$B160)))</f>
        <v/>
      </c>
      <c r="I160" s="5" t="str">
        <f aca="false">IF($B160="","",IF(INDEX(Homiladorlar!$R$5:$R$804,$B160)="","",INDEX(Homiladorlar!$R$5:$R$804,$B160)))</f>
        <v/>
      </c>
      <c r="J160" s="5" t="str">
        <f aca="false">IF($B160="","",IF(INDEX(Homiladorlar!$K$5:$K$804,$B160)="","",INDEX(Homiladorlar!$K$5:$K$804,$B160)))</f>
        <v/>
      </c>
      <c r="K160" s="30" t="str">
        <f aca="false">IF($B160="","",IF(INDEX(Homiladorlar!$J$5:$J$804,$B160)="","",INDEX(Homiladorlar!$J$5:$J$804,$B160)))</f>
        <v/>
      </c>
      <c r="L160" s="30" t="str">
        <f aca="false">IF($B160="","",IF(INDEX(Homiladorlar!$T$5:$T$804,$B160)="","",INDEX(Homiladorlar!$T$5:$T$804,$B160)))</f>
        <v/>
      </c>
      <c r="M160" s="30" t="str">
        <f aca="false">IF($B160="","",IF(INDEX(Homiladorlar!$AB$5:$AB$804,$B160)="","",INDEX(Homiladorlar!$AB$5:$AB$804,$B160)))</f>
        <v/>
      </c>
      <c r="N160" s="5" t="str">
        <f aca="false">IF($B160="","",IF(INDEX(Homiladorlar!$AC$5:$AC$804,$B160)="","",INDEX(Homiladorlar!$AC$5:$AC$804,$B160)))</f>
        <v/>
      </c>
    </row>
    <row r="161" customFormat="false" ht="15" hidden="false" customHeight="false" outlineLevel="0" collapsed="false">
      <c r="A161" s="5" t="n">
        <v>157</v>
      </c>
      <c r="B161" s="29" t="str">
        <f aca="false">IFERROR(MATCH(A161,Homiladorlar!$AH$5:$AH$804,0),"")</f>
        <v/>
      </c>
      <c r="C161" s="5" t="str">
        <f aca="false">IF($B161="","",IF(INDEX(Homiladorlar!$B$5:$B$804,$B161)="","",INDEX(Homiladorlar!$B$5:$B$804,$B161)))</f>
        <v/>
      </c>
      <c r="D161" s="30" t="str">
        <f aca="false">IF($B161="","",IF(INDEX(Homiladorlar!$C$5:$C$804,$B161)="","",INDEX(Homiladorlar!$C$5:$C$804,$B161)))</f>
        <v/>
      </c>
      <c r="E161" s="5" t="str">
        <f aca="false">IF($B161="","",IF(INDEX(Homiladorlar!$F$5:$F$804,$B161)="","",INDEX(Homiladorlar!$F$5:$F$804,$B161)))</f>
        <v/>
      </c>
      <c r="F161" s="5" t="str">
        <f aca="false">IF($B161="","",IF(INDEX(Homiladorlar!$E$5:$E$804,$B161)="","",INDEX(Homiladorlar!$E$5:$E$804,$B161)))</f>
        <v/>
      </c>
      <c r="G161" s="5" t="str">
        <f aca="false">IF($B161="","",IF(INDEX(Homiladorlar!$O$5:$O$804,$B161)="","",INDEX(Homiladorlar!$O$5:$O$804,$B161)))</f>
        <v/>
      </c>
      <c r="H161" s="5" t="str">
        <f aca="false">IF($B161="","",IF(INDEX(Homiladorlar!$Q$5:$Q$804,$B161)="","",INDEX(Homiladorlar!$Q$5:$Q$804,$B161)))</f>
        <v/>
      </c>
      <c r="I161" s="5" t="str">
        <f aca="false">IF($B161="","",IF(INDEX(Homiladorlar!$R$5:$R$804,$B161)="","",INDEX(Homiladorlar!$R$5:$R$804,$B161)))</f>
        <v/>
      </c>
      <c r="J161" s="5" t="str">
        <f aca="false">IF($B161="","",IF(INDEX(Homiladorlar!$K$5:$K$804,$B161)="","",INDEX(Homiladorlar!$K$5:$K$804,$B161)))</f>
        <v/>
      </c>
      <c r="K161" s="30" t="str">
        <f aca="false">IF($B161="","",IF(INDEX(Homiladorlar!$J$5:$J$804,$B161)="","",INDEX(Homiladorlar!$J$5:$J$804,$B161)))</f>
        <v/>
      </c>
      <c r="L161" s="30" t="str">
        <f aca="false">IF($B161="","",IF(INDEX(Homiladorlar!$T$5:$T$804,$B161)="","",INDEX(Homiladorlar!$T$5:$T$804,$B161)))</f>
        <v/>
      </c>
      <c r="M161" s="30" t="str">
        <f aca="false">IF($B161="","",IF(INDEX(Homiladorlar!$AB$5:$AB$804,$B161)="","",INDEX(Homiladorlar!$AB$5:$AB$804,$B161)))</f>
        <v/>
      </c>
      <c r="N161" s="5" t="str">
        <f aca="false">IF($B161="","",IF(INDEX(Homiladorlar!$AC$5:$AC$804,$B161)="","",INDEX(Homiladorlar!$AC$5:$AC$804,$B161)))</f>
        <v/>
      </c>
    </row>
    <row r="162" customFormat="false" ht="15" hidden="false" customHeight="false" outlineLevel="0" collapsed="false">
      <c r="A162" s="5" t="n">
        <v>158</v>
      </c>
      <c r="B162" s="29" t="str">
        <f aca="false">IFERROR(MATCH(A162,Homiladorlar!$AH$5:$AH$804,0),"")</f>
        <v/>
      </c>
      <c r="C162" s="5" t="str">
        <f aca="false">IF($B162="","",IF(INDEX(Homiladorlar!$B$5:$B$804,$B162)="","",INDEX(Homiladorlar!$B$5:$B$804,$B162)))</f>
        <v/>
      </c>
      <c r="D162" s="30" t="str">
        <f aca="false">IF($B162="","",IF(INDEX(Homiladorlar!$C$5:$C$804,$B162)="","",INDEX(Homiladorlar!$C$5:$C$804,$B162)))</f>
        <v/>
      </c>
      <c r="E162" s="5" t="str">
        <f aca="false">IF($B162="","",IF(INDEX(Homiladorlar!$F$5:$F$804,$B162)="","",INDEX(Homiladorlar!$F$5:$F$804,$B162)))</f>
        <v/>
      </c>
      <c r="F162" s="5" t="str">
        <f aca="false">IF($B162="","",IF(INDEX(Homiladorlar!$E$5:$E$804,$B162)="","",INDEX(Homiladorlar!$E$5:$E$804,$B162)))</f>
        <v/>
      </c>
      <c r="G162" s="5" t="str">
        <f aca="false">IF($B162="","",IF(INDEX(Homiladorlar!$O$5:$O$804,$B162)="","",INDEX(Homiladorlar!$O$5:$O$804,$B162)))</f>
        <v/>
      </c>
      <c r="H162" s="5" t="str">
        <f aca="false">IF($B162="","",IF(INDEX(Homiladorlar!$Q$5:$Q$804,$B162)="","",INDEX(Homiladorlar!$Q$5:$Q$804,$B162)))</f>
        <v/>
      </c>
      <c r="I162" s="5" t="str">
        <f aca="false">IF($B162="","",IF(INDEX(Homiladorlar!$R$5:$R$804,$B162)="","",INDEX(Homiladorlar!$R$5:$R$804,$B162)))</f>
        <v/>
      </c>
      <c r="J162" s="5" t="str">
        <f aca="false">IF($B162="","",IF(INDEX(Homiladorlar!$K$5:$K$804,$B162)="","",INDEX(Homiladorlar!$K$5:$K$804,$B162)))</f>
        <v/>
      </c>
      <c r="K162" s="30" t="str">
        <f aca="false">IF($B162="","",IF(INDEX(Homiladorlar!$J$5:$J$804,$B162)="","",INDEX(Homiladorlar!$J$5:$J$804,$B162)))</f>
        <v/>
      </c>
      <c r="L162" s="30" t="str">
        <f aca="false">IF($B162="","",IF(INDEX(Homiladorlar!$T$5:$T$804,$B162)="","",INDEX(Homiladorlar!$T$5:$T$804,$B162)))</f>
        <v/>
      </c>
      <c r="M162" s="30" t="str">
        <f aca="false">IF($B162="","",IF(INDEX(Homiladorlar!$AB$5:$AB$804,$B162)="","",INDEX(Homiladorlar!$AB$5:$AB$804,$B162)))</f>
        <v/>
      </c>
      <c r="N162" s="5" t="str">
        <f aca="false">IF($B162="","",IF(INDEX(Homiladorlar!$AC$5:$AC$804,$B162)="","",INDEX(Homiladorlar!$AC$5:$AC$804,$B162)))</f>
        <v/>
      </c>
    </row>
    <row r="163" customFormat="false" ht="15" hidden="false" customHeight="false" outlineLevel="0" collapsed="false">
      <c r="A163" s="5" t="n">
        <v>159</v>
      </c>
      <c r="B163" s="29" t="str">
        <f aca="false">IFERROR(MATCH(A163,Homiladorlar!$AH$5:$AH$804,0),"")</f>
        <v/>
      </c>
      <c r="C163" s="5" t="str">
        <f aca="false">IF($B163="","",IF(INDEX(Homiladorlar!$B$5:$B$804,$B163)="","",INDEX(Homiladorlar!$B$5:$B$804,$B163)))</f>
        <v/>
      </c>
      <c r="D163" s="30" t="str">
        <f aca="false">IF($B163="","",IF(INDEX(Homiladorlar!$C$5:$C$804,$B163)="","",INDEX(Homiladorlar!$C$5:$C$804,$B163)))</f>
        <v/>
      </c>
      <c r="E163" s="5" t="str">
        <f aca="false">IF($B163="","",IF(INDEX(Homiladorlar!$F$5:$F$804,$B163)="","",INDEX(Homiladorlar!$F$5:$F$804,$B163)))</f>
        <v/>
      </c>
      <c r="F163" s="5" t="str">
        <f aca="false">IF($B163="","",IF(INDEX(Homiladorlar!$E$5:$E$804,$B163)="","",INDEX(Homiladorlar!$E$5:$E$804,$B163)))</f>
        <v/>
      </c>
      <c r="G163" s="5" t="str">
        <f aca="false">IF($B163="","",IF(INDEX(Homiladorlar!$O$5:$O$804,$B163)="","",INDEX(Homiladorlar!$O$5:$O$804,$B163)))</f>
        <v/>
      </c>
      <c r="H163" s="5" t="str">
        <f aca="false">IF($B163="","",IF(INDEX(Homiladorlar!$Q$5:$Q$804,$B163)="","",INDEX(Homiladorlar!$Q$5:$Q$804,$B163)))</f>
        <v/>
      </c>
      <c r="I163" s="5" t="str">
        <f aca="false">IF($B163="","",IF(INDEX(Homiladorlar!$R$5:$R$804,$B163)="","",INDEX(Homiladorlar!$R$5:$R$804,$B163)))</f>
        <v/>
      </c>
      <c r="J163" s="5" t="str">
        <f aca="false">IF($B163="","",IF(INDEX(Homiladorlar!$K$5:$K$804,$B163)="","",INDEX(Homiladorlar!$K$5:$K$804,$B163)))</f>
        <v/>
      </c>
      <c r="K163" s="30" t="str">
        <f aca="false">IF($B163="","",IF(INDEX(Homiladorlar!$J$5:$J$804,$B163)="","",INDEX(Homiladorlar!$J$5:$J$804,$B163)))</f>
        <v/>
      </c>
      <c r="L163" s="30" t="str">
        <f aca="false">IF($B163="","",IF(INDEX(Homiladorlar!$T$5:$T$804,$B163)="","",INDEX(Homiladorlar!$T$5:$T$804,$B163)))</f>
        <v/>
      </c>
      <c r="M163" s="30" t="str">
        <f aca="false">IF($B163="","",IF(INDEX(Homiladorlar!$AB$5:$AB$804,$B163)="","",INDEX(Homiladorlar!$AB$5:$AB$804,$B163)))</f>
        <v/>
      </c>
      <c r="N163" s="5" t="str">
        <f aca="false">IF($B163="","",IF(INDEX(Homiladorlar!$AC$5:$AC$804,$B163)="","",INDEX(Homiladorlar!$AC$5:$AC$804,$B163)))</f>
        <v/>
      </c>
    </row>
    <row r="164" customFormat="false" ht="15" hidden="false" customHeight="false" outlineLevel="0" collapsed="false">
      <c r="A164" s="5" t="n">
        <v>160</v>
      </c>
      <c r="B164" s="29" t="str">
        <f aca="false">IFERROR(MATCH(A164,Homiladorlar!$AH$5:$AH$804,0),"")</f>
        <v/>
      </c>
      <c r="C164" s="5" t="str">
        <f aca="false">IF($B164="","",IF(INDEX(Homiladorlar!$B$5:$B$804,$B164)="","",INDEX(Homiladorlar!$B$5:$B$804,$B164)))</f>
        <v/>
      </c>
      <c r="D164" s="30" t="str">
        <f aca="false">IF($B164="","",IF(INDEX(Homiladorlar!$C$5:$C$804,$B164)="","",INDEX(Homiladorlar!$C$5:$C$804,$B164)))</f>
        <v/>
      </c>
      <c r="E164" s="5" t="str">
        <f aca="false">IF($B164="","",IF(INDEX(Homiladorlar!$F$5:$F$804,$B164)="","",INDEX(Homiladorlar!$F$5:$F$804,$B164)))</f>
        <v/>
      </c>
      <c r="F164" s="5" t="str">
        <f aca="false">IF($B164="","",IF(INDEX(Homiladorlar!$E$5:$E$804,$B164)="","",INDEX(Homiladorlar!$E$5:$E$804,$B164)))</f>
        <v/>
      </c>
      <c r="G164" s="5" t="str">
        <f aca="false">IF($B164="","",IF(INDEX(Homiladorlar!$O$5:$O$804,$B164)="","",INDEX(Homiladorlar!$O$5:$O$804,$B164)))</f>
        <v/>
      </c>
      <c r="H164" s="5" t="str">
        <f aca="false">IF($B164="","",IF(INDEX(Homiladorlar!$Q$5:$Q$804,$B164)="","",INDEX(Homiladorlar!$Q$5:$Q$804,$B164)))</f>
        <v/>
      </c>
      <c r="I164" s="5" t="str">
        <f aca="false">IF($B164="","",IF(INDEX(Homiladorlar!$R$5:$R$804,$B164)="","",INDEX(Homiladorlar!$R$5:$R$804,$B164)))</f>
        <v/>
      </c>
      <c r="J164" s="5" t="str">
        <f aca="false">IF($B164="","",IF(INDEX(Homiladorlar!$K$5:$K$804,$B164)="","",INDEX(Homiladorlar!$K$5:$K$804,$B164)))</f>
        <v/>
      </c>
      <c r="K164" s="30" t="str">
        <f aca="false">IF($B164="","",IF(INDEX(Homiladorlar!$J$5:$J$804,$B164)="","",INDEX(Homiladorlar!$J$5:$J$804,$B164)))</f>
        <v/>
      </c>
      <c r="L164" s="30" t="str">
        <f aca="false">IF($B164="","",IF(INDEX(Homiladorlar!$T$5:$T$804,$B164)="","",INDEX(Homiladorlar!$T$5:$T$804,$B164)))</f>
        <v/>
      </c>
      <c r="M164" s="30" t="str">
        <f aca="false">IF($B164="","",IF(INDEX(Homiladorlar!$AB$5:$AB$804,$B164)="","",INDEX(Homiladorlar!$AB$5:$AB$804,$B164)))</f>
        <v/>
      </c>
      <c r="N164" s="5" t="str">
        <f aca="false">IF($B164="","",IF(INDEX(Homiladorlar!$AC$5:$AC$804,$B164)="","",INDEX(Homiladorlar!$AC$5:$AC$804,$B164)))</f>
        <v/>
      </c>
    </row>
    <row r="165" customFormat="false" ht="15" hidden="false" customHeight="false" outlineLevel="0" collapsed="false">
      <c r="A165" s="5" t="n">
        <v>161</v>
      </c>
      <c r="B165" s="29" t="str">
        <f aca="false">IFERROR(MATCH(A165,Homiladorlar!$AH$5:$AH$804,0),"")</f>
        <v/>
      </c>
      <c r="C165" s="5" t="str">
        <f aca="false">IF($B165="","",IF(INDEX(Homiladorlar!$B$5:$B$804,$B165)="","",INDEX(Homiladorlar!$B$5:$B$804,$B165)))</f>
        <v/>
      </c>
      <c r="D165" s="30" t="str">
        <f aca="false">IF($B165="","",IF(INDEX(Homiladorlar!$C$5:$C$804,$B165)="","",INDEX(Homiladorlar!$C$5:$C$804,$B165)))</f>
        <v/>
      </c>
      <c r="E165" s="5" t="str">
        <f aca="false">IF($B165="","",IF(INDEX(Homiladorlar!$F$5:$F$804,$B165)="","",INDEX(Homiladorlar!$F$5:$F$804,$B165)))</f>
        <v/>
      </c>
      <c r="F165" s="5" t="str">
        <f aca="false">IF($B165="","",IF(INDEX(Homiladorlar!$E$5:$E$804,$B165)="","",INDEX(Homiladorlar!$E$5:$E$804,$B165)))</f>
        <v/>
      </c>
      <c r="G165" s="5" t="str">
        <f aca="false">IF($B165="","",IF(INDEX(Homiladorlar!$O$5:$O$804,$B165)="","",INDEX(Homiladorlar!$O$5:$O$804,$B165)))</f>
        <v/>
      </c>
      <c r="H165" s="5" t="str">
        <f aca="false">IF($B165="","",IF(INDEX(Homiladorlar!$Q$5:$Q$804,$B165)="","",INDEX(Homiladorlar!$Q$5:$Q$804,$B165)))</f>
        <v/>
      </c>
      <c r="I165" s="5" t="str">
        <f aca="false">IF($B165="","",IF(INDEX(Homiladorlar!$R$5:$R$804,$B165)="","",INDEX(Homiladorlar!$R$5:$R$804,$B165)))</f>
        <v/>
      </c>
      <c r="J165" s="5" t="str">
        <f aca="false">IF($B165="","",IF(INDEX(Homiladorlar!$K$5:$K$804,$B165)="","",INDEX(Homiladorlar!$K$5:$K$804,$B165)))</f>
        <v/>
      </c>
      <c r="K165" s="30" t="str">
        <f aca="false">IF($B165="","",IF(INDEX(Homiladorlar!$J$5:$J$804,$B165)="","",INDEX(Homiladorlar!$J$5:$J$804,$B165)))</f>
        <v/>
      </c>
      <c r="L165" s="30" t="str">
        <f aca="false">IF($B165="","",IF(INDEX(Homiladorlar!$T$5:$T$804,$B165)="","",INDEX(Homiladorlar!$T$5:$T$804,$B165)))</f>
        <v/>
      </c>
      <c r="M165" s="30" t="str">
        <f aca="false">IF($B165="","",IF(INDEX(Homiladorlar!$AB$5:$AB$804,$B165)="","",INDEX(Homiladorlar!$AB$5:$AB$804,$B165)))</f>
        <v/>
      </c>
      <c r="N165" s="5" t="str">
        <f aca="false">IF($B165="","",IF(INDEX(Homiladorlar!$AC$5:$AC$804,$B165)="","",INDEX(Homiladorlar!$AC$5:$AC$804,$B165)))</f>
        <v/>
      </c>
    </row>
    <row r="166" customFormat="false" ht="15" hidden="false" customHeight="false" outlineLevel="0" collapsed="false">
      <c r="A166" s="5" t="n">
        <v>162</v>
      </c>
      <c r="B166" s="29" t="str">
        <f aca="false">IFERROR(MATCH(A166,Homiladorlar!$AH$5:$AH$804,0),"")</f>
        <v/>
      </c>
      <c r="C166" s="5" t="str">
        <f aca="false">IF($B166="","",IF(INDEX(Homiladorlar!$B$5:$B$804,$B166)="","",INDEX(Homiladorlar!$B$5:$B$804,$B166)))</f>
        <v/>
      </c>
      <c r="D166" s="30" t="str">
        <f aca="false">IF($B166="","",IF(INDEX(Homiladorlar!$C$5:$C$804,$B166)="","",INDEX(Homiladorlar!$C$5:$C$804,$B166)))</f>
        <v/>
      </c>
      <c r="E166" s="5" t="str">
        <f aca="false">IF($B166="","",IF(INDEX(Homiladorlar!$F$5:$F$804,$B166)="","",INDEX(Homiladorlar!$F$5:$F$804,$B166)))</f>
        <v/>
      </c>
      <c r="F166" s="5" t="str">
        <f aca="false">IF($B166="","",IF(INDEX(Homiladorlar!$E$5:$E$804,$B166)="","",INDEX(Homiladorlar!$E$5:$E$804,$B166)))</f>
        <v/>
      </c>
      <c r="G166" s="5" t="str">
        <f aca="false">IF($B166="","",IF(INDEX(Homiladorlar!$O$5:$O$804,$B166)="","",INDEX(Homiladorlar!$O$5:$O$804,$B166)))</f>
        <v/>
      </c>
      <c r="H166" s="5" t="str">
        <f aca="false">IF($B166="","",IF(INDEX(Homiladorlar!$Q$5:$Q$804,$B166)="","",INDEX(Homiladorlar!$Q$5:$Q$804,$B166)))</f>
        <v/>
      </c>
      <c r="I166" s="5" t="str">
        <f aca="false">IF($B166="","",IF(INDEX(Homiladorlar!$R$5:$R$804,$B166)="","",INDEX(Homiladorlar!$R$5:$R$804,$B166)))</f>
        <v/>
      </c>
      <c r="J166" s="5" t="str">
        <f aca="false">IF($B166="","",IF(INDEX(Homiladorlar!$K$5:$K$804,$B166)="","",INDEX(Homiladorlar!$K$5:$K$804,$B166)))</f>
        <v/>
      </c>
      <c r="K166" s="30" t="str">
        <f aca="false">IF($B166="","",IF(INDEX(Homiladorlar!$J$5:$J$804,$B166)="","",INDEX(Homiladorlar!$J$5:$J$804,$B166)))</f>
        <v/>
      </c>
      <c r="L166" s="30" t="str">
        <f aca="false">IF($B166="","",IF(INDEX(Homiladorlar!$T$5:$T$804,$B166)="","",INDEX(Homiladorlar!$T$5:$T$804,$B166)))</f>
        <v/>
      </c>
      <c r="M166" s="30" t="str">
        <f aca="false">IF($B166="","",IF(INDEX(Homiladorlar!$AB$5:$AB$804,$B166)="","",INDEX(Homiladorlar!$AB$5:$AB$804,$B166)))</f>
        <v/>
      </c>
      <c r="N166" s="5" t="str">
        <f aca="false">IF($B166="","",IF(INDEX(Homiladorlar!$AC$5:$AC$804,$B166)="","",INDEX(Homiladorlar!$AC$5:$AC$804,$B166)))</f>
        <v/>
      </c>
    </row>
    <row r="167" customFormat="false" ht="15" hidden="false" customHeight="false" outlineLevel="0" collapsed="false">
      <c r="A167" s="5" t="n">
        <v>163</v>
      </c>
      <c r="B167" s="29" t="str">
        <f aca="false">IFERROR(MATCH(A167,Homiladorlar!$AH$5:$AH$804,0),"")</f>
        <v/>
      </c>
      <c r="C167" s="5" t="str">
        <f aca="false">IF($B167="","",IF(INDEX(Homiladorlar!$B$5:$B$804,$B167)="","",INDEX(Homiladorlar!$B$5:$B$804,$B167)))</f>
        <v/>
      </c>
      <c r="D167" s="30" t="str">
        <f aca="false">IF($B167="","",IF(INDEX(Homiladorlar!$C$5:$C$804,$B167)="","",INDEX(Homiladorlar!$C$5:$C$804,$B167)))</f>
        <v/>
      </c>
      <c r="E167" s="5" t="str">
        <f aca="false">IF($B167="","",IF(INDEX(Homiladorlar!$F$5:$F$804,$B167)="","",INDEX(Homiladorlar!$F$5:$F$804,$B167)))</f>
        <v/>
      </c>
      <c r="F167" s="5" t="str">
        <f aca="false">IF($B167="","",IF(INDEX(Homiladorlar!$E$5:$E$804,$B167)="","",INDEX(Homiladorlar!$E$5:$E$804,$B167)))</f>
        <v/>
      </c>
      <c r="G167" s="5" t="str">
        <f aca="false">IF($B167="","",IF(INDEX(Homiladorlar!$O$5:$O$804,$B167)="","",INDEX(Homiladorlar!$O$5:$O$804,$B167)))</f>
        <v/>
      </c>
      <c r="H167" s="5" t="str">
        <f aca="false">IF($B167="","",IF(INDEX(Homiladorlar!$Q$5:$Q$804,$B167)="","",INDEX(Homiladorlar!$Q$5:$Q$804,$B167)))</f>
        <v/>
      </c>
      <c r="I167" s="5" t="str">
        <f aca="false">IF($B167="","",IF(INDEX(Homiladorlar!$R$5:$R$804,$B167)="","",INDEX(Homiladorlar!$R$5:$R$804,$B167)))</f>
        <v/>
      </c>
      <c r="J167" s="5" t="str">
        <f aca="false">IF($B167="","",IF(INDEX(Homiladorlar!$K$5:$K$804,$B167)="","",INDEX(Homiladorlar!$K$5:$K$804,$B167)))</f>
        <v/>
      </c>
      <c r="K167" s="30" t="str">
        <f aca="false">IF($B167="","",IF(INDEX(Homiladorlar!$J$5:$J$804,$B167)="","",INDEX(Homiladorlar!$J$5:$J$804,$B167)))</f>
        <v/>
      </c>
      <c r="L167" s="30" t="str">
        <f aca="false">IF($B167="","",IF(INDEX(Homiladorlar!$T$5:$T$804,$B167)="","",INDEX(Homiladorlar!$T$5:$T$804,$B167)))</f>
        <v/>
      </c>
      <c r="M167" s="30" t="str">
        <f aca="false">IF($B167="","",IF(INDEX(Homiladorlar!$AB$5:$AB$804,$B167)="","",INDEX(Homiladorlar!$AB$5:$AB$804,$B167)))</f>
        <v/>
      </c>
      <c r="N167" s="5" t="str">
        <f aca="false">IF($B167="","",IF(INDEX(Homiladorlar!$AC$5:$AC$804,$B167)="","",INDEX(Homiladorlar!$AC$5:$AC$804,$B167)))</f>
        <v/>
      </c>
    </row>
    <row r="168" customFormat="false" ht="15" hidden="false" customHeight="false" outlineLevel="0" collapsed="false">
      <c r="A168" s="5" t="n">
        <v>164</v>
      </c>
      <c r="B168" s="29" t="str">
        <f aca="false">IFERROR(MATCH(A168,Homiladorlar!$AH$5:$AH$804,0),"")</f>
        <v/>
      </c>
      <c r="C168" s="5" t="str">
        <f aca="false">IF($B168="","",IF(INDEX(Homiladorlar!$B$5:$B$804,$B168)="","",INDEX(Homiladorlar!$B$5:$B$804,$B168)))</f>
        <v/>
      </c>
      <c r="D168" s="30" t="str">
        <f aca="false">IF($B168="","",IF(INDEX(Homiladorlar!$C$5:$C$804,$B168)="","",INDEX(Homiladorlar!$C$5:$C$804,$B168)))</f>
        <v/>
      </c>
      <c r="E168" s="5" t="str">
        <f aca="false">IF($B168="","",IF(INDEX(Homiladorlar!$F$5:$F$804,$B168)="","",INDEX(Homiladorlar!$F$5:$F$804,$B168)))</f>
        <v/>
      </c>
      <c r="F168" s="5" t="str">
        <f aca="false">IF($B168="","",IF(INDEX(Homiladorlar!$E$5:$E$804,$B168)="","",INDEX(Homiladorlar!$E$5:$E$804,$B168)))</f>
        <v/>
      </c>
      <c r="G168" s="5" t="str">
        <f aca="false">IF($B168="","",IF(INDEX(Homiladorlar!$O$5:$O$804,$B168)="","",INDEX(Homiladorlar!$O$5:$O$804,$B168)))</f>
        <v/>
      </c>
      <c r="H168" s="5" t="str">
        <f aca="false">IF($B168="","",IF(INDEX(Homiladorlar!$Q$5:$Q$804,$B168)="","",INDEX(Homiladorlar!$Q$5:$Q$804,$B168)))</f>
        <v/>
      </c>
      <c r="I168" s="5" t="str">
        <f aca="false">IF($B168="","",IF(INDEX(Homiladorlar!$R$5:$R$804,$B168)="","",INDEX(Homiladorlar!$R$5:$R$804,$B168)))</f>
        <v/>
      </c>
      <c r="J168" s="5" t="str">
        <f aca="false">IF($B168="","",IF(INDEX(Homiladorlar!$K$5:$K$804,$B168)="","",INDEX(Homiladorlar!$K$5:$K$804,$B168)))</f>
        <v/>
      </c>
      <c r="K168" s="30" t="str">
        <f aca="false">IF($B168="","",IF(INDEX(Homiladorlar!$J$5:$J$804,$B168)="","",INDEX(Homiladorlar!$J$5:$J$804,$B168)))</f>
        <v/>
      </c>
      <c r="L168" s="30" t="str">
        <f aca="false">IF($B168="","",IF(INDEX(Homiladorlar!$T$5:$T$804,$B168)="","",INDEX(Homiladorlar!$T$5:$T$804,$B168)))</f>
        <v/>
      </c>
      <c r="M168" s="30" t="str">
        <f aca="false">IF($B168="","",IF(INDEX(Homiladorlar!$AB$5:$AB$804,$B168)="","",INDEX(Homiladorlar!$AB$5:$AB$804,$B168)))</f>
        <v/>
      </c>
      <c r="N168" s="5" t="str">
        <f aca="false">IF($B168="","",IF(INDEX(Homiladorlar!$AC$5:$AC$804,$B168)="","",INDEX(Homiladorlar!$AC$5:$AC$804,$B168)))</f>
        <v/>
      </c>
    </row>
    <row r="169" customFormat="false" ht="15" hidden="false" customHeight="false" outlineLevel="0" collapsed="false">
      <c r="A169" s="5" t="n">
        <v>165</v>
      </c>
      <c r="B169" s="29" t="str">
        <f aca="false">IFERROR(MATCH(A169,Homiladorlar!$AH$5:$AH$804,0),"")</f>
        <v/>
      </c>
      <c r="C169" s="5" t="str">
        <f aca="false">IF($B169="","",IF(INDEX(Homiladorlar!$B$5:$B$804,$B169)="","",INDEX(Homiladorlar!$B$5:$B$804,$B169)))</f>
        <v/>
      </c>
      <c r="D169" s="30" t="str">
        <f aca="false">IF($B169="","",IF(INDEX(Homiladorlar!$C$5:$C$804,$B169)="","",INDEX(Homiladorlar!$C$5:$C$804,$B169)))</f>
        <v/>
      </c>
      <c r="E169" s="5" t="str">
        <f aca="false">IF($B169="","",IF(INDEX(Homiladorlar!$F$5:$F$804,$B169)="","",INDEX(Homiladorlar!$F$5:$F$804,$B169)))</f>
        <v/>
      </c>
      <c r="F169" s="5" t="str">
        <f aca="false">IF($B169="","",IF(INDEX(Homiladorlar!$E$5:$E$804,$B169)="","",INDEX(Homiladorlar!$E$5:$E$804,$B169)))</f>
        <v/>
      </c>
      <c r="G169" s="5" t="str">
        <f aca="false">IF($B169="","",IF(INDEX(Homiladorlar!$O$5:$O$804,$B169)="","",INDEX(Homiladorlar!$O$5:$O$804,$B169)))</f>
        <v/>
      </c>
      <c r="H169" s="5" t="str">
        <f aca="false">IF($B169="","",IF(INDEX(Homiladorlar!$Q$5:$Q$804,$B169)="","",INDEX(Homiladorlar!$Q$5:$Q$804,$B169)))</f>
        <v/>
      </c>
      <c r="I169" s="5" t="str">
        <f aca="false">IF($B169="","",IF(INDEX(Homiladorlar!$R$5:$R$804,$B169)="","",INDEX(Homiladorlar!$R$5:$R$804,$B169)))</f>
        <v/>
      </c>
      <c r="J169" s="5" t="str">
        <f aca="false">IF($B169="","",IF(INDEX(Homiladorlar!$K$5:$K$804,$B169)="","",INDEX(Homiladorlar!$K$5:$K$804,$B169)))</f>
        <v/>
      </c>
      <c r="K169" s="30" t="str">
        <f aca="false">IF($B169="","",IF(INDEX(Homiladorlar!$J$5:$J$804,$B169)="","",INDEX(Homiladorlar!$J$5:$J$804,$B169)))</f>
        <v/>
      </c>
      <c r="L169" s="30" t="str">
        <f aca="false">IF($B169="","",IF(INDEX(Homiladorlar!$T$5:$T$804,$B169)="","",INDEX(Homiladorlar!$T$5:$T$804,$B169)))</f>
        <v/>
      </c>
      <c r="M169" s="30" t="str">
        <f aca="false">IF($B169="","",IF(INDEX(Homiladorlar!$AB$5:$AB$804,$B169)="","",INDEX(Homiladorlar!$AB$5:$AB$804,$B169)))</f>
        <v/>
      </c>
      <c r="N169" s="5" t="str">
        <f aca="false">IF($B169="","",IF(INDEX(Homiladorlar!$AC$5:$AC$804,$B169)="","",INDEX(Homiladorlar!$AC$5:$AC$804,$B169)))</f>
        <v/>
      </c>
    </row>
    <row r="170" customFormat="false" ht="15" hidden="false" customHeight="false" outlineLevel="0" collapsed="false">
      <c r="A170" s="5" t="n">
        <v>166</v>
      </c>
      <c r="B170" s="29" t="str">
        <f aca="false">IFERROR(MATCH(A170,Homiladorlar!$AH$5:$AH$804,0),"")</f>
        <v/>
      </c>
      <c r="C170" s="5" t="str">
        <f aca="false">IF($B170="","",IF(INDEX(Homiladorlar!$B$5:$B$804,$B170)="","",INDEX(Homiladorlar!$B$5:$B$804,$B170)))</f>
        <v/>
      </c>
      <c r="D170" s="30" t="str">
        <f aca="false">IF($B170="","",IF(INDEX(Homiladorlar!$C$5:$C$804,$B170)="","",INDEX(Homiladorlar!$C$5:$C$804,$B170)))</f>
        <v/>
      </c>
      <c r="E170" s="5" t="str">
        <f aca="false">IF($B170="","",IF(INDEX(Homiladorlar!$F$5:$F$804,$B170)="","",INDEX(Homiladorlar!$F$5:$F$804,$B170)))</f>
        <v/>
      </c>
      <c r="F170" s="5" t="str">
        <f aca="false">IF($B170="","",IF(INDEX(Homiladorlar!$E$5:$E$804,$B170)="","",INDEX(Homiladorlar!$E$5:$E$804,$B170)))</f>
        <v/>
      </c>
      <c r="G170" s="5" t="str">
        <f aca="false">IF($B170="","",IF(INDEX(Homiladorlar!$O$5:$O$804,$B170)="","",INDEX(Homiladorlar!$O$5:$O$804,$B170)))</f>
        <v/>
      </c>
      <c r="H170" s="5" t="str">
        <f aca="false">IF($B170="","",IF(INDEX(Homiladorlar!$Q$5:$Q$804,$B170)="","",INDEX(Homiladorlar!$Q$5:$Q$804,$B170)))</f>
        <v/>
      </c>
      <c r="I170" s="5" t="str">
        <f aca="false">IF($B170="","",IF(INDEX(Homiladorlar!$R$5:$R$804,$B170)="","",INDEX(Homiladorlar!$R$5:$R$804,$B170)))</f>
        <v/>
      </c>
      <c r="J170" s="5" t="str">
        <f aca="false">IF($B170="","",IF(INDEX(Homiladorlar!$K$5:$K$804,$B170)="","",INDEX(Homiladorlar!$K$5:$K$804,$B170)))</f>
        <v/>
      </c>
      <c r="K170" s="30" t="str">
        <f aca="false">IF($B170="","",IF(INDEX(Homiladorlar!$J$5:$J$804,$B170)="","",INDEX(Homiladorlar!$J$5:$J$804,$B170)))</f>
        <v/>
      </c>
      <c r="L170" s="30" t="str">
        <f aca="false">IF($B170="","",IF(INDEX(Homiladorlar!$T$5:$T$804,$B170)="","",INDEX(Homiladorlar!$T$5:$T$804,$B170)))</f>
        <v/>
      </c>
      <c r="M170" s="30" t="str">
        <f aca="false">IF($B170="","",IF(INDEX(Homiladorlar!$AB$5:$AB$804,$B170)="","",INDEX(Homiladorlar!$AB$5:$AB$804,$B170)))</f>
        <v/>
      </c>
      <c r="N170" s="5" t="str">
        <f aca="false">IF($B170="","",IF(INDEX(Homiladorlar!$AC$5:$AC$804,$B170)="","",INDEX(Homiladorlar!$AC$5:$AC$804,$B170)))</f>
        <v/>
      </c>
    </row>
    <row r="171" customFormat="false" ht="15" hidden="false" customHeight="false" outlineLevel="0" collapsed="false">
      <c r="A171" s="5" t="n">
        <v>167</v>
      </c>
      <c r="B171" s="29" t="str">
        <f aca="false">IFERROR(MATCH(A171,Homiladorlar!$AH$5:$AH$804,0),"")</f>
        <v/>
      </c>
      <c r="C171" s="5" t="str">
        <f aca="false">IF($B171="","",IF(INDEX(Homiladorlar!$B$5:$B$804,$B171)="","",INDEX(Homiladorlar!$B$5:$B$804,$B171)))</f>
        <v/>
      </c>
      <c r="D171" s="30" t="str">
        <f aca="false">IF($B171="","",IF(INDEX(Homiladorlar!$C$5:$C$804,$B171)="","",INDEX(Homiladorlar!$C$5:$C$804,$B171)))</f>
        <v/>
      </c>
      <c r="E171" s="5" t="str">
        <f aca="false">IF($B171="","",IF(INDEX(Homiladorlar!$F$5:$F$804,$B171)="","",INDEX(Homiladorlar!$F$5:$F$804,$B171)))</f>
        <v/>
      </c>
      <c r="F171" s="5" t="str">
        <f aca="false">IF($B171="","",IF(INDEX(Homiladorlar!$E$5:$E$804,$B171)="","",INDEX(Homiladorlar!$E$5:$E$804,$B171)))</f>
        <v/>
      </c>
      <c r="G171" s="5" t="str">
        <f aca="false">IF($B171="","",IF(INDEX(Homiladorlar!$O$5:$O$804,$B171)="","",INDEX(Homiladorlar!$O$5:$O$804,$B171)))</f>
        <v/>
      </c>
      <c r="H171" s="5" t="str">
        <f aca="false">IF($B171="","",IF(INDEX(Homiladorlar!$Q$5:$Q$804,$B171)="","",INDEX(Homiladorlar!$Q$5:$Q$804,$B171)))</f>
        <v/>
      </c>
      <c r="I171" s="5" t="str">
        <f aca="false">IF($B171="","",IF(INDEX(Homiladorlar!$R$5:$R$804,$B171)="","",INDEX(Homiladorlar!$R$5:$R$804,$B171)))</f>
        <v/>
      </c>
      <c r="J171" s="5" t="str">
        <f aca="false">IF($B171="","",IF(INDEX(Homiladorlar!$K$5:$K$804,$B171)="","",INDEX(Homiladorlar!$K$5:$K$804,$B171)))</f>
        <v/>
      </c>
      <c r="K171" s="30" t="str">
        <f aca="false">IF($B171="","",IF(INDEX(Homiladorlar!$J$5:$J$804,$B171)="","",INDEX(Homiladorlar!$J$5:$J$804,$B171)))</f>
        <v/>
      </c>
      <c r="L171" s="30" t="str">
        <f aca="false">IF($B171="","",IF(INDEX(Homiladorlar!$T$5:$T$804,$B171)="","",INDEX(Homiladorlar!$T$5:$T$804,$B171)))</f>
        <v/>
      </c>
      <c r="M171" s="30" t="str">
        <f aca="false">IF($B171="","",IF(INDEX(Homiladorlar!$AB$5:$AB$804,$B171)="","",INDEX(Homiladorlar!$AB$5:$AB$804,$B171)))</f>
        <v/>
      </c>
      <c r="N171" s="5" t="str">
        <f aca="false">IF($B171="","",IF(INDEX(Homiladorlar!$AC$5:$AC$804,$B171)="","",INDEX(Homiladorlar!$AC$5:$AC$804,$B171)))</f>
        <v/>
      </c>
    </row>
    <row r="172" customFormat="false" ht="15" hidden="false" customHeight="false" outlineLevel="0" collapsed="false">
      <c r="A172" s="5" t="n">
        <v>168</v>
      </c>
      <c r="B172" s="29" t="str">
        <f aca="false">IFERROR(MATCH(A172,Homiladorlar!$AH$5:$AH$804,0),"")</f>
        <v/>
      </c>
      <c r="C172" s="5" t="str">
        <f aca="false">IF($B172="","",IF(INDEX(Homiladorlar!$B$5:$B$804,$B172)="","",INDEX(Homiladorlar!$B$5:$B$804,$B172)))</f>
        <v/>
      </c>
      <c r="D172" s="30" t="str">
        <f aca="false">IF($B172="","",IF(INDEX(Homiladorlar!$C$5:$C$804,$B172)="","",INDEX(Homiladorlar!$C$5:$C$804,$B172)))</f>
        <v/>
      </c>
      <c r="E172" s="5" t="str">
        <f aca="false">IF($B172="","",IF(INDEX(Homiladorlar!$F$5:$F$804,$B172)="","",INDEX(Homiladorlar!$F$5:$F$804,$B172)))</f>
        <v/>
      </c>
      <c r="F172" s="5" t="str">
        <f aca="false">IF($B172="","",IF(INDEX(Homiladorlar!$E$5:$E$804,$B172)="","",INDEX(Homiladorlar!$E$5:$E$804,$B172)))</f>
        <v/>
      </c>
      <c r="G172" s="5" t="str">
        <f aca="false">IF($B172="","",IF(INDEX(Homiladorlar!$O$5:$O$804,$B172)="","",INDEX(Homiladorlar!$O$5:$O$804,$B172)))</f>
        <v/>
      </c>
      <c r="H172" s="5" t="str">
        <f aca="false">IF($B172="","",IF(INDEX(Homiladorlar!$Q$5:$Q$804,$B172)="","",INDEX(Homiladorlar!$Q$5:$Q$804,$B172)))</f>
        <v/>
      </c>
      <c r="I172" s="5" t="str">
        <f aca="false">IF($B172="","",IF(INDEX(Homiladorlar!$R$5:$R$804,$B172)="","",INDEX(Homiladorlar!$R$5:$R$804,$B172)))</f>
        <v/>
      </c>
      <c r="J172" s="5" t="str">
        <f aca="false">IF($B172="","",IF(INDEX(Homiladorlar!$K$5:$K$804,$B172)="","",INDEX(Homiladorlar!$K$5:$K$804,$B172)))</f>
        <v/>
      </c>
      <c r="K172" s="30" t="str">
        <f aca="false">IF($B172="","",IF(INDEX(Homiladorlar!$J$5:$J$804,$B172)="","",INDEX(Homiladorlar!$J$5:$J$804,$B172)))</f>
        <v/>
      </c>
      <c r="L172" s="30" t="str">
        <f aca="false">IF($B172="","",IF(INDEX(Homiladorlar!$T$5:$T$804,$B172)="","",INDEX(Homiladorlar!$T$5:$T$804,$B172)))</f>
        <v/>
      </c>
      <c r="M172" s="30" t="str">
        <f aca="false">IF($B172="","",IF(INDEX(Homiladorlar!$AB$5:$AB$804,$B172)="","",INDEX(Homiladorlar!$AB$5:$AB$804,$B172)))</f>
        <v/>
      </c>
      <c r="N172" s="5" t="str">
        <f aca="false">IF($B172="","",IF(INDEX(Homiladorlar!$AC$5:$AC$804,$B172)="","",INDEX(Homiladorlar!$AC$5:$AC$804,$B172)))</f>
        <v/>
      </c>
    </row>
    <row r="173" customFormat="false" ht="15" hidden="false" customHeight="false" outlineLevel="0" collapsed="false">
      <c r="A173" s="5" t="n">
        <v>169</v>
      </c>
      <c r="B173" s="29" t="str">
        <f aca="false">IFERROR(MATCH(A173,Homiladorlar!$AH$5:$AH$804,0),"")</f>
        <v/>
      </c>
      <c r="C173" s="5" t="str">
        <f aca="false">IF($B173="","",IF(INDEX(Homiladorlar!$B$5:$B$804,$B173)="","",INDEX(Homiladorlar!$B$5:$B$804,$B173)))</f>
        <v/>
      </c>
      <c r="D173" s="30" t="str">
        <f aca="false">IF($B173="","",IF(INDEX(Homiladorlar!$C$5:$C$804,$B173)="","",INDEX(Homiladorlar!$C$5:$C$804,$B173)))</f>
        <v/>
      </c>
      <c r="E173" s="5" t="str">
        <f aca="false">IF($B173="","",IF(INDEX(Homiladorlar!$F$5:$F$804,$B173)="","",INDEX(Homiladorlar!$F$5:$F$804,$B173)))</f>
        <v/>
      </c>
      <c r="F173" s="5" t="str">
        <f aca="false">IF($B173="","",IF(INDEX(Homiladorlar!$E$5:$E$804,$B173)="","",INDEX(Homiladorlar!$E$5:$E$804,$B173)))</f>
        <v/>
      </c>
      <c r="G173" s="5" t="str">
        <f aca="false">IF($B173="","",IF(INDEX(Homiladorlar!$O$5:$O$804,$B173)="","",INDEX(Homiladorlar!$O$5:$O$804,$B173)))</f>
        <v/>
      </c>
      <c r="H173" s="5" t="str">
        <f aca="false">IF($B173="","",IF(INDEX(Homiladorlar!$Q$5:$Q$804,$B173)="","",INDEX(Homiladorlar!$Q$5:$Q$804,$B173)))</f>
        <v/>
      </c>
      <c r="I173" s="5" t="str">
        <f aca="false">IF($B173="","",IF(INDEX(Homiladorlar!$R$5:$R$804,$B173)="","",INDEX(Homiladorlar!$R$5:$R$804,$B173)))</f>
        <v/>
      </c>
      <c r="J173" s="5" t="str">
        <f aca="false">IF($B173="","",IF(INDEX(Homiladorlar!$K$5:$K$804,$B173)="","",INDEX(Homiladorlar!$K$5:$K$804,$B173)))</f>
        <v/>
      </c>
      <c r="K173" s="30" t="str">
        <f aca="false">IF($B173="","",IF(INDEX(Homiladorlar!$J$5:$J$804,$B173)="","",INDEX(Homiladorlar!$J$5:$J$804,$B173)))</f>
        <v/>
      </c>
      <c r="L173" s="30" t="str">
        <f aca="false">IF($B173="","",IF(INDEX(Homiladorlar!$T$5:$T$804,$B173)="","",INDEX(Homiladorlar!$T$5:$T$804,$B173)))</f>
        <v/>
      </c>
      <c r="M173" s="30" t="str">
        <f aca="false">IF($B173="","",IF(INDEX(Homiladorlar!$AB$5:$AB$804,$B173)="","",INDEX(Homiladorlar!$AB$5:$AB$804,$B173)))</f>
        <v/>
      </c>
      <c r="N173" s="5" t="str">
        <f aca="false">IF($B173="","",IF(INDEX(Homiladorlar!$AC$5:$AC$804,$B173)="","",INDEX(Homiladorlar!$AC$5:$AC$804,$B173)))</f>
        <v/>
      </c>
    </row>
    <row r="174" customFormat="false" ht="15" hidden="false" customHeight="false" outlineLevel="0" collapsed="false">
      <c r="A174" s="5" t="n">
        <v>170</v>
      </c>
      <c r="B174" s="29" t="str">
        <f aca="false">IFERROR(MATCH(A174,Homiladorlar!$AH$5:$AH$804,0),"")</f>
        <v/>
      </c>
      <c r="C174" s="5" t="str">
        <f aca="false">IF($B174="","",IF(INDEX(Homiladorlar!$B$5:$B$804,$B174)="","",INDEX(Homiladorlar!$B$5:$B$804,$B174)))</f>
        <v/>
      </c>
      <c r="D174" s="30" t="str">
        <f aca="false">IF($B174="","",IF(INDEX(Homiladorlar!$C$5:$C$804,$B174)="","",INDEX(Homiladorlar!$C$5:$C$804,$B174)))</f>
        <v/>
      </c>
      <c r="E174" s="5" t="str">
        <f aca="false">IF($B174="","",IF(INDEX(Homiladorlar!$F$5:$F$804,$B174)="","",INDEX(Homiladorlar!$F$5:$F$804,$B174)))</f>
        <v/>
      </c>
      <c r="F174" s="5" t="str">
        <f aca="false">IF($B174="","",IF(INDEX(Homiladorlar!$E$5:$E$804,$B174)="","",INDEX(Homiladorlar!$E$5:$E$804,$B174)))</f>
        <v/>
      </c>
      <c r="G174" s="5" t="str">
        <f aca="false">IF($B174="","",IF(INDEX(Homiladorlar!$O$5:$O$804,$B174)="","",INDEX(Homiladorlar!$O$5:$O$804,$B174)))</f>
        <v/>
      </c>
      <c r="H174" s="5" t="str">
        <f aca="false">IF($B174="","",IF(INDEX(Homiladorlar!$Q$5:$Q$804,$B174)="","",INDEX(Homiladorlar!$Q$5:$Q$804,$B174)))</f>
        <v/>
      </c>
      <c r="I174" s="5" t="str">
        <f aca="false">IF($B174="","",IF(INDEX(Homiladorlar!$R$5:$R$804,$B174)="","",INDEX(Homiladorlar!$R$5:$R$804,$B174)))</f>
        <v/>
      </c>
      <c r="J174" s="5" t="str">
        <f aca="false">IF($B174="","",IF(INDEX(Homiladorlar!$K$5:$K$804,$B174)="","",INDEX(Homiladorlar!$K$5:$K$804,$B174)))</f>
        <v/>
      </c>
      <c r="K174" s="30" t="str">
        <f aca="false">IF($B174="","",IF(INDEX(Homiladorlar!$J$5:$J$804,$B174)="","",INDEX(Homiladorlar!$J$5:$J$804,$B174)))</f>
        <v/>
      </c>
      <c r="L174" s="30" t="str">
        <f aca="false">IF($B174="","",IF(INDEX(Homiladorlar!$T$5:$T$804,$B174)="","",INDEX(Homiladorlar!$T$5:$T$804,$B174)))</f>
        <v/>
      </c>
      <c r="M174" s="30" t="str">
        <f aca="false">IF($B174="","",IF(INDEX(Homiladorlar!$AB$5:$AB$804,$B174)="","",INDEX(Homiladorlar!$AB$5:$AB$804,$B174)))</f>
        <v/>
      </c>
      <c r="N174" s="5" t="str">
        <f aca="false">IF($B174="","",IF(INDEX(Homiladorlar!$AC$5:$AC$804,$B174)="","",INDEX(Homiladorlar!$AC$5:$AC$804,$B174)))</f>
        <v/>
      </c>
    </row>
    <row r="175" customFormat="false" ht="15" hidden="false" customHeight="false" outlineLevel="0" collapsed="false">
      <c r="A175" s="5" t="n">
        <v>171</v>
      </c>
      <c r="B175" s="29" t="str">
        <f aca="false">IFERROR(MATCH(A175,Homiladorlar!$AH$5:$AH$804,0),"")</f>
        <v/>
      </c>
      <c r="C175" s="5" t="str">
        <f aca="false">IF($B175="","",IF(INDEX(Homiladorlar!$B$5:$B$804,$B175)="","",INDEX(Homiladorlar!$B$5:$B$804,$B175)))</f>
        <v/>
      </c>
      <c r="D175" s="30" t="str">
        <f aca="false">IF($B175="","",IF(INDEX(Homiladorlar!$C$5:$C$804,$B175)="","",INDEX(Homiladorlar!$C$5:$C$804,$B175)))</f>
        <v/>
      </c>
      <c r="E175" s="5" t="str">
        <f aca="false">IF($B175="","",IF(INDEX(Homiladorlar!$F$5:$F$804,$B175)="","",INDEX(Homiladorlar!$F$5:$F$804,$B175)))</f>
        <v/>
      </c>
      <c r="F175" s="5" t="str">
        <f aca="false">IF($B175="","",IF(INDEX(Homiladorlar!$E$5:$E$804,$B175)="","",INDEX(Homiladorlar!$E$5:$E$804,$B175)))</f>
        <v/>
      </c>
      <c r="G175" s="5" t="str">
        <f aca="false">IF($B175="","",IF(INDEX(Homiladorlar!$O$5:$O$804,$B175)="","",INDEX(Homiladorlar!$O$5:$O$804,$B175)))</f>
        <v/>
      </c>
      <c r="H175" s="5" t="str">
        <f aca="false">IF($B175="","",IF(INDEX(Homiladorlar!$Q$5:$Q$804,$B175)="","",INDEX(Homiladorlar!$Q$5:$Q$804,$B175)))</f>
        <v/>
      </c>
      <c r="I175" s="5" t="str">
        <f aca="false">IF($B175="","",IF(INDEX(Homiladorlar!$R$5:$R$804,$B175)="","",INDEX(Homiladorlar!$R$5:$R$804,$B175)))</f>
        <v/>
      </c>
      <c r="J175" s="5" t="str">
        <f aca="false">IF($B175="","",IF(INDEX(Homiladorlar!$K$5:$K$804,$B175)="","",INDEX(Homiladorlar!$K$5:$K$804,$B175)))</f>
        <v/>
      </c>
      <c r="K175" s="30" t="str">
        <f aca="false">IF($B175="","",IF(INDEX(Homiladorlar!$J$5:$J$804,$B175)="","",INDEX(Homiladorlar!$J$5:$J$804,$B175)))</f>
        <v/>
      </c>
      <c r="L175" s="30" t="str">
        <f aca="false">IF($B175="","",IF(INDEX(Homiladorlar!$T$5:$T$804,$B175)="","",INDEX(Homiladorlar!$T$5:$T$804,$B175)))</f>
        <v/>
      </c>
      <c r="M175" s="30" t="str">
        <f aca="false">IF($B175="","",IF(INDEX(Homiladorlar!$AB$5:$AB$804,$B175)="","",INDEX(Homiladorlar!$AB$5:$AB$804,$B175)))</f>
        <v/>
      </c>
      <c r="N175" s="5" t="str">
        <f aca="false">IF($B175="","",IF(INDEX(Homiladorlar!$AC$5:$AC$804,$B175)="","",INDEX(Homiladorlar!$AC$5:$AC$804,$B175)))</f>
        <v/>
      </c>
    </row>
    <row r="176" customFormat="false" ht="15" hidden="false" customHeight="false" outlineLevel="0" collapsed="false">
      <c r="A176" s="5" t="n">
        <v>172</v>
      </c>
      <c r="B176" s="29" t="str">
        <f aca="false">IFERROR(MATCH(A176,Homiladorlar!$AH$5:$AH$804,0),"")</f>
        <v/>
      </c>
      <c r="C176" s="5" t="str">
        <f aca="false">IF($B176="","",IF(INDEX(Homiladorlar!$B$5:$B$804,$B176)="","",INDEX(Homiladorlar!$B$5:$B$804,$B176)))</f>
        <v/>
      </c>
      <c r="D176" s="30" t="str">
        <f aca="false">IF($B176="","",IF(INDEX(Homiladorlar!$C$5:$C$804,$B176)="","",INDEX(Homiladorlar!$C$5:$C$804,$B176)))</f>
        <v/>
      </c>
      <c r="E176" s="5" t="str">
        <f aca="false">IF($B176="","",IF(INDEX(Homiladorlar!$F$5:$F$804,$B176)="","",INDEX(Homiladorlar!$F$5:$F$804,$B176)))</f>
        <v/>
      </c>
      <c r="F176" s="5" t="str">
        <f aca="false">IF($B176="","",IF(INDEX(Homiladorlar!$E$5:$E$804,$B176)="","",INDEX(Homiladorlar!$E$5:$E$804,$B176)))</f>
        <v/>
      </c>
      <c r="G176" s="5" t="str">
        <f aca="false">IF($B176="","",IF(INDEX(Homiladorlar!$O$5:$O$804,$B176)="","",INDEX(Homiladorlar!$O$5:$O$804,$B176)))</f>
        <v/>
      </c>
      <c r="H176" s="5" t="str">
        <f aca="false">IF($B176="","",IF(INDEX(Homiladorlar!$Q$5:$Q$804,$B176)="","",INDEX(Homiladorlar!$Q$5:$Q$804,$B176)))</f>
        <v/>
      </c>
      <c r="I176" s="5" t="str">
        <f aca="false">IF($B176="","",IF(INDEX(Homiladorlar!$R$5:$R$804,$B176)="","",INDEX(Homiladorlar!$R$5:$R$804,$B176)))</f>
        <v/>
      </c>
      <c r="J176" s="5" t="str">
        <f aca="false">IF($B176="","",IF(INDEX(Homiladorlar!$K$5:$K$804,$B176)="","",INDEX(Homiladorlar!$K$5:$K$804,$B176)))</f>
        <v/>
      </c>
      <c r="K176" s="30" t="str">
        <f aca="false">IF($B176="","",IF(INDEX(Homiladorlar!$J$5:$J$804,$B176)="","",INDEX(Homiladorlar!$J$5:$J$804,$B176)))</f>
        <v/>
      </c>
      <c r="L176" s="30" t="str">
        <f aca="false">IF($B176="","",IF(INDEX(Homiladorlar!$T$5:$T$804,$B176)="","",INDEX(Homiladorlar!$T$5:$T$804,$B176)))</f>
        <v/>
      </c>
      <c r="M176" s="30" t="str">
        <f aca="false">IF($B176="","",IF(INDEX(Homiladorlar!$AB$5:$AB$804,$B176)="","",INDEX(Homiladorlar!$AB$5:$AB$804,$B176)))</f>
        <v/>
      </c>
      <c r="N176" s="5" t="str">
        <f aca="false">IF($B176="","",IF(INDEX(Homiladorlar!$AC$5:$AC$804,$B176)="","",INDEX(Homiladorlar!$AC$5:$AC$804,$B176)))</f>
        <v/>
      </c>
    </row>
    <row r="177" customFormat="false" ht="15" hidden="false" customHeight="false" outlineLevel="0" collapsed="false">
      <c r="A177" s="5" t="n">
        <v>173</v>
      </c>
      <c r="B177" s="29" t="str">
        <f aca="false">IFERROR(MATCH(A177,Homiladorlar!$AH$5:$AH$804,0),"")</f>
        <v/>
      </c>
      <c r="C177" s="5" t="str">
        <f aca="false">IF($B177="","",IF(INDEX(Homiladorlar!$B$5:$B$804,$B177)="","",INDEX(Homiladorlar!$B$5:$B$804,$B177)))</f>
        <v/>
      </c>
      <c r="D177" s="30" t="str">
        <f aca="false">IF($B177="","",IF(INDEX(Homiladorlar!$C$5:$C$804,$B177)="","",INDEX(Homiladorlar!$C$5:$C$804,$B177)))</f>
        <v/>
      </c>
      <c r="E177" s="5" t="str">
        <f aca="false">IF($B177="","",IF(INDEX(Homiladorlar!$F$5:$F$804,$B177)="","",INDEX(Homiladorlar!$F$5:$F$804,$B177)))</f>
        <v/>
      </c>
      <c r="F177" s="5" t="str">
        <f aca="false">IF($B177="","",IF(INDEX(Homiladorlar!$E$5:$E$804,$B177)="","",INDEX(Homiladorlar!$E$5:$E$804,$B177)))</f>
        <v/>
      </c>
      <c r="G177" s="5" t="str">
        <f aca="false">IF($B177="","",IF(INDEX(Homiladorlar!$O$5:$O$804,$B177)="","",INDEX(Homiladorlar!$O$5:$O$804,$B177)))</f>
        <v/>
      </c>
      <c r="H177" s="5" t="str">
        <f aca="false">IF($B177="","",IF(INDEX(Homiladorlar!$Q$5:$Q$804,$B177)="","",INDEX(Homiladorlar!$Q$5:$Q$804,$B177)))</f>
        <v/>
      </c>
      <c r="I177" s="5" t="str">
        <f aca="false">IF($B177="","",IF(INDEX(Homiladorlar!$R$5:$R$804,$B177)="","",INDEX(Homiladorlar!$R$5:$R$804,$B177)))</f>
        <v/>
      </c>
      <c r="J177" s="5" t="str">
        <f aca="false">IF($B177="","",IF(INDEX(Homiladorlar!$K$5:$K$804,$B177)="","",INDEX(Homiladorlar!$K$5:$K$804,$B177)))</f>
        <v/>
      </c>
      <c r="K177" s="30" t="str">
        <f aca="false">IF($B177="","",IF(INDEX(Homiladorlar!$J$5:$J$804,$B177)="","",INDEX(Homiladorlar!$J$5:$J$804,$B177)))</f>
        <v/>
      </c>
      <c r="L177" s="30" t="str">
        <f aca="false">IF($B177="","",IF(INDEX(Homiladorlar!$T$5:$T$804,$B177)="","",INDEX(Homiladorlar!$T$5:$T$804,$B177)))</f>
        <v/>
      </c>
      <c r="M177" s="30" t="str">
        <f aca="false">IF($B177="","",IF(INDEX(Homiladorlar!$AB$5:$AB$804,$B177)="","",INDEX(Homiladorlar!$AB$5:$AB$804,$B177)))</f>
        <v/>
      </c>
      <c r="N177" s="5" t="str">
        <f aca="false">IF($B177="","",IF(INDEX(Homiladorlar!$AC$5:$AC$804,$B177)="","",INDEX(Homiladorlar!$AC$5:$AC$804,$B177)))</f>
        <v/>
      </c>
    </row>
    <row r="178" customFormat="false" ht="15" hidden="false" customHeight="false" outlineLevel="0" collapsed="false">
      <c r="A178" s="5" t="n">
        <v>174</v>
      </c>
      <c r="B178" s="29" t="str">
        <f aca="false">IFERROR(MATCH(A178,Homiladorlar!$AH$5:$AH$804,0),"")</f>
        <v/>
      </c>
      <c r="C178" s="5" t="str">
        <f aca="false">IF($B178="","",IF(INDEX(Homiladorlar!$B$5:$B$804,$B178)="","",INDEX(Homiladorlar!$B$5:$B$804,$B178)))</f>
        <v/>
      </c>
      <c r="D178" s="30" t="str">
        <f aca="false">IF($B178="","",IF(INDEX(Homiladorlar!$C$5:$C$804,$B178)="","",INDEX(Homiladorlar!$C$5:$C$804,$B178)))</f>
        <v/>
      </c>
      <c r="E178" s="5" t="str">
        <f aca="false">IF($B178="","",IF(INDEX(Homiladorlar!$F$5:$F$804,$B178)="","",INDEX(Homiladorlar!$F$5:$F$804,$B178)))</f>
        <v/>
      </c>
      <c r="F178" s="5" t="str">
        <f aca="false">IF($B178="","",IF(INDEX(Homiladorlar!$E$5:$E$804,$B178)="","",INDEX(Homiladorlar!$E$5:$E$804,$B178)))</f>
        <v/>
      </c>
      <c r="G178" s="5" t="str">
        <f aca="false">IF($B178="","",IF(INDEX(Homiladorlar!$O$5:$O$804,$B178)="","",INDEX(Homiladorlar!$O$5:$O$804,$B178)))</f>
        <v/>
      </c>
      <c r="H178" s="5" t="str">
        <f aca="false">IF($B178="","",IF(INDEX(Homiladorlar!$Q$5:$Q$804,$B178)="","",INDEX(Homiladorlar!$Q$5:$Q$804,$B178)))</f>
        <v/>
      </c>
      <c r="I178" s="5" t="str">
        <f aca="false">IF($B178="","",IF(INDEX(Homiladorlar!$R$5:$R$804,$B178)="","",INDEX(Homiladorlar!$R$5:$R$804,$B178)))</f>
        <v/>
      </c>
      <c r="J178" s="5" t="str">
        <f aca="false">IF($B178="","",IF(INDEX(Homiladorlar!$K$5:$K$804,$B178)="","",INDEX(Homiladorlar!$K$5:$K$804,$B178)))</f>
        <v/>
      </c>
      <c r="K178" s="30" t="str">
        <f aca="false">IF($B178="","",IF(INDEX(Homiladorlar!$J$5:$J$804,$B178)="","",INDEX(Homiladorlar!$J$5:$J$804,$B178)))</f>
        <v/>
      </c>
      <c r="L178" s="30" t="str">
        <f aca="false">IF($B178="","",IF(INDEX(Homiladorlar!$T$5:$T$804,$B178)="","",INDEX(Homiladorlar!$T$5:$T$804,$B178)))</f>
        <v/>
      </c>
      <c r="M178" s="30" t="str">
        <f aca="false">IF($B178="","",IF(INDEX(Homiladorlar!$AB$5:$AB$804,$B178)="","",INDEX(Homiladorlar!$AB$5:$AB$804,$B178)))</f>
        <v/>
      </c>
      <c r="N178" s="5" t="str">
        <f aca="false">IF($B178="","",IF(INDEX(Homiladorlar!$AC$5:$AC$804,$B178)="","",INDEX(Homiladorlar!$AC$5:$AC$804,$B178)))</f>
        <v/>
      </c>
    </row>
    <row r="179" customFormat="false" ht="15" hidden="false" customHeight="false" outlineLevel="0" collapsed="false">
      <c r="A179" s="5" t="n">
        <v>175</v>
      </c>
      <c r="B179" s="29" t="str">
        <f aca="false">IFERROR(MATCH(A179,Homiladorlar!$AH$5:$AH$804,0),"")</f>
        <v/>
      </c>
      <c r="C179" s="5" t="str">
        <f aca="false">IF($B179="","",IF(INDEX(Homiladorlar!$B$5:$B$804,$B179)="","",INDEX(Homiladorlar!$B$5:$B$804,$B179)))</f>
        <v/>
      </c>
      <c r="D179" s="30" t="str">
        <f aca="false">IF($B179="","",IF(INDEX(Homiladorlar!$C$5:$C$804,$B179)="","",INDEX(Homiladorlar!$C$5:$C$804,$B179)))</f>
        <v/>
      </c>
      <c r="E179" s="5" t="str">
        <f aca="false">IF($B179="","",IF(INDEX(Homiladorlar!$F$5:$F$804,$B179)="","",INDEX(Homiladorlar!$F$5:$F$804,$B179)))</f>
        <v/>
      </c>
      <c r="F179" s="5" t="str">
        <f aca="false">IF($B179="","",IF(INDEX(Homiladorlar!$E$5:$E$804,$B179)="","",INDEX(Homiladorlar!$E$5:$E$804,$B179)))</f>
        <v/>
      </c>
      <c r="G179" s="5" t="str">
        <f aca="false">IF($B179="","",IF(INDEX(Homiladorlar!$O$5:$O$804,$B179)="","",INDEX(Homiladorlar!$O$5:$O$804,$B179)))</f>
        <v/>
      </c>
      <c r="H179" s="5" t="str">
        <f aca="false">IF($B179="","",IF(INDEX(Homiladorlar!$Q$5:$Q$804,$B179)="","",INDEX(Homiladorlar!$Q$5:$Q$804,$B179)))</f>
        <v/>
      </c>
      <c r="I179" s="5" t="str">
        <f aca="false">IF($B179="","",IF(INDEX(Homiladorlar!$R$5:$R$804,$B179)="","",INDEX(Homiladorlar!$R$5:$R$804,$B179)))</f>
        <v/>
      </c>
      <c r="J179" s="5" t="str">
        <f aca="false">IF($B179="","",IF(INDEX(Homiladorlar!$K$5:$K$804,$B179)="","",INDEX(Homiladorlar!$K$5:$K$804,$B179)))</f>
        <v/>
      </c>
      <c r="K179" s="30" t="str">
        <f aca="false">IF($B179="","",IF(INDEX(Homiladorlar!$J$5:$J$804,$B179)="","",INDEX(Homiladorlar!$J$5:$J$804,$B179)))</f>
        <v/>
      </c>
      <c r="L179" s="30" t="str">
        <f aca="false">IF($B179="","",IF(INDEX(Homiladorlar!$T$5:$T$804,$B179)="","",INDEX(Homiladorlar!$T$5:$T$804,$B179)))</f>
        <v/>
      </c>
      <c r="M179" s="30" t="str">
        <f aca="false">IF($B179="","",IF(INDEX(Homiladorlar!$AB$5:$AB$804,$B179)="","",INDEX(Homiladorlar!$AB$5:$AB$804,$B179)))</f>
        <v/>
      </c>
      <c r="N179" s="5" t="str">
        <f aca="false">IF($B179="","",IF(INDEX(Homiladorlar!$AC$5:$AC$804,$B179)="","",INDEX(Homiladorlar!$AC$5:$AC$804,$B179)))</f>
        <v/>
      </c>
    </row>
    <row r="180" customFormat="false" ht="15" hidden="false" customHeight="false" outlineLevel="0" collapsed="false">
      <c r="A180" s="5" t="n">
        <v>176</v>
      </c>
      <c r="B180" s="29" t="str">
        <f aca="false">IFERROR(MATCH(A180,Homiladorlar!$AH$5:$AH$804,0),"")</f>
        <v/>
      </c>
      <c r="C180" s="5" t="str">
        <f aca="false">IF($B180="","",IF(INDEX(Homiladorlar!$B$5:$B$804,$B180)="","",INDEX(Homiladorlar!$B$5:$B$804,$B180)))</f>
        <v/>
      </c>
      <c r="D180" s="30" t="str">
        <f aca="false">IF($B180="","",IF(INDEX(Homiladorlar!$C$5:$C$804,$B180)="","",INDEX(Homiladorlar!$C$5:$C$804,$B180)))</f>
        <v/>
      </c>
      <c r="E180" s="5" t="str">
        <f aca="false">IF($B180="","",IF(INDEX(Homiladorlar!$F$5:$F$804,$B180)="","",INDEX(Homiladorlar!$F$5:$F$804,$B180)))</f>
        <v/>
      </c>
      <c r="F180" s="5" t="str">
        <f aca="false">IF($B180="","",IF(INDEX(Homiladorlar!$E$5:$E$804,$B180)="","",INDEX(Homiladorlar!$E$5:$E$804,$B180)))</f>
        <v/>
      </c>
      <c r="G180" s="5" t="str">
        <f aca="false">IF($B180="","",IF(INDEX(Homiladorlar!$O$5:$O$804,$B180)="","",INDEX(Homiladorlar!$O$5:$O$804,$B180)))</f>
        <v/>
      </c>
      <c r="H180" s="5" t="str">
        <f aca="false">IF($B180="","",IF(INDEX(Homiladorlar!$Q$5:$Q$804,$B180)="","",INDEX(Homiladorlar!$Q$5:$Q$804,$B180)))</f>
        <v/>
      </c>
      <c r="I180" s="5" t="str">
        <f aca="false">IF($B180="","",IF(INDEX(Homiladorlar!$R$5:$R$804,$B180)="","",INDEX(Homiladorlar!$R$5:$R$804,$B180)))</f>
        <v/>
      </c>
      <c r="J180" s="5" t="str">
        <f aca="false">IF($B180="","",IF(INDEX(Homiladorlar!$K$5:$K$804,$B180)="","",INDEX(Homiladorlar!$K$5:$K$804,$B180)))</f>
        <v/>
      </c>
      <c r="K180" s="30" t="str">
        <f aca="false">IF($B180="","",IF(INDEX(Homiladorlar!$J$5:$J$804,$B180)="","",INDEX(Homiladorlar!$J$5:$J$804,$B180)))</f>
        <v/>
      </c>
      <c r="L180" s="30" t="str">
        <f aca="false">IF($B180="","",IF(INDEX(Homiladorlar!$T$5:$T$804,$B180)="","",INDEX(Homiladorlar!$T$5:$T$804,$B180)))</f>
        <v/>
      </c>
      <c r="M180" s="30" t="str">
        <f aca="false">IF($B180="","",IF(INDEX(Homiladorlar!$AB$5:$AB$804,$B180)="","",INDEX(Homiladorlar!$AB$5:$AB$804,$B180)))</f>
        <v/>
      </c>
      <c r="N180" s="5" t="str">
        <f aca="false">IF($B180="","",IF(INDEX(Homiladorlar!$AC$5:$AC$804,$B180)="","",INDEX(Homiladorlar!$AC$5:$AC$804,$B180)))</f>
        <v/>
      </c>
    </row>
    <row r="181" customFormat="false" ht="15" hidden="false" customHeight="false" outlineLevel="0" collapsed="false">
      <c r="A181" s="5" t="n">
        <v>177</v>
      </c>
      <c r="B181" s="29" t="str">
        <f aca="false">IFERROR(MATCH(A181,Homiladorlar!$AH$5:$AH$804,0),"")</f>
        <v/>
      </c>
      <c r="C181" s="5" t="str">
        <f aca="false">IF($B181="","",IF(INDEX(Homiladorlar!$B$5:$B$804,$B181)="","",INDEX(Homiladorlar!$B$5:$B$804,$B181)))</f>
        <v/>
      </c>
      <c r="D181" s="30" t="str">
        <f aca="false">IF($B181="","",IF(INDEX(Homiladorlar!$C$5:$C$804,$B181)="","",INDEX(Homiladorlar!$C$5:$C$804,$B181)))</f>
        <v/>
      </c>
      <c r="E181" s="5" t="str">
        <f aca="false">IF($B181="","",IF(INDEX(Homiladorlar!$F$5:$F$804,$B181)="","",INDEX(Homiladorlar!$F$5:$F$804,$B181)))</f>
        <v/>
      </c>
      <c r="F181" s="5" t="str">
        <f aca="false">IF($B181="","",IF(INDEX(Homiladorlar!$E$5:$E$804,$B181)="","",INDEX(Homiladorlar!$E$5:$E$804,$B181)))</f>
        <v/>
      </c>
      <c r="G181" s="5" t="str">
        <f aca="false">IF($B181="","",IF(INDEX(Homiladorlar!$O$5:$O$804,$B181)="","",INDEX(Homiladorlar!$O$5:$O$804,$B181)))</f>
        <v/>
      </c>
      <c r="H181" s="5" t="str">
        <f aca="false">IF($B181="","",IF(INDEX(Homiladorlar!$Q$5:$Q$804,$B181)="","",INDEX(Homiladorlar!$Q$5:$Q$804,$B181)))</f>
        <v/>
      </c>
      <c r="I181" s="5" t="str">
        <f aca="false">IF($B181="","",IF(INDEX(Homiladorlar!$R$5:$R$804,$B181)="","",INDEX(Homiladorlar!$R$5:$R$804,$B181)))</f>
        <v/>
      </c>
      <c r="J181" s="5" t="str">
        <f aca="false">IF($B181="","",IF(INDEX(Homiladorlar!$K$5:$K$804,$B181)="","",INDEX(Homiladorlar!$K$5:$K$804,$B181)))</f>
        <v/>
      </c>
      <c r="K181" s="30" t="str">
        <f aca="false">IF($B181="","",IF(INDEX(Homiladorlar!$J$5:$J$804,$B181)="","",INDEX(Homiladorlar!$J$5:$J$804,$B181)))</f>
        <v/>
      </c>
      <c r="L181" s="30" t="str">
        <f aca="false">IF($B181="","",IF(INDEX(Homiladorlar!$T$5:$T$804,$B181)="","",INDEX(Homiladorlar!$T$5:$T$804,$B181)))</f>
        <v/>
      </c>
      <c r="M181" s="30" t="str">
        <f aca="false">IF($B181="","",IF(INDEX(Homiladorlar!$AB$5:$AB$804,$B181)="","",INDEX(Homiladorlar!$AB$5:$AB$804,$B181)))</f>
        <v/>
      </c>
      <c r="N181" s="5" t="str">
        <f aca="false">IF($B181="","",IF(INDEX(Homiladorlar!$AC$5:$AC$804,$B181)="","",INDEX(Homiladorlar!$AC$5:$AC$804,$B181)))</f>
        <v/>
      </c>
    </row>
    <row r="182" customFormat="false" ht="15" hidden="false" customHeight="false" outlineLevel="0" collapsed="false">
      <c r="A182" s="5" t="n">
        <v>178</v>
      </c>
      <c r="B182" s="29" t="str">
        <f aca="false">IFERROR(MATCH(A182,Homiladorlar!$AH$5:$AH$804,0),"")</f>
        <v/>
      </c>
      <c r="C182" s="5" t="str">
        <f aca="false">IF($B182="","",IF(INDEX(Homiladorlar!$B$5:$B$804,$B182)="","",INDEX(Homiladorlar!$B$5:$B$804,$B182)))</f>
        <v/>
      </c>
      <c r="D182" s="30" t="str">
        <f aca="false">IF($B182="","",IF(INDEX(Homiladorlar!$C$5:$C$804,$B182)="","",INDEX(Homiladorlar!$C$5:$C$804,$B182)))</f>
        <v/>
      </c>
      <c r="E182" s="5" t="str">
        <f aca="false">IF($B182="","",IF(INDEX(Homiladorlar!$F$5:$F$804,$B182)="","",INDEX(Homiladorlar!$F$5:$F$804,$B182)))</f>
        <v/>
      </c>
      <c r="F182" s="5" t="str">
        <f aca="false">IF($B182="","",IF(INDEX(Homiladorlar!$E$5:$E$804,$B182)="","",INDEX(Homiladorlar!$E$5:$E$804,$B182)))</f>
        <v/>
      </c>
      <c r="G182" s="5" t="str">
        <f aca="false">IF($B182="","",IF(INDEX(Homiladorlar!$O$5:$O$804,$B182)="","",INDEX(Homiladorlar!$O$5:$O$804,$B182)))</f>
        <v/>
      </c>
      <c r="H182" s="5" t="str">
        <f aca="false">IF($B182="","",IF(INDEX(Homiladorlar!$Q$5:$Q$804,$B182)="","",INDEX(Homiladorlar!$Q$5:$Q$804,$B182)))</f>
        <v/>
      </c>
      <c r="I182" s="5" t="str">
        <f aca="false">IF($B182="","",IF(INDEX(Homiladorlar!$R$5:$R$804,$B182)="","",INDEX(Homiladorlar!$R$5:$R$804,$B182)))</f>
        <v/>
      </c>
      <c r="J182" s="5" t="str">
        <f aca="false">IF($B182="","",IF(INDEX(Homiladorlar!$K$5:$K$804,$B182)="","",INDEX(Homiladorlar!$K$5:$K$804,$B182)))</f>
        <v/>
      </c>
      <c r="K182" s="30" t="str">
        <f aca="false">IF($B182="","",IF(INDEX(Homiladorlar!$J$5:$J$804,$B182)="","",INDEX(Homiladorlar!$J$5:$J$804,$B182)))</f>
        <v/>
      </c>
      <c r="L182" s="30" t="str">
        <f aca="false">IF($B182="","",IF(INDEX(Homiladorlar!$T$5:$T$804,$B182)="","",INDEX(Homiladorlar!$T$5:$T$804,$B182)))</f>
        <v/>
      </c>
      <c r="M182" s="30" t="str">
        <f aca="false">IF($B182="","",IF(INDEX(Homiladorlar!$AB$5:$AB$804,$B182)="","",INDEX(Homiladorlar!$AB$5:$AB$804,$B182)))</f>
        <v/>
      </c>
      <c r="N182" s="5" t="str">
        <f aca="false">IF($B182="","",IF(INDEX(Homiladorlar!$AC$5:$AC$804,$B182)="","",INDEX(Homiladorlar!$AC$5:$AC$804,$B182)))</f>
        <v/>
      </c>
    </row>
    <row r="183" customFormat="false" ht="15" hidden="false" customHeight="false" outlineLevel="0" collapsed="false">
      <c r="A183" s="5" t="n">
        <v>179</v>
      </c>
      <c r="B183" s="29" t="str">
        <f aca="false">IFERROR(MATCH(A183,Homiladorlar!$AH$5:$AH$804,0),"")</f>
        <v/>
      </c>
      <c r="C183" s="5" t="str">
        <f aca="false">IF($B183="","",IF(INDEX(Homiladorlar!$B$5:$B$804,$B183)="","",INDEX(Homiladorlar!$B$5:$B$804,$B183)))</f>
        <v/>
      </c>
      <c r="D183" s="30" t="str">
        <f aca="false">IF($B183="","",IF(INDEX(Homiladorlar!$C$5:$C$804,$B183)="","",INDEX(Homiladorlar!$C$5:$C$804,$B183)))</f>
        <v/>
      </c>
      <c r="E183" s="5" t="str">
        <f aca="false">IF($B183="","",IF(INDEX(Homiladorlar!$F$5:$F$804,$B183)="","",INDEX(Homiladorlar!$F$5:$F$804,$B183)))</f>
        <v/>
      </c>
      <c r="F183" s="5" t="str">
        <f aca="false">IF($B183="","",IF(INDEX(Homiladorlar!$E$5:$E$804,$B183)="","",INDEX(Homiladorlar!$E$5:$E$804,$B183)))</f>
        <v/>
      </c>
      <c r="G183" s="5" t="str">
        <f aca="false">IF($B183="","",IF(INDEX(Homiladorlar!$O$5:$O$804,$B183)="","",INDEX(Homiladorlar!$O$5:$O$804,$B183)))</f>
        <v/>
      </c>
      <c r="H183" s="5" t="str">
        <f aca="false">IF($B183="","",IF(INDEX(Homiladorlar!$Q$5:$Q$804,$B183)="","",INDEX(Homiladorlar!$Q$5:$Q$804,$B183)))</f>
        <v/>
      </c>
      <c r="I183" s="5" t="str">
        <f aca="false">IF($B183="","",IF(INDEX(Homiladorlar!$R$5:$R$804,$B183)="","",INDEX(Homiladorlar!$R$5:$R$804,$B183)))</f>
        <v/>
      </c>
      <c r="J183" s="5" t="str">
        <f aca="false">IF($B183="","",IF(INDEX(Homiladorlar!$K$5:$K$804,$B183)="","",INDEX(Homiladorlar!$K$5:$K$804,$B183)))</f>
        <v/>
      </c>
      <c r="K183" s="30" t="str">
        <f aca="false">IF($B183="","",IF(INDEX(Homiladorlar!$J$5:$J$804,$B183)="","",INDEX(Homiladorlar!$J$5:$J$804,$B183)))</f>
        <v/>
      </c>
      <c r="L183" s="30" t="str">
        <f aca="false">IF($B183="","",IF(INDEX(Homiladorlar!$T$5:$T$804,$B183)="","",INDEX(Homiladorlar!$T$5:$T$804,$B183)))</f>
        <v/>
      </c>
      <c r="M183" s="30" t="str">
        <f aca="false">IF($B183="","",IF(INDEX(Homiladorlar!$AB$5:$AB$804,$B183)="","",INDEX(Homiladorlar!$AB$5:$AB$804,$B183)))</f>
        <v/>
      </c>
      <c r="N183" s="5" t="str">
        <f aca="false">IF($B183="","",IF(INDEX(Homiladorlar!$AC$5:$AC$804,$B183)="","",INDEX(Homiladorlar!$AC$5:$AC$804,$B183)))</f>
        <v/>
      </c>
    </row>
    <row r="184" customFormat="false" ht="15" hidden="false" customHeight="false" outlineLevel="0" collapsed="false">
      <c r="A184" s="5" t="n">
        <v>180</v>
      </c>
      <c r="B184" s="29" t="str">
        <f aca="false">IFERROR(MATCH(A184,Homiladorlar!$AH$5:$AH$804,0),"")</f>
        <v/>
      </c>
      <c r="C184" s="5" t="str">
        <f aca="false">IF($B184="","",IF(INDEX(Homiladorlar!$B$5:$B$804,$B184)="","",INDEX(Homiladorlar!$B$5:$B$804,$B184)))</f>
        <v/>
      </c>
      <c r="D184" s="30" t="str">
        <f aca="false">IF($B184="","",IF(INDEX(Homiladorlar!$C$5:$C$804,$B184)="","",INDEX(Homiladorlar!$C$5:$C$804,$B184)))</f>
        <v/>
      </c>
      <c r="E184" s="5" t="str">
        <f aca="false">IF($B184="","",IF(INDEX(Homiladorlar!$F$5:$F$804,$B184)="","",INDEX(Homiladorlar!$F$5:$F$804,$B184)))</f>
        <v/>
      </c>
      <c r="F184" s="5" t="str">
        <f aca="false">IF($B184="","",IF(INDEX(Homiladorlar!$E$5:$E$804,$B184)="","",INDEX(Homiladorlar!$E$5:$E$804,$B184)))</f>
        <v/>
      </c>
      <c r="G184" s="5" t="str">
        <f aca="false">IF($B184="","",IF(INDEX(Homiladorlar!$O$5:$O$804,$B184)="","",INDEX(Homiladorlar!$O$5:$O$804,$B184)))</f>
        <v/>
      </c>
      <c r="H184" s="5" t="str">
        <f aca="false">IF($B184="","",IF(INDEX(Homiladorlar!$Q$5:$Q$804,$B184)="","",INDEX(Homiladorlar!$Q$5:$Q$804,$B184)))</f>
        <v/>
      </c>
      <c r="I184" s="5" t="str">
        <f aca="false">IF($B184="","",IF(INDEX(Homiladorlar!$R$5:$R$804,$B184)="","",INDEX(Homiladorlar!$R$5:$R$804,$B184)))</f>
        <v/>
      </c>
      <c r="J184" s="5" t="str">
        <f aca="false">IF($B184="","",IF(INDEX(Homiladorlar!$K$5:$K$804,$B184)="","",INDEX(Homiladorlar!$K$5:$K$804,$B184)))</f>
        <v/>
      </c>
      <c r="K184" s="30" t="str">
        <f aca="false">IF($B184="","",IF(INDEX(Homiladorlar!$J$5:$J$804,$B184)="","",INDEX(Homiladorlar!$J$5:$J$804,$B184)))</f>
        <v/>
      </c>
      <c r="L184" s="30" t="str">
        <f aca="false">IF($B184="","",IF(INDEX(Homiladorlar!$T$5:$T$804,$B184)="","",INDEX(Homiladorlar!$T$5:$T$804,$B184)))</f>
        <v/>
      </c>
      <c r="M184" s="30" t="str">
        <f aca="false">IF($B184="","",IF(INDEX(Homiladorlar!$AB$5:$AB$804,$B184)="","",INDEX(Homiladorlar!$AB$5:$AB$804,$B184)))</f>
        <v/>
      </c>
      <c r="N184" s="5" t="str">
        <f aca="false">IF($B184="","",IF(INDEX(Homiladorlar!$AC$5:$AC$804,$B184)="","",INDEX(Homiladorlar!$AC$5:$AC$804,$B184)))</f>
        <v/>
      </c>
    </row>
    <row r="185" customFormat="false" ht="15" hidden="false" customHeight="false" outlineLevel="0" collapsed="false">
      <c r="A185" s="5" t="n">
        <v>181</v>
      </c>
      <c r="B185" s="29" t="str">
        <f aca="false">IFERROR(MATCH(A185,Homiladorlar!$AH$5:$AH$804,0),"")</f>
        <v/>
      </c>
      <c r="C185" s="5" t="str">
        <f aca="false">IF($B185="","",IF(INDEX(Homiladorlar!$B$5:$B$804,$B185)="","",INDEX(Homiladorlar!$B$5:$B$804,$B185)))</f>
        <v/>
      </c>
      <c r="D185" s="30" t="str">
        <f aca="false">IF($B185="","",IF(INDEX(Homiladorlar!$C$5:$C$804,$B185)="","",INDEX(Homiladorlar!$C$5:$C$804,$B185)))</f>
        <v/>
      </c>
      <c r="E185" s="5" t="str">
        <f aca="false">IF($B185="","",IF(INDEX(Homiladorlar!$F$5:$F$804,$B185)="","",INDEX(Homiladorlar!$F$5:$F$804,$B185)))</f>
        <v/>
      </c>
      <c r="F185" s="5" t="str">
        <f aca="false">IF($B185="","",IF(INDEX(Homiladorlar!$E$5:$E$804,$B185)="","",INDEX(Homiladorlar!$E$5:$E$804,$B185)))</f>
        <v/>
      </c>
      <c r="G185" s="5" t="str">
        <f aca="false">IF($B185="","",IF(INDEX(Homiladorlar!$O$5:$O$804,$B185)="","",INDEX(Homiladorlar!$O$5:$O$804,$B185)))</f>
        <v/>
      </c>
      <c r="H185" s="5" t="str">
        <f aca="false">IF($B185="","",IF(INDEX(Homiladorlar!$Q$5:$Q$804,$B185)="","",INDEX(Homiladorlar!$Q$5:$Q$804,$B185)))</f>
        <v/>
      </c>
      <c r="I185" s="5" t="str">
        <f aca="false">IF($B185="","",IF(INDEX(Homiladorlar!$R$5:$R$804,$B185)="","",INDEX(Homiladorlar!$R$5:$R$804,$B185)))</f>
        <v/>
      </c>
      <c r="J185" s="5" t="str">
        <f aca="false">IF($B185="","",IF(INDEX(Homiladorlar!$K$5:$K$804,$B185)="","",INDEX(Homiladorlar!$K$5:$K$804,$B185)))</f>
        <v/>
      </c>
      <c r="K185" s="30" t="str">
        <f aca="false">IF($B185="","",IF(INDEX(Homiladorlar!$J$5:$J$804,$B185)="","",INDEX(Homiladorlar!$J$5:$J$804,$B185)))</f>
        <v/>
      </c>
      <c r="L185" s="30" t="str">
        <f aca="false">IF($B185="","",IF(INDEX(Homiladorlar!$T$5:$T$804,$B185)="","",INDEX(Homiladorlar!$T$5:$T$804,$B185)))</f>
        <v/>
      </c>
      <c r="M185" s="30" t="str">
        <f aca="false">IF($B185="","",IF(INDEX(Homiladorlar!$AB$5:$AB$804,$B185)="","",INDEX(Homiladorlar!$AB$5:$AB$804,$B185)))</f>
        <v/>
      </c>
      <c r="N185" s="5" t="str">
        <f aca="false">IF($B185="","",IF(INDEX(Homiladorlar!$AC$5:$AC$804,$B185)="","",INDEX(Homiladorlar!$AC$5:$AC$804,$B185)))</f>
        <v/>
      </c>
    </row>
    <row r="186" customFormat="false" ht="15" hidden="false" customHeight="false" outlineLevel="0" collapsed="false">
      <c r="A186" s="5" t="n">
        <v>182</v>
      </c>
      <c r="B186" s="29" t="str">
        <f aca="false">IFERROR(MATCH(A186,Homiladorlar!$AH$5:$AH$804,0),"")</f>
        <v/>
      </c>
      <c r="C186" s="5" t="str">
        <f aca="false">IF($B186="","",IF(INDEX(Homiladorlar!$B$5:$B$804,$B186)="","",INDEX(Homiladorlar!$B$5:$B$804,$B186)))</f>
        <v/>
      </c>
      <c r="D186" s="30" t="str">
        <f aca="false">IF($B186="","",IF(INDEX(Homiladorlar!$C$5:$C$804,$B186)="","",INDEX(Homiladorlar!$C$5:$C$804,$B186)))</f>
        <v/>
      </c>
      <c r="E186" s="5" t="str">
        <f aca="false">IF($B186="","",IF(INDEX(Homiladorlar!$F$5:$F$804,$B186)="","",INDEX(Homiladorlar!$F$5:$F$804,$B186)))</f>
        <v/>
      </c>
      <c r="F186" s="5" t="str">
        <f aca="false">IF($B186="","",IF(INDEX(Homiladorlar!$E$5:$E$804,$B186)="","",INDEX(Homiladorlar!$E$5:$E$804,$B186)))</f>
        <v/>
      </c>
      <c r="G186" s="5" t="str">
        <f aca="false">IF($B186="","",IF(INDEX(Homiladorlar!$O$5:$O$804,$B186)="","",INDEX(Homiladorlar!$O$5:$O$804,$B186)))</f>
        <v/>
      </c>
      <c r="H186" s="5" t="str">
        <f aca="false">IF($B186="","",IF(INDEX(Homiladorlar!$Q$5:$Q$804,$B186)="","",INDEX(Homiladorlar!$Q$5:$Q$804,$B186)))</f>
        <v/>
      </c>
      <c r="I186" s="5" t="str">
        <f aca="false">IF($B186="","",IF(INDEX(Homiladorlar!$R$5:$R$804,$B186)="","",INDEX(Homiladorlar!$R$5:$R$804,$B186)))</f>
        <v/>
      </c>
      <c r="J186" s="5" t="str">
        <f aca="false">IF($B186="","",IF(INDEX(Homiladorlar!$K$5:$K$804,$B186)="","",INDEX(Homiladorlar!$K$5:$K$804,$B186)))</f>
        <v/>
      </c>
      <c r="K186" s="30" t="str">
        <f aca="false">IF($B186="","",IF(INDEX(Homiladorlar!$J$5:$J$804,$B186)="","",INDEX(Homiladorlar!$J$5:$J$804,$B186)))</f>
        <v/>
      </c>
      <c r="L186" s="30" t="str">
        <f aca="false">IF($B186="","",IF(INDEX(Homiladorlar!$T$5:$T$804,$B186)="","",INDEX(Homiladorlar!$T$5:$T$804,$B186)))</f>
        <v/>
      </c>
      <c r="M186" s="30" t="str">
        <f aca="false">IF($B186="","",IF(INDEX(Homiladorlar!$AB$5:$AB$804,$B186)="","",INDEX(Homiladorlar!$AB$5:$AB$804,$B186)))</f>
        <v/>
      </c>
      <c r="N186" s="5" t="str">
        <f aca="false">IF($B186="","",IF(INDEX(Homiladorlar!$AC$5:$AC$804,$B186)="","",INDEX(Homiladorlar!$AC$5:$AC$804,$B186)))</f>
        <v/>
      </c>
    </row>
    <row r="187" customFormat="false" ht="15" hidden="false" customHeight="false" outlineLevel="0" collapsed="false">
      <c r="A187" s="5" t="n">
        <v>183</v>
      </c>
      <c r="B187" s="29" t="str">
        <f aca="false">IFERROR(MATCH(A187,Homiladorlar!$AH$5:$AH$804,0),"")</f>
        <v/>
      </c>
      <c r="C187" s="5" t="str">
        <f aca="false">IF($B187="","",IF(INDEX(Homiladorlar!$B$5:$B$804,$B187)="","",INDEX(Homiladorlar!$B$5:$B$804,$B187)))</f>
        <v/>
      </c>
      <c r="D187" s="30" t="str">
        <f aca="false">IF($B187="","",IF(INDEX(Homiladorlar!$C$5:$C$804,$B187)="","",INDEX(Homiladorlar!$C$5:$C$804,$B187)))</f>
        <v/>
      </c>
      <c r="E187" s="5" t="str">
        <f aca="false">IF($B187="","",IF(INDEX(Homiladorlar!$F$5:$F$804,$B187)="","",INDEX(Homiladorlar!$F$5:$F$804,$B187)))</f>
        <v/>
      </c>
      <c r="F187" s="5" t="str">
        <f aca="false">IF($B187="","",IF(INDEX(Homiladorlar!$E$5:$E$804,$B187)="","",INDEX(Homiladorlar!$E$5:$E$804,$B187)))</f>
        <v/>
      </c>
      <c r="G187" s="5" t="str">
        <f aca="false">IF($B187="","",IF(INDEX(Homiladorlar!$O$5:$O$804,$B187)="","",INDEX(Homiladorlar!$O$5:$O$804,$B187)))</f>
        <v/>
      </c>
      <c r="H187" s="5" t="str">
        <f aca="false">IF($B187="","",IF(INDEX(Homiladorlar!$Q$5:$Q$804,$B187)="","",INDEX(Homiladorlar!$Q$5:$Q$804,$B187)))</f>
        <v/>
      </c>
      <c r="I187" s="5" t="str">
        <f aca="false">IF($B187="","",IF(INDEX(Homiladorlar!$R$5:$R$804,$B187)="","",INDEX(Homiladorlar!$R$5:$R$804,$B187)))</f>
        <v/>
      </c>
      <c r="J187" s="5" t="str">
        <f aca="false">IF($B187="","",IF(INDEX(Homiladorlar!$K$5:$K$804,$B187)="","",INDEX(Homiladorlar!$K$5:$K$804,$B187)))</f>
        <v/>
      </c>
      <c r="K187" s="30" t="str">
        <f aca="false">IF($B187="","",IF(INDEX(Homiladorlar!$J$5:$J$804,$B187)="","",INDEX(Homiladorlar!$J$5:$J$804,$B187)))</f>
        <v/>
      </c>
      <c r="L187" s="30" t="str">
        <f aca="false">IF($B187="","",IF(INDEX(Homiladorlar!$T$5:$T$804,$B187)="","",INDEX(Homiladorlar!$T$5:$T$804,$B187)))</f>
        <v/>
      </c>
      <c r="M187" s="30" t="str">
        <f aca="false">IF($B187="","",IF(INDEX(Homiladorlar!$AB$5:$AB$804,$B187)="","",INDEX(Homiladorlar!$AB$5:$AB$804,$B187)))</f>
        <v/>
      </c>
      <c r="N187" s="5" t="str">
        <f aca="false">IF($B187="","",IF(INDEX(Homiladorlar!$AC$5:$AC$804,$B187)="","",INDEX(Homiladorlar!$AC$5:$AC$804,$B187)))</f>
        <v/>
      </c>
    </row>
    <row r="188" customFormat="false" ht="15" hidden="false" customHeight="false" outlineLevel="0" collapsed="false">
      <c r="A188" s="5" t="n">
        <v>184</v>
      </c>
      <c r="B188" s="29" t="str">
        <f aca="false">IFERROR(MATCH(A188,Homiladorlar!$AH$5:$AH$804,0),"")</f>
        <v/>
      </c>
      <c r="C188" s="5" t="str">
        <f aca="false">IF($B188="","",IF(INDEX(Homiladorlar!$B$5:$B$804,$B188)="","",INDEX(Homiladorlar!$B$5:$B$804,$B188)))</f>
        <v/>
      </c>
      <c r="D188" s="30" t="str">
        <f aca="false">IF($B188="","",IF(INDEX(Homiladorlar!$C$5:$C$804,$B188)="","",INDEX(Homiladorlar!$C$5:$C$804,$B188)))</f>
        <v/>
      </c>
      <c r="E188" s="5" t="str">
        <f aca="false">IF($B188="","",IF(INDEX(Homiladorlar!$F$5:$F$804,$B188)="","",INDEX(Homiladorlar!$F$5:$F$804,$B188)))</f>
        <v/>
      </c>
      <c r="F188" s="5" t="str">
        <f aca="false">IF($B188="","",IF(INDEX(Homiladorlar!$E$5:$E$804,$B188)="","",INDEX(Homiladorlar!$E$5:$E$804,$B188)))</f>
        <v/>
      </c>
      <c r="G188" s="5" t="str">
        <f aca="false">IF($B188="","",IF(INDEX(Homiladorlar!$O$5:$O$804,$B188)="","",INDEX(Homiladorlar!$O$5:$O$804,$B188)))</f>
        <v/>
      </c>
      <c r="H188" s="5" t="str">
        <f aca="false">IF($B188="","",IF(INDEX(Homiladorlar!$Q$5:$Q$804,$B188)="","",INDEX(Homiladorlar!$Q$5:$Q$804,$B188)))</f>
        <v/>
      </c>
      <c r="I188" s="5" t="str">
        <f aca="false">IF($B188="","",IF(INDEX(Homiladorlar!$R$5:$R$804,$B188)="","",INDEX(Homiladorlar!$R$5:$R$804,$B188)))</f>
        <v/>
      </c>
      <c r="J188" s="5" t="str">
        <f aca="false">IF($B188="","",IF(INDEX(Homiladorlar!$K$5:$K$804,$B188)="","",INDEX(Homiladorlar!$K$5:$K$804,$B188)))</f>
        <v/>
      </c>
      <c r="K188" s="30" t="str">
        <f aca="false">IF($B188="","",IF(INDEX(Homiladorlar!$J$5:$J$804,$B188)="","",INDEX(Homiladorlar!$J$5:$J$804,$B188)))</f>
        <v/>
      </c>
      <c r="L188" s="30" t="str">
        <f aca="false">IF($B188="","",IF(INDEX(Homiladorlar!$T$5:$T$804,$B188)="","",INDEX(Homiladorlar!$T$5:$T$804,$B188)))</f>
        <v/>
      </c>
      <c r="M188" s="30" t="str">
        <f aca="false">IF($B188="","",IF(INDEX(Homiladorlar!$AB$5:$AB$804,$B188)="","",INDEX(Homiladorlar!$AB$5:$AB$804,$B188)))</f>
        <v/>
      </c>
      <c r="N188" s="5" t="str">
        <f aca="false">IF($B188="","",IF(INDEX(Homiladorlar!$AC$5:$AC$804,$B188)="","",INDEX(Homiladorlar!$AC$5:$AC$804,$B188)))</f>
        <v/>
      </c>
    </row>
    <row r="189" customFormat="false" ht="15" hidden="false" customHeight="false" outlineLevel="0" collapsed="false">
      <c r="A189" s="5" t="n">
        <v>185</v>
      </c>
      <c r="B189" s="29" t="str">
        <f aca="false">IFERROR(MATCH(A189,Homiladorlar!$AH$5:$AH$804,0),"")</f>
        <v/>
      </c>
      <c r="C189" s="5" t="str">
        <f aca="false">IF($B189="","",IF(INDEX(Homiladorlar!$B$5:$B$804,$B189)="","",INDEX(Homiladorlar!$B$5:$B$804,$B189)))</f>
        <v/>
      </c>
      <c r="D189" s="30" t="str">
        <f aca="false">IF($B189="","",IF(INDEX(Homiladorlar!$C$5:$C$804,$B189)="","",INDEX(Homiladorlar!$C$5:$C$804,$B189)))</f>
        <v/>
      </c>
      <c r="E189" s="5" t="str">
        <f aca="false">IF($B189="","",IF(INDEX(Homiladorlar!$F$5:$F$804,$B189)="","",INDEX(Homiladorlar!$F$5:$F$804,$B189)))</f>
        <v/>
      </c>
      <c r="F189" s="5" t="str">
        <f aca="false">IF($B189="","",IF(INDEX(Homiladorlar!$E$5:$E$804,$B189)="","",INDEX(Homiladorlar!$E$5:$E$804,$B189)))</f>
        <v/>
      </c>
      <c r="G189" s="5" t="str">
        <f aca="false">IF($B189="","",IF(INDEX(Homiladorlar!$O$5:$O$804,$B189)="","",INDEX(Homiladorlar!$O$5:$O$804,$B189)))</f>
        <v/>
      </c>
      <c r="H189" s="5" t="str">
        <f aca="false">IF($B189="","",IF(INDEX(Homiladorlar!$Q$5:$Q$804,$B189)="","",INDEX(Homiladorlar!$Q$5:$Q$804,$B189)))</f>
        <v/>
      </c>
      <c r="I189" s="5" t="str">
        <f aca="false">IF($B189="","",IF(INDEX(Homiladorlar!$R$5:$R$804,$B189)="","",INDEX(Homiladorlar!$R$5:$R$804,$B189)))</f>
        <v/>
      </c>
      <c r="J189" s="5" t="str">
        <f aca="false">IF($B189="","",IF(INDEX(Homiladorlar!$K$5:$K$804,$B189)="","",INDEX(Homiladorlar!$K$5:$K$804,$B189)))</f>
        <v/>
      </c>
      <c r="K189" s="30" t="str">
        <f aca="false">IF($B189="","",IF(INDEX(Homiladorlar!$J$5:$J$804,$B189)="","",INDEX(Homiladorlar!$J$5:$J$804,$B189)))</f>
        <v/>
      </c>
      <c r="L189" s="30" t="str">
        <f aca="false">IF($B189="","",IF(INDEX(Homiladorlar!$T$5:$T$804,$B189)="","",INDEX(Homiladorlar!$T$5:$T$804,$B189)))</f>
        <v/>
      </c>
      <c r="M189" s="30" t="str">
        <f aca="false">IF($B189="","",IF(INDEX(Homiladorlar!$AB$5:$AB$804,$B189)="","",INDEX(Homiladorlar!$AB$5:$AB$804,$B189)))</f>
        <v/>
      </c>
      <c r="N189" s="5" t="str">
        <f aca="false">IF($B189="","",IF(INDEX(Homiladorlar!$AC$5:$AC$804,$B189)="","",INDEX(Homiladorlar!$AC$5:$AC$804,$B189)))</f>
        <v/>
      </c>
    </row>
    <row r="190" customFormat="false" ht="15" hidden="false" customHeight="false" outlineLevel="0" collapsed="false">
      <c r="A190" s="5" t="n">
        <v>186</v>
      </c>
      <c r="B190" s="29" t="str">
        <f aca="false">IFERROR(MATCH(A190,Homiladorlar!$AH$5:$AH$804,0),"")</f>
        <v/>
      </c>
      <c r="C190" s="5" t="str">
        <f aca="false">IF($B190="","",IF(INDEX(Homiladorlar!$B$5:$B$804,$B190)="","",INDEX(Homiladorlar!$B$5:$B$804,$B190)))</f>
        <v/>
      </c>
      <c r="D190" s="30" t="str">
        <f aca="false">IF($B190="","",IF(INDEX(Homiladorlar!$C$5:$C$804,$B190)="","",INDEX(Homiladorlar!$C$5:$C$804,$B190)))</f>
        <v/>
      </c>
      <c r="E190" s="5" t="str">
        <f aca="false">IF($B190="","",IF(INDEX(Homiladorlar!$F$5:$F$804,$B190)="","",INDEX(Homiladorlar!$F$5:$F$804,$B190)))</f>
        <v/>
      </c>
      <c r="F190" s="5" t="str">
        <f aca="false">IF($B190="","",IF(INDEX(Homiladorlar!$E$5:$E$804,$B190)="","",INDEX(Homiladorlar!$E$5:$E$804,$B190)))</f>
        <v/>
      </c>
      <c r="G190" s="5" t="str">
        <f aca="false">IF($B190="","",IF(INDEX(Homiladorlar!$O$5:$O$804,$B190)="","",INDEX(Homiladorlar!$O$5:$O$804,$B190)))</f>
        <v/>
      </c>
      <c r="H190" s="5" t="str">
        <f aca="false">IF($B190="","",IF(INDEX(Homiladorlar!$Q$5:$Q$804,$B190)="","",INDEX(Homiladorlar!$Q$5:$Q$804,$B190)))</f>
        <v/>
      </c>
      <c r="I190" s="5" t="str">
        <f aca="false">IF($B190="","",IF(INDEX(Homiladorlar!$R$5:$R$804,$B190)="","",INDEX(Homiladorlar!$R$5:$R$804,$B190)))</f>
        <v/>
      </c>
      <c r="J190" s="5" t="str">
        <f aca="false">IF($B190="","",IF(INDEX(Homiladorlar!$K$5:$K$804,$B190)="","",INDEX(Homiladorlar!$K$5:$K$804,$B190)))</f>
        <v/>
      </c>
      <c r="K190" s="30" t="str">
        <f aca="false">IF($B190="","",IF(INDEX(Homiladorlar!$J$5:$J$804,$B190)="","",INDEX(Homiladorlar!$J$5:$J$804,$B190)))</f>
        <v/>
      </c>
      <c r="L190" s="30" t="str">
        <f aca="false">IF($B190="","",IF(INDEX(Homiladorlar!$T$5:$T$804,$B190)="","",INDEX(Homiladorlar!$T$5:$T$804,$B190)))</f>
        <v/>
      </c>
      <c r="M190" s="30" t="str">
        <f aca="false">IF($B190="","",IF(INDEX(Homiladorlar!$AB$5:$AB$804,$B190)="","",INDEX(Homiladorlar!$AB$5:$AB$804,$B190)))</f>
        <v/>
      </c>
      <c r="N190" s="5" t="str">
        <f aca="false">IF($B190="","",IF(INDEX(Homiladorlar!$AC$5:$AC$804,$B190)="","",INDEX(Homiladorlar!$AC$5:$AC$804,$B190)))</f>
        <v/>
      </c>
    </row>
    <row r="191" customFormat="false" ht="15" hidden="false" customHeight="false" outlineLevel="0" collapsed="false">
      <c r="A191" s="5" t="n">
        <v>187</v>
      </c>
      <c r="B191" s="29" t="str">
        <f aca="false">IFERROR(MATCH(A191,Homiladorlar!$AH$5:$AH$804,0),"")</f>
        <v/>
      </c>
      <c r="C191" s="5" t="str">
        <f aca="false">IF($B191="","",IF(INDEX(Homiladorlar!$B$5:$B$804,$B191)="","",INDEX(Homiladorlar!$B$5:$B$804,$B191)))</f>
        <v/>
      </c>
      <c r="D191" s="30" t="str">
        <f aca="false">IF($B191="","",IF(INDEX(Homiladorlar!$C$5:$C$804,$B191)="","",INDEX(Homiladorlar!$C$5:$C$804,$B191)))</f>
        <v/>
      </c>
      <c r="E191" s="5" t="str">
        <f aca="false">IF($B191="","",IF(INDEX(Homiladorlar!$F$5:$F$804,$B191)="","",INDEX(Homiladorlar!$F$5:$F$804,$B191)))</f>
        <v/>
      </c>
      <c r="F191" s="5" t="str">
        <f aca="false">IF($B191="","",IF(INDEX(Homiladorlar!$E$5:$E$804,$B191)="","",INDEX(Homiladorlar!$E$5:$E$804,$B191)))</f>
        <v/>
      </c>
      <c r="G191" s="5" t="str">
        <f aca="false">IF($B191="","",IF(INDEX(Homiladorlar!$O$5:$O$804,$B191)="","",INDEX(Homiladorlar!$O$5:$O$804,$B191)))</f>
        <v/>
      </c>
      <c r="H191" s="5" t="str">
        <f aca="false">IF($B191="","",IF(INDEX(Homiladorlar!$Q$5:$Q$804,$B191)="","",INDEX(Homiladorlar!$Q$5:$Q$804,$B191)))</f>
        <v/>
      </c>
      <c r="I191" s="5" t="str">
        <f aca="false">IF($B191="","",IF(INDEX(Homiladorlar!$R$5:$R$804,$B191)="","",INDEX(Homiladorlar!$R$5:$R$804,$B191)))</f>
        <v/>
      </c>
      <c r="J191" s="5" t="str">
        <f aca="false">IF($B191="","",IF(INDEX(Homiladorlar!$K$5:$K$804,$B191)="","",INDEX(Homiladorlar!$K$5:$K$804,$B191)))</f>
        <v/>
      </c>
      <c r="K191" s="30" t="str">
        <f aca="false">IF($B191="","",IF(INDEX(Homiladorlar!$J$5:$J$804,$B191)="","",INDEX(Homiladorlar!$J$5:$J$804,$B191)))</f>
        <v/>
      </c>
      <c r="L191" s="30" t="str">
        <f aca="false">IF($B191="","",IF(INDEX(Homiladorlar!$T$5:$T$804,$B191)="","",INDEX(Homiladorlar!$T$5:$T$804,$B191)))</f>
        <v/>
      </c>
      <c r="M191" s="30" t="str">
        <f aca="false">IF($B191="","",IF(INDEX(Homiladorlar!$AB$5:$AB$804,$B191)="","",INDEX(Homiladorlar!$AB$5:$AB$804,$B191)))</f>
        <v/>
      </c>
      <c r="N191" s="5" t="str">
        <f aca="false">IF($B191="","",IF(INDEX(Homiladorlar!$AC$5:$AC$804,$B191)="","",INDEX(Homiladorlar!$AC$5:$AC$804,$B191)))</f>
        <v/>
      </c>
    </row>
    <row r="192" customFormat="false" ht="15" hidden="false" customHeight="false" outlineLevel="0" collapsed="false">
      <c r="A192" s="5" t="n">
        <v>188</v>
      </c>
      <c r="B192" s="29" t="str">
        <f aca="false">IFERROR(MATCH(A192,Homiladorlar!$AH$5:$AH$804,0),"")</f>
        <v/>
      </c>
      <c r="C192" s="5" t="str">
        <f aca="false">IF($B192="","",IF(INDEX(Homiladorlar!$B$5:$B$804,$B192)="","",INDEX(Homiladorlar!$B$5:$B$804,$B192)))</f>
        <v/>
      </c>
      <c r="D192" s="30" t="str">
        <f aca="false">IF($B192="","",IF(INDEX(Homiladorlar!$C$5:$C$804,$B192)="","",INDEX(Homiladorlar!$C$5:$C$804,$B192)))</f>
        <v/>
      </c>
      <c r="E192" s="5" t="str">
        <f aca="false">IF($B192="","",IF(INDEX(Homiladorlar!$F$5:$F$804,$B192)="","",INDEX(Homiladorlar!$F$5:$F$804,$B192)))</f>
        <v/>
      </c>
      <c r="F192" s="5" t="str">
        <f aca="false">IF($B192="","",IF(INDEX(Homiladorlar!$E$5:$E$804,$B192)="","",INDEX(Homiladorlar!$E$5:$E$804,$B192)))</f>
        <v/>
      </c>
      <c r="G192" s="5" t="str">
        <f aca="false">IF($B192="","",IF(INDEX(Homiladorlar!$O$5:$O$804,$B192)="","",INDEX(Homiladorlar!$O$5:$O$804,$B192)))</f>
        <v/>
      </c>
      <c r="H192" s="5" t="str">
        <f aca="false">IF($B192="","",IF(INDEX(Homiladorlar!$Q$5:$Q$804,$B192)="","",INDEX(Homiladorlar!$Q$5:$Q$804,$B192)))</f>
        <v/>
      </c>
      <c r="I192" s="5" t="str">
        <f aca="false">IF($B192="","",IF(INDEX(Homiladorlar!$R$5:$R$804,$B192)="","",INDEX(Homiladorlar!$R$5:$R$804,$B192)))</f>
        <v/>
      </c>
      <c r="J192" s="5" t="str">
        <f aca="false">IF($B192="","",IF(INDEX(Homiladorlar!$K$5:$K$804,$B192)="","",INDEX(Homiladorlar!$K$5:$K$804,$B192)))</f>
        <v/>
      </c>
      <c r="K192" s="30" t="str">
        <f aca="false">IF($B192="","",IF(INDEX(Homiladorlar!$J$5:$J$804,$B192)="","",INDEX(Homiladorlar!$J$5:$J$804,$B192)))</f>
        <v/>
      </c>
      <c r="L192" s="30" t="str">
        <f aca="false">IF($B192="","",IF(INDEX(Homiladorlar!$T$5:$T$804,$B192)="","",INDEX(Homiladorlar!$T$5:$T$804,$B192)))</f>
        <v/>
      </c>
      <c r="M192" s="30" t="str">
        <f aca="false">IF($B192="","",IF(INDEX(Homiladorlar!$AB$5:$AB$804,$B192)="","",INDEX(Homiladorlar!$AB$5:$AB$804,$B192)))</f>
        <v/>
      </c>
      <c r="N192" s="5" t="str">
        <f aca="false">IF($B192="","",IF(INDEX(Homiladorlar!$AC$5:$AC$804,$B192)="","",INDEX(Homiladorlar!$AC$5:$AC$804,$B192)))</f>
        <v/>
      </c>
    </row>
    <row r="193" customFormat="false" ht="15" hidden="false" customHeight="false" outlineLevel="0" collapsed="false">
      <c r="A193" s="5" t="n">
        <v>189</v>
      </c>
      <c r="B193" s="29" t="str">
        <f aca="false">IFERROR(MATCH(A193,Homiladorlar!$AH$5:$AH$804,0),"")</f>
        <v/>
      </c>
      <c r="C193" s="5" t="str">
        <f aca="false">IF($B193="","",IF(INDEX(Homiladorlar!$B$5:$B$804,$B193)="","",INDEX(Homiladorlar!$B$5:$B$804,$B193)))</f>
        <v/>
      </c>
      <c r="D193" s="30" t="str">
        <f aca="false">IF($B193="","",IF(INDEX(Homiladorlar!$C$5:$C$804,$B193)="","",INDEX(Homiladorlar!$C$5:$C$804,$B193)))</f>
        <v/>
      </c>
      <c r="E193" s="5" t="str">
        <f aca="false">IF($B193="","",IF(INDEX(Homiladorlar!$F$5:$F$804,$B193)="","",INDEX(Homiladorlar!$F$5:$F$804,$B193)))</f>
        <v/>
      </c>
      <c r="F193" s="5" t="str">
        <f aca="false">IF($B193="","",IF(INDEX(Homiladorlar!$E$5:$E$804,$B193)="","",INDEX(Homiladorlar!$E$5:$E$804,$B193)))</f>
        <v/>
      </c>
      <c r="G193" s="5" t="str">
        <f aca="false">IF($B193="","",IF(INDEX(Homiladorlar!$O$5:$O$804,$B193)="","",INDEX(Homiladorlar!$O$5:$O$804,$B193)))</f>
        <v/>
      </c>
      <c r="H193" s="5" t="str">
        <f aca="false">IF($B193="","",IF(INDEX(Homiladorlar!$Q$5:$Q$804,$B193)="","",INDEX(Homiladorlar!$Q$5:$Q$804,$B193)))</f>
        <v/>
      </c>
      <c r="I193" s="5" t="str">
        <f aca="false">IF($B193="","",IF(INDEX(Homiladorlar!$R$5:$R$804,$B193)="","",INDEX(Homiladorlar!$R$5:$R$804,$B193)))</f>
        <v/>
      </c>
      <c r="J193" s="5" t="str">
        <f aca="false">IF($B193="","",IF(INDEX(Homiladorlar!$K$5:$K$804,$B193)="","",INDEX(Homiladorlar!$K$5:$K$804,$B193)))</f>
        <v/>
      </c>
      <c r="K193" s="30" t="str">
        <f aca="false">IF($B193="","",IF(INDEX(Homiladorlar!$J$5:$J$804,$B193)="","",INDEX(Homiladorlar!$J$5:$J$804,$B193)))</f>
        <v/>
      </c>
      <c r="L193" s="30" t="str">
        <f aca="false">IF($B193="","",IF(INDEX(Homiladorlar!$T$5:$T$804,$B193)="","",INDEX(Homiladorlar!$T$5:$T$804,$B193)))</f>
        <v/>
      </c>
      <c r="M193" s="30" t="str">
        <f aca="false">IF($B193="","",IF(INDEX(Homiladorlar!$AB$5:$AB$804,$B193)="","",INDEX(Homiladorlar!$AB$5:$AB$804,$B193)))</f>
        <v/>
      </c>
      <c r="N193" s="5" t="str">
        <f aca="false">IF($B193="","",IF(INDEX(Homiladorlar!$AC$5:$AC$804,$B193)="","",INDEX(Homiladorlar!$AC$5:$AC$804,$B193)))</f>
        <v/>
      </c>
    </row>
    <row r="194" customFormat="false" ht="15" hidden="false" customHeight="false" outlineLevel="0" collapsed="false">
      <c r="A194" s="5" t="n">
        <v>190</v>
      </c>
      <c r="B194" s="29" t="str">
        <f aca="false">IFERROR(MATCH(A194,Homiladorlar!$AH$5:$AH$804,0),"")</f>
        <v/>
      </c>
      <c r="C194" s="5" t="str">
        <f aca="false">IF($B194="","",IF(INDEX(Homiladorlar!$B$5:$B$804,$B194)="","",INDEX(Homiladorlar!$B$5:$B$804,$B194)))</f>
        <v/>
      </c>
      <c r="D194" s="30" t="str">
        <f aca="false">IF($B194="","",IF(INDEX(Homiladorlar!$C$5:$C$804,$B194)="","",INDEX(Homiladorlar!$C$5:$C$804,$B194)))</f>
        <v/>
      </c>
      <c r="E194" s="5" t="str">
        <f aca="false">IF($B194="","",IF(INDEX(Homiladorlar!$F$5:$F$804,$B194)="","",INDEX(Homiladorlar!$F$5:$F$804,$B194)))</f>
        <v/>
      </c>
      <c r="F194" s="5" t="str">
        <f aca="false">IF($B194="","",IF(INDEX(Homiladorlar!$E$5:$E$804,$B194)="","",INDEX(Homiladorlar!$E$5:$E$804,$B194)))</f>
        <v/>
      </c>
      <c r="G194" s="5" t="str">
        <f aca="false">IF($B194="","",IF(INDEX(Homiladorlar!$O$5:$O$804,$B194)="","",INDEX(Homiladorlar!$O$5:$O$804,$B194)))</f>
        <v/>
      </c>
      <c r="H194" s="5" t="str">
        <f aca="false">IF($B194="","",IF(INDEX(Homiladorlar!$Q$5:$Q$804,$B194)="","",INDEX(Homiladorlar!$Q$5:$Q$804,$B194)))</f>
        <v/>
      </c>
      <c r="I194" s="5" t="str">
        <f aca="false">IF($B194="","",IF(INDEX(Homiladorlar!$R$5:$R$804,$B194)="","",INDEX(Homiladorlar!$R$5:$R$804,$B194)))</f>
        <v/>
      </c>
      <c r="J194" s="5" t="str">
        <f aca="false">IF($B194="","",IF(INDEX(Homiladorlar!$K$5:$K$804,$B194)="","",INDEX(Homiladorlar!$K$5:$K$804,$B194)))</f>
        <v/>
      </c>
      <c r="K194" s="30" t="str">
        <f aca="false">IF($B194="","",IF(INDEX(Homiladorlar!$J$5:$J$804,$B194)="","",INDEX(Homiladorlar!$J$5:$J$804,$B194)))</f>
        <v/>
      </c>
      <c r="L194" s="30" t="str">
        <f aca="false">IF($B194="","",IF(INDEX(Homiladorlar!$T$5:$T$804,$B194)="","",INDEX(Homiladorlar!$T$5:$T$804,$B194)))</f>
        <v/>
      </c>
      <c r="M194" s="30" t="str">
        <f aca="false">IF($B194="","",IF(INDEX(Homiladorlar!$AB$5:$AB$804,$B194)="","",INDEX(Homiladorlar!$AB$5:$AB$804,$B194)))</f>
        <v/>
      </c>
      <c r="N194" s="5" t="str">
        <f aca="false">IF($B194="","",IF(INDEX(Homiladorlar!$AC$5:$AC$804,$B194)="","",INDEX(Homiladorlar!$AC$5:$AC$804,$B194)))</f>
        <v/>
      </c>
    </row>
    <row r="195" customFormat="false" ht="15" hidden="false" customHeight="false" outlineLevel="0" collapsed="false">
      <c r="A195" s="5" t="n">
        <v>191</v>
      </c>
      <c r="B195" s="29" t="str">
        <f aca="false">IFERROR(MATCH(A195,Homiladorlar!$AH$5:$AH$804,0),"")</f>
        <v/>
      </c>
      <c r="C195" s="5" t="str">
        <f aca="false">IF($B195="","",IF(INDEX(Homiladorlar!$B$5:$B$804,$B195)="","",INDEX(Homiladorlar!$B$5:$B$804,$B195)))</f>
        <v/>
      </c>
      <c r="D195" s="30" t="str">
        <f aca="false">IF($B195="","",IF(INDEX(Homiladorlar!$C$5:$C$804,$B195)="","",INDEX(Homiladorlar!$C$5:$C$804,$B195)))</f>
        <v/>
      </c>
      <c r="E195" s="5" t="str">
        <f aca="false">IF($B195="","",IF(INDEX(Homiladorlar!$F$5:$F$804,$B195)="","",INDEX(Homiladorlar!$F$5:$F$804,$B195)))</f>
        <v/>
      </c>
      <c r="F195" s="5" t="str">
        <f aca="false">IF($B195="","",IF(INDEX(Homiladorlar!$E$5:$E$804,$B195)="","",INDEX(Homiladorlar!$E$5:$E$804,$B195)))</f>
        <v/>
      </c>
      <c r="G195" s="5" t="str">
        <f aca="false">IF($B195="","",IF(INDEX(Homiladorlar!$O$5:$O$804,$B195)="","",INDEX(Homiladorlar!$O$5:$O$804,$B195)))</f>
        <v/>
      </c>
      <c r="H195" s="5" t="str">
        <f aca="false">IF($B195="","",IF(INDEX(Homiladorlar!$Q$5:$Q$804,$B195)="","",INDEX(Homiladorlar!$Q$5:$Q$804,$B195)))</f>
        <v/>
      </c>
      <c r="I195" s="5" t="str">
        <f aca="false">IF($B195="","",IF(INDEX(Homiladorlar!$R$5:$R$804,$B195)="","",INDEX(Homiladorlar!$R$5:$R$804,$B195)))</f>
        <v/>
      </c>
      <c r="J195" s="5" t="str">
        <f aca="false">IF($B195="","",IF(INDEX(Homiladorlar!$K$5:$K$804,$B195)="","",INDEX(Homiladorlar!$K$5:$K$804,$B195)))</f>
        <v/>
      </c>
      <c r="K195" s="30" t="str">
        <f aca="false">IF($B195="","",IF(INDEX(Homiladorlar!$J$5:$J$804,$B195)="","",INDEX(Homiladorlar!$J$5:$J$804,$B195)))</f>
        <v/>
      </c>
      <c r="L195" s="30" t="str">
        <f aca="false">IF($B195="","",IF(INDEX(Homiladorlar!$T$5:$T$804,$B195)="","",INDEX(Homiladorlar!$T$5:$T$804,$B195)))</f>
        <v/>
      </c>
      <c r="M195" s="30" t="str">
        <f aca="false">IF($B195="","",IF(INDEX(Homiladorlar!$AB$5:$AB$804,$B195)="","",INDEX(Homiladorlar!$AB$5:$AB$804,$B195)))</f>
        <v/>
      </c>
      <c r="N195" s="5" t="str">
        <f aca="false">IF($B195="","",IF(INDEX(Homiladorlar!$AC$5:$AC$804,$B195)="","",INDEX(Homiladorlar!$AC$5:$AC$804,$B195)))</f>
        <v/>
      </c>
    </row>
    <row r="196" customFormat="false" ht="15" hidden="false" customHeight="false" outlineLevel="0" collapsed="false">
      <c r="A196" s="5" t="n">
        <v>192</v>
      </c>
      <c r="B196" s="29" t="str">
        <f aca="false">IFERROR(MATCH(A196,Homiladorlar!$AH$5:$AH$804,0),"")</f>
        <v/>
      </c>
      <c r="C196" s="5" t="str">
        <f aca="false">IF($B196="","",IF(INDEX(Homiladorlar!$B$5:$B$804,$B196)="","",INDEX(Homiladorlar!$B$5:$B$804,$B196)))</f>
        <v/>
      </c>
      <c r="D196" s="30" t="str">
        <f aca="false">IF($B196="","",IF(INDEX(Homiladorlar!$C$5:$C$804,$B196)="","",INDEX(Homiladorlar!$C$5:$C$804,$B196)))</f>
        <v/>
      </c>
      <c r="E196" s="5" t="str">
        <f aca="false">IF($B196="","",IF(INDEX(Homiladorlar!$F$5:$F$804,$B196)="","",INDEX(Homiladorlar!$F$5:$F$804,$B196)))</f>
        <v/>
      </c>
      <c r="F196" s="5" t="str">
        <f aca="false">IF($B196="","",IF(INDEX(Homiladorlar!$E$5:$E$804,$B196)="","",INDEX(Homiladorlar!$E$5:$E$804,$B196)))</f>
        <v/>
      </c>
      <c r="G196" s="5" t="str">
        <f aca="false">IF($B196="","",IF(INDEX(Homiladorlar!$O$5:$O$804,$B196)="","",INDEX(Homiladorlar!$O$5:$O$804,$B196)))</f>
        <v/>
      </c>
      <c r="H196" s="5" t="str">
        <f aca="false">IF($B196="","",IF(INDEX(Homiladorlar!$Q$5:$Q$804,$B196)="","",INDEX(Homiladorlar!$Q$5:$Q$804,$B196)))</f>
        <v/>
      </c>
      <c r="I196" s="5" t="str">
        <f aca="false">IF($B196="","",IF(INDEX(Homiladorlar!$R$5:$R$804,$B196)="","",INDEX(Homiladorlar!$R$5:$R$804,$B196)))</f>
        <v/>
      </c>
      <c r="J196" s="5" t="str">
        <f aca="false">IF($B196="","",IF(INDEX(Homiladorlar!$K$5:$K$804,$B196)="","",INDEX(Homiladorlar!$K$5:$K$804,$B196)))</f>
        <v/>
      </c>
      <c r="K196" s="30" t="str">
        <f aca="false">IF($B196="","",IF(INDEX(Homiladorlar!$J$5:$J$804,$B196)="","",INDEX(Homiladorlar!$J$5:$J$804,$B196)))</f>
        <v/>
      </c>
      <c r="L196" s="30" t="str">
        <f aca="false">IF($B196="","",IF(INDEX(Homiladorlar!$T$5:$T$804,$B196)="","",INDEX(Homiladorlar!$T$5:$T$804,$B196)))</f>
        <v/>
      </c>
      <c r="M196" s="30" t="str">
        <f aca="false">IF($B196="","",IF(INDEX(Homiladorlar!$AB$5:$AB$804,$B196)="","",INDEX(Homiladorlar!$AB$5:$AB$804,$B196)))</f>
        <v/>
      </c>
      <c r="N196" s="5" t="str">
        <f aca="false">IF($B196="","",IF(INDEX(Homiladorlar!$AC$5:$AC$804,$B196)="","",INDEX(Homiladorlar!$AC$5:$AC$804,$B196)))</f>
        <v/>
      </c>
    </row>
    <row r="197" customFormat="false" ht="15" hidden="false" customHeight="false" outlineLevel="0" collapsed="false">
      <c r="A197" s="5" t="n">
        <v>193</v>
      </c>
      <c r="B197" s="29" t="str">
        <f aca="false">IFERROR(MATCH(A197,Homiladorlar!$AH$5:$AH$804,0),"")</f>
        <v/>
      </c>
      <c r="C197" s="5" t="str">
        <f aca="false">IF($B197="","",IF(INDEX(Homiladorlar!$B$5:$B$804,$B197)="","",INDEX(Homiladorlar!$B$5:$B$804,$B197)))</f>
        <v/>
      </c>
      <c r="D197" s="30" t="str">
        <f aca="false">IF($B197="","",IF(INDEX(Homiladorlar!$C$5:$C$804,$B197)="","",INDEX(Homiladorlar!$C$5:$C$804,$B197)))</f>
        <v/>
      </c>
      <c r="E197" s="5" t="str">
        <f aca="false">IF($B197="","",IF(INDEX(Homiladorlar!$F$5:$F$804,$B197)="","",INDEX(Homiladorlar!$F$5:$F$804,$B197)))</f>
        <v/>
      </c>
      <c r="F197" s="5" t="str">
        <f aca="false">IF($B197="","",IF(INDEX(Homiladorlar!$E$5:$E$804,$B197)="","",INDEX(Homiladorlar!$E$5:$E$804,$B197)))</f>
        <v/>
      </c>
      <c r="G197" s="5" t="str">
        <f aca="false">IF($B197="","",IF(INDEX(Homiladorlar!$O$5:$O$804,$B197)="","",INDEX(Homiladorlar!$O$5:$O$804,$B197)))</f>
        <v/>
      </c>
      <c r="H197" s="5" t="str">
        <f aca="false">IF($B197="","",IF(INDEX(Homiladorlar!$Q$5:$Q$804,$B197)="","",INDEX(Homiladorlar!$Q$5:$Q$804,$B197)))</f>
        <v/>
      </c>
      <c r="I197" s="5" t="str">
        <f aca="false">IF($B197="","",IF(INDEX(Homiladorlar!$R$5:$R$804,$B197)="","",INDEX(Homiladorlar!$R$5:$R$804,$B197)))</f>
        <v/>
      </c>
      <c r="J197" s="5" t="str">
        <f aca="false">IF($B197="","",IF(INDEX(Homiladorlar!$K$5:$K$804,$B197)="","",INDEX(Homiladorlar!$K$5:$K$804,$B197)))</f>
        <v/>
      </c>
      <c r="K197" s="30" t="str">
        <f aca="false">IF($B197="","",IF(INDEX(Homiladorlar!$J$5:$J$804,$B197)="","",INDEX(Homiladorlar!$J$5:$J$804,$B197)))</f>
        <v/>
      </c>
      <c r="L197" s="30" t="str">
        <f aca="false">IF($B197="","",IF(INDEX(Homiladorlar!$T$5:$T$804,$B197)="","",INDEX(Homiladorlar!$T$5:$T$804,$B197)))</f>
        <v/>
      </c>
      <c r="M197" s="30" t="str">
        <f aca="false">IF($B197="","",IF(INDEX(Homiladorlar!$AB$5:$AB$804,$B197)="","",INDEX(Homiladorlar!$AB$5:$AB$804,$B197)))</f>
        <v/>
      </c>
      <c r="N197" s="5" t="str">
        <f aca="false">IF($B197="","",IF(INDEX(Homiladorlar!$AC$5:$AC$804,$B197)="","",INDEX(Homiladorlar!$AC$5:$AC$804,$B197)))</f>
        <v/>
      </c>
    </row>
    <row r="198" customFormat="false" ht="15" hidden="false" customHeight="false" outlineLevel="0" collapsed="false">
      <c r="A198" s="5" t="n">
        <v>194</v>
      </c>
      <c r="B198" s="29" t="str">
        <f aca="false">IFERROR(MATCH(A198,Homiladorlar!$AH$5:$AH$804,0),"")</f>
        <v/>
      </c>
      <c r="C198" s="5" t="str">
        <f aca="false">IF($B198="","",IF(INDEX(Homiladorlar!$B$5:$B$804,$B198)="","",INDEX(Homiladorlar!$B$5:$B$804,$B198)))</f>
        <v/>
      </c>
      <c r="D198" s="30" t="str">
        <f aca="false">IF($B198="","",IF(INDEX(Homiladorlar!$C$5:$C$804,$B198)="","",INDEX(Homiladorlar!$C$5:$C$804,$B198)))</f>
        <v/>
      </c>
      <c r="E198" s="5" t="str">
        <f aca="false">IF($B198="","",IF(INDEX(Homiladorlar!$F$5:$F$804,$B198)="","",INDEX(Homiladorlar!$F$5:$F$804,$B198)))</f>
        <v/>
      </c>
      <c r="F198" s="5" t="str">
        <f aca="false">IF($B198="","",IF(INDEX(Homiladorlar!$E$5:$E$804,$B198)="","",INDEX(Homiladorlar!$E$5:$E$804,$B198)))</f>
        <v/>
      </c>
      <c r="G198" s="5" t="str">
        <f aca="false">IF($B198="","",IF(INDEX(Homiladorlar!$O$5:$O$804,$B198)="","",INDEX(Homiladorlar!$O$5:$O$804,$B198)))</f>
        <v/>
      </c>
      <c r="H198" s="5" t="str">
        <f aca="false">IF($B198="","",IF(INDEX(Homiladorlar!$Q$5:$Q$804,$B198)="","",INDEX(Homiladorlar!$Q$5:$Q$804,$B198)))</f>
        <v/>
      </c>
      <c r="I198" s="5" t="str">
        <f aca="false">IF($B198="","",IF(INDEX(Homiladorlar!$R$5:$R$804,$B198)="","",INDEX(Homiladorlar!$R$5:$R$804,$B198)))</f>
        <v/>
      </c>
      <c r="J198" s="5" t="str">
        <f aca="false">IF($B198="","",IF(INDEX(Homiladorlar!$K$5:$K$804,$B198)="","",INDEX(Homiladorlar!$K$5:$K$804,$B198)))</f>
        <v/>
      </c>
      <c r="K198" s="30" t="str">
        <f aca="false">IF($B198="","",IF(INDEX(Homiladorlar!$J$5:$J$804,$B198)="","",INDEX(Homiladorlar!$J$5:$J$804,$B198)))</f>
        <v/>
      </c>
      <c r="L198" s="30" t="str">
        <f aca="false">IF($B198="","",IF(INDEX(Homiladorlar!$T$5:$T$804,$B198)="","",INDEX(Homiladorlar!$T$5:$T$804,$B198)))</f>
        <v/>
      </c>
      <c r="M198" s="30" t="str">
        <f aca="false">IF($B198="","",IF(INDEX(Homiladorlar!$AB$5:$AB$804,$B198)="","",INDEX(Homiladorlar!$AB$5:$AB$804,$B198)))</f>
        <v/>
      </c>
      <c r="N198" s="5" t="str">
        <f aca="false">IF($B198="","",IF(INDEX(Homiladorlar!$AC$5:$AC$804,$B198)="","",INDEX(Homiladorlar!$AC$5:$AC$804,$B198)))</f>
        <v/>
      </c>
    </row>
    <row r="199" customFormat="false" ht="15" hidden="false" customHeight="false" outlineLevel="0" collapsed="false">
      <c r="A199" s="5" t="n">
        <v>195</v>
      </c>
      <c r="B199" s="29" t="str">
        <f aca="false">IFERROR(MATCH(A199,Homiladorlar!$AH$5:$AH$804,0),"")</f>
        <v/>
      </c>
      <c r="C199" s="5" t="str">
        <f aca="false">IF($B199="","",IF(INDEX(Homiladorlar!$B$5:$B$804,$B199)="","",INDEX(Homiladorlar!$B$5:$B$804,$B199)))</f>
        <v/>
      </c>
      <c r="D199" s="30" t="str">
        <f aca="false">IF($B199="","",IF(INDEX(Homiladorlar!$C$5:$C$804,$B199)="","",INDEX(Homiladorlar!$C$5:$C$804,$B199)))</f>
        <v/>
      </c>
      <c r="E199" s="5" t="str">
        <f aca="false">IF($B199="","",IF(INDEX(Homiladorlar!$F$5:$F$804,$B199)="","",INDEX(Homiladorlar!$F$5:$F$804,$B199)))</f>
        <v/>
      </c>
      <c r="F199" s="5" t="str">
        <f aca="false">IF($B199="","",IF(INDEX(Homiladorlar!$E$5:$E$804,$B199)="","",INDEX(Homiladorlar!$E$5:$E$804,$B199)))</f>
        <v/>
      </c>
      <c r="G199" s="5" t="str">
        <f aca="false">IF($B199="","",IF(INDEX(Homiladorlar!$O$5:$O$804,$B199)="","",INDEX(Homiladorlar!$O$5:$O$804,$B199)))</f>
        <v/>
      </c>
      <c r="H199" s="5" t="str">
        <f aca="false">IF($B199="","",IF(INDEX(Homiladorlar!$Q$5:$Q$804,$B199)="","",INDEX(Homiladorlar!$Q$5:$Q$804,$B199)))</f>
        <v/>
      </c>
      <c r="I199" s="5" t="str">
        <f aca="false">IF($B199="","",IF(INDEX(Homiladorlar!$R$5:$R$804,$B199)="","",INDEX(Homiladorlar!$R$5:$R$804,$B199)))</f>
        <v/>
      </c>
      <c r="J199" s="5" t="str">
        <f aca="false">IF($B199="","",IF(INDEX(Homiladorlar!$K$5:$K$804,$B199)="","",INDEX(Homiladorlar!$K$5:$K$804,$B199)))</f>
        <v/>
      </c>
      <c r="K199" s="30" t="str">
        <f aca="false">IF($B199="","",IF(INDEX(Homiladorlar!$J$5:$J$804,$B199)="","",INDEX(Homiladorlar!$J$5:$J$804,$B199)))</f>
        <v/>
      </c>
      <c r="L199" s="30" t="str">
        <f aca="false">IF($B199="","",IF(INDEX(Homiladorlar!$T$5:$T$804,$B199)="","",INDEX(Homiladorlar!$T$5:$T$804,$B199)))</f>
        <v/>
      </c>
      <c r="M199" s="30" t="str">
        <f aca="false">IF($B199="","",IF(INDEX(Homiladorlar!$AB$5:$AB$804,$B199)="","",INDEX(Homiladorlar!$AB$5:$AB$804,$B199)))</f>
        <v/>
      </c>
      <c r="N199" s="5" t="str">
        <f aca="false">IF($B199="","",IF(INDEX(Homiladorlar!$AC$5:$AC$804,$B199)="","",INDEX(Homiladorlar!$AC$5:$AC$804,$B199)))</f>
        <v/>
      </c>
    </row>
    <row r="200" customFormat="false" ht="15" hidden="false" customHeight="false" outlineLevel="0" collapsed="false">
      <c r="A200" s="5" t="n">
        <v>196</v>
      </c>
      <c r="B200" s="29" t="str">
        <f aca="false">IFERROR(MATCH(A200,Homiladorlar!$AH$5:$AH$804,0),"")</f>
        <v/>
      </c>
      <c r="C200" s="5" t="str">
        <f aca="false">IF($B200="","",IF(INDEX(Homiladorlar!$B$5:$B$804,$B200)="","",INDEX(Homiladorlar!$B$5:$B$804,$B200)))</f>
        <v/>
      </c>
      <c r="D200" s="30" t="str">
        <f aca="false">IF($B200="","",IF(INDEX(Homiladorlar!$C$5:$C$804,$B200)="","",INDEX(Homiladorlar!$C$5:$C$804,$B200)))</f>
        <v/>
      </c>
      <c r="E200" s="5" t="str">
        <f aca="false">IF($B200="","",IF(INDEX(Homiladorlar!$F$5:$F$804,$B200)="","",INDEX(Homiladorlar!$F$5:$F$804,$B200)))</f>
        <v/>
      </c>
      <c r="F200" s="5" t="str">
        <f aca="false">IF($B200="","",IF(INDEX(Homiladorlar!$E$5:$E$804,$B200)="","",INDEX(Homiladorlar!$E$5:$E$804,$B200)))</f>
        <v/>
      </c>
      <c r="G200" s="5" t="str">
        <f aca="false">IF($B200="","",IF(INDEX(Homiladorlar!$O$5:$O$804,$B200)="","",INDEX(Homiladorlar!$O$5:$O$804,$B200)))</f>
        <v/>
      </c>
      <c r="H200" s="5" t="str">
        <f aca="false">IF($B200="","",IF(INDEX(Homiladorlar!$Q$5:$Q$804,$B200)="","",INDEX(Homiladorlar!$Q$5:$Q$804,$B200)))</f>
        <v/>
      </c>
      <c r="I200" s="5" t="str">
        <f aca="false">IF($B200="","",IF(INDEX(Homiladorlar!$R$5:$R$804,$B200)="","",INDEX(Homiladorlar!$R$5:$R$804,$B200)))</f>
        <v/>
      </c>
      <c r="J200" s="5" t="str">
        <f aca="false">IF($B200="","",IF(INDEX(Homiladorlar!$K$5:$K$804,$B200)="","",INDEX(Homiladorlar!$K$5:$K$804,$B200)))</f>
        <v/>
      </c>
      <c r="K200" s="30" t="str">
        <f aca="false">IF($B200="","",IF(INDEX(Homiladorlar!$J$5:$J$804,$B200)="","",INDEX(Homiladorlar!$J$5:$J$804,$B200)))</f>
        <v/>
      </c>
      <c r="L200" s="30" t="str">
        <f aca="false">IF($B200="","",IF(INDEX(Homiladorlar!$T$5:$T$804,$B200)="","",INDEX(Homiladorlar!$T$5:$T$804,$B200)))</f>
        <v/>
      </c>
      <c r="M200" s="30" t="str">
        <f aca="false">IF($B200="","",IF(INDEX(Homiladorlar!$AB$5:$AB$804,$B200)="","",INDEX(Homiladorlar!$AB$5:$AB$804,$B200)))</f>
        <v/>
      </c>
      <c r="N200" s="5" t="str">
        <f aca="false">IF($B200="","",IF(INDEX(Homiladorlar!$AC$5:$AC$804,$B200)="","",INDEX(Homiladorlar!$AC$5:$AC$804,$B200)))</f>
        <v/>
      </c>
    </row>
    <row r="201" customFormat="false" ht="15" hidden="false" customHeight="false" outlineLevel="0" collapsed="false">
      <c r="A201" s="5" t="n">
        <v>197</v>
      </c>
      <c r="B201" s="29" t="str">
        <f aca="false">IFERROR(MATCH(A201,Homiladorlar!$AH$5:$AH$804,0),"")</f>
        <v/>
      </c>
      <c r="C201" s="5" t="str">
        <f aca="false">IF($B201="","",IF(INDEX(Homiladorlar!$B$5:$B$804,$B201)="","",INDEX(Homiladorlar!$B$5:$B$804,$B201)))</f>
        <v/>
      </c>
      <c r="D201" s="30" t="str">
        <f aca="false">IF($B201="","",IF(INDEX(Homiladorlar!$C$5:$C$804,$B201)="","",INDEX(Homiladorlar!$C$5:$C$804,$B201)))</f>
        <v/>
      </c>
      <c r="E201" s="5" t="str">
        <f aca="false">IF($B201="","",IF(INDEX(Homiladorlar!$F$5:$F$804,$B201)="","",INDEX(Homiladorlar!$F$5:$F$804,$B201)))</f>
        <v/>
      </c>
      <c r="F201" s="5" t="str">
        <f aca="false">IF($B201="","",IF(INDEX(Homiladorlar!$E$5:$E$804,$B201)="","",INDEX(Homiladorlar!$E$5:$E$804,$B201)))</f>
        <v/>
      </c>
      <c r="G201" s="5" t="str">
        <f aca="false">IF($B201="","",IF(INDEX(Homiladorlar!$O$5:$O$804,$B201)="","",INDEX(Homiladorlar!$O$5:$O$804,$B201)))</f>
        <v/>
      </c>
      <c r="H201" s="5" t="str">
        <f aca="false">IF($B201="","",IF(INDEX(Homiladorlar!$Q$5:$Q$804,$B201)="","",INDEX(Homiladorlar!$Q$5:$Q$804,$B201)))</f>
        <v/>
      </c>
      <c r="I201" s="5" t="str">
        <f aca="false">IF($B201="","",IF(INDEX(Homiladorlar!$R$5:$R$804,$B201)="","",INDEX(Homiladorlar!$R$5:$R$804,$B201)))</f>
        <v/>
      </c>
      <c r="J201" s="5" t="str">
        <f aca="false">IF($B201="","",IF(INDEX(Homiladorlar!$K$5:$K$804,$B201)="","",INDEX(Homiladorlar!$K$5:$K$804,$B201)))</f>
        <v/>
      </c>
      <c r="K201" s="30" t="str">
        <f aca="false">IF($B201="","",IF(INDEX(Homiladorlar!$J$5:$J$804,$B201)="","",INDEX(Homiladorlar!$J$5:$J$804,$B201)))</f>
        <v/>
      </c>
      <c r="L201" s="30" t="str">
        <f aca="false">IF($B201="","",IF(INDEX(Homiladorlar!$T$5:$T$804,$B201)="","",INDEX(Homiladorlar!$T$5:$T$804,$B201)))</f>
        <v/>
      </c>
      <c r="M201" s="30" t="str">
        <f aca="false">IF($B201="","",IF(INDEX(Homiladorlar!$AB$5:$AB$804,$B201)="","",INDEX(Homiladorlar!$AB$5:$AB$804,$B201)))</f>
        <v/>
      </c>
      <c r="N201" s="5" t="str">
        <f aca="false">IF($B201="","",IF(INDEX(Homiladorlar!$AC$5:$AC$804,$B201)="","",INDEX(Homiladorlar!$AC$5:$AC$804,$B201)))</f>
        <v/>
      </c>
    </row>
    <row r="202" customFormat="false" ht="15" hidden="false" customHeight="false" outlineLevel="0" collapsed="false">
      <c r="A202" s="5" t="n">
        <v>198</v>
      </c>
      <c r="B202" s="29" t="str">
        <f aca="false">IFERROR(MATCH(A202,Homiladorlar!$AH$5:$AH$804,0),"")</f>
        <v/>
      </c>
      <c r="C202" s="5" t="str">
        <f aca="false">IF($B202="","",IF(INDEX(Homiladorlar!$B$5:$B$804,$B202)="","",INDEX(Homiladorlar!$B$5:$B$804,$B202)))</f>
        <v/>
      </c>
      <c r="D202" s="30" t="str">
        <f aca="false">IF($B202="","",IF(INDEX(Homiladorlar!$C$5:$C$804,$B202)="","",INDEX(Homiladorlar!$C$5:$C$804,$B202)))</f>
        <v/>
      </c>
      <c r="E202" s="5" t="str">
        <f aca="false">IF($B202="","",IF(INDEX(Homiladorlar!$F$5:$F$804,$B202)="","",INDEX(Homiladorlar!$F$5:$F$804,$B202)))</f>
        <v/>
      </c>
      <c r="F202" s="5" t="str">
        <f aca="false">IF($B202="","",IF(INDEX(Homiladorlar!$E$5:$E$804,$B202)="","",INDEX(Homiladorlar!$E$5:$E$804,$B202)))</f>
        <v/>
      </c>
      <c r="G202" s="5" t="str">
        <f aca="false">IF($B202="","",IF(INDEX(Homiladorlar!$O$5:$O$804,$B202)="","",INDEX(Homiladorlar!$O$5:$O$804,$B202)))</f>
        <v/>
      </c>
      <c r="H202" s="5" t="str">
        <f aca="false">IF($B202="","",IF(INDEX(Homiladorlar!$Q$5:$Q$804,$B202)="","",INDEX(Homiladorlar!$Q$5:$Q$804,$B202)))</f>
        <v/>
      </c>
      <c r="I202" s="5" t="str">
        <f aca="false">IF($B202="","",IF(INDEX(Homiladorlar!$R$5:$R$804,$B202)="","",INDEX(Homiladorlar!$R$5:$R$804,$B202)))</f>
        <v/>
      </c>
      <c r="J202" s="5" t="str">
        <f aca="false">IF($B202="","",IF(INDEX(Homiladorlar!$K$5:$K$804,$B202)="","",INDEX(Homiladorlar!$K$5:$K$804,$B202)))</f>
        <v/>
      </c>
      <c r="K202" s="30" t="str">
        <f aca="false">IF($B202="","",IF(INDEX(Homiladorlar!$J$5:$J$804,$B202)="","",INDEX(Homiladorlar!$J$5:$J$804,$B202)))</f>
        <v/>
      </c>
      <c r="L202" s="30" t="str">
        <f aca="false">IF($B202="","",IF(INDEX(Homiladorlar!$T$5:$T$804,$B202)="","",INDEX(Homiladorlar!$T$5:$T$804,$B202)))</f>
        <v/>
      </c>
      <c r="M202" s="30" t="str">
        <f aca="false">IF($B202="","",IF(INDEX(Homiladorlar!$AB$5:$AB$804,$B202)="","",INDEX(Homiladorlar!$AB$5:$AB$804,$B202)))</f>
        <v/>
      </c>
      <c r="N202" s="5" t="str">
        <f aca="false">IF($B202="","",IF(INDEX(Homiladorlar!$AC$5:$AC$804,$B202)="","",INDEX(Homiladorlar!$AC$5:$AC$804,$B202)))</f>
        <v/>
      </c>
    </row>
    <row r="203" customFormat="false" ht="15" hidden="false" customHeight="false" outlineLevel="0" collapsed="false">
      <c r="A203" s="5" t="n">
        <v>199</v>
      </c>
      <c r="B203" s="29" t="str">
        <f aca="false">IFERROR(MATCH(A203,Homiladorlar!$AH$5:$AH$804,0),"")</f>
        <v/>
      </c>
      <c r="C203" s="5" t="str">
        <f aca="false">IF($B203="","",IF(INDEX(Homiladorlar!$B$5:$B$804,$B203)="","",INDEX(Homiladorlar!$B$5:$B$804,$B203)))</f>
        <v/>
      </c>
      <c r="D203" s="30" t="str">
        <f aca="false">IF($B203="","",IF(INDEX(Homiladorlar!$C$5:$C$804,$B203)="","",INDEX(Homiladorlar!$C$5:$C$804,$B203)))</f>
        <v/>
      </c>
      <c r="E203" s="5" t="str">
        <f aca="false">IF($B203="","",IF(INDEX(Homiladorlar!$F$5:$F$804,$B203)="","",INDEX(Homiladorlar!$F$5:$F$804,$B203)))</f>
        <v/>
      </c>
      <c r="F203" s="5" t="str">
        <f aca="false">IF($B203="","",IF(INDEX(Homiladorlar!$E$5:$E$804,$B203)="","",INDEX(Homiladorlar!$E$5:$E$804,$B203)))</f>
        <v/>
      </c>
      <c r="G203" s="5" t="str">
        <f aca="false">IF($B203="","",IF(INDEX(Homiladorlar!$O$5:$O$804,$B203)="","",INDEX(Homiladorlar!$O$5:$O$804,$B203)))</f>
        <v/>
      </c>
      <c r="H203" s="5" t="str">
        <f aca="false">IF($B203="","",IF(INDEX(Homiladorlar!$Q$5:$Q$804,$B203)="","",INDEX(Homiladorlar!$Q$5:$Q$804,$B203)))</f>
        <v/>
      </c>
      <c r="I203" s="5" t="str">
        <f aca="false">IF($B203="","",IF(INDEX(Homiladorlar!$R$5:$R$804,$B203)="","",INDEX(Homiladorlar!$R$5:$R$804,$B203)))</f>
        <v/>
      </c>
      <c r="J203" s="5" t="str">
        <f aca="false">IF($B203="","",IF(INDEX(Homiladorlar!$K$5:$K$804,$B203)="","",INDEX(Homiladorlar!$K$5:$K$804,$B203)))</f>
        <v/>
      </c>
      <c r="K203" s="30" t="str">
        <f aca="false">IF($B203="","",IF(INDEX(Homiladorlar!$J$5:$J$804,$B203)="","",INDEX(Homiladorlar!$J$5:$J$804,$B203)))</f>
        <v/>
      </c>
      <c r="L203" s="30" t="str">
        <f aca="false">IF($B203="","",IF(INDEX(Homiladorlar!$T$5:$T$804,$B203)="","",INDEX(Homiladorlar!$T$5:$T$804,$B203)))</f>
        <v/>
      </c>
      <c r="M203" s="30" t="str">
        <f aca="false">IF($B203="","",IF(INDEX(Homiladorlar!$AB$5:$AB$804,$B203)="","",INDEX(Homiladorlar!$AB$5:$AB$804,$B203)))</f>
        <v/>
      </c>
      <c r="N203" s="5" t="str">
        <f aca="false">IF($B203="","",IF(INDEX(Homiladorlar!$AC$5:$AC$804,$B203)="","",INDEX(Homiladorlar!$AC$5:$AC$804,$B203)))</f>
        <v/>
      </c>
    </row>
    <row r="204" customFormat="false" ht="15" hidden="false" customHeight="false" outlineLevel="0" collapsed="false">
      <c r="A204" s="5" t="n">
        <v>200</v>
      </c>
      <c r="B204" s="29" t="str">
        <f aca="false">IFERROR(MATCH(A204,Homiladorlar!$AH$5:$AH$804,0),"")</f>
        <v/>
      </c>
      <c r="C204" s="5" t="str">
        <f aca="false">IF($B204="","",IF(INDEX(Homiladorlar!$B$5:$B$804,$B204)="","",INDEX(Homiladorlar!$B$5:$B$804,$B204)))</f>
        <v/>
      </c>
      <c r="D204" s="30" t="str">
        <f aca="false">IF($B204="","",IF(INDEX(Homiladorlar!$C$5:$C$804,$B204)="","",INDEX(Homiladorlar!$C$5:$C$804,$B204)))</f>
        <v/>
      </c>
      <c r="E204" s="5" t="str">
        <f aca="false">IF($B204="","",IF(INDEX(Homiladorlar!$F$5:$F$804,$B204)="","",INDEX(Homiladorlar!$F$5:$F$804,$B204)))</f>
        <v/>
      </c>
      <c r="F204" s="5" t="str">
        <f aca="false">IF($B204="","",IF(INDEX(Homiladorlar!$E$5:$E$804,$B204)="","",INDEX(Homiladorlar!$E$5:$E$804,$B204)))</f>
        <v/>
      </c>
      <c r="G204" s="5" t="str">
        <f aca="false">IF($B204="","",IF(INDEX(Homiladorlar!$O$5:$O$804,$B204)="","",INDEX(Homiladorlar!$O$5:$O$804,$B204)))</f>
        <v/>
      </c>
      <c r="H204" s="5" t="str">
        <f aca="false">IF($B204="","",IF(INDEX(Homiladorlar!$Q$5:$Q$804,$B204)="","",INDEX(Homiladorlar!$Q$5:$Q$804,$B204)))</f>
        <v/>
      </c>
      <c r="I204" s="5" t="str">
        <f aca="false">IF($B204="","",IF(INDEX(Homiladorlar!$R$5:$R$804,$B204)="","",INDEX(Homiladorlar!$R$5:$R$804,$B204)))</f>
        <v/>
      </c>
      <c r="J204" s="5" t="str">
        <f aca="false">IF($B204="","",IF(INDEX(Homiladorlar!$K$5:$K$804,$B204)="","",INDEX(Homiladorlar!$K$5:$K$804,$B204)))</f>
        <v/>
      </c>
      <c r="K204" s="30" t="str">
        <f aca="false">IF($B204="","",IF(INDEX(Homiladorlar!$J$5:$J$804,$B204)="","",INDEX(Homiladorlar!$J$5:$J$804,$B204)))</f>
        <v/>
      </c>
      <c r="L204" s="30" t="str">
        <f aca="false">IF($B204="","",IF(INDEX(Homiladorlar!$T$5:$T$804,$B204)="","",INDEX(Homiladorlar!$T$5:$T$804,$B204)))</f>
        <v/>
      </c>
      <c r="M204" s="30" t="str">
        <f aca="false">IF($B204="","",IF(INDEX(Homiladorlar!$AB$5:$AB$804,$B204)="","",INDEX(Homiladorlar!$AB$5:$AB$804,$B204)))</f>
        <v/>
      </c>
      <c r="N204" s="5" t="str">
        <f aca="false">IF($B204="","",IF(INDEX(Homiladorlar!$AC$5:$AC$804,$B204)="","",INDEX(Homiladorlar!$AC$5:$AC$804,$B204)))</f>
        <v/>
      </c>
    </row>
  </sheetData>
  <autoFilter ref="A4:N20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26"/>
    <col collapsed="false" customWidth="true" hidden="false" outlineLevel="0" max="11" min="11" style="0" width="22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2" t="s">
        <v>331</v>
      </c>
    </row>
    <row r="3" customFormat="false" ht="15" hidden="false" customHeight="false" outlineLevel="0" collapsed="false">
      <c r="A3" s="21" t="s">
        <v>258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61.5" hidden="false" customHeight="true" outlineLevel="0" collapsed="false">
      <c r="A4" s="7" t="s">
        <v>12</v>
      </c>
      <c r="B4" s="7" t="s">
        <v>332</v>
      </c>
      <c r="C4" s="7" t="s">
        <v>260</v>
      </c>
      <c r="D4" s="7" t="s">
        <v>261</v>
      </c>
      <c r="E4" s="7" t="s">
        <v>262</v>
      </c>
      <c r="F4" s="7" t="s">
        <v>263</v>
      </c>
      <c r="G4" s="7" t="s">
        <v>282</v>
      </c>
      <c r="H4" s="23" t="s">
        <v>264</v>
      </c>
      <c r="I4" s="7" t="s">
        <v>333</v>
      </c>
      <c r="J4" s="7" t="s">
        <v>334</v>
      </c>
      <c r="K4" s="7" t="s">
        <v>278</v>
      </c>
      <c r="L4" s="23" t="s">
        <v>279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4"/>
      <c r="F5" s="12"/>
      <c r="G5" s="25"/>
      <c r="H5" s="14" t="str">
        <f aca="false">IF(OR($D5="",$B5=""),"",INT(($B5-$D5)/365.25))</f>
        <v/>
      </c>
      <c r="I5" s="25"/>
      <c r="J5" s="12"/>
      <c r="K5" s="12"/>
      <c r="L5" s="14" t="str">
        <f aca="false">IF(OR($C5="",$D5="",$B5=""),"",IF(COUNTIFS($C$5:$C$1504,$C5,$D$5:$D$1504,$D5,$B$5:$B$1504,$B5)&gt;1,"Takror",""))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4"/>
      <c r="F6" s="12"/>
      <c r="G6" s="25"/>
      <c r="H6" s="14" t="str">
        <f aca="false">IF(OR($D6="",$B6=""),"",INT(($B6-$D6)/365.25))</f>
        <v/>
      </c>
      <c r="I6" s="25"/>
      <c r="J6" s="12"/>
      <c r="K6" s="12"/>
      <c r="L6" s="14" t="str">
        <f aca="false">IF(OR($C6="",$D6="",$B6=""),"",IF(COUNTIFS($C$5:$C$1504,$C6,$D$5:$D$1504,$D6,$B$5:$B$1504,$B6)&gt;1,"Takror",""))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4"/>
      <c r="F7" s="12"/>
      <c r="G7" s="25"/>
      <c r="H7" s="14" t="str">
        <f aca="false">IF(OR($D7="",$B7=""),"",INT(($B7-$D7)/365.25))</f>
        <v/>
      </c>
      <c r="I7" s="25"/>
      <c r="J7" s="12"/>
      <c r="K7" s="12"/>
      <c r="L7" s="14" t="str">
        <f aca="false">IF(OR($C7="",$D7="",$B7=""),"",IF(COUNTIFS($C$5:$C$1504,$C7,$D$5:$D$1504,$D7,$B$5:$B$1504,$B7)&gt;1,"Takror",""))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4"/>
      <c r="F8" s="12"/>
      <c r="G8" s="25"/>
      <c r="H8" s="14" t="str">
        <f aca="false">IF(OR($D8="",$B8=""),"",INT(($B8-$D8)/365.25))</f>
        <v/>
      </c>
      <c r="I8" s="25"/>
      <c r="J8" s="12"/>
      <c r="K8" s="12"/>
      <c r="L8" s="14" t="str">
        <f aca="false">IF(OR($C8="",$D8="",$B8=""),"",IF(COUNTIFS($C$5:$C$1504,$C8,$D$5:$D$1504,$D8,$B$5:$B$1504,$B8)&gt;1,"Takror",""))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4"/>
      <c r="F9" s="12"/>
      <c r="G9" s="25"/>
      <c r="H9" s="14" t="str">
        <f aca="false">IF(OR($D9="",$B9=""),"",INT(($B9-$D9)/365.25))</f>
        <v/>
      </c>
      <c r="I9" s="25"/>
      <c r="J9" s="12"/>
      <c r="K9" s="12"/>
      <c r="L9" s="14" t="str">
        <f aca="false">IF(OR($C9="",$D9="",$B9=""),"",IF(COUNTIFS($C$5:$C$1504,$C9,$D$5:$D$1504,$D9,$B$5:$B$1504,$B9)&gt;1,"Takror",""))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4"/>
      <c r="F10" s="12"/>
      <c r="G10" s="25"/>
      <c r="H10" s="14" t="str">
        <f aca="false">IF(OR($D10="",$B10=""),"",INT(($B10-$D10)/365.25))</f>
        <v/>
      </c>
      <c r="I10" s="25"/>
      <c r="J10" s="12"/>
      <c r="K10" s="12"/>
      <c r="L10" s="14" t="str">
        <f aca="false">IF(OR($C10="",$D10="",$B10=""),"",IF(COUNTIFS($C$5:$C$1504,$C10,$D$5:$D$1504,$D10,$B$5:$B$1504,$B10)&gt;1,"Takror",""))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4"/>
      <c r="F11" s="12"/>
      <c r="G11" s="25"/>
      <c r="H11" s="14" t="str">
        <f aca="false">IF(OR($D11="",$B11=""),"",INT(($B11-$D11)/365.25))</f>
        <v/>
      </c>
      <c r="I11" s="25"/>
      <c r="J11" s="12"/>
      <c r="K11" s="12"/>
      <c r="L11" s="14" t="str">
        <f aca="false">IF(OR($C11="",$D11="",$B11=""),"",IF(COUNTIFS($C$5:$C$1504,$C11,$D$5:$D$1504,$D11,$B$5:$B$1504,$B11)&gt;1,"Takror",""))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4"/>
      <c r="F12" s="12"/>
      <c r="G12" s="25"/>
      <c r="H12" s="14" t="str">
        <f aca="false">IF(OR($D12="",$B12=""),"",INT(($B12-$D12)/365.25))</f>
        <v/>
      </c>
      <c r="I12" s="25"/>
      <c r="J12" s="12"/>
      <c r="K12" s="12"/>
      <c r="L12" s="14" t="str">
        <f aca="false">IF(OR($C12="",$D12="",$B12=""),"",IF(COUNTIFS($C$5:$C$1504,$C12,$D$5:$D$1504,$D12,$B$5:$B$1504,$B12)&gt;1,"Takror",""))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4"/>
      <c r="F13" s="12"/>
      <c r="G13" s="25"/>
      <c r="H13" s="14" t="str">
        <f aca="false">IF(OR($D13="",$B13=""),"",INT(($B13-$D13)/365.25))</f>
        <v/>
      </c>
      <c r="I13" s="25"/>
      <c r="J13" s="12"/>
      <c r="K13" s="12"/>
      <c r="L13" s="14" t="str">
        <f aca="false">IF(OR($C13="",$D13="",$B13=""),"",IF(COUNTIFS($C$5:$C$1504,$C13,$D$5:$D$1504,$D13,$B$5:$B$1504,$B13)&gt;1,"Takror",""))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4"/>
      <c r="F14" s="12"/>
      <c r="G14" s="25"/>
      <c r="H14" s="14" t="str">
        <f aca="false">IF(OR($D14="",$B14=""),"",INT(($B14-$D14)/365.25))</f>
        <v/>
      </c>
      <c r="I14" s="25"/>
      <c r="J14" s="12"/>
      <c r="K14" s="12"/>
      <c r="L14" s="14" t="str">
        <f aca="false">IF(OR($C14="",$D14="",$B14=""),"",IF(COUNTIFS($C$5:$C$1504,$C14,$D$5:$D$1504,$D14,$B$5:$B$1504,$B14)&gt;1,"Takror",""))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4"/>
      <c r="F15" s="12"/>
      <c r="G15" s="25"/>
      <c r="H15" s="14" t="str">
        <f aca="false">IF(OR($D15="",$B15=""),"",INT(($B15-$D15)/365.25))</f>
        <v/>
      </c>
      <c r="I15" s="25"/>
      <c r="J15" s="12"/>
      <c r="K15" s="12"/>
      <c r="L15" s="14" t="str">
        <f aca="false">IF(OR($C15="",$D15="",$B15=""),"",IF(COUNTIFS($C$5:$C$1504,$C15,$D$5:$D$1504,$D15,$B$5:$B$1504,$B15)&gt;1,"Takror",""))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4"/>
      <c r="F16" s="12"/>
      <c r="G16" s="25"/>
      <c r="H16" s="14" t="str">
        <f aca="false">IF(OR($D16="",$B16=""),"",INT(($B16-$D16)/365.25))</f>
        <v/>
      </c>
      <c r="I16" s="25"/>
      <c r="J16" s="12"/>
      <c r="K16" s="12"/>
      <c r="L16" s="14" t="str">
        <f aca="false">IF(OR($C16="",$D16="",$B16=""),"",IF(COUNTIFS($C$5:$C$1504,$C16,$D$5:$D$1504,$D16,$B$5:$B$1504,$B16)&gt;1,"Takror",""))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4"/>
      <c r="F17" s="12"/>
      <c r="G17" s="25"/>
      <c r="H17" s="14" t="str">
        <f aca="false">IF(OR($D17="",$B17=""),"",INT(($B17-$D17)/365.25))</f>
        <v/>
      </c>
      <c r="I17" s="25"/>
      <c r="J17" s="12"/>
      <c r="K17" s="12"/>
      <c r="L17" s="14" t="str">
        <f aca="false">IF(OR($C17="",$D17="",$B17=""),"",IF(COUNTIFS($C$5:$C$1504,$C17,$D$5:$D$1504,$D17,$B$5:$B$1504,$B17)&gt;1,"Takror",""))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4"/>
      <c r="F18" s="12"/>
      <c r="G18" s="25"/>
      <c r="H18" s="14" t="str">
        <f aca="false">IF(OR($D18="",$B18=""),"",INT(($B18-$D18)/365.25))</f>
        <v/>
      </c>
      <c r="I18" s="25"/>
      <c r="J18" s="12"/>
      <c r="K18" s="12"/>
      <c r="L18" s="14" t="str">
        <f aca="false">IF(OR($C18="",$D18="",$B18=""),"",IF(COUNTIFS($C$5:$C$1504,$C18,$D$5:$D$1504,$D18,$B$5:$B$1504,$B18)&gt;1,"Takror",""))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4"/>
      <c r="F19" s="12"/>
      <c r="G19" s="25"/>
      <c r="H19" s="14" t="str">
        <f aca="false">IF(OR($D19="",$B19=""),"",INT(($B19-$D19)/365.25))</f>
        <v/>
      </c>
      <c r="I19" s="25"/>
      <c r="J19" s="12"/>
      <c r="K19" s="12"/>
      <c r="L19" s="14" t="str">
        <f aca="false">IF(OR($C19="",$D19="",$B19=""),"",IF(COUNTIFS($C$5:$C$1504,$C19,$D$5:$D$1504,$D19,$B$5:$B$1504,$B19)&gt;1,"Takror",""))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4"/>
      <c r="F20" s="12"/>
      <c r="G20" s="25"/>
      <c r="H20" s="14" t="str">
        <f aca="false">IF(OR($D20="",$B20=""),"",INT(($B20-$D20)/365.25))</f>
        <v/>
      </c>
      <c r="I20" s="25"/>
      <c r="J20" s="12"/>
      <c r="K20" s="12"/>
      <c r="L20" s="14" t="str">
        <f aca="false">IF(OR($C20="",$D20="",$B20=""),"",IF(COUNTIFS($C$5:$C$1504,$C20,$D$5:$D$1504,$D20,$B$5:$B$1504,$B20)&gt;1,"Takror",""))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4"/>
      <c r="F21" s="12"/>
      <c r="G21" s="25"/>
      <c r="H21" s="14" t="str">
        <f aca="false">IF(OR($D21="",$B21=""),"",INT(($B21-$D21)/365.25))</f>
        <v/>
      </c>
      <c r="I21" s="25"/>
      <c r="J21" s="12"/>
      <c r="K21" s="12"/>
      <c r="L21" s="14" t="str">
        <f aca="false">IF(OR($C21="",$D21="",$B21=""),"",IF(COUNTIFS($C$5:$C$1504,$C21,$D$5:$D$1504,$D21,$B$5:$B$1504,$B21)&gt;1,"Takror",""))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4"/>
      <c r="F22" s="12"/>
      <c r="G22" s="25"/>
      <c r="H22" s="14" t="str">
        <f aca="false">IF(OR($D22="",$B22=""),"",INT(($B22-$D22)/365.25))</f>
        <v/>
      </c>
      <c r="I22" s="25"/>
      <c r="J22" s="12"/>
      <c r="K22" s="12"/>
      <c r="L22" s="14" t="str">
        <f aca="false">IF(OR($C22="",$D22="",$B22=""),"",IF(COUNTIFS($C$5:$C$1504,$C22,$D$5:$D$1504,$D22,$B$5:$B$1504,$B22)&gt;1,"Takror",""))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4"/>
      <c r="F23" s="12"/>
      <c r="G23" s="25"/>
      <c r="H23" s="14" t="str">
        <f aca="false">IF(OR($D23="",$B23=""),"",INT(($B23-$D23)/365.25))</f>
        <v/>
      </c>
      <c r="I23" s="25"/>
      <c r="J23" s="12"/>
      <c r="K23" s="12"/>
      <c r="L23" s="14" t="str">
        <f aca="false">IF(OR($C23="",$D23="",$B23=""),"",IF(COUNTIFS($C$5:$C$1504,$C23,$D$5:$D$1504,$D23,$B$5:$B$1504,$B23)&gt;1,"Takror",""))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4"/>
      <c r="F24" s="12"/>
      <c r="G24" s="25"/>
      <c r="H24" s="14" t="str">
        <f aca="false">IF(OR($D24="",$B24=""),"",INT(($B24-$D24)/365.25))</f>
        <v/>
      </c>
      <c r="I24" s="25"/>
      <c r="J24" s="12"/>
      <c r="K24" s="12"/>
      <c r="L24" s="14" t="str">
        <f aca="false">IF(OR($C24="",$D24="",$B24=""),"",IF(COUNTIFS($C$5:$C$1504,$C24,$D$5:$D$1504,$D24,$B$5:$B$1504,$B24)&gt;1,"Takror",""))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4"/>
      <c r="F25" s="12"/>
      <c r="G25" s="25"/>
      <c r="H25" s="14" t="str">
        <f aca="false">IF(OR($D25="",$B25=""),"",INT(($B25-$D25)/365.25))</f>
        <v/>
      </c>
      <c r="I25" s="25"/>
      <c r="J25" s="12"/>
      <c r="K25" s="12"/>
      <c r="L25" s="14" t="str">
        <f aca="false">IF(OR($C25="",$D25="",$B25=""),"",IF(COUNTIFS($C$5:$C$1504,$C25,$D$5:$D$1504,$D25,$B$5:$B$1504,$B25)&gt;1,"Takror",""))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4"/>
      <c r="F26" s="12"/>
      <c r="G26" s="25"/>
      <c r="H26" s="14" t="str">
        <f aca="false">IF(OR($D26="",$B26=""),"",INT(($B26-$D26)/365.25))</f>
        <v/>
      </c>
      <c r="I26" s="25"/>
      <c r="J26" s="12"/>
      <c r="K26" s="12"/>
      <c r="L26" s="14" t="str">
        <f aca="false">IF(OR($C26="",$D26="",$B26=""),"",IF(COUNTIFS($C$5:$C$1504,$C26,$D$5:$D$1504,$D26,$B$5:$B$1504,$B26)&gt;1,"Takror",""))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4"/>
      <c r="F27" s="12"/>
      <c r="G27" s="25"/>
      <c r="H27" s="14" t="str">
        <f aca="false">IF(OR($D27="",$B27=""),"",INT(($B27-$D27)/365.25))</f>
        <v/>
      </c>
      <c r="I27" s="25"/>
      <c r="J27" s="12"/>
      <c r="K27" s="12"/>
      <c r="L27" s="14" t="str">
        <f aca="false">IF(OR($C27="",$D27="",$B27=""),"",IF(COUNTIFS($C$5:$C$1504,$C27,$D$5:$D$1504,$D27,$B$5:$B$1504,$B27)&gt;1,"Takror",""))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4"/>
      <c r="F28" s="12"/>
      <c r="G28" s="25"/>
      <c r="H28" s="14" t="str">
        <f aca="false">IF(OR($D28="",$B28=""),"",INT(($B28-$D28)/365.25))</f>
        <v/>
      </c>
      <c r="I28" s="25"/>
      <c r="J28" s="12"/>
      <c r="K28" s="12"/>
      <c r="L28" s="14" t="str">
        <f aca="false">IF(OR($C28="",$D28="",$B28=""),"",IF(COUNTIFS($C$5:$C$1504,$C28,$D$5:$D$1504,$D28,$B$5:$B$1504,$B28)&gt;1,"Takror",""))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4"/>
      <c r="F29" s="12"/>
      <c r="G29" s="25"/>
      <c r="H29" s="14" t="str">
        <f aca="false">IF(OR($D29="",$B29=""),"",INT(($B29-$D29)/365.25))</f>
        <v/>
      </c>
      <c r="I29" s="25"/>
      <c r="J29" s="12"/>
      <c r="K29" s="12"/>
      <c r="L29" s="14" t="str">
        <f aca="false">IF(OR($C29="",$D29="",$B29=""),"",IF(COUNTIFS($C$5:$C$1504,$C29,$D$5:$D$1504,$D29,$B$5:$B$1504,$B29)&gt;1,"Takror",""))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4"/>
      <c r="F30" s="12"/>
      <c r="G30" s="25"/>
      <c r="H30" s="14" t="str">
        <f aca="false">IF(OR($D30="",$B30=""),"",INT(($B30-$D30)/365.25))</f>
        <v/>
      </c>
      <c r="I30" s="25"/>
      <c r="J30" s="12"/>
      <c r="K30" s="12"/>
      <c r="L30" s="14" t="str">
        <f aca="false">IF(OR($C30="",$D30="",$B30=""),"",IF(COUNTIFS($C$5:$C$1504,$C30,$D$5:$D$1504,$D30,$B$5:$B$1504,$B30)&gt;1,"Takror",""))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4"/>
      <c r="F31" s="12"/>
      <c r="G31" s="25"/>
      <c r="H31" s="14" t="str">
        <f aca="false">IF(OR($D31="",$B31=""),"",INT(($B31-$D31)/365.25))</f>
        <v/>
      </c>
      <c r="I31" s="25"/>
      <c r="J31" s="12"/>
      <c r="K31" s="12"/>
      <c r="L31" s="14" t="str">
        <f aca="false">IF(OR($C31="",$D31="",$B31=""),"",IF(COUNTIFS($C$5:$C$1504,$C31,$D$5:$D$1504,$D31,$B$5:$B$1504,$B31)&gt;1,"Takror",""))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4"/>
      <c r="F32" s="12"/>
      <c r="G32" s="25"/>
      <c r="H32" s="14" t="str">
        <f aca="false">IF(OR($D32="",$B32=""),"",INT(($B32-$D32)/365.25))</f>
        <v/>
      </c>
      <c r="I32" s="25"/>
      <c r="J32" s="12"/>
      <c r="K32" s="12"/>
      <c r="L32" s="14" t="str">
        <f aca="false">IF(OR($C32="",$D32="",$B32=""),"",IF(COUNTIFS($C$5:$C$1504,$C32,$D$5:$D$1504,$D32,$B$5:$B$1504,$B32)&gt;1,"Takror",""))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4"/>
      <c r="F33" s="12"/>
      <c r="G33" s="25"/>
      <c r="H33" s="14" t="str">
        <f aca="false">IF(OR($D33="",$B33=""),"",INT(($B33-$D33)/365.25))</f>
        <v/>
      </c>
      <c r="I33" s="25"/>
      <c r="J33" s="12"/>
      <c r="K33" s="12"/>
      <c r="L33" s="14" t="str">
        <f aca="false">IF(OR($C33="",$D33="",$B33=""),"",IF(COUNTIFS($C$5:$C$1504,$C33,$D$5:$D$1504,$D33,$B$5:$B$1504,$B33)&gt;1,"Takror",""))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4"/>
      <c r="F34" s="12"/>
      <c r="G34" s="25"/>
      <c r="H34" s="14" t="str">
        <f aca="false">IF(OR($D34="",$B34=""),"",INT(($B34-$D34)/365.25))</f>
        <v/>
      </c>
      <c r="I34" s="25"/>
      <c r="J34" s="12"/>
      <c r="K34" s="12"/>
      <c r="L34" s="14" t="str">
        <f aca="false">IF(OR($C34="",$D34="",$B34=""),"",IF(COUNTIFS($C$5:$C$1504,$C34,$D$5:$D$1504,$D34,$B$5:$B$1504,$B34)&gt;1,"Takror",""))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4"/>
      <c r="F35" s="12"/>
      <c r="G35" s="25"/>
      <c r="H35" s="14" t="str">
        <f aca="false">IF(OR($D35="",$B35=""),"",INT(($B35-$D35)/365.25))</f>
        <v/>
      </c>
      <c r="I35" s="25"/>
      <c r="J35" s="12"/>
      <c r="K35" s="12"/>
      <c r="L35" s="14" t="str">
        <f aca="false">IF(OR($C35="",$D35="",$B35=""),"",IF(COUNTIFS($C$5:$C$1504,$C35,$D$5:$D$1504,$D35,$B$5:$B$1504,$B35)&gt;1,"Takror",""))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4"/>
      <c r="F36" s="12"/>
      <c r="G36" s="25"/>
      <c r="H36" s="14" t="str">
        <f aca="false">IF(OR($D36="",$B36=""),"",INT(($B36-$D36)/365.25))</f>
        <v/>
      </c>
      <c r="I36" s="25"/>
      <c r="J36" s="12"/>
      <c r="K36" s="12"/>
      <c r="L36" s="14" t="str">
        <f aca="false">IF(OR($C36="",$D36="",$B36=""),"",IF(COUNTIFS($C$5:$C$1504,$C36,$D$5:$D$1504,$D36,$B$5:$B$1504,$B36)&gt;1,"Takror",""))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4"/>
      <c r="F37" s="12"/>
      <c r="G37" s="25"/>
      <c r="H37" s="14" t="str">
        <f aca="false">IF(OR($D37="",$B37=""),"",INT(($B37-$D37)/365.25))</f>
        <v/>
      </c>
      <c r="I37" s="25"/>
      <c r="J37" s="12"/>
      <c r="K37" s="12"/>
      <c r="L37" s="14" t="str">
        <f aca="false">IF(OR($C37="",$D37="",$B37=""),"",IF(COUNTIFS($C$5:$C$1504,$C37,$D$5:$D$1504,$D37,$B$5:$B$1504,$B37)&gt;1,"Takror",""))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4"/>
      <c r="F38" s="12"/>
      <c r="G38" s="25"/>
      <c r="H38" s="14" t="str">
        <f aca="false">IF(OR($D38="",$B38=""),"",INT(($B38-$D38)/365.25))</f>
        <v/>
      </c>
      <c r="I38" s="25"/>
      <c r="J38" s="12"/>
      <c r="K38" s="12"/>
      <c r="L38" s="14" t="str">
        <f aca="false">IF(OR($C38="",$D38="",$B38=""),"",IF(COUNTIFS($C$5:$C$1504,$C38,$D$5:$D$1504,$D38,$B$5:$B$1504,$B38)&gt;1,"Takror",""))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4"/>
      <c r="F39" s="12"/>
      <c r="G39" s="25"/>
      <c r="H39" s="14" t="str">
        <f aca="false">IF(OR($D39="",$B39=""),"",INT(($B39-$D39)/365.25))</f>
        <v/>
      </c>
      <c r="I39" s="25"/>
      <c r="J39" s="12"/>
      <c r="K39" s="12"/>
      <c r="L39" s="14" t="str">
        <f aca="false">IF(OR($C39="",$D39="",$B39=""),"",IF(COUNTIFS($C$5:$C$1504,$C39,$D$5:$D$1504,$D39,$B$5:$B$1504,$B39)&gt;1,"Takror",""))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4"/>
      <c r="F40" s="12"/>
      <c r="G40" s="25"/>
      <c r="H40" s="14" t="str">
        <f aca="false">IF(OR($D40="",$B40=""),"",INT(($B40-$D40)/365.25))</f>
        <v/>
      </c>
      <c r="I40" s="25"/>
      <c r="J40" s="12"/>
      <c r="K40" s="12"/>
      <c r="L40" s="14" t="str">
        <f aca="false">IF(OR($C40="",$D40="",$B40=""),"",IF(COUNTIFS($C$5:$C$1504,$C40,$D$5:$D$1504,$D40,$B$5:$B$1504,$B40)&gt;1,"Takror",""))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4"/>
      <c r="F41" s="12"/>
      <c r="G41" s="25"/>
      <c r="H41" s="14" t="str">
        <f aca="false">IF(OR($D41="",$B41=""),"",INT(($B41-$D41)/365.25))</f>
        <v/>
      </c>
      <c r="I41" s="25"/>
      <c r="J41" s="12"/>
      <c r="K41" s="12"/>
      <c r="L41" s="14" t="str">
        <f aca="false">IF(OR($C41="",$D41="",$B41=""),"",IF(COUNTIFS($C$5:$C$1504,$C41,$D$5:$D$1504,$D41,$B$5:$B$1504,$B41)&gt;1,"Takror",""))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4"/>
      <c r="F42" s="12"/>
      <c r="G42" s="25"/>
      <c r="H42" s="14" t="str">
        <f aca="false">IF(OR($D42="",$B42=""),"",INT(($B42-$D42)/365.25))</f>
        <v/>
      </c>
      <c r="I42" s="25"/>
      <c r="J42" s="12"/>
      <c r="K42" s="12"/>
      <c r="L42" s="14" t="str">
        <f aca="false">IF(OR($C42="",$D42="",$B42=""),"",IF(COUNTIFS($C$5:$C$1504,$C42,$D$5:$D$1504,$D42,$B$5:$B$1504,$B42)&gt;1,"Takror",""))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4"/>
      <c r="F43" s="12"/>
      <c r="G43" s="25"/>
      <c r="H43" s="14" t="str">
        <f aca="false">IF(OR($D43="",$B43=""),"",INT(($B43-$D43)/365.25))</f>
        <v/>
      </c>
      <c r="I43" s="25"/>
      <c r="J43" s="12"/>
      <c r="K43" s="12"/>
      <c r="L43" s="14" t="str">
        <f aca="false">IF(OR($C43="",$D43="",$B43=""),"",IF(COUNTIFS($C$5:$C$1504,$C43,$D$5:$D$1504,$D43,$B$5:$B$1504,$B43)&gt;1,"Takror",""))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4"/>
      <c r="F44" s="12"/>
      <c r="G44" s="25"/>
      <c r="H44" s="14" t="str">
        <f aca="false">IF(OR($D44="",$B44=""),"",INT(($B44-$D44)/365.25))</f>
        <v/>
      </c>
      <c r="I44" s="25"/>
      <c r="J44" s="12"/>
      <c r="K44" s="12"/>
      <c r="L44" s="14" t="str">
        <f aca="false">IF(OR($C44="",$D44="",$B44=""),"",IF(COUNTIFS($C$5:$C$1504,$C44,$D$5:$D$1504,$D44,$B$5:$B$1504,$B44)&gt;1,"Takror",""))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4"/>
      <c r="F45" s="12"/>
      <c r="G45" s="25"/>
      <c r="H45" s="14" t="str">
        <f aca="false">IF(OR($D45="",$B45=""),"",INT(($B45-$D45)/365.25))</f>
        <v/>
      </c>
      <c r="I45" s="25"/>
      <c r="J45" s="12"/>
      <c r="K45" s="12"/>
      <c r="L45" s="14" t="str">
        <f aca="false">IF(OR($C45="",$D45="",$B45=""),"",IF(COUNTIFS($C$5:$C$1504,$C45,$D$5:$D$1504,$D45,$B$5:$B$1504,$B45)&gt;1,"Takror",""))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4"/>
      <c r="F46" s="12"/>
      <c r="G46" s="25"/>
      <c r="H46" s="14" t="str">
        <f aca="false">IF(OR($D46="",$B46=""),"",INT(($B46-$D46)/365.25))</f>
        <v/>
      </c>
      <c r="I46" s="25"/>
      <c r="J46" s="12"/>
      <c r="K46" s="12"/>
      <c r="L46" s="14" t="str">
        <f aca="false">IF(OR($C46="",$D46="",$B46=""),"",IF(COUNTIFS($C$5:$C$1504,$C46,$D$5:$D$1504,$D46,$B$5:$B$1504,$B46)&gt;1,"Takror",""))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4"/>
      <c r="F47" s="12"/>
      <c r="G47" s="25"/>
      <c r="H47" s="14" t="str">
        <f aca="false">IF(OR($D47="",$B47=""),"",INT(($B47-$D47)/365.25))</f>
        <v/>
      </c>
      <c r="I47" s="25"/>
      <c r="J47" s="12"/>
      <c r="K47" s="12"/>
      <c r="L47" s="14" t="str">
        <f aca="false">IF(OR($C47="",$D47="",$B47=""),"",IF(COUNTIFS($C$5:$C$1504,$C47,$D$5:$D$1504,$D47,$B$5:$B$1504,$B47)&gt;1,"Takror",""))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4"/>
      <c r="F48" s="12"/>
      <c r="G48" s="25"/>
      <c r="H48" s="14" t="str">
        <f aca="false">IF(OR($D48="",$B48=""),"",INT(($B48-$D48)/365.25))</f>
        <v/>
      </c>
      <c r="I48" s="25"/>
      <c r="J48" s="12"/>
      <c r="K48" s="12"/>
      <c r="L48" s="14" t="str">
        <f aca="false">IF(OR($C48="",$D48="",$B48=""),"",IF(COUNTIFS($C$5:$C$1504,$C48,$D$5:$D$1504,$D48,$B$5:$B$1504,$B48)&gt;1,"Takror",""))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4"/>
      <c r="F49" s="12"/>
      <c r="G49" s="25"/>
      <c r="H49" s="14" t="str">
        <f aca="false">IF(OR($D49="",$B49=""),"",INT(($B49-$D49)/365.25))</f>
        <v/>
      </c>
      <c r="I49" s="25"/>
      <c r="J49" s="12"/>
      <c r="K49" s="12"/>
      <c r="L49" s="14" t="str">
        <f aca="false">IF(OR($C49="",$D49="",$B49=""),"",IF(COUNTIFS($C$5:$C$1504,$C49,$D$5:$D$1504,$D49,$B$5:$B$1504,$B49)&gt;1,"Takror",""))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4"/>
      <c r="F50" s="12"/>
      <c r="G50" s="25"/>
      <c r="H50" s="14" t="str">
        <f aca="false">IF(OR($D50="",$B50=""),"",INT(($B50-$D50)/365.25))</f>
        <v/>
      </c>
      <c r="I50" s="25"/>
      <c r="J50" s="12"/>
      <c r="K50" s="12"/>
      <c r="L50" s="14" t="str">
        <f aca="false">IF(OR($C50="",$D50="",$B50=""),"",IF(COUNTIFS($C$5:$C$1504,$C50,$D$5:$D$1504,$D50,$B$5:$B$1504,$B50)&gt;1,"Takror",""))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4"/>
      <c r="F51" s="12"/>
      <c r="G51" s="25"/>
      <c r="H51" s="14" t="str">
        <f aca="false">IF(OR($D51="",$B51=""),"",INT(($B51-$D51)/365.25))</f>
        <v/>
      </c>
      <c r="I51" s="25"/>
      <c r="J51" s="12"/>
      <c r="K51" s="12"/>
      <c r="L51" s="14" t="str">
        <f aca="false">IF(OR($C51="",$D51="",$B51=""),"",IF(COUNTIFS($C$5:$C$1504,$C51,$D$5:$D$1504,$D51,$B$5:$B$1504,$B51)&gt;1,"Takror",""))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4"/>
      <c r="F52" s="12"/>
      <c r="G52" s="25"/>
      <c r="H52" s="14" t="str">
        <f aca="false">IF(OR($D52="",$B52=""),"",INT(($B52-$D52)/365.25))</f>
        <v/>
      </c>
      <c r="I52" s="25"/>
      <c r="J52" s="12"/>
      <c r="K52" s="12"/>
      <c r="L52" s="14" t="str">
        <f aca="false">IF(OR($C52="",$D52="",$B52=""),"",IF(COUNTIFS($C$5:$C$1504,$C52,$D$5:$D$1504,$D52,$B$5:$B$1504,$B52)&gt;1,"Takror",""))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4"/>
      <c r="F53" s="12"/>
      <c r="G53" s="25"/>
      <c r="H53" s="14" t="str">
        <f aca="false">IF(OR($D53="",$B53=""),"",INT(($B53-$D53)/365.25))</f>
        <v/>
      </c>
      <c r="I53" s="25"/>
      <c r="J53" s="12"/>
      <c r="K53" s="12"/>
      <c r="L53" s="14" t="str">
        <f aca="false">IF(OR($C53="",$D53="",$B53=""),"",IF(COUNTIFS($C$5:$C$1504,$C53,$D$5:$D$1504,$D53,$B$5:$B$1504,$B53)&gt;1,"Takror",""))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4"/>
      <c r="F54" s="12"/>
      <c r="G54" s="25"/>
      <c r="H54" s="14" t="str">
        <f aca="false">IF(OR($D54="",$B54=""),"",INT(($B54-$D54)/365.25))</f>
        <v/>
      </c>
      <c r="I54" s="25"/>
      <c r="J54" s="12"/>
      <c r="K54" s="12"/>
      <c r="L54" s="14" t="str">
        <f aca="false">IF(OR($C54="",$D54="",$B54=""),"",IF(COUNTIFS($C$5:$C$1504,$C54,$D$5:$D$1504,$D54,$B$5:$B$1504,$B54)&gt;1,"Takror",""))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4"/>
      <c r="F55" s="12"/>
      <c r="G55" s="25"/>
      <c r="H55" s="14" t="str">
        <f aca="false">IF(OR($D55="",$B55=""),"",INT(($B55-$D55)/365.25))</f>
        <v/>
      </c>
      <c r="I55" s="25"/>
      <c r="J55" s="12"/>
      <c r="K55" s="12"/>
      <c r="L55" s="14" t="str">
        <f aca="false">IF(OR($C55="",$D55="",$B55=""),"",IF(COUNTIFS($C$5:$C$1504,$C55,$D$5:$D$1504,$D55,$B$5:$B$1504,$B55)&gt;1,"Takror",""))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4"/>
      <c r="F56" s="12"/>
      <c r="G56" s="25"/>
      <c r="H56" s="14" t="str">
        <f aca="false">IF(OR($D56="",$B56=""),"",INT(($B56-$D56)/365.25))</f>
        <v/>
      </c>
      <c r="I56" s="25"/>
      <c r="J56" s="12"/>
      <c r="K56" s="12"/>
      <c r="L56" s="14" t="str">
        <f aca="false">IF(OR($C56="",$D56="",$B56=""),"",IF(COUNTIFS($C$5:$C$1504,$C56,$D$5:$D$1504,$D56,$B$5:$B$1504,$B56)&gt;1,"Takror",""))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4"/>
      <c r="F57" s="12"/>
      <c r="G57" s="25"/>
      <c r="H57" s="14" t="str">
        <f aca="false">IF(OR($D57="",$B57=""),"",INT(($B57-$D57)/365.25))</f>
        <v/>
      </c>
      <c r="I57" s="25"/>
      <c r="J57" s="12"/>
      <c r="K57" s="12"/>
      <c r="L57" s="14" t="str">
        <f aca="false">IF(OR($C57="",$D57="",$B57=""),"",IF(COUNTIFS($C$5:$C$1504,$C57,$D$5:$D$1504,$D57,$B$5:$B$1504,$B57)&gt;1,"Takror",""))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4"/>
      <c r="F58" s="12"/>
      <c r="G58" s="25"/>
      <c r="H58" s="14" t="str">
        <f aca="false">IF(OR($D58="",$B58=""),"",INT(($B58-$D58)/365.25))</f>
        <v/>
      </c>
      <c r="I58" s="25"/>
      <c r="J58" s="12"/>
      <c r="K58" s="12"/>
      <c r="L58" s="14" t="str">
        <f aca="false">IF(OR($C58="",$D58="",$B58=""),"",IF(COUNTIFS($C$5:$C$1504,$C58,$D$5:$D$1504,$D58,$B$5:$B$1504,$B58)&gt;1,"Takror",""))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4"/>
      <c r="F59" s="12"/>
      <c r="G59" s="25"/>
      <c r="H59" s="14" t="str">
        <f aca="false">IF(OR($D59="",$B59=""),"",INT(($B59-$D59)/365.25))</f>
        <v/>
      </c>
      <c r="I59" s="25"/>
      <c r="J59" s="12"/>
      <c r="K59" s="12"/>
      <c r="L59" s="14" t="str">
        <f aca="false">IF(OR($C59="",$D59="",$B59=""),"",IF(COUNTIFS($C$5:$C$1504,$C59,$D$5:$D$1504,$D59,$B$5:$B$1504,$B59)&gt;1,"Takror",""))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4"/>
      <c r="F60" s="12"/>
      <c r="G60" s="25"/>
      <c r="H60" s="14" t="str">
        <f aca="false">IF(OR($D60="",$B60=""),"",INT(($B60-$D60)/365.25))</f>
        <v/>
      </c>
      <c r="I60" s="25"/>
      <c r="J60" s="12"/>
      <c r="K60" s="12"/>
      <c r="L60" s="14" t="str">
        <f aca="false">IF(OR($C60="",$D60="",$B60=""),"",IF(COUNTIFS($C$5:$C$1504,$C60,$D$5:$D$1504,$D60,$B$5:$B$1504,$B60)&gt;1,"Takror",""))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4"/>
      <c r="F61" s="12"/>
      <c r="G61" s="25"/>
      <c r="H61" s="14" t="str">
        <f aca="false">IF(OR($D61="",$B61=""),"",INT(($B61-$D61)/365.25))</f>
        <v/>
      </c>
      <c r="I61" s="25"/>
      <c r="J61" s="12"/>
      <c r="K61" s="12"/>
      <c r="L61" s="14" t="str">
        <f aca="false">IF(OR($C61="",$D61="",$B61=""),"",IF(COUNTIFS($C$5:$C$1504,$C61,$D$5:$D$1504,$D61,$B$5:$B$1504,$B61)&gt;1,"Takror",""))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4"/>
      <c r="F62" s="12"/>
      <c r="G62" s="25"/>
      <c r="H62" s="14" t="str">
        <f aca="false">IF(OR($D62="",$B62=""),"",INT(($B62-$D62)/365.25))</f>
        <v/>
      </c>
      <c r="I62" s="25"/>
      <c r="J62" s="12"/>
      <c r="K62" s="12"/>
      <c r="L62" s="14" t="str">
        <f aca="false">IF(OR($C62="",$D62="",$B62=""),"",IF(COUNTIFS($C$5:$C$1504,$C62,$D$5:$D$1504,$D62,$B$5:$B$1504,$B62)&gt;1,"Takror",""))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4"/>
      <c r="F63" s="12"/>
      <c r="G63" s="25"/>
      <c r="H63" s="14" t="str">
        <f aca="false">IF(OR($D63="",$B63=""),"",INT(($B63-$D63)/365.25))</f>
        <v/>
      </c>
      <c r="I63" s="25"/>
      <c r="J63" s="12"/>
      <c r="K63" s="12"/>
      <c r="L63" s="14" t="str">
        <f aca="false">IF(OR($C63="",$D63="",$B63=""),"",IF(COUNTIFS($C$5:$C$1504,$C63,$D$5:$D$1504,$D63,$B$5:$B$1504,$B63)&gt;1,"Takror",""))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4"/>
      <c r="F64" s="12"/>
      <c r="G64" s="25"/>
      <c r="H64" s="14" t="str">
        <f aca="false">IF(OR($D64="",$B64=""),"",INT(($B64-$D64)/365.25))</f>
        <v/>
      </c>
      <c r="I64" s="25"/>
      <c r="J64" s="12"/>
      <c r="K64" s="12"/>
      <c r="L64" s="14" t="str">
        <f aca="false">IF(OR($C64="",$D64="",$B64=""),"",IF(COUNTIFS($C$5:$C$1504,$C64,$D$5:$D$1504,$D64,$B$5:$B$1504,$B64)&gt;1,"Takror",""))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4"/>
      <c r="F65" s="12"/>
      <c r="G65" s="25"/>
      <c r="H65" s="14" t="str">
        <f aca="false">IF(OR($D65="",$B65=""),"",INT(($B65-$D65)/365.25))</f>
        <v/>
      </c>
      <c r="I65" s="25"/>
      <c r="J65" s="12"/>
      <c r="K65" s="12"/>
      <c r="L65" s="14" t="str">
        <f aca="false">IF(OR($C65="",$D65="",$B65=""),"",IF(COUNTIFS($C$5:$C$1504,$C65,$D$5:$D$1504,$D65,$B$5:$B$1504,$B65)&gt;1,"Takror",""))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4"/>
      <c r="F66" s="12"/>
      <c r="G66" s="25"/>
      <c r="H66" s="14" t="str">
        <f aca="false">IF(OR($D66="",$B66=""),"",INT(($B66-$D66)/365.25))</f>
        <v/>
      </c>
      <c r="I66" s="25"/>
      <c r="J66" s="12"/>
      <c r="K66" s="12"/>
      <c r="L66" s="14" t="str">
        <f aca="false">IF(OR($C66="",$D66="",$B66=""),"",IF(COUNTIFS($C$5:$C$1504,$C66,$D$5:$D$1504,$D66,$B$5:$B$1504,$B66)&gt;1,"Takror",""))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4"/>
      <c r="F67" s="12"/>
      <c r="G67" s="25"/>
      <c r="H67" s="14" t="str">
        <f aca="false">IF(OR($D67="",$B67=""),"",INT(($B67-$D67)/365.25))</f>
        <v/>
      </c>
      <c r="I67" s="25"/>
      <c r="J67" s="12"/>
      <c r="K67" s="12"/>
      <c r="L67" s="14" t="str">
        <f aca="false">IF(OR($C67="",$D67="",$B67=""),"",IF(COUNTIFS($C$5:$C$1504,$C67,$D$5:$D$1504,$D67,$B$5:$B$1504,$B67)&gt;1,"Takror",""))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4"/>
      <c r="F68" s="12"/>
      <c r="G68" s="25"/>
      <c r="H68" s="14" t="str">
        <f aca="false">IF(OR($D68="",$B68=""),"",INT(($B68-$D68)/365.25))</f>
        <v/>
      </c>
      <c r="I68" s="25"/>
      <c r="J68" s="12"/>
      <c r="K68" s="12"/>
      <c r="L68" s="14" t="str">
        <f aca="false">IF(OR($C68="",$D68="",$B68=""),"",IF(COUNTIFS($C$5:$C$1504,$C68,$D$5:$D$1504,$D68,$B$5:$B$1504,$B68)&gt;1,"Takror",""))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4"/>
      <c r="F69" s="12"/>
      <c r="G69" s="25"/>
      <c r="H69" s="14" t="str">
        <f aca="false">IF(OR($D69="",$B69=""),"",INT(($B69-$D69)/365.25))</f>
        <v/>
      </c>
      <c r="I69" s="25"/>
      <c r="J69" s="12"/>
      <c r="K69" s="12"/>
      <c r="L69" s="14" t="str">
        <f aca="false">IF(OR($C69="",$D69="",$B69=""),"",IF(COUNTIFS($C$5:$C$1504,$C69,$D$5:$D$1504,$D69,$B$5:$B$1504,$B69)&gt;1,"Takror",""))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4"/>
      <c r="F70" s="12"/>
      <c r="G70" s="25"/>
      <c r="H70" s="14" t="str">
        <f aca="false">IF(OR($D70="",$B70=""),"",INT(($B70-$D70)/365.25))</f>
        <v/>
      </c>
      <c r="I70" s="25"/>
      <c r="J70" s="12"/>
      <c r="K70" s="12"/>
      <c r="L70" s="14" t="str">
        <f aca="false">IF(OR($C70="",$D70="",$B70=""),"",IF(COUNTIFS($C$5:$C$1504,$C70,$D$5:$D$1504,$D70,$B$5:$B$1504,$B70)&gt;1,"Takror",""))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4"/>
      <c r="F71" s="12"/>
      <c r="G71" s="25"/>
      <c r="H71" s="14" t="str">
        <f aca="false">IF(OR($D71="",$B71=""),"",INT(($B71-$D71)/365.25))</f>
        <v/>
      </c>
      <c r="I71" s="25"/>
      <c r="J71" s="12"/>
      <c r="K71" s="12"/>
      <c r="L71" s="14" t="str">
        <f aca="false">IF(OR($C71="",$D71="",$B71=""),"",IF(COUNTIFS($C$5:$C$1504,$C71,$D$5:$D$1504,$D71,$B$5:$B$1504,$B71)&gt;1,"Takror",""))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4"/>
      <c r="F72" s="12"/>
      <c r="G72" s="25"/>
      <c r="H72" s="14" t="str">
        <f aca="false">IF(OR($D72="",$B72=""),"",INT(($B72-$D72)/365.25))</f>
        <v/>
      </c>
      <c r="I72" s="25"/>
      <c r="J72" s="12"/>
      <c r="K72" s="12"/>
      <c r="L72" s="14" t="str">
        <f aca="false">IF(OR($C72="",$D72="",$B72=""),"",IF(COUNTIFS($C$5:$C$1504,$C72,$D$5:$D$1504,$D72,$B$5:$B$1504,$B72)&gt;1,"Takror",""))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4"/>
      <c r="F73" s="12"/>
      <c r="G73" s="25"/>
      <c r="H73" s="14" t="str">
        <f aca="false">IF(OR($D73="",$B73=""),"",INT(($B73-$D73)/365.25))</f>
        <v/>
      </c>
      <c r="I73" s="25"/>
      <c r="J73" s="12"/>
      <c r="K73" s="12"/>
      <c r="L73" s="14" t="str">
        <f aca="false">IF(OR($C73="",$D73="",$B73=""),"",IF(COUNTIFS($C$5:$C$1504,$C73,$D$5:$D$1504,$D73,$B$5:$B$1504,$B73)&gt;1,"Takror",""))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4"/>
      <c r="F74" s="12"/>
      <c r="G74" s="25"/>
      <c r="H74" s="14" t="str">
        <f aca="false">IF(OR($D74="",$B74=""),"",INT(($B74-$D74)/365.25))</f>
        <v/>
      </c>
      <c r="I74" s="25"/>
      <c r="J74" s="12"/>
      <c r="K74" s="12"/>
      <c r="L74" s="14" t="str">
        <f aca="false">IF(OR($C74="",$D74="",$B74=""),"",IF(COUNTIFS($C$5:$C$1504,$C74,$D$5:$D$1504,$D74,$B$5:$B$1504,$B74)&gt;1,"Takror",""))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4"/>
      <c r="F75" s="12"/>
      <c r="G75" s="25"/>
      <c r="H75" s="14" t="str">
        <f aca="false">IF(OR($D75="",$B75=""),"",INT(($B75-$D75)/365.25))</f>
        <v/>
      </c>
      <c r="I75" s="25"/>
      <c r="J75" s="12"/>
      <c r="K75" s="12"/>
      <c r="L75" s="14" t="str">
        <f aca="false">IF(OR($C75="",$D75="",$B75=""),"",IF(COUNTIFS($C$5:$C$1504,$C75,$D$5:$D$1504,$D75,$B$5:$B$1504,$B75)&gt;1,"Takror",""))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4"/>
      <c r="F76" s="12"/>
      <c r="G76" s="25"/>
      <c r="H76" s="14" t="str">
        <f aca="false">IF(OR($D76="",$B76=""),"",INT(($B76-$D76)/365.25))</f>
        <v/>
      </c>
      <c r="I76" s="25"/>
      <c r="J76" s="12"/>
      <c r="K76" s="12"/>
      <c r="L76" s="14" t="str">
        <f aca="false">IF(OR($C76="",$D76="",$B76=""),"",IF(COUNTIFS($C$5:$C$1504,$C76,$D$5:$D$1504,$D76,$B$5:$B$1504,$B76)&gt;1,"Takror",""))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4"/>
      <c r="F77" s="12"/>
      <c r="G77" s="25"/>
      <c r="H77" s="14" t="str">
        <f aca="false">IF(OR($D77="",$B77=""),"",INT(($B77-$D77)/365.25))</f>
        <v/>
      </c>
      <c r="I77" s="25"/>
      <c r="J77" s="12"/>
      <c r="K77" s="12"/>
      <c r="L77" s="14" t="str">
        <f aca="false">IF(OR($C77="",$D77="",$B77=""),"",IF(COUNTIFS($C$5:$C$1504,$C77,$D$5:$D$1504,$D77,$B$5:$B$1504,$B77)&gt;1,"Takror",""))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4"/>
      <c r="F78" s="12"/>
      <c r="G78" s="25"/>
      <c r="H78" s="14" t="str">
        <f aca="false">IF(OR($D78="",$B78=""),"",INT(($B78-$D78)/365.25))</f>
        <v/>
      </c>
      <c r="I78" s="25"/>
      <c r="J78" s="12"/>
      <c r="K78" s="12"/>
      <c r="L78" s="14" t="str">
        <f aca="false">IF(OR($C78="",$D78="",$B78=""),"",IF(COUNTIFS($C$5:$C$1504,$C78,$D$5:$D$1504,$D78,$B$5:$B$1504,$B78)&gt;1,"Takror",""))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4"/>
      <c r="F79" s="12"/>
      <c r="G79" s="25"/>
      <c r="H79" s="14" t="str">
        <f aca="false">IF(OR($D79="",$B79=""),"",INT(($B79-$D79)/365.25))</f>
        <v/>
      </c>
      <c r="I79" s="25"/>
      <c r="J79" s="12"/>
      <c r="K79" s="12"/>
      <c r="L79" s="14" t="str">
        <f aca="false">IF(OR($C79="",$D79="",$B79=""),"",IF(COUNTIFS($C$5:$C$1504,$C79,$D$5:$D$1504,$D79,$B$5:$B$1504,$B79)&gt;1,"Takror",""))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4"/>
      <c r="F80" s="12"/>
      <c r="G80" s="25"/>
      <c r="H80" s="14" t="str">
        <f aca="false">IF(OR($D80="",$B80=""),"",INT(($B80-$D80)/365.25))</f>
        <v/>
      </c>
      <c r="I80" s="25"/>
      <c r="J80" s="12"/>
      <c r="K80" s="12"/>
      <c r="L80" s="14" t="str">
        <f aca="false">IF(OR($C80="",$D80="",$B80=""),"",IF(COUNTIFS($C$5:$C$1504,$C80,$D$5:$D$1504,$D80,$B$5:$B$1504,$B80)&gt;1,"Takror",""))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4"/>
      <c r="F81" s="12"/>
      <c r="G81" s="25"/>
      <c r="H81" s="14" t="str">
        <f aca="false">IF(OR($D81="",$B81=""),"",INT(($B81-$D81)/365.25))</f>
        <v/>
      </c>
      <c r="I81" s="25"/>
      <c r="J81" s="12"/>
      <c r="K81" s="12"/>
      <c r="L81" s="14" t="str">
        <f aca="false">IF(OR($C81="",$D81="",$B81=""),"",IF(COUNTIFS($C$5:$C$1504,$C81,$D$5:$D$1504,$D81,$B$5:$B$1504,$B81)&gt;1,"Takror",""))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4"/>
      <c r="F82" s="12"/>
      <c r="G82" s="25"/>
      <c r="H82" s="14" t="str">
        <f aca="false">IF(OR($D82="",$B82=""),"",INT(($B82-$D82)/365.25))</f>
        <v/>
      </c>
      <c r="I82" s="25"/>
      <c r="J82" s="12"/>
      <c r="K82" s="12"/>
      <c r="L82" s="14" t="str">
        <f aca="false">IF(OR($C82="",$D82="",$B82=""),"",IF(COUNTIFS($C$5:$C$1504,$C82,$D$5:$D$1504,$D82,$B$5:$B$1504,$B82)&gt;1,"Takror",""))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4"/>
      <c r="F83" s="12"/>
      <c r="G83" s="25"/>
      <c r="H83" s="14" t="str">
        <f aca="false">IF(OR($D83="",$B83=""),"",INT(($B83-$D83)/365.25))</f>
        <v/>
      </c>
      <c r="I83" s="25"/>
      <c r="J83" s="12"/>
      <c r="K83" s="12"/>
      <c r="L83" s="14" t="str">
        <f aca="false">IF(OR($C83="",$D83="",$B83=""),"",IF(COUNTIFS($C$5:$C$1504,$C83,$D$5:$D$1504,$D83,$B$5:$B$1504,$B83)&gt;1,"Takror",""))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4"/>
      <c r="F84" s="12"/>
      <c r="G84" s="25"/>
      <c r="H84" s="14" t="str">
        <f aca="false">IF(OR($D84="",$B84=""),"",INT(($B84-$D84)/365.25))</f>
        <v/>
      </c>
      <c r="I84" s="25"/>
      <c r="J84" s="12"/>
      <c r="K84" s="12"/>
      <c r="L84" s="14" t="str">
        <f aca="false">IF(OR($C84="",$D84="",$B84=""),"",IF(COUNTIFS($C$5:$C$1504,$C84,$D$5:$D$1504,$D84,$B$5:$B$1504,$B84)&gt;1,"Takror",""))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4"/>
      <c r="F85" s="12"/>
      <c r="G85" s="25"/>
      <c r="H85" s="14" t="str">
        <f aca="false">IF(OR($D85="",$B85=""),"",INT(($B85-$D85)/365.25))</f>
        <v/>
      </c>
      <c r="I85" s="25"/>
      <c r="J85" s="12"/>
      <c r="K85" s="12"/>
      <c r="L85" s="14" t="str">
        <f aca="false">IF(OR($C85="",$D85="",$B85=""),"",IF(COUNTIFS($C$5:$C$1504,$C85,$D$5:$D$1504,$D85,$B$5:$B$1504,$B85)&gt;1,"Takror",""))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4"/>
      <c r="F86" s="12"/>
      <c r="G86" s="25"/>
      <c r="H86" s="14" t="str">
        <f aca="false">IF(OR($D86="",$B86=""),"",INT(($B86-$D86)/365.25))</f>
        <v/>
      </c>
      <c r="I86" s="25"/>
      <c r="J86" s="12"/>
      <c r="K86" s="12"/>
      <c r="L86" s="14" t="str">
        <f aca="false">IF(OR($C86="",$D86="",$B86=""),"",IF(COUNTIFS($C$5:$C$1504,$C86,$D$5:$D$1504,$D86,$B$5:$B$1504,$B86)&gt;1,"Takror",""))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4"/>
      <c r="F87" s="12"/>
      <c r="G87" s="25"/>
      <c r="H87" s="14" t="str">
        <f aca="false">IF(OR($D87="",$B87=""),"",INT(($B87-$D87)/365.25))</f>
        <v/>
      </c>
      <c r="I87" s="25"/>
      <c r="J87" s="12"/>
      <c r="K87" s="12"/>
      <c r="L87" s="14" t="str">
        <f aca="false">IF(OR($C87="",$D87="",$B87=""),"",IF(COUNTIFS($C$5:$C$1504,$C87,$D$5:$D$1504,$D87,$B$5:$B$1504,$B87)&gt;1,"Takror",""))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4"/>
      <c r="F88" s="12"/>
      <c r="G88" s="25"/>
      <c r="H88" s="14" t="str">
        <f aca="false">IF(OR($D88="",$B88=""),"",INT(($B88-$D88)/365.25))</f>
        <v/>
      </c>
      <c r="I88" s="25"/>
      <c r="J88" s="12"/>
      <c r="K88" s="12"/>
      <c r="L88" s="14" t="str">
        <f aca="false">IF(OR($C88="",$D88="",$B88=""),"",IF(COUNTIFS($C$5:$C$1504,$C88,$D$5:$D$1504,$D88,$B$5:$B$1504,$B88)&gt;1,"Takror",""))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4"/>
      <c r="F89" s="12"/>
      <c r="G89" s="25"/>
      <c r="H89" s="14" t="str">
        <f aca="false">IF(OR($D89="",$B89=""),"",INT(($B89-$D89)/365.25))</f>
        <v/>
      </c>
      <c r="I89" s="25"/>
      <c r="J89" s="12"/>
      <c r="K89" s="12"/>
      <c r="L89" s="14" t="str">
        <f aca="false">IF(OR($C89="",$D89="",$B89=""),"",IF(COUNTIFS($C$5:$C$1504,$C89,$D$5:$D$1504,$D89,$B$5:$B$1504,$B89)&gt;1,"Takror",""))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4"/>
      <c r="F90" s="12"/>
      <c r="G90" s="25"/>
      <c r="H90" s="14" t="str">
        <f aca="false">IF(OR($D90="",$B90=""),"",INT(($B90-$D90)/365.25))</f>
        <v/>
      </c>
      <c r="I90" s="25"/>
      <c r="J90" s="12"/>
      <c r="K90" s="12"/>
      <c r="L90" s="14" t="str">
        <f aca="false">IF(OR($C90="",$D90="",$B90=""),"",IF(COUNTIFS($C$5:$C$1504,$C90,$D$5:$D$1504,$D90,$B$5:$B$1504,$B90)&gt;1,"Takror",""))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4"/>
      <c r="F91" s="12"/>
      <c r="G91" s="25"/>
      <c r="H91" s="14" t="str">
        <f aca="false">IF(OR($D91="",$B91=""),"",INT(($B91-$D91)/365.25))</f>
        <v/>
      </c>
      <c r="I91" s="25"/>
      <c r="J91" s="12"/>
      <c r="K91" s="12"/>
      <c r="L91" s="14" t="str">
        <f aca="false">IF(OR($C91="",$D91="",$B91=""),"",IF(COUNTIFS($C$5:$C$1504,$C91,$D$5:$D$1504,$D91,$B$5:$B$1504,$B91)&gt;1,"Takror",""))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4"/>
      <c r="F92" s="12"/>
      <c r="G92" s="25"/>
      <c r="H92" s="14" t="str">
        <f aca="false">IF(OR($D92="",$B92=""),"",INT(($B92-$D92)/365.25))</f>
        <v/>
      </c>
      <c r="I92" s="25"/>
      <c r="J92" s="12"/>
      <c r="K92" s="12"/>
      <c r="L92" s="14" t="str">
        <f aca="false">IF(OR($C92="",$D92="",$B92=""),"",IF(COUNTIFS($C$5:$C$1504,$C92,$D$5:$D$1504,$D92,$B$5:$B$1504,$B92)&gt;1,"Takror",""))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4"/>
      <c r="F93" s="12"/>
      <c r="G93" s="25"/>
      <c r="H93" s="14" t="str">
        <f aca="false">IF(OR($D93="",$B93=""),"",INT(($B93-$D93)/365.25))</f>
        <v/>
      </c>
      <c r="I93" s="25"/>
      <c r="J93" s="12"/>
      <c r="K93" s="12"/>
      <c r="L93" s="14" t="str">
        <f aca="false">IF(OR($C93="",$D93="",$B93=""),"",IF(COUNTIFS($C$5:$C$1504,$C93,$D$5:$D$1504,$D93,$B$5:$B$1504,$B93)&gt;1,"Takror",""))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4"/>
      <c r="F94" s="12"/>
      <c r="G94" s="25"/>
      <c r="H94" s="14" t="str">
        <f aca="false">IF(OR($D94="",$B94=""),"",INT(($B94-$D94)/365.25))</f>
        <v/>
      </c>
      <c r="I94" s="25"/>
      <c r="J94" s="12"/>
      <c r="K94" s="12"/>
      <c r="L94" s="14" t="str">
        <f aca="false">IF(OR($C94="",$D94="",$B94=""),"",IF(COUNTIFS($C$5:$C$1504,$C94,$D$5:$D$1504,$D94,$B$5:$B$1504,$B94)&gt;1,"Takror",""))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4"/>
      <c r="F95" s="12"/>
      <c r="G95" s="25"/>
      <c r="H95" s="14" t="str">
        <f aca="false">IF(OR($D95="",$B95=""),"",INT(($B95-$D95)/365.25))</f>
        <v/>
      </c>
      <c r="I95" s="25"/>
      <c r="J95" s="12"/>
      <c r="K95" s="12"/>
      <c r="L95" s="14" t="str">
        <f aca="false">IF(OR($C95="",$D95="",$B95=""),"",IF(COUNTIFS($C$5:$C$1504,$C95,$D$5:$D$1504,$D95,$B$5:$B$1504,$B95)&gt;1,"Takror",""))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4"/>
      <c r="F96" s="12"/>
      <c r="G96" s="25"/>
      <c r="H96" s="14" t="str">
        <f aca="false">IF(OR($D96="",$B96=""),"",INT(($B96-$D96)/365.25))</f>
        <v/>
      </c>
      <c r="I96" s="25"/>
      <c r="J96" s="12"/>
      <c r="K96" s="12"/>
      <c r="L96" s="14" t="str">
        <f aca="false">IF(OR($C96="",$D96="",$B96=""),"",IF(COUNTIFS($C$5:$C$1504,$C96,$D$5:$D$1504,$D96,$B$5:$B$1504,$B96)&gt;1,"Takror",""))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4"/>
      <c r="F97" s="12"/>
      <c r="G97" s="25"/>
      <c r="H97" s="14" t="str">
        <f aca="false">IF(OR($D97="",$B97=""),"",INT(($B97-$D97)/365.25))</f>
        <v/>
      </c>
      <c r="I97" s="25"/>
      <c r="J97" s="12"/>
      <c r="K97" s="12"/>
      <c r="L97" s="14" t="str">
        <f aca="false">IF(OR($C97="",$D97="",$B97=""),"",IF(COUNTIFS($C$5:$C$1504,$C97,$D$5:$D$1504,$D97,$B$5:$B$1504,$B97)&gt;1,"Takror",""))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4"/>
      <c r="F98" s="12"/>
      <c r="G98" s="25"/>
      <c r="H98" s="14" t="str">
        <f aca="false">IF(OR($D98="",$B98=""),"",INT(($B98-$D98)/365.25))</f>
        <v/>
      </c>
      <c r="I98" s="25"/>
      <c r="J98" s="12"/>
      <c r="K98" s="12"/>
      <c r="L98" s="14" t="str">
        <f aca="false">IF(OR($C98="",$D98="",$B98=""),"",IF(COUNTIFS($C$5:$C$1504,$C98,$D$5:$D$1504,$D98,$B$5:$B$1504,$B98)&gt;1,"Takror",""))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4"/>
      <c r="F99" s="12"/>
      <c r="G99" s="25"/>
      <c r="H99" s="14" t="str">
        <f aca="false">IF(OR($D99="",$B99=""),"",INT(($B99-$D99)/365.25))</f>
        <v/>
      </c>
      <c r="I99" s="25"/>
      <c r="J99" s="12"/>
      <c r="K99" s="12"/>
      <c r="L99" s="14" t="str">
        <f aca="false">IF(OR($C99="",$D99="",$B99=""),"",IF(COUNTIFS($C$5:$C$1504,$C99,$D$5:$D$1504,$D99,$B$5:$B$1504,$B99)&gt;1,"Takror",""))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4"/>
      <c r="F100" s="12"/>
      <c r="G100" s="25"/>
      <c r="H100" s="14" t="str">
        <f aca="false">IF(OR($D100="",$B100=""),"",INT(($B100-$D100)/365.25))</f>
        <v/>
      </c>
      <c r="I100" s="25"/>
      <c r="J100" s="12"/>
      <c r="K100" s="12"/>
      <c r="L100" s="14" t="str">
        <f aca="false">IF(OR($C100="",$D100="",$B100=""),"",IF(COUNTIFS($C$5:$C$1504,$C100,$D$5:$D$1504,$D100,$B$5:$B$1504,$B100)&gt;1,"Takror",""))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4"/>
      <c r="F101" s="12"/>
      <c r="G101" s="25"/>
      <c r="H101" s="14" t="str">
        <f aca="false">IF(OR($D101="",$B101=""),"",INT(($B101-$D101)/365.25))</f>
        <v/>
      </c>
      <c r="I101" s="25"/>
      <c r="J101" s="12"/>
      <c r="K101" s="12"/>
      <c r="L101" s="14" t="str">
        <f aca="false">IF(OR($C101="",$D101="",$B101=""),"",IF(COUNTIFS($C$5:$C$1504,$C101,$D$5:$D$1504,$D101,$B$5:$B$1504,$B101)&gt;1,"Takror",""))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4"/>
      <c r="F102" s="12"/>
      <c r="G102" s="25"/>
      <c r="H102" s="14" t="str">
        <f aca="false">IF(OR($D102="",$B102=""),"",INT(($B102-$D102)/365.25))</f>
        <v/>
      </c>
      <c r="I102" s="25"/>
      <c r="J102" s="12"/>
      <c r="K102" s="12"/>
      <c r="L102" s="14" t="str">
        <f aca="false">IF(OR($C102="",$D102="",$B102=""),"",IF(COUNTIFS($C$5:$C$1504,$C102,$D$5:$D$1504,$D102,$B$5:$B$1504,$B102)&gt;1,"Takror",""))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4"/>
      <c r="F103" s="12"/>
      <c r="G103" s="25"/>
      <c r="H103" s="14" t="str">
        <f aca="false">IF(OR($D103="",$B103=""),"",INT(($B103-$D103)/365.25))</f>
        <v/>
      </c>
      <c r="I103" s="25"/>
      <c r="J103" s="12"/>
      <c r="K103" s="12"/>
      <c r="L103" s="14" t="str">
        <f aca="false">IF(OR($C103="",$D103="",$B103=""),"",IF(COUNTIFS($C$5:$C$1504,$C103,$D$5:$D$1504,$D103,$B$5:$B$1504,$B103)&gt;1,"Takror",""))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4"/>
      <c r="F104" s="12"/>
      <c r="G104" s="25"/>
      <c r="H104" s="14" t="str">
        <f aca="false">IF(OR($D104="",$B104=""),"",INT(($B104-$D104)/365.25))</f>
        <v/>
      </c>
      <c r="I104" s="25"/>
      <c r="J104" s="12"/>
      <c r="K104" s="12"/>
      <c r="L104" s="14" t="str">
        <f aca="false">IF(OR($C104="",$D104="",$B104=""),"",IF(COUNTIFS($C$5:$C$1504,$C104,$D$5:$D$1504,$D104,$B$5:$B$1504,$B104)&gt;1,"Takror",""))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4"/>
      <c r="F105" s="12"/>
      <c r="G105" s="25"/>
      <c r="H105" s="14" t="str">
        <f aca="false">IF(OR($D105="",$B105=""),"",INT(($B105-$D105)/365.25))</f>
        <v/>
      </c>
      <c r="I105" s="25"/>
      <c r="J105" s="12"/>
      <c r="K105" s="12"/>
      <c r="L105" s="14" t="str">
        <f aca="false">IF(OR($C105="",$D105="",$B105=""),"",IF(COUNTIFS($C$5:$C$1504,$C105,$D$5:$D$1504,$D105,$B$5:$B$1504,$B105)&gt;1,"Takror",""))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4"/>
      <c r="F106" s="12"/>
      <c r="G106" s="25"/>
      <c r="H106" s="14" t="str">
        <f aca="false">IF(OR($D106="",$B106=""),"",INT(($B106-$D106)/365.25))</f>
        <v/>
      </c>
      <c r="I106" s="25"/>
      <c r="J106" s="12"/>
      <c r="K106" s="12"/>
      <c r="L106" s="14" t="str">
        <f aca="false">IF(OR($C106="",$D106="",$B106=""),"",IF(COUNTIFS($C$5:$C$1504,$C106,$D$5:$D$1504,$D106,$B$5:$B$1504,$B106)&gt;1,"Takror",""))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4"/>
      <c r="F107" s="12"/>
      <c r="G107" s="25"/>
      <c r="H107" s="14" t="str">
        <f aca="false">IF(OR($D107="",$B107=""),"",INT(($B107-$D107)/365.25))</f>
        <v/>
      </c>
      <c r="I107" s="25"/>
      <c r="J107" s="12"/>
      <c r="K107" s="12"/>
      <c r="L107" s="14" t="str">
        <f aca="false">IF(OR($C107="",$D107="",$B107=""),"",IF(COUNTIFS($C$5:$C$1504,$C107,$D$5:$D$1504,$D107,$B$5:$B$1504,$B107)&gt;1,"Takror",""))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4"/>
      <c r="F108" s="12"/>
      <c r="G108" s="25"/>
      <c r="H108" s="14" t="str">
        <f aca="false">IF(OR($D108="",$B108=""),"",INT(($B108-$D108)/365.25))</f>
        <v/>
      </c>
      <c r="I108" s="25"/>
      <c r="J108" s="12"/>
      <c r="K108" s="12"/>
      <c r="L108" s="14" t="str">
        <f aca="false">IF(OR($C108="",$D108="",$B108=""),"",IF(COUNTIFS($C$5:$C$1504,$C108,$D$5:$D$1504,$D108,$B$5:$B$1504,$B108)&gt;1,"Takror",""))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4"/>
      <c r="F109" s="12"/>
      <c r="G109" s="25"/>
      <c r="H109" s="14" t="str">
        <f aca="false">IF(OR($D109="",$B109=""),"",INT(($B109-$D109)/365.25))</f>
        <v/>
      </c>
      <c r="I109" s="25"/>
      <c r="J109" s="12"/>
      <c r="K109" s="12"/>
      <c r="L109" s="14" t="str">
        <f aca="false">IF(OR($C109="",$D109="",$B109=""),"",IF(COUNTIFS($C$5:$C$1504,$C109,$D$5:$D$1504,$D109,$B$5:$B$1504,$B109)&gt;1,"Takror",""))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4"/>
      <c r="F110" s="12"/>
      <c r="G110" s="25"/>
      <c r="H110" s="14" t="str">
        <f aca="false">IF(OR($D110="",$B110=""),"",INT(($B110-$D110)/365.25))</f>
        <v/>
      </c>
      <c r="I110" s="25"/>
      <c r="J110" s="12"/>
      <c r="K110" s="12"/>
      <c r="L110" s="14" t="str">
        <f aca="false">IF(OR($C110="",$D110="",$B110=""),"",IF(COUNTIFS($C$5:$C$1504,$C110,$D$5:$D$1504,$D110,$B$5:$B$1504,$B110)&gt;1,"Takror",""))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4"/>
      <c r="F111" s="12"/>
      <c r="G111" s="25"/>
      <c r="H111" s="14" t="str">
        <f aca="false">IF(OR($D111="",$B111=""),"",INT(($B111-$D111)/365.25))</f>
        <v/>
      </c>
      <c r="I111" s="25"/>
      <c r="J111" s="12"/>
      <c r="K111" s="12"/>
      <c r="L111" s="14" t="str">
        <f aca="false">IF(OR($C111="",$D111="",$B111=""),"",IF(COUNTIFS($C$5:$C$1504,$C111,$D$5:$D$1504,$D111,$B$5:$B$1504,$B111)&gt;1,"Takror",""))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4"/>
      <c r="F112" s="12"/>
      <c r="G112" s="25"/>
      <c r="H112" s="14" t="str">
        <f aca="false">IF(OR($D112="",$B112=""),"",INT(($B112-$D112)/365.25))</f>
        <v/>
      </c>
      <c r="I112" s="25"/>
      <c r="J112" s="12"/>
      <c r="K112" s="12"/>
      <c r="L112" s="14" t="str">
        <f aca="false">IF(OR($C112="",$D112="",$B112=""),"",IF(COUNTIFS($C$5:$C$1504,$C112,$D$5:$D$1504,$D112,$B$5:$B$1504,$B112)&gt;1,"Takror",""))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4"/>
      <c r="F113" s="12"/>
      <c r="G113" s="25"/>
      <c r="H113" s="14" t="str">
        <f aca="false">IF(OR($D113="",$B113=""),"",INT(($B113-$D113)/365.25))</f>
        <v/>
      </c>
      <c r="I113" s="25"/>
      <c r="J113" s="12"/>
      <c r="K113" s="12"/>
      <c r="L113" s="14" t="str">
        <f aca="false">IF(OR($C113="",$D113="",$B113=""),"",IF(COUNTIFS($C$5:$C$1504,$C113,$D$5:$D$1504,$D113,$B$5:$B$1504,$B113)&gt;1,"Takror",""))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4"/>
      <c r="F114" s="12"/>
      <c r="G114" s="25"/>
      <c r="H114" s="14" t="str">
        <f aca="false">IF(OR($D114="",$B114=""),"",INT(($B114-$D114)/365.25))</f>
        <v/>
      </c>
      <c r="I114" s="25"/>
      <c r="J114" s="12"/>
      <c r="K114" s="12"/>
      <c r="L114" s="14" t="str">
        <f aca="false">IF(OR($C114="",$D114="",$B114=""),"",IF(COUNTIFS($C$5:$C$1504,$C114,$D$5:$D$1504,$D114,$B$5:$B$1504,$B114)&gt;1,"Takror",""))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4"/>
      <c r="F115" s="12"/>
      <c r="G115" s="25"/>
      <c r="H115" s="14" t="str">
        <f aca="false">IF(OR($D115="",$B115=""),"",INT(($B115-$D115)/365.25))</f>
        <v/>
      </c>
      <c r="I115" s="25"/>
      <c r="J115" s="12"/>
      <c r="K115" s="12"/>
      <c r="L115" s="14" t="str">
        <f aca="false">IF(OR($C115="",$D115="",$B115=""),"",IF(COUNTIFS($C$5:$C$1504,$C115,$D$5:$D$1504,$D115,$B$5:$B$1504,$B115)&gt;1,"Takror",""))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4"/>
      <c r="F116" s="12"/>
      <c r="G116" s="25"/>
      <c r="H116" s="14" t="str">
        <f aca="false">IF(OR($D116="",$B116=""),"",INT(($B116-$D116)/365.25))</f>
        <v/>
      </c>
      <c r="I116" s="25"/>
      <c r="J116" s="12"/>
      <c r="K116" s="12"/>
      <c r="L116" s="14" t="str">
        <f aca="false">IF(OR($C116="",$D116="",$B116=""),"",IF(COUNTIFS($C$5:$C$1504,$C116,$D$5:$D$1504,$D116,$B$5:$B$1504,$B116)&gt;1,"Takror",""))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4"/>
      <c r="F117" s="12"/>
      <c r="G117" s="25"/>
      <c r="H117" s="14" t="str">
        <f aca="false">IF(OR($D117="",$B117=""),"",INT(($B117-$D117)/365.25))</f>
        <v/>
      </c>
      <c r="I117" s="25"/>
      <c r="J117" s="12"/>
      <c r="K117" s="12"/>
      <c r="L117" s="14" t="str">
        <f aca="false">IF(OR($C117="",$D117="",$B117=""),"",IF(COUNTIFS($C$5:$C$1504,$C117,$D$5:$D$1504,$D117,$B$5:$B$1504,$B117)&gt;1,"Takror",""))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4"/>
      <c r="F118" s="12"/>
      <c r="G118" s="25"/>
      <c r="H118" s="14" t="str">
        <f aca="false">IF(OR($D118="",$B118=""),"",INT(($B118-$D118)/365.25))</f>
        <v/>
      </c>
      <c r="I118" s="25"/>
      <c r="J118" s="12"/>
      <c r="K118" s="12"/>
      <c r="L118" s="14" t="str">
        <f aca="false">IF(OR($C118="",$D118="",$B118=""),"",IF(COUNTIFS($C$5:$C$1504,$C118,$D$5:$D$1504,$D118,$B$5:$B$1504,$B118)&gt;1,"Takror",""))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4"/>
      <c r="F119" s="12"/>
      <c r="G119" s="25"/>
      <c r="H119" s="14" t="str">
        <f aca="false">IF(OR($D119="",$B119=""),"",INT(($B119-$D119)/365.25))</f>
        <v/>
      </c>
      <c r="I119" s="25"/>
      <c r="J119" s="12"/>
      <c r="K119" s="12"/>
      <c r="L119" s="14" t="str">
        <f aca="false">IF(OR($C119="",$D119="",$B119=""),"",IF(COUNTIFS($C$5:$C$1504,$C119,$D$5:$D$1504,$D119,$B$5:$B$1504,$B119)&gt;1,"Takror",""))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4"/>
      <c r="F120" s="12"/>
      <c r="G120" s="25"/>
      <c r="H120" s="14" t="str">
        <f aca="false">IF(OR($D120="",$B120=""),"",INT(($B120-$D120)/365.25))</f>
        <v/>
      </c>
      <c r="I120" s="25"/>
      <c r="J120" s="12"/>
      <c r="K120" s="12"/>
      <c r="L120" s="14" t="str">
        <f aca="false">IF(OR($C120="",$D120="",$B120=""),"",IF(COUNTIFS($C$5:$C$1504,$C120,$D$5:$D$1504,$D120,$B$5:$B$1504,$B120)&gt;1,"Takror",""))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4"/>
      <c r="F121" s="12"/>
      <c r="G121" s="25"/>
      <c r="H121" s="14" t="str">
        <f aca="false">IF(OR($D121="",$B121=""),"",INT(($B121-$D121)/365.25))</f>
        <v/>
      </c>
      <c r="I121" s="25"/>
      <c r="J121" s="12"/>
      <c r="K121" s="12"/>
      <c r="L121" s="14" t="str">
        <f aca="false">IF(OR($C121="",$D121="",$B121=""),"",IF(COUNTIFS($C$5:$C$1504,$C121,$D$5:$D$1504,$D121,$B$5:$B$1504,$B121)&gt;1,"Takror",""))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4"/>
      <c r="F122" s="12"/>
      <c r="G122" s="25"/>
      <c r="H122" s="14" t="str">
        <f aca="false">IF(OR($D122="",$B122=""),"",INT(($B122-$D122)/365.25))</f>
        <v/>
      </c>
      <c r="I122" s="25"/>
      <c r="J122" s="12"/>
      <c r="K122" s="12"/>
      <c r="L122" s="14" t="str">
        <f aca="false">IF(OR($C122="",$D122="",$B122=""),"",IF(COUNTIFS($C$5:$C$1504,$C122,$D$5:$D$1504,$D122,$B$5:$B$1504,$B122)&gt;1,"Takror",""))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4"/>
      <c r="F123" s="12"/>
      <c r="G123" s="25"/>
      <c r="H123" s="14" t="str">
        <f aca="false">IF(OR($D123="",$B123=""),"",INT(($B123-$D123)/365.25))</f>
        <v/>
      </c>
      <c r="I123" s="25"/>
      <c r="J123" s="12"/>
      <c r="K123" s="12"/>
      <c r="L123" s="14" t="str">
        <f aca="false">IF(OR($C123="",$D123="",$B123=""),"",IF(COUNTIFS($C$5:$C$1504,$C123,$D$5:$D$1504,$D123,$B$5:$B$1504,$B123)&gt;1,"Takror",""))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4"/>
      <c r="F124" s="12"/>
      <c r="G124" s="25"/>
      <c r="H124" s="14" t="str">
        <f aca="false">IF(OR($D124="",$B124=""),"",INT(($B124-$D124)/365.25))</f>
        <v/>
      </c>
      <c r="I124" s="25"/>
      <c r="J124" s="12"/>
      <c r="K124" s="12"/>
      <c r="L124" s="14" t="str">
        <f aca="false">IF(OR($C124="",$D124="",$B124=""),"",IF(COUNTIFS($C$5:$C$1504,$C124,$D$5:$D$1504,$D124,$B$5:$B$1504,$B124)&gt;1,"Takror",""))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4"/>
      <c r="F125" s="12"/>
      <c r="G125" s="25"/>
      <c r="H125" s="14" t="str">
        <f aca="false">IF(OR($D125="",$B125=""),"",INT(($B125-$D125)/365.25))</f>
        <v/>
      </c>
      <c r="I125" s="25"/>
      <c r="J125" s="12"/>
      <c r="K125" s="12"/>
      <c r="L125" s="14" t="str">
        <f aca="false">IF(OR($C125="",$D125="",$B125=""),"",IF(COUNTIFS($C$5:$C$1504,$C125,$D$5:$D$1504,$D125,$B$5:$B$1504,$B125)&gt;1,"Takror",""))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4"/>
      <c r="F126" s="12"/>
      <c r="G126" s="25"/>
      <c r="H126" s="14" t="str">
        <f aca="false">IF(OR($D126="",$B126=""),"",INT(($B126-$D126)/365.25))</f>
        <v/>
      </c>
      <c r="I126" s="25"/>
      <c r="J126" s="12"/>
      <c r="K126" s="12"/>
      <c r="L126" s="14" t="str">
        <f aca="false">IF(OR($C126="",$D126="",$B126=""),"",IF(COUNTIFS($C$5:$C$1504,$C126,$D$5:$D$1504,$D126,$B$5:$B$1504,$B126)&gt;1,"Takror",""))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4"/>
      <c r="F127" s="12"/>
      <c r="G127" s="25"/>
      <c r="H127" s="14" t="str">
        <f aca="false">IF(OR($D127="",$B127=""),"",INT(($B127-$D127)/365.25))</f>
        <v/>
      </c>
      <c r="I127" s="25"/>
      <c r="J127" s="12"/>
      <c r="K127" s="12"/>
      <c r="L127" s="14" t="str">
        <f aca="false">IF(OR($C127="",$D127="",$B127=""),"",IF(COUNTIFS($C$5:$C$1504,$C127,$D$5:$D$1504,$D127,$B$5:$B$1504,$B127)&gt;1,"Takror",""))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4"/>
      <c r="F128" s="12"/>
      <c r="G128" s="25"/>
      <c r="H128" s="14" t="str">
        <f aca="false">IF(OR($D128="",$B128=""),"",INT(($B128-$D128)/365.25))</f>
        <v/>
      </c>
      <c r="I128" s="25"/>
      <c r="J128" s="12"/>
      <c r="K128" s="12"/>
      <c r="L128" s="14" t="str">
        <f aca="false">IF(OR($C128="",$D128="",$B128=""),"",IF(COUNTIFS($C$5:$C$1504,$C128,$D$5:$D$1504,$D128,$B$5:$B$1504,$B128)&gt;1,"Takror",""))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4"/>
      <c r="F129" s="12"/>
      <c r="G129" s="25"/>
      <c r="H129" s="14" t="str">
        <f aca="false">IF(OR($D129="",$B129=""),"",INT(($B129-$D129)/365.25))</f>
        <v/>
      </c>
      <c r="I129" s="25"/>
      <c r="J129" s="12"/>
      <c r="K129" s="12"/>
      <c r="L129" s="14" t="str">
        <f aca="false">IF(OR($C129="",$D129="",$B129=""),"",IF(COUNTIFS($C$5:$C$1504,$C129,$D$5:$D$1504,$D129,$B$5:$B$1504,$B129)&gt;1,"Takror",""))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4"/>
      <c r="F130" s="12"/>
      <c r="G130" s="25"/>
      <c r="H130" s="14" t="str">
        <f aca="false">IF(OR($D130="",$B130=""),"",INT(($B130-$D130)/365.25))</f>
        <v/>
      </c>
      <c r="I130" s="25"/>
      <c r="J130" s="12"/>
      <c r="K130" s="12"/>
      <c r="L130" s="14" t="str">
        <f aca="false">IF(OR($C130="",$D130="",$B130=""),"",IF(COUNTIFS($C$5:$C$1504,$C130,$D$5:$D$1504,$D130,$B$5:$B$1504,$B130)&gt;1,"Takror",""))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4"/>
      <c r="F131" s="12"/>
      <c r="G131" s="25"/>
      <c r="H131" s="14" t="str">
        <f aca="false">IF(OR($D131="",$B131=""),"",INT(($B131-$D131)/365.25))</f>
        <v/>
      </c>
      <c r="I131" s="25"/>
      <c r="J131" s="12"/>
      <c r="K131" s="12"/>
      <c r="L131" s="14" t="str">
        <f aca="false">IF(OR($C131="",$D131="",$B131=""),"",IF(COUNTIFS($C$5:$C$1504,$C131,$D$5:$D$1504,$D131,$B$5:$B$1504,$B131)&gt;1,"Takror",""))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4"/>
      <c r="F132" s="12"/>
      <c r="G132" s="25"/>
      <c r="H132" s="14" t="str">
        <f aca="false">IF(OR($D132="",$B132=""),"",INT(($B132-$D132)/365.25))</f>
        <v/>
      </c>
      <c r="I132" s="25"/>
      <c r="J132" s="12"/>
      <c r="K132" s="12"/>
      <c r="L132" s="14" t="str">
        <f aca="false">IF(OR($C132="",$D132="",$B132=""),"",IF(COUNTIFS($C$5:$C$1504,$C132,$D$5:$D$1504,$D132,$B$5:$B$1504,$B132)&gt;1,"Takror",""))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4"/>
      <c r="F133" s="12"/>
      <c r="G133" s="25"/>
      <c r="H133" s="14" t="str">
        <f aca="false">IF(OR($D133="",$B133=""),"",INT(($B133-$D133)/365.25))</f>
        <v/>
      </c>
      <c r="I133" s="25"/>
      <c r="J133" s="12"/>
      <c r="K133" s="12"/>
      <c r="L133" s="14" t="str">
        <f aca="false">IF(OR($C133="",$D133="",$B133=""),"",IF(COUNTIFS($C$5:$C$1504,$C133,$D$5:$D$1504,$D133,$B$5:$B$1504,$B133)&gt;1,"Takror",""))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4"/>
      <c r="F134" s="12"/>
      <c r="G134" s="25"/>
      <c r="H134" s="14" t="str">
        <f aca="false">IF(OR($D134="",$B134=""),"",INT(($B134-$D134)/365.25))</f>
        <v/>
      </c>
      <c r="I134" s="25"/>
      <c r="J134" s="12"/>
      <c r="K134" s="12"/>
      <c r="L134" s="14" t="str">
        <f aca="false">IF(OR($C134="",$D134="",$B134=""),"",IF(COUNTIFS($C$5:$C$1504,$C134,$D$5:$D$1504,$D134,$B$5:$B$1504,$B134)&gt;1,"Takror",""))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4"/>
      <c r="F135" s="12"/>
      <c r="G135" s="25"/>
      <c r="H135" s="14" t="str">
        <f aca="false">IF(OR($D135="",$B135=""),"",INT(($B135-$D135)/365.25))</f>
        <v/>
      </c>
      <c r="I135" s="25"/>
      <c r="J135" s="12"/>
      <c r="K135" s="12"/>
      <c r="L135" s="14" t="str">
        <f aca="false">IF(OR($C135="",$D135="",$B135=""),"",IF(COUNTIFS($C$5:$C$1504,$C135,$D$5:$D$1504,$D135,$B$5:$B$1504,$B135)&gt;1,"Takror",""))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4"/>
      <c r="F136" s="12"/>
      <c r="G136" s="25"/>
      <c r="H136" s="14" t="str">
        <f aca="false">IF(OR($D136="",$B136=""),"",INT(($B136-$D136)/365.25))</f>
        <v/>
      </c>
      <c r="I136" s="25"/>
      <c r="J136" s="12"/>
      <c r="K136" s="12"/>
      <c r="L136" s="14" t="str">
        <f aca="false">IF(OR($C136="",$D136="",$B136=""),"",IF(COUNTIFS($C$5:$C$1504,$C136,$D$5:$D$1504,$D136,$B$5:$B$1504,$B136)&gt;1,"Takror",""))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4"/>
      <c r="F137" s="12"/>
      <c r="G137" s="25"/>
      <c r="H137" s="14" t="str">
        <f aca="false">IF(OR($D137="",$B137=""),"",INT(($B137-$D137)/365.25))</f>
        <v/>
      </c>
      <c r="I137" s="25"/>
      <c r="J137" s="12"/>
      <c r="K137" s="12"/>
      <c r="L137" s="14" t="str">
        <f aca="false">IF(OR($C137="",$D137="",$B137=""),"",IF(COUNTIFS($C$5:$C$1504,$C137,$D$5:$D$1504,$D137,$B$5:$B$1504,$B137)&gt;1,"Takror",""))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4"/>
      <c r="F138" s="12"/>
      <c r="G138" s="25"/>
      <c r="H138" s="14" t="str">
        <f aca="false">IF(OR($D138="",$B138=""),"",INT(($B138-$D138)/365.25))</f>
        <v/>
      </c>
      <c r="I138" s="25"/>
      <c r="J138" s="12"/>
      <c r="K138" s="12"/>
      <c r="L138" s="14" t="str">
        <f aca="false">IF(OR($C138="",$D138="",$B138=""),"",IF(COUNTIFS($C$5:$C$1504,$C138,$D$5:$D$1504,$D138,$B$5:$B$1504,$B138)&gt;1,"Takror",""))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4"/>
      <c r="F139" s="12"/>
      <c r="G139" s="25"/>
      <c r="H139" s="14" t="str">
        <f aca="false">IF(OR($D139="",$B139=""),"",INT(($B139-$D139)/365.25))</f>
        <v/>
      </c>
      <c r="I139" s="25"/>
      <c r="J139" s="12"/>
      <c r="K139" s="12"/>
      <c r="L139" s="14" t="str">
        <f aca="false">IF(OR($C139="",$D139="",$B139=""),"",IF(COUNTIFS($C$5:$C$1504,$C139,$D$5:$D$1504,$D139,$B$5:$B$1504,$B139)&gt;1,"Takror",""))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4"/>
      <c r="F140" s="12"/>
      <c r="G140" s="25"/>
      <c r="H140" s="14" t="str">
        <f aca="false">IF(OR($D140="",$B140=""),"",INT(($B140-$D140)/365.25))</f>
        <v/>
      </c>
      <c r="I140" s="25"/>
      <c r="J140" s="12"/>
      <c r="K140" s="12"/>
      <c r="L140" s="14" t="str">
        <f aca="false">IF(OR($C140="",$D140="",$B140=""),"",IF(COUNTIFS($C$5:$C$1504,$C140,$D$5:$D$1504,$D140,$B$5:$B$1504,$B140)&gt;1,"Takror",""))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4"/>
      <c r="F141" s="12"/>
      <c r="G141" s="25"/>
      <c r="H141" s="14" t="str">
        <f aca="false">IF(OR($D141="",$B141=""),"",INT(($B141-$D141)/365.25))</f>
        <v/>
      </c>
      <c r="I141" s="25"/>
      <c r="J141" s="12"/>
      <c r="K141" s="12"/>
      <c r="L141" s="14" t="str">
        <f aca="false">IF(OR($C141="",$D141="",$B141=""),"",IF(COUNTIFS($C$5:$C$1504,$C141,$D$5:$D$1504,$D141,$B$5:$B$1504,$B141)&gt;1,"Takror",""))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4"/>
      <c r="F142" s="12"/>
      <c r="G142" s="25"/>
      <c r="H142" s="14" t="str">
        <f aca="false">IF(OR($D142="",$B142=""),"",INT(($B142-$D142)/365.25))</f>
        <v/>
      </c>
      <c r="I142" s="25"/>
      <c r="J142" s="12"/>
      <c r="K142" s="12"/>
      <c r="L142" s="14" t="str">
        <f aca="false">IF(OR($C142="",$D142="",$B142=""),"",IF(COUNTIFS($C$5:$C$1504,$C142,$D$5:$D$1504,$D142,$B$5:$B$1504,$B142)&gt;1,"Takror",""))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4"/>
      <c r="F143" s="12"/>
      <c r="G143" s="25"/>
      <c r="H143" s="14" t="str">
        <f aca="false">IF(OR($D143="",$B143=""),"",INT(($B143-$D143)/365.25))</f>
        <v/>
      </c>
      <c r="I143" s="25"/>
      <c r="J143" s="12"/>
      <c r="K143" s="12"/>
      <c r="L143" s="14" t="str">
        <f aca="false">IF(OR($C143="",$D143="",$B143=""),"",IF(COUNTIFS($C$5:$C$1504,$C143,$D$5:$D$1504,$D143,$B$5:$B$1504,$B143)&gt;1,"Takror",""))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4"/>
      <c r="F144" s="12"/>
      <c r="G144" s="25"/>
      <c r="H144" s="14" t="str">
        <f aca="false">IF(OR($D144="",$B144=""),"",INT(($B144-$D144)/365.25))</f>
        <v/>
      </c>
      <c r="I144" s="25"/>
      <c r="J144" s="12"/>
      <c r="K144" s="12"/>
      <c r="L144" s="14" t="str">
        <f aca="false">IF(OR($C144="",$D144="",$B144=""),"",IF(COUNTIFS($C$5:$C$1504,$C144,$D$5:$D$1504,$D144,$B$5:$B$1504,$B144)&gt;1,"Takror",""))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4"/>
      <c r="F145" s="12"/>
      <c r="G145" s="25"/>
      <c r="H145" s="14" t="str">
        <f aca="false">IF(OR($D145="",$B145=""),"",INT(($B145-$D145)/365.25))</f>
        <v/>
      </c>
      <c r="I145" s="25"/>
      <c r="J145" s="12"/>
      <c r="K145" s="12"/>
      <c r="L145" s="14" t="str">
        <f aca="false">IF(OR($C145="",$D145="",$B145=""),"",IF(COUNTIFS($C$5:$C$1504,$C145,$D$5:$D$1504,$D145,$B$5:$B$1504,$B145)&gt;1,"Takror",""))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4"/>
      <c r="F146" s="12"/>
      <c r="G146" s="25"/>
      <c r="H146" s="14" t="str">
        <f aca="false">IF(OR($D146="",$B146=""),"",INT(($B146-$D146)/365.25))</f>
        <v/>
      </c>
      <c r="I146" s="25"/>
      <c r="J146" s="12"/>
      <c r="K146" s="12"/>
      <c r="L146" s="14" t="str">
        <f aca="false">IF(OR($C146="",$D146="",$B146=""),"",IF(COUNTIFS($C$5:$C$1504,$C146,$D$5:$D$1504,$D146,$B$5:$B$1504,$B146)&gt;1,"Takror",""))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4"/>
      <c r="F147" s="12"/>
      <c r="G147" s="25"/>
      <c r="H147" s="14" t="str">
        <f aca="false">IF(OR($D147="",$B147=""),"",INT(($B147-$D147)/365.25))</f>
        <v/>
      </c>
      <c r="I147" s="25"/>
      <c r="J147" s="12"/>
      <c r="K147" s="12"/>
      <c r="L147" s="14" t="str">
        <f aca="false">IF(OR($C147="",$D147="",$B147=""),"",IF(COUNTIFS($C$5:$C$1504,$C147,$D$5:$D$1504,$D147,$B$5:$B$1504,$B147)&gt;1,"Takror",""))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4"/>
      <c r="F148" s="12"/>
      <c r="G148" s="25"/>
      <c r="H148" s="14" t="str">
        <f aca="false">IF(OR($D148="",$B148=""),"",INT(($B148-$D148)/365.25))</f>
        <v/>
      </c>
      <c r="I148" s="25"/>
      <c r="J148" s="12"/>
      <c r="K148" s="12"/>
      <c r="L148" s="14" t="str">
        <f aca="false">IF(OR($C148="",$D148="",$B148=""),"",IF(COUNTIFS($C$5:$C$1504,$C148,$D$5:$D$1504,$D148,$B$5:$B$1504,$B148)&gt;1,"Takror",""))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4"/>
      <c r="F149" s="12"/>
      <c r="G149" s="25"/>
      <c r="H149" s="14" t="str">
        <f aca="false">IF(OR($D149="",$B149=""),"",INT(($B149-$D149)/365.25))</f>
        <v/>
      </c>
      <c r="I149" s="25"/>
      <c r="J149" s="12"/>
      <c r="K149" s="12"/>
      <c r="L149" s="14" t="str">
        <f aca="false">IF(OR($C149="",$D149="",$B149=""),"",IF(COUNTIFS($C$5:$C$1504,$C149,$D$5:$D$1504,$D149,$B$5:$B$1504,$B149)&gt;1,"Takror",""))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4"/>
      <c r="F150" s="12"/>
      <c r="G150" s="25"/>
      <c r="H150" s="14" t="str">
        <f aca="false">IF(OR($D150="",$B150=""),"",INT(($B150-$D150)/365.25))</f>
        <v/>
      </c>
      <c r="I150" s="25"/>
      <c r="J150" s="12"/>
      <c r="K150" s="12"/>
      <c r="L150" s="14" t="str">
        <f aca="false">IF(OR($C150="",$D150="",$B150=""),"",IF(COUNTIFS($C$5:$C$1504,$C150,$D$5:$D$1504,$D150,$B$5:$B$1504,$B150)&gt;1,"Takror",""))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4"/>
      <c r="F151" s="12"/>
      <c r="G151" s="25"/>
      <c r="H151" s="14" t="str">
        <f aca="false">IF(OR($D151="",$B151=""),"",INT(($B151-$D151)/365.25))</f>
        <v/>
      </c>
      <c r="I151" s="25"/>
      <c r="J151" s="12"/>
      <c r="K151" s="12"/>
      <c r="L151" s="14" t="str">
        <f aca="false">IF(OR($C151="",$D151="",$B151=""),"",IF(COUNTIFS($C$5:$C$1504,$C151,$D$5:$D$1504,$D151,$B$5:$B$1504,$B151)&gt;1,"Takror",""))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4"/>
      <c r="F152" s="12"/>
      <c r="G152" s="25"/>
      <c r="H152" s="14" t="str">
        <f aca="false">IF(OR($D152="",$B152=""),"",INT(($B152-$D152)/365.25))</f>
        <v/>
      </c>
      <c r="I152" s="25"/>
      <c r="J152" s="12"/>
      <c r="K152" s="12"/>
      <c r="L152" s="14" t="str">
        <f aca="false">IF(OR($C152="",$D152="",$B152=""),"",IF(COUNTIFS($C$5:$C$1504,$C152,$D$5:$D$1504,$D152,$B$5:$B$1504,$B152)&gt;1,"Takror",""))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4"/>
      <c r="F153" s="12"/>
      <c r="G153" s="25"/>
      <c r="H153" s="14" t="str">
        <f aca="false">IF(OR($D153="",$B153=""),"",INT(($B153-$D153)/365.25))</f>
        <v/>
      </c>
      <c r="I153" s="25"/>
      <c r="J153" s="12"/>
      <c r="K153" s="12"/>
      <c r="L153" s="14" t="str">
        <f aca="false">IF(OR($C153="",$D153="",$B153=""),"",IF(COUNTIFS($C$5:$C$1504,$C153,$D$5:$D$1504,$D153,$B$5:$B$1504,$B153)&gt;1,"Takror",""))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4"/>
      <c r="F154" s="12"/>
      <c r="G154" s="25"/>
      <c r="H154" s="14" t="str">
        <f aca="false">IF(OR($D154="",$B154=""),"",INT(($B154-$D154)/365.25))</f>
        <v/>
      </c>
      <c r="I154" s="25"/>
      <c r="J154" s="12"/>
      <c r="K154" s="12"/>
      <c r="L154" s="14" t="str">
        <f aca="false">IF(OR($C154="",$D154="",$B154=""),"",IF(COUNTIFS($C$5:$C$1504,$C154,$D$5:$D$1504,$D154,$B$5:$B$1504,$B154)&gt;1,"Takror",""))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4"/>
      <c r="F155" s="12"/>
      <c r="G155" s="25"/>
      <c r="H155" s="14" t="str">
        <f aca="false">IF(OR($D155="",$B155=""),"",INT(($B155-$D155)/365.25))</f>
        <v/>
      </c>
      <c r="I155" s="25"/>
      <c r="J155" s="12"/>
      <c r="K155" s="12"/>
      <c r="L155" s="14" t="str">
        <f aca="false">IF(OR($C155="",$D155="",$B155=""),"",IF(COUNTIFS($C$5:$C$1504,$C155,$D$5:$D$1504,$D155,$B$5:$B$1504,$B155)&gt;1,"Takror",""))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4"/>
      <c r="F156" s="12"/>
      <c r="G156" s="25"/>
      <c r="H156" s="14" t="str">
        <f aca="false">IF(OR($D156="",$B156=""),"",INT(($B156-$D156)/365.25))</f>
        <v/>
      </c>
      <c r="I156" s="25"/>
      <c r="J156" s="12"/>
      <c r="K156" s="12"/>
      <c r="L156" s="14" t="str">
        <f aca="false">IF(OR($C156="",$D156="",$B156=""),"",IF(COUNTIFS($C$5:$C$1504,$C156,$D$5:$D$1504,$D156,$B$5:$B$1504,$B156)&gt;1,"Takror",""))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4"/>
      <c r="F157" s="12"/>
      <c r="G157" s="25"/>
      <c r="H157" s="14" t="str">
        <f aca="false">IF(OR($D157="",$B157=""),"",INT(($B157-$D157)/365.25))</f>
        <v/>
      </c>
      <c r="I157" s="25"/>
      <c r="J157" s="12"/>
      <c r="K157" s="12"/>
      <c r="L157" s="14" t="str">
        <f aca="false">IF(OR($C157="",$D157="",$B157=""),"",IF(COUNTIFS($C$5:$C$1504,$C157,$D$5:$D$1504,$D157,$B$5:$B$1504,$B157)&gt;1,"Takror",""))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4"/>
      <c r="F158" s="12"/>
      <c r="G158" s="25"/>
      <c r="H158" s="14" t="str">
        <f aca="false">IF(OR($D158="",$B158=""),"",INT(($B158-$D158)/365.25))</f>
        <v/>
      </c>
      <c r="I158" s="25"/>
      <c r="J158" s="12"/>
      <c r="K158" s="12"/>
      <c r="L158" s="14" t="str">
        <f aca="false">IF(OR($C158="",$D158="",$B158=""),"",IF(COUNTIFS($C$5:$C$1504,$C158,$D$5:$D$1504,$D158,$B$5:$B$1504,$B158)&gt;1,"Takror",""))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4"/>
      <c r="F159" s="12"/>
      <c r="G159" s="25"/>
      <c r="H159" s="14" t="str">
        <f aca="false">IF(OR($D159="",$B159=""),"",INT(($B159-$D159)/365.25))</f>
        <v/>
      </c>
      <c r="I159" s="25"/>
      <c r="J159" s="12"/>
      <c r="K159" s="12"/>
      <c r="L159" s="14" t="str">
        <f aca="false">IF(OR($C159="",$D159="",$B159=""),"",IF(COUNTIFS($C$5:$C$1504,$C159,$D$5:$D$1504,$D159,$B$5:$B$1504,$B159)&gt;1,"Takror",""))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4"/>
      <c r="F160" s="12"/>
      <c r="G160" s="25"/>
      <c r="H160" s="14" t="str">
        <f aca="false">IF(OR($D160="",$B160=""),"",INT(($B160-$D160)/365.25))</f>
        <v/>
      </c>
      <c r="I160" s="25"/>
      <c r="J160" s="12"/>
      <c r="K160" s="12"/>
      <c r="L160" s="14" t="str">
        <f aca="false">IF(OR($C160="",$D160="",$B160=""),"",IF(COUNTIFS($C$5:$C$1504,$C160,$D$5:$D$1504,$D160,$B$5:$B$1504,$B160)&gt;1,"Takror",""))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4"/>
      <c r="F161" s="12"/>
      <c r="G161" s="25"/>
      <c r="H161" s="14" t="str">
        <f aca="false">IF(OR($D161="",$B161=""),"",INT(($B161-$D161)/365.25))</f>
        <v/>
      </c>
      <c r="I161" s="25"/>
      <c r="J161" s="12"/>
      <c r="K161" s="12"/>
      <c r="L161" s="14" t="str">
        <f aca="false">IF(OR($C161="",$D161="",$B161=""),"",IF(COUNTIFS($C$5:$C$1504,$C161,$D$5:$D$1504,$D161,$B$5:$B$1504,$B161)&gt;1,"Takror",""))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4"/>
      <c r="F162" s="12"/>
      <c r="G162" s="25"/>
      <c r="H162" s="14" t="str">
        <f aca="false">IF(OR($D162="",$B162=""),"",INT(($B162-$D162)/365.25))</f>
        <v/>
      </c>
      <c r="I162" s="25"/>
      <c r="J162" s="12"/>
      <c r="K162" s="12"/>
      <c r="L162" s="14" t="str">
        <f aca="false">IF(OR($C162="",$D162="",$B162=""),"",IF(COUNTIFS($C$5:$C$1504,$C162,$D$5:$D$1504,$D162,$B$5:$B$1504,$B162)&gt;1,"Takror",""))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4"/>
      <c r="F163" s="12"/>
      <c r="G163" s="25"/>
      <c r="H163" s="14" t="str">
        <f aca="false">IF(OR($D163="",$B163=""),"",INT(($B163-$D163)/365.25))</f>
        <v/>
      </c>
      <c r="I163" s="25"/>
      <c r="J163" s="12"/>
      <c r="K163" s="12"/>
      <c r="L163" s="14" t="str">
        <f aca="false">IF(OR($C163="",$D163="",$B163=""),"",IF(COUNTIFS($C$5:$C$1504,$C163,$D$5:$D$1504,$D163,$B$5:$B$1504,$B163)&gt;1,"Takror",""))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4"/>
      <c r="F164" s="12"/>
      <c r="G164" s="25"/>
      <c r="H164" s="14" t="str">
        <f aca="false">IF(OR($D164="",$B164=""),"",INT(($B164-$D164)/365.25))</f>
        <v/>
      </c>
      <c r="I164" s="25"/>
      <c r="J164" s="12"/>
      <c r="K164" s="12"/>
      <c r="L164" s="14" t="str">
        <f aca="false">IF(OR($C164="",$D164="",$B164=""),"",IF(COUNTIFS($C$5:$C$1504,$C164,$D$5:$D$1504,$D164,$B$5:$B$1504,$B164)&gt;1,"Takror",""))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4"/>
      <c r="F165" s="12"/>
      <c r="G165" s="25"/>
      <c r="H165" s="14" t="str">
        <f aca="false">IF(OR($D165="",$B165=""),"",INT(($B165-$D165)/365.25))</f>
        <v/>
      </c>
      <c r="I165" s="25"/>
      <c r="J165" s="12"/>
      <c r="K165" s="12"/>
      <c r="L165" s="14" t="str">
        <f aca="false">IF(OR($C165="",$D165="",$B165=""),"",IF(COUNTIFS($C$5:$C$1504,$C165,$D$5:$D$1504,$D165,$B$5:$B$1504,$B165)&gt;1,"Takror",""))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4"/>
      <c r="F166" s="12"/>
      <c r="G166" s="25"/>
      <c r="H166" s="14" t="str">
        <f aca="false">IF(OR($D166="",$B166=""),"",INT(($B166-$D166)/365.25))</f>
        <v/>
      </c>
      <c r="I166" s="25"/>
      <c r="J166" s="12"/>
      <c r="K166" s="12"/>
      <c r="L166" s="14" t="str">
        <f aca="false">IF(OR($C166="",$D166="",$B166=""),"",IF(COUNTIFS($C$5:$C$1504,$C166,$D$5:$D$1504,$D166,$B$5:$B$1504,$B166)&gt;1,"Takror",""))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4"/>
      <c r="F167" s="12"/>
      <c r="G167" s="25"/>
      <c r="H167" s="14" t="str">
        <f aca="false">IF(OR($D167="",$B167=""),"",INT(($B167-$D167)/365.25))</f>
        <v/>
      </c>
      <c r="I167" s="25"/>
      <c r="J167" s="12"/>
      <c r="K167" s="12"/>
      <c r="L167" s="14" t="str">
        <f aca="false">IF(OR($C167="",$D167="",$B167=""),"",IF(COUNTIFS($C$5:$C$1504,$C167,$D$5:$D$1504,$D167,$B$5:$B$1504,$B167)&gt;1,"Takror",""))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4"/>
      <c r="F168" s="12"/>
      <c r="G168" s="25"/>
      <c r="H168" s="14" t="str">
        <f aca="false">IF(OR($D168="",$B168=""),"",INT(($B168-$D168)/365.25))</f>
        <v/>
      </c>
      <c r="I168" s="25"/>
      <c r="J168" s="12"/>
      <c r="K168" s="12"/>
      <c r="L168" s="14" t="str">
        <f aca="false">IF(OR($C168="",$D168="",$B168=""),"",IF(COUNTIFS($C$5:$C$1504,$C168,$D$5:$D$1504,$D168,$B$5:$B$1504,$B168)&gt;1,"Takror",""))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4"/>
      <c r="F169" s="12"/>
      <c r="G169" s="25"/>
      <c r="H169" s="14" t="str">
        <f aca="false">IF(OR($D169="",$B169=""),"",INT(($B169-$D169)/365.25))</f>
        <v/>
      </c>
      <c r="I169" s="25"/>
      <c r="J169" s="12"/>
      <c r="K169" s="12"/>
      <c r="L169" s="14" t="str">
        <f aca="false">IF(OR($C169="",$D169="",$B169=""),"",IF(COUNTIFS($C$5:$C$1504,$C169,$D$5:$D$1504,$D169,$B$5:$B$1504,$B169)&gt;1,"Takror",""))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4"/>
      <c r="F170" s="12"/>
      <c r="G170" s="25"/>
      <c r="H170" s="14" t="str">
        <f aca="false">IF(OR($D170="",$B170=""),"",INT(($B170-$D170)/365.25))</f>
        <v/>
      </c>
      <c r="I170" s="25"/>
      <c r="J170" s="12"/>
      <c r="K170" s="12"/>
      <c r="L170" s="14" t="str">
        <f aca="false">IF(OR($C170="",$D170="",$B170=""),"",IF(COUNTIFS($C$5:$C$1504,$C170,$D$5:$D$1504,$D170,$B$5:$B$1504,$B170)&gt;1,"Takror",""))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4"/>
      <c r="F171" s="12"/>
      <c r="G171" s="25"/>
      <c r="H171" s="14" t="str">
        <f aca="false">IF(OR($D171="",$B171=""),"",INT(($B171-$D171)/365.25))</f>
        <v/>
      </c>
      <c r="I171" s="25"/>
      <c r="J171" s="12"/>
      <c r="K171" s="12"/>
      <c r="L171" s="14" t="str">
        <f aca="false">IF(OR($C171="",$D171="",$B171=""),"",IF(COUNTIFS($C$5:$C$1504,$C171,$D$5:$D$1504,$D171,$B$5:$B$1504,$B171)&gt;1,"Takror",""))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4"/>
      <c r="F172" s="12"/>
      <c r="G172" s="25"/>
      <c r="H172" s="14" t="str">
        <f aca="false">IF(OR($D172="",$B172=""),"",INT(($B172-$D172)/365.25))</f>
        <v/>
      </c>
      <c r="I172" s="25"/>
      <c r="J172" s="12"/>
      <c r="K172" s="12"/>
      <c r="L172" s="14" t="str">
        <f aca="false">IF(OR($C172="",$D172="",$B172=""),"",IF(COUNTIFS($C$5:$C$1504,$C172,$D$5:$D$1504,$D172,$B$5:$B$1504,$B172)&gt;1,"Takror",""))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4"/>
      <c r="F173" s="12"/>
      <c r="G173" s="25"/>
      <c r="H173" s="14" t="str">
        <f aca="false">IF(OR($D173="",$B173=""),"",INT(($B173-$D173)/365.25))</f>
        <v/>
      </c>
      <c r="I173" s="25"/>
      <c r="J173" s="12"/>
      <c r="K173" s="12"/>
      <c r="L173" s="14" t="str">
        <f aca="false">IF(OR($C173="",$D173="",$B173=""),"",IF(COUNTIFS($C$5:$C$1504,$C173,$D$5:$D$1504,$D173,$B$5:$B$1504,$B173)&gt;1,"Takror",""))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4"/>
      <c r="F174" s="12"/>
      <c r="G174" s="25"/>
      <c r="H174" s="14" t="str">
        <f aca="false">IF(OR($D174="",$B174=""),"",INT(($B174-$D174)/365.25))</f>
        <v/>
      </c>
      <c r="I174" s="25"/>
      <c r="J174" s="12"/>
      <c r="K174" s="12"/>
      <c r="L174" s="14" t="str">
        <f aca="false">IF(OR($C174="",$D174="",$B174=""),"",IF(COUNTIFS($C$5:$C$1504,$C174,$D$5:$D$1504,$D174,$B$5:$B$1504,$B174)&gt;1,"Takror",""))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4"/>
      <c r="F175" s="12"/>
      <c r="G175" s="25"/>
      <c r="H175" s="14" t="str">
        <f aca="false">IF(OR($D175="",$B175=""),"",INT(($B175-$D175)/365.25))</f>
        <v/>
      </c>
      <c r="I175" s="25"/>
      <c r="J175" s="12"/>
      <c r="K175" s="12"/>
      <c r="L175" s="14" t="str">
        <f aca="false">IF(OR($C175="",$D175="",$B175=""),"",IF(COUNTIFS($C$5:$C$1504,$C175,$D$5:$D$1504,$D175,$B$5:$B$1504,$B175)&gt;1,"Takror",""))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4"/>
      <c r="F176" s="12"/>
      <c r="G176" s="25"/>
      <c r="H176" s="14" t="str">
        <f aca="false">IF(OR($D176="",$B176=""),"",INT(($B176-$D176)/365.25))</f>
        <v/>
      </c>
      <c r="I176" s="25"/>
      <c r="J176" s="12"/>
      <c r="K176" s="12"/>
      <c r="L176" s="14" t="str">
        <f aca="false">IF(OR($C176="",$D176="",$B176=""),"",IF(COUNTIFS($C$5:$C$1504,$C176,$D$5:$D$1504,$D176,$B$5:$B$1504,$B176)&gt;1,"Takror",""))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4"/>
      <c r="F177" s="12"/>
      <c r="G177" s="25"/>
      <c r="H177" s="14" t="str">
        <f aca="false">IF(OR($D177="",$B177=""),"",INT(($B177-$D177)/365.25))</f>
        <v/>
      </c>
      <c r="I177" s="25"/>
      <c r="J177" s="12"/>
      <c r="K177" s="12"/>
      <c r="L177" s="14" t="str">
        <f aca="false">IF(OR($C177="",$D177="",$B177=""),"",IF(COUNTIFS($C$5:$C$1504,$C177,$D$5:$D$1504,$D177,$B$5:$B$1504,$B177)&gt;1,"Takror",""))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4"/>
      <c r="F178" s="12"/>
      <c r="G178" s="25"/>
      <c r="H178" s="14" t="str">
        <f aca="false">IF(OR($D178="",$B178=""),"",INT(($B178-$D178)/365.25))</f>
        <v/>
      </c>
      <c r="I178" s="25"/>
      <c r="J178" s="12"/>
      <c r="K178" s="12"/>
      <c r="L178" s="14" t="str">
        <f aca="false">IF(OR($C178="",$D178="",$B178=""),"",IF(COUNTIFS($C$5:$C$1504,$C178,$D$5:$D$1504,$D178,$B$5:$B$1504,$B178)&gt;1,"Takror",""))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4"/>
      <c r="F179" s="12"/>
      <c r="G179" s="25"/>
      <c r="H179" s="14" t="str">
        <f aca="false">IF(OR($D179="",$B179=""),"",INT(($B179-$D179)/365.25))</f>
        <v/>
      </c>
      <c r="I179" s="25"/>
      <c r="J179" s="12"/>
      <c r="K179" s="12"/>
      <c r="L179" s="14" t="str">
        <f aca="false">IF(OR($C179="",$D179="",$B179=""),"",IF(COUNTIFS($C$5:$C$1504,$C179,$D$5:$D$1504,$D179,$B$5:$B$1504,$B179)&gt;1,"Takror",""))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4"/>
      <c r="F180" s="12"/>
      <c r="G180" s="25"/>
      <c r="H180" s="14" t="str">
        <f aca="false">IF(OR($D180="",$B180=""),"",INT(($B180-$D180)/365.25))</f>
        <v/>
      </c>
      <c r="I180" s="25"/>
      <c r="J180" s="12"/>
      <c r="K180" s="12"/>
      <c r="L180" s="14" t="str">
        <f aca="false">IF(OR($C180="",$D180="",$B180=""),"",IF(COUNTIFS($C$5:$C$1504,$C180,$D$5:$D$1504,$D180,$B$5:$B$1504,$B180)&gt;1,"Takror",""))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4"/>
      <c r="F181" s="12"/>
      <c r="G181" s="25"/>
      <c r="H181" s="14" t="str">
        <f aca="false">IF(OR($D181="",$B181=""),"",INT(($B181-$D181)/365.25))</f>
        <v/>
      </c>
      <c r="I181" s="25"/>
      <c r="J181" s="12"/>
      <c r="K181" s="12"/>
      <c r="L181" s="14" t="str">
        <f aca="false">IF(OR($C181="",$D181="",$B181=""),"",IF(COUNTIFS($C$5:$C$1504,$C181,$D$5:$D$1504,$D181,$B$5:$B$1504,$B181)&gt;1,"Takror",""))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4"/>
      <c r="F182" s="12"/>
      <c r="G182" s="25"/>
      <c r="H182" s="14" t="str">
        <f aca="false">IF(OR($D182="",$B182=""),"",INT(($B182-$D182)/365.25))</f>
        <v/>
      </c>
      <c r="I182" s="25"/>
      <c r="J182" s="12"/>
      <c r="K182" s="12"/>
      <c r="L182" s="14" t="str">
        <f aca="false">IF(OR($C182="",$D182="",$B182=""),"",IF(COUNTIFS($C$5:$C$1504,$C182,$D$5:$D$1504,$D182,$B$5:$B$1504,$B182)&gt;1,"Takror",""))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4"/>
      <c r="F183" s="12"/>
      <c r="G183" s="25"/>
      <c r="H183" s="14" t="str">
        <f aca="false">IF(OR($D183="",$B183=""),"",INT(($B183-$D183)/365.25))</f>
        <v/>
      </c>
      <c r="I183" s="25"/>
      <c r="J183" s="12"/>
      <c r="K183" s="12"/>
      <c r="L183" s="14" t="str">
        <f aca="false">IF(OR($C183="",$D183="",$B183=""),"",IF(COUNTIFS($C$5:$C$1504,$C183,$D$5:$D$1504,$D183,$B$5:$B$1504,$B183)&gt;1,"Takror",""))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4"/>
      <c r="F184" s="12"/>
      <c r="G184" s="25"/>
      <c r="H184" s="14" t="str">
        <f aca="false">IF(OR($D184="",$B184=""),"",INT(($B184-$D184)/365.25))</f>
        <v/>
      </c>
      <c r="I184" s="25"/>
      <c r="J184" s="12"/>
      <c r="K184" s="12"/>
      <c r="L184" s="14" t="str">
        <f aca="false">IF(OR($C184="",$D184="",$B184=""),"",IF(COUNTIFS($C$5:$C$1504,$C184,$D$5:$D$1504,$D184,$B$5:$B$1504,$B184)&gt;1,"Takror",""))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4"/>
      <c r="F185" s="12"/>
      <c r="G185" s="25"/>
      <c r="H185" s="14" t="str">
        <f aca="false">IF(OR($D185="",$B185=""),"",INT(($B185-$D185)/365.25))</f>
        <v/>
      </c>
      <c r="I185" s="25"/>
      <c r="J185" s="12"/>
      <c r="K185" s="12"/>
      <c r="L185" s="14" t="str">
        <f aca="false">IF(OR($C185="",$D185="",$B185=""),"",IF(COUNTIFS($C$5:$C$1504,$C185,$D$5:$D$1504,$D185,$B$5:$B$1504,$B185)&gt;1,"Takror",""))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4"/>
      <c r="F186" s="12"/>
      <c r="G186" s="25"/>
      <c r="H186" s="14" t="str">
        <f aca="false">IF(OR($D186="",$B186=""),"",INT(($B186-$D186)/365.25))</f>
        <v/>
      </c>
      <c r="I186" s="25"/>
      <c r="J186" s="12"/>
      <c r="K186" s="12"/>
      <c r="L186" s="14" t="str">
        <f aca="false">IF(OR($C186="",$D186="",$B186=""),"",IF(COUNTIFS($C$5:$C$1504,$C186,$D$5:$D$1504,$D186,$B$5:$B$1504,$B186)&gt;1,"Takror",""))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4"/>
      <c r="F187" s="12"/>
      <c r="G187" s="25"/>
      <c r="H187" s="14" t="str">
        <f aca="false">IF(OR($D187="",$B187=""),"",INT(($B187-$D187)/365.25))</f>
        <v/>
      </c>
      <c r="I187" s="25"/>
      <c r="J187" s="12"/>
      <c r="K187" s="12"/>
      <c r="L187" s="14" t="str">
        <f aca="false">IF(OR($C187="",$D187="",$B187=""),"",IF(COUNTIFS($C$5:$C$1504,$C187,$D$5:$D$1504,$D187,$B$5:$B$1504,$B187)&gt;1,"Takror",""))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4"/>
      <c r="F188" s="12"/>
      <c r="G188" s="25"/>
      <c r="H188" s="14" t="str">
        <f aca="false">IF(OR($D188="",$B188=""),"",INT(($B188-$D188)/365.25))</f>
        <v/>
      </c>
      <c r="I188" s="25"/>
      <c r="J188" s="12"/>
      <c r="K188" s="12"/>
      <c r="L188" s="14" t="str">
        <f aca="false">IF(OR($C188="",$D188="",$B188=""),"",IF(COUNTIFS($C$5:$C$1504,$C188,$D$5:$D$1504,$D188,$B$5:$B$1504,$B188)&gt;1,"Takror",""))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4"/>
      <c r="F189" s="12"/>
      <c r="G189" s="25"/>
      <c r="H189" s="14" t="str">
        <f aca="false">IF(OR($D189="",$B189=""),"",INT(($B189-$D189)/365.25))</f>
        <v/>
      </c>
      <c r="I189" s="25"/>
      <c r="J189" s="12"/>
      <c r="K189" s="12"/>
      <c r="L189" s="14" t="str">
        <f aca="false">IF(OR($C189="",$D189="",$B189=""),"",IF(COUNTIFS($C$5:$C$1504,$C189,$D$5:$D$1504,$D189,$B$5:$B$1504,$B189)&gt;1,"Takror",""))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4"/>
      <c r="F190" s="12"/>
      <c r="G190" s="25"/>
      <c r="H190" s="14" t="str">
        <f aca="false">IF(OR($D190="",$B190=""),"",INT(($B190-$D190)/365.25))</f>
        <v/>
      </c>
      <c r="I190" s="25"/>
      <c r="J190" s="12"/>
      <c r="K190" s="12"/>
      <c r="L190" s="14" t="str">
        <f aca="false">IF(OR($C190="",$D190="",$B190=""),"",IF(COUNTIFS($C$5:$C$1504,$C190,$D$5:$D$1504,$D190,$B$5:$B$1504,$B190)&gt;1,"Takror",""))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4"/>
      <c r="F191" s="12"/>
      <c r="G191" s="25"/>
      <c r="H191" s="14" t="str">
        <f aca="false">IF(OR($D191="",$B191=""),"",INT(($B191-$D191)/365.25))</f>
        <v/>
      </c>
      <c r="I191" s="25"/>
      <c r="J191" s="12"/>
      <c r="K191" s="12"/>
      <c r="L191" s="14" t="str">
        <f aca="false">IF(OR($C191="",$D191="",$B191=""),"",IF(COUNTIFS($C$5:$C$1504,$C191,$D$5:$D$1504,$D191,$B$5:$B$1504,$B191)&gt;1,"Takror",""))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4"/>
      <c r="F192" s="12"/>
      <c r="G192" s="25"/>
      <c r="H192" s="14" t="str">
        <f aca="false">IF(OR($D192="",$B192=""),"",INT(($B192-$D192)/365.25))</f>
        <v/>
      </c>
      <c r="I192" s="25"/>
      <c r="J192" s="12"/>
      <c r="K192" s="12"/>
      <c r="L192" s="14" t="str">
        <f aca="false">IF(OR($C192="",$D192="",$B192=""),"",IF(COUNTIFS($C$5:$C$1504,$C192,$D$5:$D$1504,$D192,$B$5:$B$1504,$B192)&gt;1,"Takror",""))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4"/>
      <c r="F193" s="12"/>
      <c r="G193" s="25"/>
      <c r="H193" s="14" t="str">
        <f aca="false">IF(OR($D193="",$B193=""),"",INT(($B193-$D193)/365.25))</f>
        <v/>
      </c>
      <c r="I193" s="25"/>
      <c r="J193" s="12"/>
      <c r="K193" s="12"/>
      <c r="L193" s="14" t="str">
        <f aca="false">IF(OR($C193="",$D193="",$B193=""),"",IF(COUNTIFS($C$5:$C$1504,$C193,$D$5:$D$1504,$D193,$B$5:$B$1504,$B193)&gt;1,"Takror",""))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4"/>
      <c r="F194" s="12"/>
      <c r="G194" s="25"/>
      <c r="H194" s="14" t="str">
        <f aca="false">IF(OR($D194="",$B194=""),"",INT(($B194-$D194)/365.25))</f>
        <v/>
      </c>
      <c r="I194" s="25"/>
      <c r="J194" s="12"/>
      <c r="K194" s="12"/>
      <c r="L194" s="14" t="str">
        <f aca="false">IF(OR($C194="",$D194="",$B194=""),"",IF(COUNTIFS($C$5:$C$1504,$C194,$D$5:$D$1504,$D194,$B$5:$B$1504,$B194)&gt;1,"Takror",""))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4"/>
      <c r="F195" s="12"/>
      <c r="G195" s="25"/>
      <c r="H195" s="14" t="str">
        <f aca="false">IF(OR($D195="",$B195=""),"",INT(($B195-$D195)/365.25))</f>
        <v/>
      </c>
      <c r="I195" s="25"/>
      <c r="J195" s="12"/>
      <c r="K195" s="12"/>
      <c r="L195" s="14" t="str">
        <f aca="false">IF(OR($C195="",$D195="",$B195=""),"",IF(COUNTIFS($C$5:$C$1504,$C195,$D$5:$D$1504,$D195,$B$5:$B$1504,$B195)&gt;1,"Takror",""))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4"/>
      <c r="F196" s="12"/>
      <c r="G196" s="25"/>
      <c r="H196" s="14" t="str">
        <f aca="false">IF(OR($D196="",$B196=""),"",INT(($B196-$D196)/365.25))</f>
        <v/>
      </c>
      <c r="I196" s="25"/>
      <c r="J196" s="12"/>
      <c r="K196" s="12"/>
      <c r="L196" s="14" t="str">
        <f aca="false">IF(OR($C196="",$D196="",$B196=""),"",IF(COUNTIFS($C$5:$C$1504,$C196,$D$5:$D$1504,$D196,$B$5:$B$1504,$B196)&gt;1,"Takror",""))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4"/>
      <c r="F197" s="12"/>
      <c r="G197" s="25"/>
      <c r="H197" s="14" t="str">
        <f aca="false">IF(OR($D197="",$B197=""),"",INT(($B197-$D197)/365.25))</f>
        <v/>
      </c>
      <c r="I197" s="25"/>
      <c r="J197" s="12"/>
      <c r="K197" s="12"/>
      <c r="L197" s="14" t="str">
        <f aca="false">IF(OR($C197="",$D197="",$B197=""),"",IF(COUNTIFS($C$5:$C$1504,$C197,$D$5:$D$1504,$D197,$B$5:$B$1504,$B197)&gt;1,"Takror",""))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4"/>
      <c r="F198" s="12"/>
      <c r="G198" s="25"/>
      <c r="H198" s="14" t="str">
        <f aca="false">IF(OR($D198="",$B198=""),"",INT(($B198-$D198)/365.25))</f>
        <v/>
      </c>
      <c r="I198" s="25"/>
      <c r="J198" s="12"/>
      <c r="K198" s="12"/>
      <c r="L198" s="14" t="str">
        <f aca="false">IF(OR($C198="",$D198="",$B198=""),"",IF(COUNTIFS($C$5:$C$1504,$C198,$D$5:$D$1504,$D198,$B$5:$B$1504,$B198)&gt;1,"Takror",""))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4"/>
      <c r="F199" s="12"/>
      <c r="G199" s="25"/>
      <c r="H199" s="14" t="str">
        <f aca="false">IF(OR($D199="",$B199=""),"",INT(($B199-$D199)/365.25))</f>
        <v/>
      </c>
      <c r="I199" s="25"/>
      <c r="J199" s="12"/>
      <c r="K199" s="12"/>
      <c r="L199" s="14" t="str">
        <f aca="false">IF(OR($C199="",$D199="",$B199=""),"",IF(COUNTIFS($C$5:$C$1504,$C199,$D$5:$D$1504,$D199,$B$5:$B$1504,$B199)&gt;1,"Takror",""))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4"/>
      <c r="F200" s="12"/>
      <c r="G200" s="25"/>
      <c r="H200" s="14" t="str">
        <f aca="false">IF(OR($D200="",$B200=""),"",INT(($B200-$D200)/365.25))</f>
        <v/>
      </c>
      <c r="I200" s="25"/>
      <c r="J200" s="12"/>
      <c r="K200" s="12"/>
      <c r="L200" s="14" t="str">
        <f aca="false">IF(OR($C200="",$D200="",$B200=""),"",IF(COUNTIFS($C$5:$C$1504,$C200,$D$5:$D$1504,$D200,$B$5:$B$1504,$B200)&gt;1,"Takror",""))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4"/>
      <c r="F201" s="12"/>
      <c r="G201" s="25"/>
      <c r="H201" s="14" t="str">
        <f aca="false">IF(OR($D201="",$B201=""),"",INT(($B201-$D201)/365.25))</f>
        <v/>
      </c>
      <c r="I201" s="25"/>
      <c r="J201" s="12"/>
      <c r="K201" s="12"/>
      <c r="L201" s="14" t="str">
        <f aca="false">IF(OR($C201="",$D201="",$B201=""),"",IF(COUNTIFS($C$5:$C$1504,$C201,$D$5:$D$1504,$D201,$B$5:$B$1504,$B201)&gt;1,"Takror",""))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4"/>
      <c r="F202" s="12"/>
      <c r="G202" s="25"/>
      <c r="H202" s="14" t="str">
        <f aca="false">IF(OR($D202="",$B202=""),"",INT(($B202-$D202)/365.25))</f>
        <v/>
      </c>
      <c r="I202" s="25"/>
      <c r="J202" s="12"/>
      <c r="K202" s="12"/>
      <c r="L202" s="14" t="str">
        <f aca="false">IF(OR($C202="",$D202="",$B202=""),"",IF(COUNTIFS($C$5:$C$1504,$C202,$D$5:$D$1504,$D202,$B$5:$B$1504,$B202)&gt;1,"Takror",""))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4"/>
      <c r="F203" s="12"/>
      <c r="G203" s="25"/>
      <c r="H203" s="14" t="str">
        <f aca="false">IF(OR($D203="",$B203=""),"",INT(($B203-$D203)/365.25))</f>
        <v/>
      </c>
      <c r="I203" s="25"/>
      <c r="J203" s="12"/>
      <c r="K203" s="12"/>
      <c r="L203" s="14" t="str">
        <f aca="false">IF(OR($C203="",$D203="",$B203=""),"",IF(COUNTIFS($C$5:$C$1504,$C203,$D$5:$D$1504,$D203,$B$5:$B$1504,$B203)&gt;1,"Takror",""))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4"/>
      <c r="F204" s="12"/>
      <c r="G204" s="25"/>
      <c r="H204" s="14" t="str">
        <f aca="false">IF(OR($D204="",$B204=""),"",INT(($B204-$D204)/365.25))</f>
        <v/>
      </c>
      <c r="I204" s="25"/>
      <c r="J204" s="12"/>
      <c r="K204" s="12"/>
      <c r="L204" s="14" t="str">
        <f aca="false">IF(OR($C204="",$D204="",$B204=""),"",IF(COUNTIFS($C$5:$C$1504,$C204,$D$5:$D$1504,$D204,$B$5:$B$1504,$B204)&gt;1,"Takror",""))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4"/>
      <c r="F205" s="12"/>
      <c r="G205" s="25"/>
      <c r="H205" s="14" t="str">
        <f aca="false">IF(OR($D205="",$B205=""),"",INT(($B205-$D205)/365.25))</f>
        <v/>
      </c>
      <c r="I205" s="25"/>
      <c r="J205" s="12"/>
      <c r="K205" s="12"/>
      <c r="L205" s="14" t="str">
        <f aca="false">IF(OR($C205="",$D205="",$B205=""),"",IF(COUNTIFS($C$5:$C$1504,$C205,$D$5:$D$1504,$D205,$B$5:$B$1504,$B205)&gt;1,"Takror",""))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4"/>
      <c r="F206" s="12"/>
      <c r="G206" s="25"/>
      <c r="H206" s="14" t="str">
        <f aca="false">IF(OR($D206="",$B206=""),"",INT(($B206-$D206)/365.25))</f>
        <v/>
      </c>
      <c r="I206" s="25"/>
      <c r="J206" s="12"/>
      <c r="K206" s="12"/>
      <c r="L206" s="14" t="str">
        <f aca="false">IF(OR($C206="",$D206="",$B206=""),"",IF(COUNTIFS($C$5:$C$1504,$C206,$D$5:$D$1504,$D206,$B$5:$B$1504,$B206)&gt;1,"Takror",""))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4"/>
      <c r="F207" s="12"/>
      <c r="G207" s="25"/>
      <c r="H207" s="14" t="str">
        <f aca="false">IF(OR($D207="",$B207=""),"",INT(($B207-$D207)/365.25))</f>
        <v/>
      </c>
      <c r="I207" s="25"/>
      <c r="J207" s="12"/>
      <c r="K207" s="12"/>
      <c r="L207" s="14" t="str">
        <f aca="false">IF(OR($C207="",$D207="",$B207=""),"",IF(COUNTIFS($C$5:$C$1504,$C207,$D$5:$D$1504,$D207,$B$5:$B$1504,$B207)&gt;1,"Takror",""))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4"/>
      <c r="F208" s="12"/>
      <c r="G208" s="25"/>
      <c r="H208" s="14" t="str">
        <f aca="false">IF(OR($D208="",$B208=""),"",INT(($B208-$D208)/365.25))</f>
        <v/>
      </c>
      <c r="I208" s="25"/>
      <c r="J208" s="12"/>
      <c r="K208" s="12"/>
      <c r="L208" s="14" t="str">
        <f aca="false">IF(OR($C208="",$D208="",$B208=""),"",IF(COUNTIFS($C$5:$C$1504,$C208,$D$5:$D$1504,$D208,$B$5:$B$1504,$B208)&gt;1,"Takror",""))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4"/>
      <c r="F209" s="12"/>
      <c r="G209" s="25"/>
      <c r="H209" s="14" t="str">
        <f aca="false">IF(OR($D209="",$B209=""),"",INT(($B209-$D209)/365.25))</f>
        <v/>
      </c>
      <c r="I209" s="25"/>
      <c r="J209" s="12"/>
      <c r="K209" s="12"/>
      <c r="L209" s="14" t="str">
        <f aca="false">IF(OR($C209="",$D209="",$B209=""),"",IF(COUNTIFS($C$5:$C$1504,$C209,$D$5:$D$1504,$D209,$B$5:$B$1504,$B209)&gt;1,"Takror",""))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4"/>
      <c r="F210" s="12"/>
      <c r="G210" s="25"/>
      <c r="H210" s="14" t="str">
        <f aca="false">IF(OR($D210="",$B210=""),"",INT(($B210-$D210)/365.25))</f>
        <v/>
      </c>
      <c r="I210" s="25"/>
      <c r="J210" s="12"/>
      <c r="K210" s="12"/>
      <c r="L210" s="14" t="str">
        <f aca="false">IF(OR($C210="",$D210="",$B210=""),"",IF(COUNTIFS($C$5:$C$1504,$C210,$D$5:$D$1504,$D210,$B$5:$B$1504,$B210)&gt;1,"Takror",""))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4"/>
      <c r="F211" s="12"/>
      <c r="G211" s="25"/>
      <c r="H211" s="14" t="str">
        <f aca="false">IF(OR($D211="",$B211=""),"",INT(($B211-$D211)/365.25))</f>
        <v/>
      </c>
      <c r="I211" s="25"/>
      <c r="J211" s="12"/>
      <c r="K211" s="12"/>
      <c r="L211" s="14" t="str">
        <f aca="false">IF(OR($C211="",$D211="",$B211=""),"",IF(COUNTIFS($C$5:$C$1504,$C211,$D$5:$D$1504,$D211,$B$5:$B$1504,$B211)&gt;1,"Takror",""))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4"/>
      <c r="F212" s="12"/>
      <c r="G212" s="25"/>
      <c r="H212" s="14" t="str">
        <f aca="false">IF(OR($D212="",$B212=""),"",INT(($B212-$D212)/365.25))</f>
        <v/>
      </c>
      <c r="I212" s="25"/>
      <c r="J212" s="12"/>
      <c r="K212" s="12"/>
      <c r="L212" s="14" t="str">
        <f aca="false">IF(OR($C212="",$D212="",$B212=""),"",IF(COUNTIFS($C$5:$C$1504,$C212,$D$5:$D$1504,$D212,$B$5:$B$1504,$B212)&gt;1,"Takror",""))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4"/>
      <c r="F213" s="12"/>
      <c r="G213" s="25"/>
      <c r="H213" s="14" t="str">
        <f aca="false">IF(OR($D213="",$B213=""),"",INT(($B213-$D213)/365.25))</f>
        <v/>
      </c>
      <c r="I213" s="25"/>
      <c r="J213" s="12"/>
      <c r="K213" s="12"/>
      <c r="L213" s="14" t="str">
        <f aca="false">IF(OR($C213="",$D213="",$B213=""),"",IF(COUNTIFS($C$5:$C$1504,$C213,$D$5:$D$1504,$D213,$B$5:$B$1504,$B213)&gt;1,"Takror",""))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4"/>
      <c r="F214" s="12"/>
      <c r="G214" s="25"/>
      <c r="H214" s="14" t="str">
        <f aca="false">IF(OR($D214="",$B214=""),"",INT(($B214-$D214)/365.25))</f>
        <v/>
      </c>
      <c r="I214" s="25"/>
      <c r="J214" s="12"/>
      <c r="K214" s="12"/>
      <c r="L214" s="14" t="str">
        <f aca="false">IF(OR($C214="",$D214="",$B214=""),"",IF(COUNTIFS($C$5:$C$1504,$C214,$D$5:$D$1504,$D214,$B$5:$B$1504,$B214)&gt;1,"Takror",""))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4"/>
      <c r="F215" s="12"/>
      <c r="G215" s="25"/>
      <c r="H215" s="14" t="str">
        <f aca="false">IF(OR($D215="",$B215=""),"",INT(($B215-$D215)/365.25))</f>
        <v/>
      </c>
      <c r="I215" s="25"/>
      <c r="J215" s="12"/>
      <c r="K215" s="12"/>
      <c r="L215" s="14" t="str">
        <f aca="false">IF(OR($C215="",$D215="",$B215=""),"",IF(COUNTIFS($C$5:$C$1504,$C215,$D$5:$D$1504,$D215,$B$5:$B$1504,$B215)&gt;1,"Takror",""))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4"/>
      <c r="F216" s="12"/>
      <c r="G216" s="25"/>
      <c r="H216" s="14" t="str">
        <f aca="false">IF(OR($D216="",$B216=""),"",INT(($B216-$D216)/365.25))</f>
        <v/>
      </c>
      <c r="I216" s="25"/>
      <c r="J216" s="12"/>
      <c r="K216" s="12"/>
      <c r="L216" s="14" t="str">
        <f aca="false">IF(OR($C216="",$D216="",$B216=""),"",IF(COUNTIFS($C$5:$C$1504,$C216,$D$5:$D$1504,$D216,$B$5:$B$1504,$B216)&gt;1,"Takror",""))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4"/>
      <c r="F217" s="12"/>
      <c r="G217" s="25"/>
      <c r="H217" s="14" t="str">
        <f aca="false">IF(OR($D217="",$B217=""),"",INT(($B217-$D217)/365.25))</f>
        <v/>
      </c>
      <c r="I217" s="25"/>
      <c r="J217" s="12"/>
      <c r="K217" s="12"/>
      <c r="L217" s="14" t="str">
        <f aca="false">IF(OR($C217="",$D217="",$B217=""),"",IF(COUNTIFS($C$5:$C$1504,$C217,$D$5:$D$1504,$D217,$B$5:$B$1504,$B217)&gt;1,"Takror",""))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4"/>
      <c r="F218" s="12"/>
      <c r="G218" s="25"/>
      <c r="H218" s="14" t="str">
        <f aca="false">IF(OR($D218="",$B218=""),"",INT(($B218-$D218)/365.25))</f>
        <v/>
      </c>
      <c r="I218" s="25"/>
      <c r="J218" s="12"/>
      <c r="K218" s="12"/>
      <c r="L218" s="14" t="str">
        <f aca="false">IF(OR($C218="",$D218="",$B218=""),"",IF(COUNTIFS($C$5:$C$1504,$C218,$D$5:$D$1504,$D218,$B$5:$B$1504,$B218)&gt;1,"Takror",""))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4"/>
      <c r="F219" s="12"/>
      <c r="G219" s="25"/>
      <c r="H219" s="14" t="str">
        <f aca="false">IF(OR($D219="",$B219=""),"",INT(($B219-$D219)/365.25))</f>
        <v/>
      </c>
      <c r="I219" s="25"/>
      <c r="J219" s="12"/>
      <c r="K219" s="12"/>
      <c r="L219" s="14" t="str">
        <f aca="false">IF(OR($C219="",$D219="",$B219=""),"",IF(COUNTIFS($C$5:$C$1504,$C219,$D$5:$D$1504,$D219,$B$5:$B$1504,$B219)&gt;1,"Takror",""))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4"/>
      <c r="F220" s="12"/>
      <c r="G220" s="25"/>
      <c r="H220" s="14" t="str">
        <f aca="false">IF(OR($D220="",$B220=""),"",INT(($B220-$D220)/365.25))</f>
        <v/>
      </c>
      <c r="I220" s="25"/>
      <c r="J220" s="12"/>
      <c r="K220" s="12"/>
      <c r="L220" s="14" t="str">
        <f aca="false">IF(OR($C220="",$D220="",$B220=""),"",IF(COUNTIFS($C$5:$C$1504,$C220,$D$5:$D$1504,$D220,$B$5:$B$1504,$B220)&gt;1,"Takror",""))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4"/>
      <c r="F221" s="12"/>
      <c r="G221" s="25"/>
      <c r="H221" s="14" t="str">
        <f aca="false">IF(OR($D221="",$B221=""),"",INT(($B221-$D221)/365.25))</f>
        <v/>
      </c>
      <c r="I221" s="25"/>
      <c r="J221" s="12"/>
      <c r="K221" s="12"/>
      <c r="L221" s="14" t="str">
        <f aca="false">IF(OR($C221="",$D221="",$B221=""),"",IF(COUNTIFS($C$5:$C$1504,$C221,$D$5:$D$1504,$D221,$B$5:$B$1504,$B221)&gt;1,"Takror",""))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4"/>
      <c r="F222" s="12"/>
      <c r="G222" s="25"/>
      <c r="H222" s="14" t="str">
        <f aca="false">IF(OR($D222="",$B222=""),"",INT(($B222-$D222)/365.25))</f>
        <v/>
      </c>
      <c r="I222" s="25"/>
      <c r="J222" s="12"/>
      <c r="K222" s="12"/>
      <c r="L222" s="14" t="str">
        <f aca="false">IF(OR($C222="",$D222="",$B222=""),"",IF(COUNTIFS($C$5:$C$1504,$C222,$D$5:$D$1504,$D222,$B$5:$B$1504,$B222)&gt;1,"Takror",""))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4"/>
      <c r="F223" s="12"/>
      <c r="G223" s="25"/>
      <c r="H223" s="14" t="str">
        <f aca="false">IF(OR($D223="",$B223=""),"",INT(($B223-$D223)/365.25))</f>
        <v/>
      </c>
      <c r="I223" s="25"/>
      <c r="J223" s="12"/>
      <c r="K223" s="12"/>
      <c r="L223" s="14" t="str">
        <f aca="false">IF(OR($C223="",$D223="",$B223=""),"",IF(COUNTIFS($C$5:$C$1504,$C223,$D$5:$D$1504,$D223,$B$5:$B$1504,$B223)&gt;1,"Takror",""))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4"/>
      <c r="F224" s="12"/>
      <c r="G224" s="25"/>
      <c r="H224" s="14" t="str">
        <f aca="false">IF(OR($D224="",$B224=""),"",INT(($B224-$D224)/365.25))</f>
        <v/>
      </c>
      <c r="I224" s="25"/>
      <c r="J224" s="12"/>
      <c r="K224" s="12"/>
      <c r="L224" s="14" t="str">
        <f aca="false">IF(OR($C224="",$D224="",$B224=""),"",IF(COUNTIFS($C$5:$C$1504,$C224,$D$5:$D$1504,$D224,$B$5:$B$1504,$B224)&gt;1,"Takror",""))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4"/>
      <c r="F225" s="12"/>
      <c r="G225" s="25"/>
      <c r="H225" s="14" t="str">
        <f aca="false">IF(OR($D225="",$B225=""),"",INT(($B225-$D225)/365.25))</f>
        <v/>
      </c>
      <c r="I225" s="25"/>
      <c r="J225" s="12"/>
      <c r="K225" s="12"/>
      <c r="L225" s="14" t="str">
        <f aca="false">IF(OR($C225="",$D225="",$B225=""),"",IF(COUNTIFS($C$5:$C$1504,$C225,$D$5:$D$1504,$D225,$B$5:$B$1504,$B225)&gt;1,"Takror",""))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4"/>
      <c r="F226" s="12"/>
      <c r="G226" s="25"/>
      <c r="H226" s="14" t="str">
        <f aca="false">IF(OR($D226="",$B226=""),"",INT(($B226-$D226)/365.25))</f>
        <v/>
      </c>
      <c r="I226" s="25"/>
      <c r="J226" s="12"/>
      <c r="K226" s="12"/>
      <c r="L226" s="14" t="str">
        <f aca="false">IF(OR($C226="",$D226="",$B226=""),"",IF(COUNTIFS($C$5:$C$1504,$C226,$D$5:$D$1504,$D226,$B$5:$B$1504,$B226)&gt;1,"Takror",""))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4"/>
      <c r="F227" s="12"/>
      <c r="G227" s="25"/>
      <c r="H227" s="14" t="str">
        <f aca="false">IF(OR($D227="",$B227=""),"",INT(($B227-$D227)/365.25))</f>
        <v/>
      </c>
      <c r="I227" s="25"/>
      <c r="J227" s="12"/>
      <c r="K227" s="12"/>
      <c r="L227" s="14" t="str">
        <f aca="false">IF(OR($C227="",$D227="",$B227=""),"",IF(COUNTIFS($C$5:$C$1504,$C227,$D$5:$D$1504,$D227,$B$5:$B$1504,$B227)&gt;1,"Takror",""))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4"/>
      <c r="F228" s="12"/>
      <c r="G228" s="25"/>
      <c r="H228" s="14" t="str">
        <f aca="false">IF(OR($D228="",$B228=""),"",INT(($B228-$D228)/365.25))</f>
        <v/>
      </c>
      <c r="I228" s="25"/>
      <c r="J228" s="12"/>
      <c r="K228" s="12"/>
      <c r="L228" s="14" t="str">
        <f aca="false">IF(OR($C228="",$D228="",$B228=""),"",IF(COUNTIFS($C$5:$C$1504,$C228,$D$5:$D$1504,$D228,$B$5:$B$1504,$B228)&gt;1,"Takror",""))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4"/>
      <c r="F229" s="12"/>
      <c r="G229" s="25"/>
      <c r="H229" s="14" t="str">
        <f aca="false">IF(OR($D229="",$B229=""),"",INT(($B229-$D229)/365.25))</f>
        <v/>
      </c>
      <c r="I229" s="25"/>
      <c r="J229" s="12"/>
      <c r="K229" s="12"/>
      <c r="L229" s="14" t="str">
        <f aca="false">IF(OR($C229="",$D229="",$B229=""),"",IF(COUNTIFS($C$5:$C$1504,$C229,$D$5:$D$1504,$D229,$B$5:$B$1504,$B229)&gt;1,"Takror",""))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4"/>
      <c r="F230" s="12"/>
      <c r="G230" s="25"/>
      <c r="H230" s="14" t="str">
        <f aca="false">IF(OR($D230="",$B230=""),"",INT(($B230-$D230)/365.25))</f>
        <v/>
      </c>
      <c r="I230" s="25"/>
      <c r="J230" s="12"/>
      <c r="K230" s="12"/>
      <c r="L230" s="14" t="str">
        <f aca="false">IF(OR($C230="",$D230="",$B230=""),"",IF(COUNTIFS($C$5:$C$1504,$C230,$D$5:$D$1504,$D230,$B$5:$B$1504,$B230)&gt;1,"Takror",""))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4"/>
      <c r="F231" s="12"/>
      <c r="G231" s="25"/>
      <c r="H231" s="14" t="str">
        <f aca="false">IF(OR($D231="",$B231=""),"",INT(($B231-$D231)/365.25))</f>
        <v/>
      </c>
      <c r="I231" s="25"/>
      <c r="J231" s="12"/>
      <c r="K231" s="12"/>
      <c r="L231" s="14" t="str">
        <f aca="false">IF(OR($C231="",$D231="",$B231=""),"",IF(COUNTIFS($C$5:$C$1504,$C231,$D$5:$D$1504,$D231,$B$5:$B$1504,$B231)&gt;1,"Takror",""))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4"/>
      <c r="F232" s="12"/>
      <c r="G232" s="25"/>
      <c r="H232" s="14" t="str">
        <f aca="false">IF(OR($D232="",$B232=""),"",INT(($B232-$D232)/365.25))</f>
        <v/>
      </c>
      <c r="I232" s="25"/>
      <c r="J232" s="12"/>
      <c r="K232" s="12"/>
      <c r="L232" s="14" t="str">
        <f aca="false">IF(OR($C232="",$D232="",$B232=""),"",IF(COUNTIFS($C$5:$C$1504,$C232,$D$5:$D$1504,$D232,$B$5:$B$1504,$B232)&gt;1,"Takror",""))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4"/>
      <c r="F233" s="12"/>
      <c r="G233" s="25"/>
      <c r="H233" s="14" t="str">
        <f aca="false">IF(OR($D233="",$B233=""),"",INT(($B233-$D233)/365.25))</f>
        <v/>
      </c>
      <c r="I233" s="25"/>
      <c r="J233" s="12"/>
      <c r="K233" s="12"/>
      <c r="L233" s="14" t="str">
        <f aca="false">IF(OR($C233="",$D233="",$B233=""),"",IF(COUNTIFS($C$5:$C$1504,$C233,$D$5:$D$1504,$D233,$B$5:$B$1504,$B233)&gt;1,"Takror",""))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4"/>
      <c r="F234" s="12"/>
      <c r="G234" s="25"/>
      <c r="H234" s="14" t="str">
        <f aca="false">IF(OR($D234="",$B234=""),"",INT(($B234-$D234)/365.25))</f>
        <v/>
      </c>
      <c r="I234" s="25"/>
      <c r="J234" s="12"/>
      <c r="K234" s="12"/>
      <c r="L234" s="14" t="str">
        <f aca="false">IF(OR($C234="",$D234="",$B234=""),"",IF(COUNTIFS($C$5:$C$1504,$C234,$D$5:$D$1504,$D234,$B$5:$B$1504,$B234)&gt;1,"Takror",""))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4"/>
      <c r="F235" s="12"/>
      <c r="G235" s="25"/>
      <c r="H235" s="14" t="str">
        <f aca="false">IF(OR($D235="",$B235=""),"",INT(($B235-$D235)/365.25))</f>
        <v/>
      </c>
      <c r="I235" s="25"/>
      <c r="J235" s="12"/>
      <c r="K235" s="12"/>
      <c r="L235" s="14" t="str">
        <f aca="false">IF(OR($C235="",$D235="",$B235=""),"",IF(COUNTIFS($C$5:$C$1504,$C235,$D$5:$D$1504,$D235,$B$5:$B$1504,$B235)&gt;1,"Takror",""))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4"/>
      <c r="F236" s="12"/>
      <c r="G236" s="25"/>
      <c r="H236" s="14" t="str">
        <f aca="false">IF(OR($D236="",$B236=""),"",INT(($B236-$D236)/365.25))</f>
        <v/>
      </c>
      <c r="I236" s="25"/>
      <c r="J236" s="12"/>
      <c r="K236" s="12"/>
      <c r="L236" s="14" t="str">
        <f aca="false">IF(OR($C236="",$D236="",$B236=""),"",IF(COUNTIFS($C$5:$C$1504,$C236,$D$5:$D$1504,$D236,$B$5:$B$1504,$B236)&gt;1,"Takror",""))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4"/>
      <c r="F237" s="12"/>
      <c r="G237" s="25"/>
      <c r="H237" s="14" t="str">
        <f aca="false">IF(OR($D237="",$B237=""),"",INT(($B237-$D237)/365.25))</f>
        <v/>
      </c>
      <c r="I237" s="25"/>
      <c r="J237" s="12"/>
      <c r="K237" s="12"/>
      <c r="L237" s="14" t="str">
        <f aca="false">IF(OR($C237="",$D237="",$B237=""),"",IF(COUNTIFS($C$5:$C$1504,$C237,$D$5:$D$1504,$D237,$B$5:$B$1504,$B237)&gt;1,"Takror",""))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4"/>
      <c r="F238" s="12"/>
      <c r="G238" s="25"/>
      <c r="H238" s="14" t="str">
        <f aca="false">IF(OR($D238="",$B238=""),"",INT(($B238-$D238)/365.25))</f>
        <v/>
      </c>
      <c r="I238" s="25"/>
      <c r="J238" s="12"/>
      <c r="K238" s="12"/>
      <c r="L238" s="14" t="str">
        <f aca="false">IF(OR($C238="",$D238="",$B238=""),"",IF(COUNTIFS($C$5:$C$1504,$C238,$D$5:$D$1504,$D238,$B$5:$B$1504,$B238)&gt;1,"Takror",""))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4"/>
      <c r="F239" s="12"/>
      <c r="G239" s="25"/>
      <c r="H239" s="14" t="str">
        <f aca="false">IF(OR($D239="",$B239=""),"",INT(($B239-$D239)/365.25))</f>
        <v/>
      </c>
      <c r="I239" s="25"/>
      <c r="J239" s="12"/>
      <c r="K239" s="12"/>
      <c r="L239" s="14" t="str">
        <f aca="false">IF(OR($C239="",$D239="",$B239=""),"",IF(COUNTIFS($C$5:$C$1504,$C239,$D$5:$D$1504,$D239,$B$5:$B$1504,$B239)&gt;1,"Takror",""))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4"/>
      <c r="F240" s="12"/>
      <c r="G240" s="25"/>
      <c r="H240" s="14" t="str">
        <f aca="false">IF(OR($D240="",$B240=""),"",INT(($B240-$D240)/365.25))</f>
        <v/>
      </c>
      <c r="I240" s="25"/>
      <c r="J240" s="12"/>
      <c r="K240" s="12"/>
      <c r="L240" s="14" t="str">
        <f aca="false">IF(OR($C240="",$D240="",$B240=""),"",IF(COUNTIFS($C$5:$C$1504,$C240,$D$5:$D$1504,$D240,$B$5:$B$1504,$B240)&gt;1,"Takror",""))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4"/>
      <c r="F241" s="12"/>
      <c r="G241" s="25"/>
      <c r="H241" s="14" t="str">
        <f aca="false">IF(OR($D241="",$B241=""),"",INT(($B241-$D241)/365.25))</f>
        <v/>
      </c>
      <c r="I241" s="25"/>
      <c r="J241" s="12"/>
      <c r="K241" s="12"/>
      <c r="L241" s="14" t="str">
        <f aca="false">IF(OR($C241="",$D241="",$B241=""),"",IF(COUNTIFS($C$5:$C$1504,$C241,$D$5:$D$1504,$D241,$B$5:$B$1504,$B241)&gt;1,"Takror",""))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4"/>
      <c r="F242" s="12"/>
      <c r="G242" s="25"/>
      <c r="H242" s="14" t="str">
        <f aca="false">IF(OR($D242="",$B242=""),"",INT(($B242-$D242)/365.25))</f>
        <v/>
      </c>
      <c r="I242" s="25"/>
      <c r="J242" s="12"/>
      <c r="K242" s="12"/>
      <c r="L242" s="14" t="str">
        <f aca="false">IF(OR($C242="",$D242="",$B242=""),"",IF(COUNTIFS($C$5:$C$1504,$C242,$D$5:$D$1504,$D242,$B$5:$B$1504,$B242)&gt;1,"Takror",""))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4"/>
      <c r="F243" s="12"/>
      <c r="G243" s="25"/>
      <c r="H243" s="14" t="str">
        <f aca="false">IF(OR($D243="",$B243=""),"",INT(($B243-$D243)/365.25))</f>
        <v/>
      </c>
      <c r="I243" s="25"/>
      <c r="J243" s="12"/>
      <c r="K243" s="12"/>
      <c r="L243" s="14" t="str">
        <f aca="false">IF(OR($C243="",$D243="",$B243=""),"",IF(COUNTIFS($C$5:$C$1504,$C243,$D$5:$D$1504,$D243,$B$5:$B$1504,$B243)&gt;1,"Takror",""))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4"/>
      <c r="F244" s="12"/>
      <c r="G244" s="25"/>
      <c r="H244" s="14" t="str">
        <f aca="false">IF(OR($D244="",$B244=""),"",INT(($B244-$D244)/365.25))</f>
        <v/>
      </c>
      <c r="I244" s="25"/>
      <c r="J244" s="12"/>
      <c r="K244" s="12"/>
      <c r="L244" s="14" t="str">
        <f aca="false">IF(OR($C244="",$D244="",$B244=""),"",IF(COUNTIFS($C$5:$C$1504,$C244,$D$5:$D$1504,$D244,$B$5:$B$1504,$B244)&gt;1,"Takror",""))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4"/>
      <c r="F245" s="12"/>
      <c r="G245" s="25"/>
      <c r="H245" s="14" t="str">
        <f aca="false">IF(OR($D245="",$B245=""),"",INT(($B245-$D245)/365.25))</f>
        <v/>
      </c>
      <c r="I245" s="25"/>
      <c r="J245" s="12"/>
      <c r="K245" s="12"/>
      <c r="L245" s="14" t="str">
        <f aca="false">IF(OR($C245="",$D245="",$B245=""),"",IF(COUNTIFS($C$5:$C$1504,$C245,$D$5:$D$1504,$D245,$B$5:$B$1504,$B245)&gt;1,"Takror",""))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4"/>
      <c r="F246" s="12"/>
      <c r="G246" s="25"/>
      <c r="H246" s="14" t="str">
        <f aca="false">IF(OR($D246="",$B246=""),"",INT(($B246-$D246)/365.25))</f>
        <v/>
      </c>
      <c r="I246" s="25"/>
      <c r="J246" s="12"/>
      <c r="K246" s="12"/>
      <c r="L246" s="14" t="str">
        <f aca="false">IF(OR($C246="",$D246="",$B246=""),"",IF(COUNTIFS($C$5:$C$1504,$C246,$D$5:$D$1504,$D246,$B$5:$B$1504,$B246)&gt;1,"Takror",""))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4"/>
      <c r="F247" s="12"/>
      <c r="G247" s="25"/>
      <c r="H247" s="14" t="str">
        <f aca="false">IF(OR($D247="",$B247=""),"",INT(($B247-$D247)/365.25))</f>
        <v/>
      </c>
      <c r="I247" s="25"/>
      <c r="J247" s="12"/>
      <c r="K247" s="12"/>
      <c r="L247" s="14" t="str">
        <f aca="false">IF(OR($C247="",$D247="",$B247=""),"",IF(COUNTIFS($C$5:$C$1504,$C247,$D$5:$D$1504,$D247,$B$5:$B$1504,$B247)&gt;1,"Takror",""))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4"/>
      <c r="F248" s="12"/>
      <c r="G248" s="25"/>
      <c r="H248" s="14" t="str">
        <f aca="false">IF(OR($D248="",$B248=""),"",INT(($B248-$D248)/365.25))</f>
        <v/>
      </c>
      <c r="I248" s="25"/>
      <c r="J248" s="12"/>
      <c r="K248" s="12"/>
      <c r="L248" s="14" t="str">
        <f aca="false">IF(OR($C248="",$D248="",$B248=""),"",IF(COUNTIFS($C$5:$C$1504,$C248,$D$5:$D$1504,$D248,$B$5:$B$1504,$B248)&gt;1,"Takror",""))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4"/>
      <c r="F249" s="12"/>
      <c r="G249" s="25"/>
      <c r="H249" s="14" t="str">
        <f aca="false">IF(OR($D249="",$B249=""),"",INT(($B249-$D249)/365.25))</f>
        <v/>
      </c>
      <c r="I249" s="25"/>
      <c r="J249" s="12"/>
      <c r="K249" s="12"/>
      <c r="L249" s="14" t="str">
        <f aca="false">IF(OR($C249="",$D249="",$B249=""),"",IF(COUNTIFS($C$5:$C$1504,$C249,$D$5:$D$1504,$D249,$B$5:$B$1504,$B249)&gt;1,"Takror",""))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4"/>
      <c r="F250" s="12"/>
      <c r="G250" s="25"/>
      <c r="H250" s="14" t="str">
        <f aca="false">IF(OR($D250="",$B250=""),"",INT(($B250-$D250)/365.25))</f>
        <v/>
      </c>
      <c r="I250" s="25"/>
      <c r="J250" s="12"/>
      <c r="K250" s="12"/>
      <c r="L250" s="14" t="str">
        <f aca="false">IF(OR($C250="",$D250="",$B250=""),"",IF(COUNTIFS($C$5:$C$1504,$C250,$D$5:$D$1504,$D250,$B$5:$B$1504,$B250)&gt;1,"Takror",""))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4"/>
      <c r="F251" s="12"/>
      <c r="G251" s="25"/>
      <c r="H251" s="14" t="str">
        <f aca="false">IF(OR($D251="",$B251=""),"",INT(($B251-$D251)/365.25))</f>
        <v/>
      </c>
      <c r="I251" s="25"/>
      <c r="J251" s="12"/>
      <c r="K251" s="12"/>
      <c r="L251" s="14" t="str">
        <f aca="false">IF(OR($C251="",$D251="",$B251=""),"",IF(COUNTIFS($C$5:$C$1504,$C251,$D$5:$D$1504,$D251,$B$5:$B$1504,$B251)&gt;1,"Takror",""))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4"/>
      <c r="F252" s="12"/>
      <c r="G252" s="25"/>
      <c r="H252" s="14" t="str">
        <f aca="false">IF(OR($D252="",$B252=""),"",INT(($B252-$D252)/365.25))</f>
        <v/>
      </c>
      <c r="I252" s="25"/>
      <c r="J252" s="12"/>
      <c r="K252" s="12"/>
      <c r="L252" s="14" t="str">
        <f aca="false">IF(OR($C252="",$D252="",$B252=""),"",IF(COUNTIFS($C$5:$C$1504,$C252,$D$5:$D$1504,$D252,$B$5:$B$1504,$B252)&gt;1,"Takror",""))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4"/>
      <c r="F253" s="12"/>
      <c r="G253" s="25"/>
      <c r="H253" s="14" t="str">
        <f aca="false">IF(OR($D253="",$B253=""),"",INT(($B253-$D253)/365.25))</f>
        <v/>
      </c>
      <c r="I253" s="25"/>
      <c r="J253" s="12"/>
      <c r="K253" s="12"/>
      <c r="L253" s="14" t="str">
        <f aca="false">IF(OR($C253="",$D253="",$B253=""),"",IF(COUNTIFS($C$5:$C$1504,$C253,$D$5:$D$1504,$D253,$B$5:$B$1504,$B253)&gt;1,"Takror",""))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4"/>
      <c r="F254" s="12"/>
      <c r="G254" s="25"/>
      <c r="H254" s="14" t="str">
        <f aca="false">IF(OR($D254="",$B254=""),"",INT(($B254-$D254)/365.25))</f>
        <v/>
      </c>
      <c r="I254" s="25"/>
      <c r="J254" s="12"/>
      <c r="K254" s="12"/>
      <c r="L254" s="14" t="str">
        <f aca="false">IF(OR($C254="",$D254="",$B254=""),"",IF(COUNTIFS($C$5:$C$1504,$C254,$D$5:$D$1504,$D254,$B$5:$B$1504,$B254)&gt;1,"Takror",""))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4"/>
      <c r="F255" s="12"/>
      <c r="G255" s="25"/>
      <c r="H255" s="14" t="str">
        <f aca="false">IF(OR($D255="",$B255=""),"",INT(($B255-$D255)/365.25))</f>
        <v/>
      </c>
      <c r="I255" s="25"/>
      <c r="J255" s="12"/>
      <c r="K255" s="12"/>
      <c r="L255" s="14" t="str">
        <f aca="false">IF(OR($C255="",$D255="",$B255=""),"",IF(COUNTIFS($C$5:$C$1504,$C255,$D$5:$D$1504,$D255,$B$5:$B$1504,$B255)&gt;1,"Takror",""))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4"/>
      <c r="F256" s="12"/>
      <c r="G256" s="25"/>
      <c r="H256" s="14" t="str">
        <f aca="false">IF(OR($D256="",$B256=""),"",INT(($B256-$D256)/365.25))</f>
        <v/>
      </c>
      <c r="I256" s="25"/>
      <c r="J256" s="12"/>
      <c r="K256" s="12"/>
      <c r="L256" s="14" t="str">
        <f aca="false">IF(OR($C256="",$D256="",$B256=""),"",IF(COUNTIFS($C$5:$C$1504,$C256,$D$5:$D$1504,$D256,$B$5:$B$1504,$B256)&gt;1,"Takror",""))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4"/>
      <c r="F257" s="12"/>
      <c r="G257" s="25"/>
      <c r="H257" s="14" t="str">
        <f aca="false">IF(OR($D257="",$B257=""),"",INT(($B257-$D257)/365.25))</f>
        <v/>
      </c>
      <c r="I257" s="25"/>
      <c r="J257" s="12"/>
      <c r="K257" s="12"/>
      <c r="L257" s="14" t="str">
        <f aca="false">IF(OR($C257="",$D257="",$B257=""),"",IF(COUNTIFS($C$5:$C$1504,$C257,$D$5:$D$1504,$D257,$B$5:$B$1504,$B257)&gt;1,"Takror",""))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4"/>
      <c r="F258" s="12"/>
      <c r="G258" s="25"/>
      <c r="H258" s="14" t="str">
        <f aca="false">IF(OR($D258="",$B258=""),"",INT(($B258-$D258)/365.25))</f>
        <v/>
      </c>
      <c r="I258" s="25"/>
      <c r="J258" s="12"/>
      <c r="K258" s="12"/>
      <c r="L258" s="14" t="str">
        <f aca="false">IF(OR($C258="",$D258="",$B258=""),"",IF(COUNTIFS($C$5:$C$1504,$C258,$D$5:$D$1504,$D258,$B$5:$B$1504,$B258)&gt;1,"Takror",""))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4"/>
      <c r="F259" s="12"/>
      <c r="G259" s="25"/>
      <c r="H259" s="14" t="str">
        <f aca="false">IF(OR($D259="",$B259=""),"",INT(($B259-$D259)/365.25))</f>
        <v/>
      </c>
      <c r="I259" s="25"/>
      <c r="J259" s="12"/>
      <c r="K259" s="12"/>
      <c r="L259" s="14" t="str">
        <f aca="false">IF(OR($C259="",$D259="",$B259=""),"",IF(COUNTIFS($C$5:$C$1504,$C259,$D$5:$D$1504,$D259,$B$5:$B$1504,$B259)&gt;1,"Takror",""))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4"/>
      <c r="F260" s="12"/>
      <c r="G260" s="25"/>
      <c r="H260" s="14" t="str">
        <f aca="false">IF(OR($D260="",$B260=""),"",INT(($B260-$D260)/365.25))</f>
        <v/>
      </c>
      <c r="I260" s="25"/>
      <c r="J260" s="12"/>
      <c r="K260" s="12"/>
      <c r="L260" s="14" t="str">
        <f aca="false">IF(OR($C260="",$D260="",$B260=""),"",IF(COUNTIFS($C$5:$C$1504,$C260,$D$5:$D$1504,$D260,$B$5:$B$1504,$B260)&gt;1,"Takror",""))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4"/>
      <c r="F261" s="12"/>
      <c r="G261" s="25"/>
      <c r="H261" s="14" t="str">
        <f aca="false">IF(OR($D261="",$B261=""),"",INT(($B261-$D261)/365.25))</f>
        <v/>
      </c>
      <c r="I261" s="25"/>
      <c r="J261" s="12"/>
      <c r="K261" s="12"/>
      <c r="L261" s="14" t="str">
        <f aca="false">IF(OR($C261="",$D261="",$B261=""),"",IF(COUNTIFS($C$5:$C$1504,$C261,$D$5:$D$1504,$D261,$B$5:$B$1504,$B261)&gt;1,"Takror",""))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4"/>
      <c r="F262" s="12"/>
      <c r="G262" s="25"/>
      <c r="H262" s="14" t="str">
        <f aca="false">IF(OR($D262="",$B262=""),"",INT(($B262-$D262)/365.25))</f>
        <v/>
      </c>
      <c r="I262" s="25"/>
      <c r="J262" s="12"/>
      <c r="K262" s="12"/>
      <c r="L262" s="14" t="str">
        <f aca="false">IF(OR($C262="",$D262="",$B262=""),"",IF(COUNTIFS($C$5:$C$1504,$C262,$D$5:$D$1504,$D262,$B$5:$B$1504,$B262)&gt;1,"Takror",""))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4"/>
      <c r="F263" s="12"/>
      <c r="G263" s="25"/>
      <c r="H263" s="14" t="str">
        <f aca="false">IF(OR($D263="",$B263=""),"",INT(($B263-$D263)/365.25))</f>
        <v/>
      </c>
      <c r="I263" s="25"/>
      <c r="J263" s="12"/>
      <c r="K263" s="12"/>
      <c r="L263" s="14" t="str">
        <f aca="false">IF(OR($C263="",$D263="",$B263=""),"",IF(COUNTIFS($C$5:$C$1504,$C263,$D$5:$D$1504,$D263,$B$5:$B$1504,$B263)&gt;1,"Takror",""))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4"/>
      <c r="F264" s="12"/>
      <c r="G264" s="25"/>
      <c r="H264" s="14" t="str">
        <f aca="false">IF(OR($D264="",$B264=""),"",INT(($B264-$D264)/365.25))</f>
        <v/>
      </c>
      <c r="I264" s="25"/>
      <c r="J264" s="12"/>
      <c r="K264" s="12"/>
      <c r="L264" s="14" t="str">
        <f aca="false">IF(OR($C264="",$D264="",$B264=""),"",IF(COUNTIFS($C$5:$C$1504,$C264,$D$5:$D$1504,$D264,$B$5:$B$1504,$B264)&gt;1,"Takror",""))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4"/>
      <c r="F265" s="12"/>
      <c r="G265" s="25"/>
      <c r="H265" s="14" t="str">
        <f aca="false">IF(OR($D265="",$B265=""),"",INT(($B265-$D265)/365.25))</f>
        <v/>
      </c>
      <c r="I265" s="25"/>
      <c r="J265" s="12"/>
      <c r="K265" s="12"/>
      <c r="L265" s="14" t="str">
        <f aca="false">IF(OR($C265="",$D265="",$B265=""),"",IF(COUNTIFS($C$5:$C$1504,$C265,$D$5:$D$1504,$D265,$B$5:$B$1504,$B265)&gt;1,"Takror",""))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4"/>
      <c r="F266" s="12"/>
      <c r="G266" s="25"/>
      <c r="H266" s="14" t="str">
        <f aca="false">IF(OR($D266="",$B266=""),"",INT(($B266-$D266)/365.25))</f>
        <v/>
      </c>
      <c r="I266" s="25"/>
      <c r="J266" s="12"/>
      <c r="K266" s="12"/>
      <c r="L266" s="14" t="str">
        <f aca="false">IF(OR($C266="",$D266="",$B266=""),"",IF(COUNTIFS($C$5:$C$1504,$C266,$D$5:$D$1504,$D266,$B$5:$B$1504,$B266)&gt;1,"Takror",""))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4"/>
      <c r="F267" s="12"/>
      <c r="G267" s="25"/>
      <c r="H267" s="14" t="str">
        <f aca="false">IF(OR($D267="",$B267=""),"",INT(($B267-$D267)/365.25))</f>
        <v/>
      </c>
      <c r="I267" s="25"/>
      <c r="J267" s="12"/>
      <c r="K267" s="12"/>
      <c r="L267" s="14" t="str">
        <f aca="false">IF(OR($C267="",$D267="",$B267=""),"",IF(COUNTIFS($C$5:$C$1504,$C267,$D$5:$D$1504,$D267,$B$5:$B$1504,$B267)&gt;1,"Takror",""))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4"/>
      <c r="F268" s="12"/>
      <c r="G268" s="25"/>
      <c r="H268" s="14" t="str">
        <f aca="false">IF(OR($D268="",$B268=""),"",INT(($B268-$D268)/365.25))</f>
        <v/>
      </c>
      <c r="I268" s="25"/>
      <c r="J268" s="12"/>
      <c r="K268" s="12"/>
      <c r="L268" s="14" t="str">
        <f aca="false">IF(OR($C268="",$D268="",$B268=""),"",IF(COUNTIFS($C$5:$C$1504,$C268,$D$5:$D$1504,$D268,$B$5:$B$1504,$B268)&gt;1,"Takror",""))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4"/>
      <c r="F269" s="12"/>
      <c r="G269" s="25"/>
      <c r="H269" s="14" t="str">
        <f aca="false">IF(OR($D269="",$B269=""),"",INT(($B269-$D269)/365.25))</f>
        <v/>
      </c>
      <c r="I269" s="25"/>
      <c r="J269" s="12"/>
      <c r="K269" s="12"/>
      <c r="L269" s="14" t="str">
        <f aca="false">IF(OR($C269="",$D269="",$B269=""),"",IF(COUNTIFS($C$5:$C$1504,$C269,$D$5:$D$1504,$D269,$B$5:$B$1504,$B269)&gt;1,"Takror",""))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4"/>
      <c r="F270" s="12"/>
      <c r="G270" s="25"/>
      <c r="H270" s="14" t="str">
        <f aca="false">IF(OR($D270="",$B270=""),"",INT(($B270-$D270)/365.25))</f>
        <v/>
      </c>
      <c r="I270" s="25"/>
      <c r="J270" s="12"/>
      <c r="K270" s="12"/>
      <c r="L270" s="14" t="str">
        <f aca="false">IF(OR($C270="",$D270="",$B270=""),"",IF(COUNTIFS($C$5:$C$1504,$C270,$D$5:$D$1504,$D270,$B$5:$B$1504,$B270)&gt;1,"Takror",""))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4"/>
      <c r="F271" s="12"/>
      <c r="G271" s="25"/>
      <c r="H271" s="14" t="str">
        <f aca="false">IF(OR($D271="",$B271=""),"",INT(($B271-$D271)/365.25))</f>
        <v/>
      </c>
      <c r="I271" s="25"/>
      <c r="J271" s="12"/>
      <c r="K271" s="12"/>
      <c r="L271" s="14" t="str">
        <f aca="false">IF(OR($C271="",$D271="",$B271=""),"",IF(COUNTIFS($C$5:$C$1504,$C271,$D$5:$D$1504,$D271,$B$5:$B$1504,$B271)&gt;1,"Takror",""))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4"/>
      <c r="F272" s="12"/>
      <c r="G272" s="25"/>
      <c r="H272" s="14" t="str">
        <f aca="false">IF(OR($D272="",$B272=""),"",INT(($B272-$D272)/365.25))</f>
        <v/>
      </c>
      <c r="I272" s="25"/>
      <c r="J272" s="12"/>
      <c r="K272" s="12"/>
      <c r="L272" s="14" t="str">
        <f aca="false">IF(OR($C272="",$D272="",$B272=""),"",IF(COUNTIFS($C$5:$C$1504,$C272,$D$5:$D$1504,$D272,$B$5:$B$1504,$B272)&gt;1,"Takror",""))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4"/>
      <c r="F273" s="12"/>
      <c r="G273" s="25"/>
      <c r="H273" s="14" t="str">
        <f aca="false">IF(OR($D273="",$B273=""),"",INT(($B273-$D273)/365.25))</f>
        <v/>
      </c>
      <c r="I273" s="25"/>
      <c r="J273" s="12"/>
      <c r="K273" s="12"/>
      <c r="L273" s="14" t="str">
        <f aca="false">IF(OR($C273="",$D273="",$B273=""),"",IF(COUNTIFS($C$5:$C$1504,$C273,$D$5:$D$1504,$D273,$B$5:$B$1504,$B273)&gt;1,"Takror",""))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4"/>
      <c r="F274" s="12"/>
      <c r="G274" s="25"/>
      <c r="H274" s="14" t="str">
        <f aca="false">IF(OR($D274="",$B274=""),"",INT(($B274-$D274)/365.25))</f>
        <v/>
      </c>
      <c r="I274" s="25"/>
      <c r="J274" s="12"/>
      <c r="K274" s="12"/>
      <c r="L274" s="14" t="str">
        <f aca="false">IF(OR($C274="",$D274="",$B274=""),"",IF(COUNTIFS($C$5:$C$1504,$C274,$D$5:$D$1504,$D274,$B$5:$B$1504,$B274)&gt;1,"Takror",""))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4"/>
      <c r="F275" s="12"/>
      <c r="G275" s="25"/>
      <c r="H275" s="14" t="str">
        <f aca="false">IF(OR($D275="",$B275=""),"",INT(($B275-$D275)/365.25))</f>
        <v/>
      </c>
      <c r="I275" s="25"/>
      <c r="J275" s="12"/>
      <c r="K275" s="12"/>
      <c r="L275" s="14" t="str">
        <f aca="false">IF(OR($C275="",$D275="",$B275=""),"",IF(COUNTIFS($C$5:$C$1504,$C275,$D$5:$D$1504,$D275,$B$5:$B$1504,$B275)&gt;1,"Takror",""))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4"/>
      <c r="F276" s="12"/>
      <c r="G276" s="25"/>
      <c r="H276" s="14" t="str">
        <f aca="false">IF(OR($D276="",$B276=""),"",INT(($B276-$D276)/365.25))</f>
        <v/>
      </c>
      <c r="I276" s="25"/>
      <c r="J276" s="12"/>
      <c r="K276" s="12"/>
      <c r="L276" s="14" t="str">
        <f aca="false">IF(OR($C276="",$D276="",$B276=""),"",IF(COUNTIFS($C$5:$C$1504,$C276,$D$5:$D$1504,$D276,$B$5:$B$1504,$B276)&gt;1,"Takror",""))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4"/>
      <c r="F277" s="12"/>
      <c r="G277" s="25"/>
      <c r="H277" s="14" t="str">
        <f aca="false">IF(OR($D277="",$B277=""),"",INT(($B277-$D277)/365.25))</f>
        <v/>
      </c>
      <c r="I277" s="25"/>
      <c r="J277" s="12"/>
      <c r="K277" s="12"/>
      <c r="L277" s="14" t="str">
        <f aca="false">IF(OR($C277="",$D277="",$B277=""),"",IF(COUNTIFS($C$5:$C$1504,$C277,$D$5:$D$1504,$D277,$B$5:$B$1504,$B277)&gt;1,"Takror",""))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4"/>
      <c r="F278" s="12"/>
      <c r="G278" s="25"/>
      <c r="H278" s="14" t="str">
        <f aca="false">IF(OR($D278="",$B278=""),"",INT(($B278-$D278)/365.25))</f>
        <v/>
      </c>
      <c r="I278" s="25"/>
      <c r="J278" s="12"/>
      <c r="K278" s="12"/>
      <c r="L278" s="14" t="str">
        <f aca="false">IF(OR($C278="",$D278="",$B278=""),"",IF(COUNTIFS($C$5:$C$1504,$C278,$D$5:$D$1504,$D278,$B$5:$B$1504,$B278)&gt;1,"Takror",""))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4"/>
      <c r="F279" s="12"/>
      <c r="G279" s="25"/>
      <c r="H279" s="14" t="str">
        <f aca="false">IF(OR($D279="",$B279=""),"",INT(($B279-$D279)/365.25))</f>
        <v/>
      </c>
      <c r="I279" s="25"/>
      <c r="J279" s="12"/>
      <c r="K279" s="12"/>
      <c r="L279" s="14" t="str">
        <f aca="false">IF(OR($C279="",$D279="",$B279=""),"",IF(COUNTIFS($C$5:$C$1504,$C279,$D$5:$D$1504,$D279,$B$5:$B$1504,$B279)&gt;1,"Takror",""))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4"/>
      <c r="F280" s="12"/>
      <c r="G280" s="25"/>
      <c r="H280" s="14" t="str">
        <f aca="false">IF(OR($D280="",$B280=""),"",INT(($B280-$D280)/365.25))</f>
        <v/>
      </c>
      <c r="I280" s="25"/>
      <c r="J280" s="12"/>
      <c r="K280" s="12"/>
      <c r="L280" s="14" t="str">
        <f aca="false">IF(OR($C280="",$D280="",$B280=""),"",IF(COUNTIFS($C$5:$C$1504,$C280,$D$5:$D$1504,$D280,$B$5:$B$1504,$B280)&gt;1,"Takror",""))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4"/>
      <c r="F281" s="12"/>
      <c r="G281" s="25"/>
      <c r="H281" s="14" t="str">
        <f aca="false">IF(OR($D281="",$B281=""),"",INT(($B281-$D281)/365.25))</f>
        <v/>
      </c>
      <c r="I281" s="25"/>
      <c r="J281" s="12"/>
      <c r="K281" s="12"/>
      <c r="L281" s="14" t="str">
        <f aca="false">IF(OR($C281="",$D281="",$B281=""),"",IF(COUNTIFS($C$5:$C$1504,$C281,$D$5:$D$1504,$D281,$B$5:$B$1504,$B281)&gt;1,"Takror",""))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4"/>
      <c r="F282" s="12"/>
      <c r="G282" s="25"/>
      <c r="H282" s="14" t="str">
        <f aca="false">IF(OR($D282="",$B282=""),"",INT(($B282-$D282)/365.25))</f>
        <v/>
      </c>
      <c r="I282" s="25"/>
      <c r="J282" s="12"/>
      <c r="K282" s="12"/>
      <c r="L282" s="14" t="str">
        <f aca="false">IF(OR($C282="",$D282="",$B282=""),"",IF(COUNTIFS($C$5:$C$1504,$C282,$D$5:$D$1504,$D282,$B$5:$B$1504,$B282)&gt;1,"Takror",""))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4"/>
      <c r="F283" s="12"/>
      <c r="G283" s="25"/>
      <c r="H283" s="14" t="str">
        <f aca="false">IF(OR($D283="",$B283=""),"",INT(($B283-$D283)/365.25))</f>
        <v/>
      </c>
      <c r="I283" s="25"/>
      <c r="J283" s="12"/>
      <c r="K283" s="12"/>
      <c r="L283" s="14" t="str">
        <f aca="false">IF(OR($C283="",$D283="",$B283=""),"",IF(COUNTIFS($C$5:$C$1504,$C283,$D$5:$D$1504,$D283,$B$5:$B$1504,$B283)&gt;1,"Takror",""))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4"/>
      <c r="F284" s="12"/>
      <c r="G284" s="25"/>
      <c r="H284" s="14" t="str">
        <f aca="false">IF(OR($D284="",$B284=""),"",INT(($B284-$D284)/365.25))</f>
        <v/>
      </c>
      <c r="I284" s="25"/>
      <c r="J284" s="12"/>
      <c r="K284" s="12"/>
      <c r="L284" s="14" t="str">
        <f aca="false">IF(OR($C284="",$D284="",$B284=""),"",IF(COUNTIFS($C$5:$C$1504,$C284,$D$5:$D$1504,$D284,$B$5:$B$1504,$B284)&gt;1,"Takror",""))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4"/>
      <c r="F285" s="12"/>
      <c r="G285" s="25"/>
      <c r="H285" s="14" t="str">
        <f aca="false">IF(OR($D285="",$B285=""),"",INT(($B285-$D285)/365.25))</f>
        <v/>
      </c>
      <c r="I285" s="25"/>
      <c r="J285" s="12"/>
      <c r="K285" s="12"/>
      <c r="L285" s="14" t="str">
        <f aca="false">IF(OR($C285="",$D285="",$B285=""),"",IF(COUNTIFS($C$5:$C$1504,$C285,$D$5:$D$1504,$D285,$B$5:$B$1504,$B285)&gt;1,"Takror",""))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4"/>
      <c r="F286" s="12"/>
      <c r="G286" s="25"/>
      <c r="H286" s="14" t="str">
        <f aca="false">IF(OR($D286="",$B286=""),"",INT(($B286-$D286)/365.25))</f>
        <v/>
      </c>
      <c r="I286" s="25"/>
      <c r="J286" s="12"/>
      <c r="K286" s="12"/>
      <c r="L286" s="14" t="str">
        <f aca="false">IF(OR($C286="",$D286="",$B286=""),"",IF(COUNTIFS($C$5:$C$1504,$C286,$D$5:$D$1504,$D286,$B$5:$B$1504,$B286)&gt;1,"Takror",""))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4"/>
      <c r="F287" s="12"/>
      <c r="G287" s="25"/>
      <c r="H287" s="14" t="str">
        <f aca="false">IF(OR($D287="",$B287=""),"",INT(($B287-$D287)/365.25))</f>
        <v/>
      </c>
      <c r="I287" s="25"/>
      <c r="J287" s="12"/>
      <c r="K287" s="12"/>
      <c r="L287" s="14" t="str">
        <f aca="false">IF(OR($C287="",$D287="",$B287=""),"",IF(COUNTIFS($C$5:$C$1504,$C287,$D$5:$D$1504,$D287,$B$5:$B$1504,$B287)&gt;1,"Takror",""))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4"/>
      <c r="F288" s="12"/>
      <c r="G288" s="25"/>
      <c r="H288" s="14" t="str">
        <f aca="false">IF(OR($D288="",$B288=""),"",INT(($B288-$D288)/365.25))</f>
        <v/>
      </c>
      <c r="I288" s="25"/>
      <c r="J288" s="12"/>
      <c r="K288" s="12"/>
      <c r="L288" s="14" t="str">
        <f aca="false">IF(OR($C288="",$D288="",$B288=""),"",IF(COUNTIFS($C$5:$C$1504,$C288,$D$5:$D$1504,$D288,$B$5:$B$1504,$B288)&gt;1,"Takror",""))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4"/>
      <c r="F289" s="12"/>
      <c r="G289" s="25"/>
      <c r="H289" s="14" t="str">
        <f aca="false">IF(OR($D289="",$B289=""),"",INT(($B289-$D289)/365.25))</f>
        <v/>
      </c>
      <c r="I289" s="25"/>
      <c r="J289" s="12"/>
      <c r="K289" s="12"/>
      <c r="L289" s="14" t="str">
        <f aca="false">IF(OR($C289="",$D289="",$B289=""),"",IF(COUNTIFS($C$5:$C$1504,$C289,$D$5:$D$1504,$D289,$B$5:$B$1504,$B289)&gt;1,"Takror",""))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4"/>
      <c r="F290" s="12"/>
      <c r="G290" s="25"/>
      <c r="H290" s="14" t="str">
        <f aca="false">IF(OR($D290="",$B290=""),"",INT(($B290-$D290)/365.25))</f>
        <v/>
      </c>
      <c r="I290" s="25"/>
      <c r="J290" s="12"/>
      <c r="K290" s="12"/>
      <c r="L290" s="14" t="str">
        <f aca="false">IF(OR($C290="",$D290="",$B290=""),"",IF(COUNTIFS($C$5:$C$1504,$C290,$D$5:$D$1504,$D290,$B$5:$B$1504,$B290)&gt;1,"Takror",""))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4"/>
      <c r="F291" s="12"/>
      <c r="G291" s="25"/>
      <c r="H291" s="14" t="str">
        <f aca="false">IF(OR($D291="",$B291=""),"",INT(($B291-$D291)/365.25))</f>
        <v/>
      </c>
      <c r="I291" s="25"/>
      <c r="J291" s="12"/>
      <c r="K291" s="12"/>
      <c r="L291" s="14" t="str">
        <f aca="false">IF(OR($C291="",$D291="",$B291=""),"",IF(COUNTIFS($C$5:$C$1504,$C291,$D$5:$D$1504,$D291,$B$5:$B$1504,$B291)&gt;1,"Takror",""))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4"/>
      <c r="F292" s="12"/>
      <c r="G292" s="25"/>
      <c r="H292" s="14" t="str">
        <f aca="false">IF(OR($D292="",$B292=""),"",INT(($B292-$D292)/365.25))</f>
        <v/>
      </c>
      <c r="I292" s="25"/>
      <c r="J292" s="12"/>
      <c r="K292" s="12"/>
      <c r="L292" s="14" t="str">
        <f aca="false">IF(OR($C292="",$D292="",$B292=""),"",IF(COUNTIFS($C$5:$C$1504,$C292,$D$5:$D$1504,$D292,$B$5:$B$1504,$B292)&gt;1,"Takror",""))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4"/>
      <c r="F293" s="12"/>
      <c r="G293" s="25"/>
      <c r="H293" s="14" t="str">
        <f aca="false">IF(OR($D293="",$B293=""),"",INT(($B293-$D293)/365.25))</f>
        <v/>
      </c>
      <c r="I293" s="25"/>
      <c r="J293" s="12"/>
      <c r="K293" s="12"/>
      <c r="L293" s="14" t="str">
        <f aca="false">IF(OR($C293="",$D293="",$B293=""),"",IF(COUNTIFS($C$5:$C$1504,$C293,$D$5:$D$1504,$D293,$B$5:$B$1504,$B293)&gt;1,"Takror",""))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4"/>
      <c r="F294" s="12"/>
      <c r="G294" s="25"/>
      <c r="H294" s="14" t="str">
        <f aca="false">IF(OR($D294="",$B294=""),"",INT(($B294-$D294)/365.25))</f>
        <v/>
      </c>
      <c r="I294" s="25"/>
      <c r="J294" s="12"/>
      <c r="K294" s="12"/>
      <c r="L294" s="14" t="str">
        <f aca="false">IF(OR($C294="",$D294="",$B294=""),"",IF(COUNTIFS($C$5:$C$1504,$C294,$D$5:$D$1504,$D294,$B$5:$B$1504,$B294)&gt;1,"Takror",""))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4"/>
      <c r="F295" s="12"/>
      <c r="G295" s="25"/>
      <c r="H295" s="14" t="str">
        <f aca="false">IF(OR($D295="",$B295=""),"",INT(($B295-$D295)/365.25))</f>
        <v/>
      </c>
      <c r="I295" s="25"/>
      <c r="J295" s="12"/>
      <c r="K295" s="12"/>
      <c r="L295" s="14" t="str">
        <f aca="false">IF(OR($C295="",$D295="",$B295=""),"",IF(COUNTIFS($C$5:$C$1504,$C295,$D$5:$D$1504,$D295,$B$5:$B$1504,$B295)&gt;1,"Takror",""))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4"/>
      <c r="F296" s="12"/>
      <c r="G296" s="25"/>
      <c r="H296" s="14" t="str">
        <f aca="false">IF(OR($D296="",$B296=""),"",INT(($B296-$D296)/365.25))</f>
        <v/>
      </c>
      <c r="I296" s="25"/>
      <c r="J296" s="12"/>
      <c r="K296" s="12"/>
      <c r="L296" s="14" t="str">
        <f aca="false">IF(OR($C296="",$D296="",$B296=""),"",IF(COUNTIFS($C$5:$C$1504,$C296,$D$5:$D$1504,$D296,$B$5:$B$1504,$B296)&gt;1,"Takror",""))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4"/>
      <c r="F297" s="12"/>
      <c r="G297" s="25"/>
      <c r="H297" s="14" t="str">
        <f aca="false">IF(OR($D297="",$B297=""),"",INT(($B297-$D297)/365.25))</f>
        <v/>
      </c>
      <c r="I297" s="25"/>
      <c r="J297" s="12"/>
      <c r="K297" s="12"/>
      <c r="L297" s="14" t="str">
        <f aca="false">IF(OR($C297="",$D297="",$B297=""),"",IF(COUNTIFS($C$5:$C$1504,$C297,$D$5:$D$1504,$D297,$B$5:$B$1504,$B297)&gt;1,"Takror",""))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4"/>
      <c r="F298" s="12"/>
      <c r="G298" s="25"/>
      <c r="H298" s="14" t="str">
        <f aca="false">IF(OR($D298="",$B298=""),"",INT(($B298-$D298)/365.25))</f>
        <v/>
      </c>
      <c r="I298" s="25"/>
      <c r="J298" s="12"/>
      <c r="K298" s="12"/>
      <c r="L298" s="14" t="str">
        <f aca="false">IF(OR($C298="",$D298="",$B298=""),"",IF(COUNTIFS($C$5:$C$1504,$C298,$D$5:$D$1504,$D298,$B$5:$B$1504,$B298)&gt;1,"Takror",""))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4"/>
      <c r="F299" s="12"/>
      <c r="G299" s="25"/>
      <c r="H299" s="14" t="str">
        <f aca="false">IF(OR($D299="",$B299=""),"",INT(($B299-$D299)/365.25))</f>
        <v/>
      </c>
      <c r="I299" s="25"/>
      <c r="J299" s="12"/>
      <c r="K299" s="12"/>
      <c r="L299" s="14" t="str">
        <f aca="false">IF(OR($C299="",$D299="",$B299=""),"",IF(COUNTIFS($C$5:$C$1504,$C299,$D$5:$D$1504,$D299,$B$5:$B$1504,$B299)&gt;1,"Takror",""))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4"/>
      <c r="F300" s="12"/>
      <c r="G300" s="25"/>
      <c r="H300" s="14" t="str">
        <f aca="false">IF(OR($D300="",$B300=""),"",INT(($B300-$D300)/365.25))</f>
        <v/>
      </c>
      <c r="I300" s="25"/>
      <c r="J300" s="12"/>
      <c r="K300" s="12"/>
      <c r="L300" s="14" t="str">
        <f aca="false">IF(OR($C300="",$D300="",$B300=""),"",IF(COUNTIFS($C$5:$C$1504,$C300,$D$5:$D$1504,$D300,$B$5:$B$1504,$B300)&gt;1,"Takror",""))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4"/>
      <c r="F301" s="12"/>
      <c r="G301" s="25"/>
      <c r="H301" s="14" t="str">
        <f aca="false">IF(OR($D301="",$B301=""),"",INT(($B301-$D301)/365.25))</f>
        <v/>
      </c>
      <c r="I301" s="25"/>
      <c r="J301" s="12"/>
      <c r="K301" s="12"/>
      <c r="L301" s="14" t="str">
        <f aca="false">IF(OR($C301="",$D301="",$B301=""),"",IF(COUNTIFS($C$5:$C$1504,$C301,$D$5:$D$1504,$D301,$B$5:$B$1504,$B301)&gt;1,"Takror",""))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4"/>
      <c r="F302" s="12"/>
      <c r="G302" s="25"/>
      <c r="H302" s="14" t="str">
        <f aca="false">IF(OR($D302="",$B302=""),"",INT(($B302-$D302)/365.25))</f>
        <v/>
      </c>
      <c r="I302" s="25"/>
      <c r="J302" s="12"/>
      <c r="K302" s="12"/>
      <c r="L302" s="14" t="str">
        <f aca="false">IF(OR($C302="",$D302="",$B302=""),"",IF(COUNTIFS($C$5:$C$1504,$C302,$D$5:$D$1504,$D302,$B$5:$B$1504,$B302)&gt;1,"Takror",""))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4"/>
      <c r="F303" s="12"/>
      <c r="G303" s="25"/>
      <c r="H303" s="14" t="str">
        <f aca="false">IF(OR($D303="",$B303=""),"",INT(($B303-$D303)/365.25))</f>
        <v/>
      </c>
      <c r="I303" s="25"/>
      <c r="J303" s="12"/>
      <c r="K303" s="12"/>
      <c r="L303" s="14" t="str">
        <f aca="false">IF(OR($C303="",$D303="",$B303=""),"",IF(COUNTIFS($C$5:$C$1504,$C303,$D$5:$D$1504,$D303,$B$5:$B$1504,$B303)&gt;1,"Takror",""))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4"/>
      <c r="F304" s="12"/>
      <c r="G304" s="25"/>
      <c r="H304" s="14" t="str">
        <f aca="false">IF(OR($D304="",$B304=""),"",INT(($B304-$D304)/365.25))</f>
        <v/>
      </c>
      <c r="I304" s="25"/>
      <c r="J304" s="12"/>
      <c r="K304" s="12"/>
      <c r="L304" s="14" t="str">
        <f aca="false">IF(OR($C304="",$D304="",$B304=""),"",IF(COUNTIFS($C$5:$C$1504,$C304,$D$5:$D$1504,$D304,$B$5:$B$1504,$B304)&gt;1,"Takror",""))</f>
        <v/>
      </c>
    </row>
    <row r="305" customFormat="false" ht="15" hidden="false" customHeight="false" outlineLevel="0" collapsed="false">
      <c r="A305" s="8" t="n">
        <v>301</v>
      </c>
      <c r="B305" s="13"/>
      <c r="C305" s="12"/>
      <c r="D305" s="13"/>
      <c r="E305" s="24"/>
      <c r="F305" s="12"/>
      <c r="G305" s="25"/>
      <c r="H305" s="14" t="str">
        <f aca="false">IF(OR($D305="",$B305=""),"",INT(($B305-$D305)/365.25))</f>
        <v/>
      </c>
      <c r="I305" s="25"/>
      <c r="J305" s="12"/>
      <c r="K305" s="12"/>
      <c r="L305" s="14" t="str">
        <f aca="false">IF(OR($C305="",$D305="",$B305=""),"",IF(COUNTIFS($C$5:$C$1504,$C305,$D$5:$D$1504,$D305,$B$5:$B$1504,$B305)&gt;1,"Takror",""))</f>
        <v/>
      </c>
    </row>
    <row r="306" customFormat="false" ht="15" hidden="false" customHeight="false" outlineLevel="0" collapsed="false">
      <c r="A306" s="8" t="n">
        <v>302</v>
      </c>
      <c r="B306" s="13"/>
      <c r="C306" s="12"/>
      <c r="D306" s="13"/>
      <c r="E306" s="24"/>
      <c r="F306" s="12"/>
      <c r="G306" s="25"/>
      <c r="H306" s="14" t="str">
        <f aca="false">IF(OR($D306="",$B306=""),"",INT(($B306-$D306)/365.25))</f>
        <v/>
      </c>
      <c r="I306" s="25"/>
      <c r="J306" s="12"/>
      <c r="K306" s="12"/>
      <c r="L306" s="14" t="str">
        <f aca="false">IF(OR($C306="",$D306="",$B306=""),"",IF(COUNTIFS($C$5:$C$1504,$C306,$D$5:$D$1504,$D306,$B$5:$B$1504,$B306)&gt;1,"Takror",""))</f>
        <v/>
      </c>
    </row>
    <row r="307" customFormat="false" ht="15" hidden="false" customHeight="false" outlineLevel="0" collapsed="false">
      <c r="A307" s="8" t="n">
        <v>303</v>
      </c>
      <c r="B307" s="13"/>
      <c r="C307" s="12"/>
      <c r="D307" s="13"/>
      <c r="E307" s="24"/>
      <c r="F307" s="12"/>
      <c r="G307" s="25"/>
      <c r="H307" s="14" t="str">
        <f aca="false">IF(OR($D307="",$B307=""),"",INT(($B307-$D307)/365.25))</f>
        <v/>
      </c>
      <c r="I307" s="25"/>
      <c r="J307" s="12"/>
      <c r="K307" s="12"/>
      <c r="L307" s="14" t="str">
        <f aca="false">IF(OR($C307="",$D307="",$B307=""),"",IF(COUNTIFS($C$5:$C$1504,$C307,$D$5:$D$1504,$D307,$B$5:$B$1504,$B307)&gt;1,"Takror",""))</f>
        <v/>
      </c>
    </row>
    <row r="308" customFormat="false" ht="15" hidden="false" customHeight="false" outlineLevel="0" collapsed="false">
      <c r="A308" s="8" t="n">
        <v>304</v>
      </c>
      <c r="B308" s="13"/>
      <c r="C308" s="12"/>
      <c r="D308" s="13"/>
      <c r="E308" s="24"/>
      <c r="F308" s="12"/>
      <c r="G308" s="25"/>
      <c r="H308" s="14" t="str">
        <f aca="false">IF(OR($D308="",$B308=""),"",INT(($B308-$D308)/365.25))</f>
        <v/>
      </c>
      <c r="I308" s="25"/>
      <c r="J308" s="12"/>
      <c r="K308" s="12"/>
      <c r="L308" s="14" t="str">
        <f aca="false">IF(OR($C308="",$D308="",$B308=""),"",IF(COUNTIFS($C$5:$C$1504,$C308,$D$5:$D$1504,$D308,$B$5:$B$1504,$B308)&gt;1,"Takror",""))</f>
        <v/>
      </c>
    </row>
    <row r="309" customFormat="false" ht="15" hidden="false" customHeight="false" outlineLevel="0" collapsed="false">
      <c r="A309" s="8" t="n">
        <v>305</v>
      </c>
      <c r="B309" s="13"/>
      <c r="C309" s="12"/>
      <c r="D309" s="13"/>
      <c r="E309" s="24"/>
      <c r="F309" s="12"/>
      <c r="G309" s="25"/>
      <c r="H309" s="14" t="str">
        <f aca="false">IF(OR($D309="",$B309=""),"",INT(($B309-$D309)/365.25))</f>
        <v/>
      </c>
      <c r="I309" s="25"/>
      <c r="J309" s="12"/>
      <c r="K309" s="12"/>
      <c r="L309" s="14" t="str">
        <f aca="false">IF(OR($C309="",$D309="",$B309=""),"",IF(COUNTIFS($C$5:$C$1504,$C309,$D$5:$D$1504,$D309,$B$5:$B$1504,$B309)&gt;1,"Takror",""))</f>
        <v/>
      </c>
    </row>
    <row r="310" customFormat="false" ht="15" hidden="false" customHeight="false" outlineLevel="0" collapsed="false">
      <c r="A310" s="8" t="n">
        <v>306</v>
      </c>
      <c r="B310" s="13"/>
      <c r="C310" s="12"/>
      <c r="D310" s="13"/>
      <c r="E310" s="24"/>
      <c r="F310" s="12"/>
      <c r="G310" s="25"/>
      <c r="H310" s="14" t="str">
        <f aca="false">IF(OR($D310="",$B310=""),"",INT(($B310-$D310)/365.25))</f>
        <v/>
      </c>
      <c r="I310" s="25"/>
      <c r="J310" s="12"/>
      <c r="K310" s="12"/>
      <c r="L310" s="14" t="str">
        <f aca="false">IF(OR($C310="",$D310="",$B310=""),"",IF(COUNTIFS($C$5:$C$1504,$C310,$D$5:$D$1504,$D310,$B$5:$B$1504,$B310)&gt;1,"Takror",""))</f>
        <v/>
      </c>
    </row>
    <row r="311" customFormat="false" ht="15" hidden="false" customHeight="false" outlineLevel="0" collapsed="false">
      <c r="A311" s="8" t="n">
        <v>307</v>
      </c>
      <c r="B311" s="13"/>
      <c r="C311" s="12"/>
      <c r="D311" s="13"/>
      <c r="E311" s="24"/>
      <c r="F311" s="12"/>
      <c r="G311" s="25"/>
      <c r="H311" s="14" t="str">
        <f aca="false">IF(OR($D311="",$B311=""),"",INT(($B311-$D311)/365.25))</f>
        <v/>
      </c>
      <c r="I311" s="25"/>
      <c r="J311" s="12"/>
      <c r="K311" s="12"/>
      <c r="L311" s="14" t="str">
        <f aca="false">IF(OR($C311="",$D311="",$B311=""),"",IF(COUNTIFS($C$5:$C$1504,$C311,$D$5:$D$1504,$D311,$B$5:$B$1504,$B311)&gt;1,"Takror",""))</f>
        <v/>
      </c>
    </row>
    <row r="312" customFormat="false" ht="15" hidden="false" customHeight="false" outlineLevel="0" collapsed="false">
      <c r="A312" s="8" t="n">
        <v>308</v>
      </c>
      <c r="B312" s="13"/>
      <c r="C312" s="12"/>
      <c r="D312" s="13"/>
      <c r="E312" s="24"/>
      <c r="F312" s="12"/>
      <c r="G312" s="25"/>
      <c r="H312" s="14" t="str">
        <f aca="false">IF(OR($D312="",$B312=""),"",INT(($B312-$D312)/365.25))</f>
        <v/>
      </c>
      <c r="I312" s="25"/>
      <c r="J312" s="12"/>
      <c r="K312" s="12"/>
      <c r="L312" s="14" t="str">
        <f aca="false">IF(OR($C312="",$D312="",$B312=""),"",IF(COUNTIFS($C$5:$C$1504,$C312,$D$5:$D$1504,$D312,$B$5:$B$1504,$B312)&gt;1,"Takror",""))</f>
        <v/>
      </c>
    </row>
    <row r="313" customFormat="false" ht="15" hidden="false" customHeight="false" outlineLevel="0" collapsed="false">
      <c r="A313" s="8" t="n">
        <v>309</v>
      </c>
      <c r="B313" s="13"/>
      <c r="C313" s="12"/>
      <c r="D313" s="13"/>
      <c r="E313" s="24"/>
      <c r="F313" s="12"/>
      <c r="G313" s="25"/>
      <c r="H313" s="14" t="str">
        <f aca="false">IF(OR($D313="",$B313=""),"",INT(($B313-$D313)/365.25))</f>
        <v/>
      </c>
      <c r="I313" s="25"/>
      <c r="J313" s="12"/>
      <c r="K313" s="12"/>
      <c r="L313" s="14" t="str">
        <f aca="false">IF(OR($C313="",$D313="",$B313=""),"",IF(COUNTIFS($C$5:$C$1504,$C313,$D$5:$D$1504,$D313,$B$5:$B$1504,$B313)&gt;1,"Takror",""))</f>
        <v/>
      </c>
    </row>
    <row r="314" customFormat="false" ht="15" hidden="false" customHeight="false" outlineLevel="0" collapsed="false">
      <c r="A314" s="8" t="n">
        <v>310</v>
      </c>
      <c r="B314" s="13"/>
      <c r="C314" s="12"/>
      <c r="D314" s="13"/>
      <c r="E314" s="24"/>
      <c r="F314" s="12"/>
      <c r="G314" s="25"/>
      <c r="H314" s="14" t="str">
        <f aca="false">IF(OR($D314="",$B314=""),"",INT(($B314-$D314)/365.25))</f>
        <v/>
      </c>
      <c r="I314" s="25"/>
      <c r="J314" s="12"/>
      <c r="K314" s="12"/>
      <c r="L314" s="14" t="str">
        <f aca="false">IF(OR($C314="",$D314="",$B314=""),"",IF(COUNTIFS($C$5:$C$1504,$C314,$D$5:$D$1504,$D314,$B$5:$B$1504,$B314)&gt;1,"Takror",""))</f>
        <v/>
      </c>
    </row>
    <row r="315" customFormat="false" ht="15" hidden="false" customHeight="false" outlineLevel="0" collapsed="false">
      <c r="A315" s="8" t="n">
        <v>311</v>
      </c>
      <c r="B315" s="13"/>
      <c r="C315" s="12"/>
      <c r="D315" s="13"/>
      <c r="E315" s="24"/>
      <c r="F315" s="12"/>
      <c r="G315" s="25"/>
      <c r="H315" s="14" t="str">
        <f aca="false">IF(OR($D315="",$B315=""),"",INT(($B315-$D315)/365.25))</f>
        <v/>
      </c>
      <c r="I315" s="25"/>
      <c r="J315" s="12"/>
      <c r="K315" s="12"/>
      <c r="L315" s="14" t="str">
        <f aca="false">IF(OR($C315="",$D315="",$B315=""),"",IF(COUNTIFS($C$5:$C$1504,$C315,$D$5:$D$1504,$D315,$B$5:$B$1504,$B315)&gt;1,"Takror",""))</f>
        <v/>
      </c>
    </row>
    <row r="316" customFormat="false" ht="15" hidden="false" customHeight="false" outlineLevel="0" collapsed="false">
      <c r="A316" s="8" t="n">
        <v>312</v>
      </c>
      <c r="B316" s="13"/>
      <c r="C316" s="12"/>
      <c r="D316" s="13"/>
      <c r="E316" s="24"/>
      <c r="F316" s="12"/>
      <c r="G316" s="25"/>
      <c r="H316" s="14" t="str">
        <f aca="false">IF(OR($D316="",$B316=""),"",INT(($B316-$D316)/365.25))</f>
        <v/>
      </c>
      <c r="I316" s="25"/>
      <c r="J316" s="12"/>
      <c r="K316" s="12"/>
      <c r="L316" s="14" t="str">
        <f aca="false">IF(OR($C316="",$D316="",$B316=""),"",IF(COUNTIFS($C$5:$C$1504,$C316,$D$5:$D$1504,$D316,$B$5:$B$1504,$B316)&gt;1,"Takror",""))</f>
        <v/>
      </c>
    </row>
    <row r="317" customFormat="false" ht="15" hidden="false" customHeight="false" outlineLevel="0" collapsed="false">
      <c r="A317" s="8" t="n">
        <v>313</v>
      </c>
      <c r="B317" s="13"/>
      <c r="C317" s="12"/>
      <c r="D317" s="13"/>
      <c r="E317" s="24"/>
      <c r="F317" s="12"/>
      <c r="G317" s="25"/>
      <c r="H317" s="14" t="str">
        <f aca="false">IF(OR($D317="",$B317=""),"",INT(($B317-$D317)/365.25))</f>
        <v/>
      </c>
      <c r="I317" s="25"/>
      <c r="J317" s="12"/>
      <c r="K317" s="12"/>
      <c r="L317" s="14" t="str">
        <f aca="false">IF(OR($C317="",$D317="",$B317=""),"",IF(COUNTIFS($C$5:$C$1504,$C317,$D$5:$D$1504,$D317,$B$5:$B$1504,$B317)&gt;1,"Takror",""))</f>
        <v/>
      </c>
    </row>
    <row r="318" customFormat="false" ht="15" hidden="false" customHeight="false" outlineLevel="0" collapsed="false">
      <c r="A318" s="8" t="n">
        <v>314</v>
      </c>
      <c r="B318" s="13"/>
      <c r="C318" s="12"/>
      <c r="D318" s="13"/>
      <c r="E318" s="24"/>
      <c r="F318" s="12"/>
      <c r="G318" s="25"/>
      <c r="H318" s="14" t="str">
        <f aca="false">IF(OR($D318="",$B318=""),"",INT(($B318-$D318)/365.25))</f>
        <v/>
      </c>
      <c r="I318" s="25"/>
      <c r="J318" s="12"/>
      <c r="K318" s="12"/>
      <c r="L318" s="14" t="str">
        <f aca="false">IF(OR($C318="",$D318="",$B318=""),"",IF(COUNTIFS($C$5:$C$1504,$C318,$D$5:$D$1504,$D318,$B$5:$B$1504,$B318)&gt;1,"Takror",""))</f>
        <v/>
      </c>
    </row>
    <row r="319" customFormat="false" ht="15" hidden="false" customHeight="false" outlineLevel="0" collapsed="false">
      <c r="A319" s="8" t="n">
        <v>315</v>
      </c>
      <c r="B319" s="13"/>
      <c r="C319" s="12"/>
      <c r="D319" s="13"/>
      <c r="E319" s="24"/>
      <c r="F319" s="12"/>
      <c r="G319" s="25"/>
      <c r="H319" s="14" t="str">
        <f aca="false">IF(OR($D319="",$B319=""),"",INT(($B319-$D319)/365.25))</f>
        <v/>
      </c>
      <c r="I319" s="25"/>
      <c r="J319" s="12"/>
      <c r="K319" s="12"/>
      <c r="L319" s="14" t="str">
        <f aca="false">IF(OR($C319="",$D319="",$B319=""),"",IF(COUNTIFS($C$5:$C$1504,$C319,$D$5:$D$1504,$D319,$B$5:$B$1504,$B319)&gt;1,"Takror",""))</f>
        <v/>
      </c>
    </row>
    <row r="320" customFormat="false" ht="15" hidden="false" customHeight="false" outlineLevel="0" collapsed="false">
      <c r="A320" s="8" t="n">
        <v>316</v>
      </c>
      <c r="B320" s="13"/>
      <c r="C320" s="12"/>
      <c r="D320" s="13"/>
      <c r="E320" s="24"/>
      <c r="F320" s="12"/>
      <c r="G320" s="25"/>
      <c r="H320" s="14" t="str">
        <f aca="false">IF(OR($D320="",$B320=""),"",INT(($B320-$D320)/365.25))</f>
        <v/>
      </c>
      <c r="I320" s="25"/>
      <c r="J320" s="12"/>
      <c r="K320" s="12"/>
      <c r="L320" s="14" t="str">
        <f aca="false">IF(OR($C320="",$D320="",$B320=""),"",IF(COUNTIFS($C$5:$C$1504,$C320,$D$5:$D$1504,$D320,$B$5:$B$1504,$B320)&gt;1,"Takror",""))</f>
        <v/>
      </c>
    </row>
    <row r="321" customFormat="false" ht="15" hidden="false" customHeight="false" outlineLevel="0" collapsed="false">
      <c r="A321" s="8" t="n">
        <v>317</v>
      </c>
      <c r="B321" s="13"/>
      <c r="C321" s="12"/>
      <c r="D321" s="13"/>
      <c r="E321" s="24"/>
      <c r="F321" s="12"/>
      <c r="G321" s="25"/>
      <c r="H321" s="14" t="str">
        <f aca="false">IF(OR($D321="",$B321=""),"",INT(($B321-$D321)/365.25))</f>
        <v/>
      </c>
      <c r="I321" s="25"/>
      <c r="J321" s="12"/>
      <c r="K321" s="12"/>
      <c r="L321" s="14" t="str">
        <f aca="false">IF(OR($C321="",$D321="",$B321=""),"",IF(COUNTIFS($C$5:$C$1504,$C321,$D$5:$D$1504,$D321,$B$5:$B$1504,$B321)&gt;1,"Takror",""))</f>
        <v/>
      </c>
    </row>
    <row r="322" customFormat="false" ht="15" hidden="false" customHeight="false" outlineLevel="0" collapsed="false">
      <c r="A322" s="8" t="n">
        <v>318</v>
      </c>
      <c r="B322" s="13"/>
      <c r="C322" s="12"/>
      <c r="D322" s="13"/>
      <c r="E322" s="24"/>
      <c r="F322" s="12"/>
      <c r="G322" s="25"/>
      <c r="H322" s="14" t="str">
        <f aca="false">IF(OR($D322="",$B322=""),"",INT(($B322-$D322)/365.25))</f>
        <v/>
      </c>
      <c r="I322" s="25"/>
      <c r="J322" s="12"/>
      <c r="K322" s="12"/>
      <c r="L322" s="14" t="str">
        <f aca="false">IF(OR($C322="",$D322="",$B322=""),"",IF(COUNTIFS($C$5:$C$1504,$C322,$D$5:$D$1504,$D322,$B$5:$B$1504,$B322)&gt;1,"Takror",""))</f>
        <v/>
      </c>
    </row>
    <row r="323" customFormat="false" ht="15" hidden="false" customHeight="false" outlineLevel="0" collapsed="false">
      <c r="A323" s="8" t="n">
        <v>319</v>
      </c>
      <c r="B323" s="13"/>
      <c r="C323" s="12"/>
      <c r="D323" s="13"/>
      <c r="E323" s="24"/>
      <c r="F323" s="12"/>
      <c r="G323" s="25"/>
      <c r="H323" s="14" t="str">
        <f aca="false">IF(OR($D323="",$B323=""),"",INT(($B323-$D323)/365.25))</f>
        <v/>
      </c>
      <c r="I323" s="25"/>
      <c r="J323" s="12"/>
      <c r="K323" s="12"/>
      <c r="L323" s="14" t="str">
        <f aca="false">IF(OR($C323="",$D323="",$B323=""),"",IF(COUNTIFS($C$5:$C$1504,$C323,$D$5:$D$1504,$D323,$B$5:$B$1504,$B323)&gt;1,"Takror",""))</f>
        <v/>
      </c>
    </row>
    <row r="324" customFormat="false" ht="15" hidden="false" customHeight="false" outlineLevel="0" collapsed="false">
      <c r="A324" s="8" t="n">
        <v>320</v>
      </c>
      <c r="B324" s="13"/>
      <c r="C324" s="12"/>
      <c r="D324" s="13"/>
      <c r="E324" s="24"/>
      <c r="F324" s="12"/>
      <c r="G324" s="25"/>
      <c r="H324" s="14" t="str">
        <f aca="false">IF(OR($D324="",$B324=""),"",INT(($B324-$D324)/365.25))</f>
        <v/>
      </c>
      <c r="I324" s="25"/>
      <c r="J324" s="12"/>
      <c r="K324" s="12"/>
      <c r="L324" s="14" t="str">
        <f aca="false">IF(OR($C324="",$D324="",$B324=""),"",IF(COUNTIFS($C$5:$C$1504,$C324,$D$5:$D$1504,$D324,$B$5:$B$1504,$B324)&gt;1,"Takror",""))</f>
        <v/>
      </c>
    </row>
    <row r="325" customFormat="false" ht="15" hidden="false" customHeight="false" outlineLevel="0" collapsed="false">
      <c r="A325" s="8" t="n">
        <v>321</v>
      </c>
      <c r="B325" s="13"/>
      <c r="C325" s="12"/>
      <c r="D325" s="13"/>
      <c r="E325" s="24"/>
      <c r="F325" s="12"/>
      <c r="G325" s="25"/>
      <c r="H325" s="14" t="str">
        <f aca="false">IF(OR($D325="",$B325=""),"",INT(($B325-$D325)/365.25))</f>
        <v/>
      </c>
      <c r="I325" s="25"/>
      <c r="J325" s="12"/>
      <c r="K325" s="12"/>
      <c r="L325" s="14" t="str">
        <f aca="false">IF(OR($C325="",$D325="",$B325=""),"",IF(COUNTIFS($C$5:$C$1504,$C325,$D$5:$D$1504,$D325,$B$5:$B$1504,$B325)&gt;1,"Takror",""))</f>
        <v/>
      </c>
    </row>
    <row r="326" customFormat="false" ht="15" hidden="false" customHeight="false" outlineLevel="0" collapsed="false">
      <c r="A326" s="8" t="n">
        <v>322</v>
      </c>
      <c r="B326" s="13"/>
      <c r="C326" s="12"/>
      <c r="D326" s="13"/>
      <c r="E326" s="24"/>
      <c r="F326" s="12"/>
      <c r="G326" s="25"/>
      <c r="H326" s="14" t="str">
        <f aca="false">IF(OR($D326="",$B326=""),"",INT(($B326-$D326)/365.25))</f>
        <v/>
      </c>
      <c r="I326" s="25"/>
      <c r="J326" s="12"/>
      <c r="K326" s="12"/>
      <c r="L326" s="14" t="str">
        <f aca="false">IF(OR($C326="",$D326="",$B326=""),"",IF(COUNTIFS($C$5:$C$1504,$C326,$D$5:$D$1504,$D326,$B$5:$B$1504,$B326)&gt;1,"Takror",""))</f>
        <v/>
      </c>
    </row>
    <row r="327" customFormat="false" ht="15" hidden="false" customHeight="false" outlineLevel="0" collapsed="false">
      <c r="A327" s="8" t="n">
        <v>323</v>
      </c>
      <c r="B327" s="13"/>
      <c r="C327" s="12"/>
      <c r="D327" s="13"/>
      <c r="E327" s="24"/>
      <c r="F327" s="12"/>
      <c r="G327" s="25"/>
      <c r="H327" s="14" t="str">
        <f aca="false">IF(OR($D327="",$B327=""),"",INT(($B327-$D327)/365.25))</f>
        <v/>
      </c>
      <c r="I327" s="25"/>
      <c r="J327" s="12"/>
      <c r="K327" s="12"/>
      <c r="L327" s="14" t="str">
        <f aca="false">IF(OR($C327="",$D327="",$B327=""),"",IF(COUNTIFS($C$5:$C$1504,$C327,$D$5:$D$1504,$D327,$B$5:$B$1504,$B327)&gt;1,"Takror",""))</f>
        <v/>
      </c>
    </row>
    <row r="328" customFormat="false" ht="15" hidden="false" customHeight="false" outlineLevel="0" collapsed="false">
      <c r="A328" s="8" t="n">
        <v>324</v>
      </c>
      <c r="B328" s="13"/>
      <c r="C328" s="12"/>
      <c r="D328" s="13"/>
      <c r="E328" s="24"/>
      <c r="F328" s="12"/>
      <c r="G328" s="25"/>
      <c r="H328" s="14" t="str">
        <f aca="false">IF(OR($D328="",$B328=""),"",INT(($B328-$D328)/365.25))</f>
        <v/>
      </c>
      <c r="I328" s="25"/>
      <c r="J328" s="12"/>
      <c r="K328" s="12"/>
      <c r="L328" s="14" t="str">
        <f aca="false">IF(OR($C328="",$D328="",$B328=""),"",IF(COUNTIFS($C$5:$C$1504,$C328,$D$5:$D$1504,$D328,$B$5:$B$1504,$B328)&gt;1,"Takror",""))</f>
        <v/>
      </c>
    </row>
    <row r="329" customFormat="false" ht="15" hidden="false" customHeight="false" outlineLevel="0" collapsed="false">
      <c r="A329" s="8" t="n">
        <v>325</v>
      </c>
      <c r="B329" s="13"/>
      <c r="C329" s="12"/>
      <c r="D329" s="13"/>
      <c r="E329" s="24"/>
      <c r="F329" s="12"/>
      <c r="G329" s="25"/>
      <c r="H329" s="14" t="str">
        <f aca="false">IF(OR($D329="",$B329=""),"",INT(($B329-$D329)/365.25))</f>
        <v/>
      </c>
      <c r="I329" s="25"/>
      <c r="J329" s="12"/>
      <c r="K329" s="12"/>
      <c r="L329" s="14" t="str">
        <f aca="false">IF(OR($C329="",$D329="",$B329=""),"",IF(COUNTIFS($C$5:$C$1504,$C329,$D$5:$D$1504,$D329,$B$5:$B$1504,$B329)&gt;1,"Takror",""))</f>
        <v/>
      </c>
    </row>
    <row r="330" customFormat="false" ht="15" hidden="false" customHeight="false" outlineLevel="0" collapsed="false">
      <c r="A330" s="8" t="n">
        <v>326</v>
      </c>
      <c r="B330" s="13"/>
      <c r="C330" s="12"/>
      <c r="D330" s="13"/>
      <c r="E330" s="24"/>
      <c r="F330" s="12"/>
      <c r="G330" s="25"/>
      <c r="H330" s="14" t="str">
        <f aca="false">IF(OR($D330="",$B330=""),"",INT(($B330-$D330)/365.25))</f>
        <v/>
      </c>
      <c r="I330" s="25"/>
      <c r="J330" s="12"/>
      <c r="K330" s="12"/>
      <c r="L330" s="14" t="str">
        <f aca="false">IF(OR($C330="",$D330="",$B330=""),"",IF(COUNTIFS($C$5:$C$1504,$C330,$D$5:$D$1504,$D330,$B$5:$B$1504,$B330)&gt;1,"Takror",""))</f>
        <v/>
      </c>
    </row>
    <row r="331" customFormat="false" ht="15" hidden="false" customHeight="false" outlineLevel="0" collapsed="false">
      <c r="A331" s="8" t="n">
        <v>327</v>
      </c>
      <c r="B331" s="13"/>
      <c r="C331" s="12"/>
      <c r="D331" s="13"/>
      <c r="E331" s="24"/>
      <c r="F331" s="12"/>
      <c r="G331" s="25"/>
      <c r="H331" s="14" t="str">
        <f aca="false">IF(OR($D331="",$B331=""),"",INT(($B331-$D331)/365.25))</f>
        <v/>
      </c>
      <c r="I331" s="25"/>
      <c r="J331" s="12"/>
      <c r="K331" s="12"/>
      <c r="L331" s="14" t="str">
        <f aca="false">IF(OR($C331="",$D331="",$B331=""),"",IF(COUNTIFS($C$5:$C$1504,$C331,$D$5:$D$1504,$D331,$B$5:$B$1504,$B331)&gt;1,"Takror",""))</f>
        <v/>
      </c>
    </row>
    <row r="332" customFormat="false" ht="15" hidden="false" customHeight="false" outlineLevel="0" collapsed="false">
      <c r="A332" s="8" t="n">
        <v>328</v>
      </c>
      <c r="B332" s="13"/>
      <c r="C332" s="12"/>
      <c r="D332" s="13"/>
      <c r="E332" s="24"/>
      <c r="F332" s="12"/>
      <c r="G332" s="25"/>
      <c r="H332" s="14" t="str">
        <f aca="false">IF(OR($D332="",$B332=""),"",INT(($B332-$D332)/365.25))</f>
        <v/>
      </c>
      <c r="I332" s="25"/>
      <c r="J332" s="12"/>
      <c r="K332" s="12"/>
      <c r="L332" s="14" t="str">
        <f aca="false">IF(OR($C332="",$D332="",$B332=""),"",IF(COUNTIFS($C$5:$C$1504,$C332,$D$5:$D$1504,$D332,$B$5:$B$1504,$B332)&gt;1,"Takror",""))</f>
        <v/>
      </c>
    </row>
    <row r="333" customFormat="false" ht="15" hidden="false" customHeight="false" outlineLevel="0" collapsed="false">
      <c r="A333" s="8" t="n">
        <v>329</v>
      </c>
      <c r="B333" s="13"/>
      <c r="C333" s="12"/>
      <c r="D333" s="13"/>
      <c r="E333" s="24"/>
      <c r="F333" s="12"/>
      <c r="G333" s="25"/>
      <c r="H333" s="14" t="str">
        <f aca="false">IF(OR($D333="",$B333=""),"",INT(($B333-$D333)/365.25))</f>
        <v/>
      </c>
      <c r="I333" s="25"/>
      <c r="J333" s="12"/>
      <c r="K333" s="12"/>
      <c r="L333" s="14" t="str">
        <f aca="false">IF(OR($C333="",$D333="",$B333=""),"",IF(COUNTIFS($C$5:$C$1504,$C333,$D$5:$D$1504,$D333,$B$5:$B$1504,$B333)&gt;1,"Takror",""))</f>
        <v/>
      </c>
    </row>
    <row r="334" customFormat="false" ht="15" hidden="false" customHeight="false" outlineLevel="0" collapsed="false">
      <c r="A334" s="8" t="n">
        <v>330</v>
      </c>
      <c r="B334" s="13"/>
      <c r="C334" s="12"/>
      <c r="D334" s="13"/>
      <c r="E334" s="24"/>
      <c r="F334" s="12"/>
      <c r="G334" s="25"/>
      <c r="H334" s="14" t="str">
        <f aca="false">IF(OR($D334="",$B334=""),"",INT(($B334-$D334)/365.25))</f>
        <v/>
      </c>
      <c r="I334" s="25"/>
      <c r="J334" s="12"/>
      <c r="K334" s="12"/>
      <c r="L334" s="14" t="str">
        <f aca="false">IF(OR($C334="",$D334="",$B334=""),"",IF(COUNTIFS($C$5:$C$1504,$C334,$D$5:$D$1504,$D334,$B$5:$B$1504,$B334)&gt;1,"Takror",""))</f>
        <v/>
      </c>
    </row>
    <row r="335" customFormat="false" ht="15" hidden="false" customHeight="false" outlineLevel="0" collapsed="false">
      <c r="A335" s="8" t="n">
        <v>331</v>
      </c>
      <c r="B335" s="13"/>
      <c r="C335" s="12"/>
      <c r="D335" s="13"/>
      <c r="E335" s="24"/>
      <c r="F335" s="12"/>
      <c r="G335" s="25"/>
      <c r="H335" s="14" t="str">
        <f aca="false">IF(OR($D335="",$B335=""),"",INT(($B335-$D335)/365.25))</f>
        <v/>
      </c>
      <c r="I335" s="25"/>
      <c r="J335" s="12"/>
      <c r="K335" s="12"/>
      <c r="L335" s="14" t="str">
        <f aca="false">IF(OR($C335="",$D335="",$B335=""),"",IF(COUNTIFS($C$5:$C$1504,$C335,$D$5:$D$1504,$D335,$B$5:$B$1504,$B335)&gt;1,"Takror",""))</f>
        <v/>
      </c>
    </row>
    <row r="336" customFormat="false" ht="15" hidden="false" customHeight="false" outlineLevel="0" collapsed="false">
      <c r="A336" s="8" t="n">
        <v>332</v>
      </c>
      <c r="B336" s="13"/>
      <c r="C336" s="12"/>
      <c r="D336" s="13"/>
      <c r="E336" s="24"/>
      <c r="F336" s="12"/>
      <c r="G336" s="25"/>
      <c r="H336" s="14" t="str">
        <f aca="false">IF(OR($D336="",$B336=""),"",INT(($B336-$D336)/365.25))</f>
        <v/>
      </c>
      <c r="I336" s="25"/>
      <c r="J336" s="12"/>
      <c r="K336" s="12"/>
      <c r="L336" s="14" t="str">
        <f aca="false">IF(OR($C336="",$D336="",$B336=""),"",IF(COUNTIFS($C$5:$C$1504,$C336,$D$5:$D$1504,$D336,$B$5:$B$1504,$B336)&gt;1,"Takror",""))</f>
        <v/>
      </c>
    </row>
    <row r="337" customFormat="false" ht="15" hidden="false" customHeight="false" outlineLevel="0" collapsed="false">
      <c r="A337" s="8" t="n">
        <v>333</v>
      </c>
      <c r="B337" s="13"/>
      <c r="C337" s="12"/>
      <c r="D337" s="13"/>
      <c r="E337" s="24"/>
      <c r="F337" s="12"/>
      <c r="G337" s="25"/>
      <c r="H337" s="14" t="str">
        <f aca="false">IF(OR($D337="",$B337=""),"",INT(($B337-$D337)/365.25))</f>
        <v/>
      </c>
      <c r="I337" s="25"/>
      <c r="J337" s="12"/>
      <c r="K337" s="12"/>
      <c r="L337" s="14" t="str">
        <f aca="false">IF(OR($C337="",$D337="",$B337=""),"",IF(COUNTIFS($C$5:$C$1504,$C337,$D$5:$D$1504,$D337,$B$5:$B$1504,$B337)&gt;1,"Takror",""))</f>
        <v/>
      </c>
    </row>
    <row r="338" customFormat="false" ht="15" hidden="false" customHeight="false" outlineLevel="0" collapsed="false">
      <c r="A338" s="8" t="n">
        <v>334</v>
      </c>
      <c r="B338" s="13"/>
      <c r="C338" s="12"/>
      <c r="D338" s="13"/>
      <c r="E338" s="24"/>
      <c r="F338" s="12"/>
      <c r="G338" s="25"/>
      <c r="H338" s="14" t="str">
        <f aca="false">IF(OR($D338="",$B338=""),"",INT(($B338-$D338)/365.25))</f>
        <v/>
      </c>
      <c r="I338" s="25"/>
      <c r="J338" s="12"/>
      <c r="K338" s="12"/>
      <c r="L338" s="14" t="str">
        <f aca="false">IF(OR($C338="",$D338="",$B338=""),"",IF(COUNTIFS($C$5:$C$1504,$C338,$D$5:$D$1504,$D338,$B$5:$B$1504,$B338)&gt;1,"Takror",""))</f>
        <v/>
      </c>
    </row>
    <row r="339" customFormat="false" ht="15" hidden="false" customHeight="false" outlineLevel="0" collapsed="false">
      <c r="A339" s="8" t="n">
        <v>335</v>
      </c>
      <c r="B339" s="13"/>
      <c r="C339" s="12"/>
      <c r="D339" s="13"/>
      <c r="E339" s="24"/>
      <c r="F339" s="12"/>
      <c r="G339" s="25"/>
      <c r="H339" s="14" t="str">
        <f aca="false">IF(OR($D339="",$B339=""),"",INT(($B339-$D339)/365.25))</f>
        <v/>
      </c>
      <c r="I339" s="25"/>
      <c r="J339" s="12"/>
      <c r="K339" s="12"/>
      <c r="L339" s="14" t="str">
        <f aca="false">IF(OR($C339="",$D339="",$B339=""),"",IF(COUNTIFS($C$5:$C$1504,$C339,$D$5:$D$1504,$D339,$B$5:$B$1504,$B339)&gt;1,"Takror",""))</f>
        <v/>
      </c>
    </row>
    <row r="340" customFormat="false" ht="15" hidden="false" customHeight="false" outlineLevel="0" collapsed="false">
      <c r="A340" s="8" t="n">
        <v>336</v>
      </c>
      <c r="B340" s="13"/>
      <c r="C340" s="12"/>
      <c r="D340" s="13"/>
      <c r="E340" s="24"/>
      <c r="F340" s="12"/>
      <c r="G340" s="25"/>
      <c r="H340" s="14" t="str">
        <f aca="false">IF(OR($D340="",$B340=""),"",INT(($B340-$D340)/365.25))</f>
        <v/>
      </c>
      <c r="I340" s="25"/>
      <c r="J340" s="12"/>
      <c r="K340" s="12"/>
      <c r="L340" s="14" t="str">
        <f aca="false">IF(OR($C340="",$D340="",$B340=""),"",IF(COUNTIFS($C$5:$C$1504,$C340,$D$5:$D$1504,$D340,$B$5:$B$1504,$B340)&gt;1,"Takror",""))</f>
        <v/>
      </c>
    </row>
    <row r="341" customFormat="false" ht="15" hidden="false" customHeight="false" outlineLevel="0" collapsed="false">
      <c r="A341" s="8" t="n">
        <v>337</v>
      </c>
      <c r="B341" s="13"/>
      <c r="C341" s="12"/>
      <c r="D341" s="13"/>
      <c r="E341" s="24"/>
      <c r="F341" s="12"/>
      <c r="G341" s="25"/>
      <c r="H341" s="14" t="str">
        <f aca="false">IF(OR($D341="",$B341=""),"",INT(($B341-$D341)/365.25))</f>
        <v/>
      </c>
      <c r="I341" s="25"/>
      <c r="J341" s="12"/>
      <c r="K341" s="12"/>
      <c r="L341" s="14" t="str">
        <f aca="false">IF(OR($C341="",$D341="",$B341=""),"",IF(COUNTIFS($C$5:$C$1504,$C341,$D$5:$D$1504,$D341,$B$5:$B$1504,$B341)&gt;1,"Takror",""))</f>
        <v/>
      </c>
    </row>
    <row r="342" customFormat="false" ht="15" hidden="false" customHeight="false" outlineLevel="0" collapsed="false">
      <c r="A342" s="8" t="n">
        <v>338</v>
      </c>
      <c r="B342" s="13"/>
      <c r="C342" s="12"/>
      <c r="D342" s="13"/>
      <c r="E342" s="24"/>
      <c r="F342" s="12"/>
      <c r="G342" s="25"/>
      <c r="H342" s="14" t="str">
        <f aca="false">IF(OR($D342="",$B342=""),"",INT(($B342-$D342)/365.25))</f>
        <v/>
      </c>
      <c r="I342" s="25"/>
      <c r="J342" s="12"/>
      <c r="K342" s="12"/>
      <c r="L342" s="14" t="str">
        <f aca="false">IF(OR($C342="",$D342="",$B342=""),"",IF(COUNTIFS($C$5:$C$1504,$C342,$D$5:$D$1504,$D342,$B$5:$B$1504,$B342)&gt;1,"Takror",""))</f>
        <v/>
      </c>
    </row>
    <row r="343" customFormat="false" ht="15" hidden="false" customHeight="false" outlineLevel="0" collapsed="false">
      <c r="A343" s="8" t="n">
        <v>339</v>
      </c>
      <c r="B343" s="13"/>
      <c r="C343" s="12"/>
      <c r="D343" s="13"/>
      <c r="E343" s="24"/>
      <c r="F343" s="12"/>
      <c r="G343" s="25"/>
      <c r="H343" s="14" t="str">
        <f aca="false">IF(OR($D343="",$B343=""),"",INT(($B343-$D343)/365.25))</f>
        <v/>
      </c>
      <c r="I343" s="25"/>
      <c r="J343" s="12"/>
      <c r="K343" s="12"/>
      <c r="L343" s="14" t="str">
        <f aca="false">IF(OR($C343="",$D343="",$B343=""),"",IF(COUNTIFS($C$5:$C$1504,$C343,$D$5:$D$1504,$D343,$B$5:$B$1504,$B343)&gt;1,"Takror",""))</f>
        <v/>
      </c>
    </row>
    <row r="344" customFormat="false" ht="15" hidden="false" customHeight="false" outlineLevel="0" collapsed="false">
      <c r="A344" s="8" t="n">
        <v>340</v>
      </c>
      <c r="B344" s="13"/>
      <c r="C344" s="12"/>
      <c r="D344" s="13"/>
      <c r="E344" s="24"/>
      <c r="F344" s="12"/>
      <c r="G344" s="25"/>
      <c r="H344" s="14" t="str">
        <f aca="false">IF(OR($D344="",$B344=""),"",INT(($B344-$D344)/365.25))</f>
        <v/>
      </c>
      <c r="I344" s="25"/>
      <c r="J344" s="12"/>
      <c r="K344" s="12"/>
      <c r="L344" s="14" t="str">
        <f aca="false">IF(OR($C344="",$D344="",$B344=""),"",IF(COUNTIFS($C$5:$C$1504,$C344,$D$5:$D$1504,$D344,$B$5:$B$1504,$B344)&gt;1,"Takror",""))</f>
        <v/>
      </c>
    </row>
    <row r="345" customFormat="false" ht="15" hidden="false" customHeight="false" outlineLevel="0" collapsed="false">
      <c r="A345" s="8" t="n">
        <v>341</v>
      </c>
      <c r="B345" s="13"/>
      <c r="C345" s="12"/>
      <c r="D345" s="13"/>
      <c r="E345" s="24"/>
      <c r="F345" s="12"/>
      <c r="G345" s="25"/>
      <c r="H345" s="14" t="str">
        <f aca="false">IF(OR($D345="",$B345=""),"",INT(($B345-$D345)/365.25))</f>
        <v/>
      </c>
      <c r="I345" s="25"/>
      <c r="J345" s="12"/>
      <c r="K345" s="12"/>
      <c r="L345" s="14" t="str">
        <f aca="false">IF(OR($C345="",$D345="",$B345=""),"",IF(COUNTIFS($C$5:$C$1504,$C345,$D$5:$D$1504,$D345,$B$5:$B$1504,$B345)&gt;1,"Takror",""))</f>
        <v/>
      </c>
    </row>
    <row r="346" customFormat="false" ht="15" hidden="false" customHeight="false" outlineLevel="0" collapsed="false">
      <c r="A346" s="8" t="n">
        <v>342</v>
      </c>
      <c r="B346" s="13"/>
      <c r="C346" s="12"/>
      <c r="D346" s="13"/>
      <c r="E346" s="24"/>
      <c r="F346" s="12"/>
      <c r="G346" s="25"/>
      <c r="H346" s="14" t="str">
        <f aca="false">IF(OR($D346="",$B346=""),"",INT(($B346-$D346)/365.25))</f>
        <v/>
      </c>
      <c r="I346" s="25"/>
      <c r="J346" s="12"/>
      <c r="K346" s="12"/>
      <c r="L346" s="14" t="str">
        <f aca="false">IF(OR($C346="",$D346="",$B346=""),"",IF(COUNTIFS($C$5:$C$1504,$C346,$D$5:$D$1504,$D346,$B$5:$B$1504,$B346)&gt;1,"Takror",""))</f>
        <v/>
      </c>
    </row>
    <row r="347" customFormat="false" ht="15" hidden="false" customHeight="false" outlineLevel="0" collapsed="false">
      <c r="A347" s="8" t="n">
        <v>343</v>
      </c>
      <c r="B347" s="13"/>
      <c r="C347" s="12"/>
      <c r="D347" s="13"/>
      <c r="E347" s="24"/>
      <c r="F347" s="12"/>
      <c r="G347" s="25"/>
      <c r="H347" s="14" t="str">
        <f aca="false">IF(OR($D347="",$B347=""),"",INT(($B347-$D347)/365.25))</f>
        <v/>
      </c>
      <c r="I347" s="25"/>
      <c r="J347" s="12"/>
      <c r="K347" s="12"/>
      <c r="L347" s="14" t="str">
        <f aca="false">IF(OR($C347="",$D347="",$B347=""),"",IF(COUNTIFS($C$5:$C$1504,$C347,$D$5:$D$1504,$D347,$B$5:$B$1504,$B347)&gt;1,"Takror",""))</f>
        <v/>
      </c>
    </row>
    <row r="348" customFormat="false" ht="15" hidden="false" customHeight="false" outlineLevel="0" collapsed="false">
      <c r="A348" s="8" t="n">
        <v>344</v>
      </c>
      <c r="B348" s="13"/>
      <c r="C348" s="12"/>
      <c r="D348" s="13"/>
      <c r="E348" s="24"/>
      <c r="F348" s="12"/>
      <c r="G348" s="25"/>
      <c r="H348" s="14" t="str">
        <f aca="false">IF(OR($D348="",$B348=""),"",INT(($B348-$D348)/365.25))</f>
        <v/>
      </c>
      <c r="I348" s="25"/>
      <c r="J348" s="12"/>
      <c r="K348" s="12"/>
      <c r="L348" s="14" t="str">
        <f aca="false">IF(OR($C348="",$D348="",$B348=""),"",IF(COUNTIFS($C$5:$C$1504,$C348,$D$5:$D$1504,$D348,$B$5:$B$1504,$B348)&gt;1,"Takror",""))</f>
        <v/>
      </c>
    </row>
    <row r="349" customFormat="false" ht="15" hidden="false" customHeight="false" outlineLevel="0" collapsed="false">
      <c r="A349" s="8" t="n">
        <v>345</v>
      </c>
      <c r="B349" s="13"/>
      <c r="C349" s="12"/>
      <c r="D349" s="13"/>
      <c r="E349" s="24"/>
      <c r="F349" s="12"/>
      <c r="G349" s="25"/>
      <c r="H349" s="14" t="str">
        <f aca="false">IF(OR($D349="",$B349=""),"",INT(($B349-$D349)/365.25))</f>
        <v/>
      </c>
      <c r="I349" s="25"/>
      <c r="J349" s="12"/>
      <c r="K349" s="12"/>
      <c r="L349" s="14" t="str">
        <f aca="false">IF(OR($C349="",$D349="",$B349=""),"",IF(COUNTIFS($C$5:$C$1504,$C349,$D$5:$D$1504,$D349,$B$5:$B$1504,$B349)&gt;1,"Takror",""))</f>
        <v/>
      </c>
    </row>
    <row r="350" customFormat="false" ht="15" hidden="false" customHeight="false" outlineLevel="0" collapsed="false">
      <c r="A350" s="8" t="n">
        <v>346</v>
      </c>
      <c r="B350" s="13"/>
      <c r="C350" s="12"/>
      <c r="D350" s="13"/>
      <c r="E350" s="24"/>
      <c r="F350" s="12"/>
      <c r="G350" s="25"/>
      <c r="H350" s="14" t="str">
        <f aca="false">IF(OR($D350="",$B350=""),"",INT(($B350-$D350)/365.25))</f>
        <v/>
      </c>
      <c r="I350" s="25"/>
      <c r="J350" s="12"/>
      <c r="K350" s="12"/>
      <c r="L350" s="14" t="str">
        <f aca="false">IF(OR($C350="",$D350="",$B350=""),"",IF(COUNTIFS($C$5:$C$1504,$C350,$D$5:$D$1504,$D350,$B$5:$B$1504,$B350)&gt;1,"Takror",""))</f>
        <v/>
      </c>
    </row>
    <row r="351" customFormat="false" ht="15" hidden="false" customHeight="false" outlineLevel="0" collapsed="false">
      <c r="A351" s="8" t="n">
        <v>347</v>
      </c>
      <c r="B351" s="13"/>
      <c r="C351" s="12"/>
      <c r="D351" s="13"/>
      <c r="E351" s="24"/>
      <c r="F351" s="12"/>
      <c r="G351" s="25"/>
      <c r="H351" s="14" t="str">
        <f aca="false">IF(OR($D351="",$B351=""),"",INT(($B351-$D351)/365.25))</f>
        <v/>
      </c>
      <c r="I351" s="25"/>
      <c r="J351" s="12"/>
      <c r="K351" s="12"/>
      <c r="L351" s="14" t="str">
        <f aca="false">IF(OR($C351="",$D351="",$B351=""),"",IF(COUNTIFS($C$5:$C$1504,$C351,$D$5:$D$1504,$D351,$B$5:$B$1504,$B351)&gt;1,"Takror",""))</f>
        <v/>
      </c>
    </row>
    <row r="352" customFormat="false" ht="15" hidden="false" customHeight="false" outlineLevel="0" collapsed="false">
      <c r="A352" s="8" t="n">
        <v>348</v>
      </c>
      <c r="B352" s="13"/>
      <c r="C352" s="12"/>
      <c r="D352" s="13"/>
      <c r="E352" s="24"/>
      <c r="F352" s="12"/>
      <c r="G352" s="25"/>
      <c r="H352" s="14" t="str">
        <f aca="false">IF(OR($D352="",$B352=""),"",INT(($B352-$D352)/365.25))</f>
        <v/>
      </c>
      <c r="I352" s="25"/>
      <c r="J352" s="12"/>
      <c r="K352" s="12"/>
      <c r="L352" s="14" t="str">
        <f aca="false">IF(OR($C352="",$D352="",$B352=""),"",IF(COUNTIFS($C$5:$C$1504,$C352,$D$5:$D$1504,$D352,$B$5:$B$1504,$B352)&gt;1,"Takror",""))</f>
        <v/>
      </c>
    </row>
    <row r="353" customFormat="false" ht="15" hidden="false" customHeight="false" outlineLevel="0" collapsed="false">
      <c r="A353" s="8" t="n">
        <v>349</v>
      </c>
      <c r="B353" s="13"/>
      <c r="C353" s="12"/>
      <c r="D353" s="13"/>
      <c r="E353" s="24"/>
      <c r="F353" s="12"/>
      <c r="G353" s="25"/>
      <c r="H353" s="14" t="str">
        <f aca="false">IF(OR($D353="",$B353=""),"",INT(($B353-$D353)/365.25))</f>
        <v/>
      </c>
      <c r="I353" s="25"/>
      <c r="J353" s="12"/>
      <c r="K353" s="12"/>
      <c r="L353" s="14" t="str">
        <f aca="false">IF(OR($C353="",$D353="",$B353=""),"",IF(COUNTIFS($C$5:$C$1504,$C353,$D$5:$D$1504,$D353,$B$5:$B$1504,$B353)&gt;1,"Takror",""))</f>
        <v/>
      </c>
    </row>
    <row r="354" customFormat="false" ht="15" hidden="false" customHeight="false" outlineLevel="0" collapsed="false">
      <c r="A354" s="8" t="n">
        <v>350</v>
      </c>
      <c r="B354" s="13"/>
      <c r="C354" s="12"/>
      <c r="D354" s="13"/>
      <c r="E354" s="24"/>
      <c r="F354" s="12"/>
      <c r="G354" s="25"/>
      <c r="H354" s="14" t="str">
        <f aca="false">IF(OR($D354="",$B354=""),"",INT(($B354-$D354)/365.25))</f>
        <v/>
      </c>
      <c r="I354" s="25"/>
      <c r="J354" s="12"/>
      <c r="K354" s="12"/>
      <c r="L354" s="14" t="str">
        <f aca="false">IF(OR($C354="",$D354="",$B354=""),"",IF(COUNTIFS($C$5:$C$1504,$C354,$D$5:$D$1504,$D354,$B$5:$B$1504,$B354)&gt;1,"Takror",""))</f>
        <v/>
      </c>
    </row>
    <row r="355" customFormat="false" ht="15" hidden="false" customHeight="false" outlineLevel="0" collapsed="false">
      <c r="A355" s="8" t="n">
        <v>351</v>
      </c>
      <c r="B355" s="13"/>
      <c r="C355" s="12"/>
      <c r="D355" s="13"/>
      <c r="E355" s="24"/>
      <c r="F355" s="12"/>
      <c r="G355" s="25"/>
      <c r="H355" s="14" t="str">
        <f aca="false">IF(OR($D355="",$B355=""),"",INT(($B355-$D355)/365.25))</f>
        <v/>
      </c>
      <c r="I355" s="25"/>
      <c r="J355" s="12"/>
      <c r="K355" s="12"/>
      <c r="L355" s="14" t="str">
        <f aca="false">IF(OR($C355="",$D355="",$B355=""),"",IF(COUNTIFS($C$5:$C$1504,$C355,$D$5:$D$1504,$D355,$B$5:$B$1504,$B355)&gt;1,"Takror",""))</f>
        <v/>
      </c>
    </row>
    <row r="356" customFormat="false" ht="15" hidden="false" customHeight="false" outlineLevel="0" collapsed="false">
      <c r="A356" s="8" t="n">
        <v>352</v>
      </c>
      <c r="B356" s="13"/>
      <c r="C356" s="12"/>
      <c r="D356" s="13"/>
      <c r="E356" s="24"/>
      <c r="F356" s="12"/>
      <c r="G356" s="25"/>
      <c r="H356" s="14" t="str">
        <f aca="false">IF(OR($D356="",$B356=""),"",INT(($B356-$D356)/365.25))</f>
        <v/>
      </c>
      <c r="I356" s="25"/>
      <c r="J356" s="12"/>
      <c r="K356" s="12"/>
      <c r="L356" s="14" t="str">
        <f aca="false">IF(OR($C356="",$D356="",$B356=""),"",IF(COUNTIFS($C$5:$C$1504,$C356,$D$5:$D$1504,$D356,$B$5:$B$1504,$B356)&gt;1,"Takror",""))</f>
        <v/>
      </c>
    </row>
    <row r="357" customFormat="false" ht="15" hidden="false" customHeight="false" outlineLevel="0" collapsed="false">
      <c r="A357" s="8" t="n">
        <v>353</v>
      </c>
      <c r="B357" s="13"/>
      <c r="C357" s="12"/>
      <c r="D357" s="13"/>
      <c r="E357" s="24"/>
      <c r="F357" s="12"/>
      <c r="G357" s="25"/>
      <c r="H357" s="14" t="str">
        <f aca="false">IF(OR($D357="",$B357=""),"",INT(($B357-$D357)/365.25))</f>
        <v/>
      </c>
      <c r="I357" s="25"/>
      <c r="J357" s="12"/>
      <c r="K357" s="12"/>
      <c r="L357" s="14" t="str">
        <f aca="false">IF(OR($C357="",$D357="",$B357=""),"",IF(COUNTIFS($C$5:$C$1504,$C357,$D$5:$D$1504,$D357,$B$5:$B$1504,$B357)&gt;1,"Takror",""))</f>
        <v/>
      </c>
    </row>
    <row r="358" customFormat="false" ht="15" hidden="false" customHeight="false" outlineLevel="0" collapsed="false">
      <c r="A358" s="8" t="n">
        <v>354</v>
      </c>
      <c r="B358" s="13"/>
      <c r="C358" s="12"/>
      <c r="D358" s="13"/>
      <c r="E358" s="24"/>
      <c r="F358" s="12"/>
      <c r="G358" s="25"/>
      <c r="H358" s="14" t="str">
        <f aca="false">IF(OR($D358="",$B358=""),"",INT(($B358-$D358)/365.25))</f>
        <v/>
      </c>
      <c r="I358" s="25"/>
      <c r="J358" s="12"/>
      <c r="K358" s="12"/>
      <c r="L358" s="14" t="str">
        <f aca="false">IF(OR($C358="",$D358="",$B358=""),"",IF(COUNTIFS($C$5:$C$1504,$C358,$D$5:$D$1504,$D358,$B$5:$B$1504,$B358)&gt;1,"Takror",""))</f>
        <v/>
      </c>
    </row>
    <row r="359" customFormat="false" ht="15" hidden="false" customHeight="false" outlineLevel="0" collapsed="false">
      <c r="A359" s="8" t="n">
        <v>355</v>
      </c>
      <c r="B359" s="13"/>
      <c r="C359" s="12"/>
      <c r="D359" s="13"/>
      <c r="E359" s="24"/>
      <c r="F359" s="12"/>
      <c r="G359" s="25"/>
      <c r="H359" s="14" t="str">
        <f aca="false">IF(OR($D359="",$B359=""),"",INT(($B359-$D359)/365.25))</f>
        <v/>
      </c>
      <c r="I359" s="25"/>
      <c r="J359" s="12"/>
      <c r="K359" s="12"/>
      <c r="L359" s="14" t="str">
        <f aca="false">IF(OR($C359="",$D359="",$B359=""),"",IF(COUNTIFS($C$5:$C$1504,$C359,$D$5:$D$1504,$D359,$B$5:$B$1504,$B359)&gt;1,"Takror",""))</f>
        <v/>
      </c>
    </row>
    <row r="360" customFormat="false" ht="15" hidden="false" customHeight="false" outlineLevel="0" collapsed="false">
      <c r="A360" s="8" t="n">
        <v>356</v>
      </c>
      <c r="B360" s="13"/>
      <c r="C360" s="12"/>
      <c r="D360" s="13"/>
      <c r="E360" s="24"/>
      <c r="F360" s="12"/>
      <c r="G360" s="25"/>
      <c r="H360" s="14" t="str">
        <f aca="false">IF(OR($D360="",$B360=""),"",INT(($B360-$D360)/365.25))</f>
        <v/>
      </c>
      <c r="I360" s="25"/>
      <c r="J360" s="12"/>
      <c r="K360" s="12"/>
      <c r="L360" s="14" t="str">
        <f aca="false">IF(OR($C360="",$D360="",$B360=""),"",IF(COUNTIFS($C$5:$C$1504,$C360,$D$5:$D$1504,$D360,$B$5:$B$1504,$B360)&gt;1,"Takror",""))</f>
        <v/>
      </c>
    </row>
    <row r="361" customFormat="false" ht="15" hidden="false" customHeight="false" outlineLevel="0" collapsed="false">
      <c r="A361" s="8" t="n">
        <v>357</v>
      </c>
      <c r="B361" s="13"/>
      <c r="C361" s="12"/>
      <c r="D361" s="13"/>
      <c r="E361" s="24"/>
      <c r="F361" s="12"/>
      <c r="G361" s="25"/>
      <c r="H361" s="14" t="str">
        <f aca="false">IF(OR($D361="",$B361=""),"",INT(($B361-$D361)/365.25))</f>
        <v/>
      </c>
      <c r="I361" s="25"/>
      <c r="J361" s="12"/>
      <c r="K361" s="12"/>
      <c r="L361" s="14" t="str">
        <f aca="false">IF(OR($C361="",$D361="",$B361=""),"",IF(COUNTIFS($C$5:$C$1504,$C361,$D$5:$D$1504,$D361,$B$5:$B$1504,$B361)&gt;1,"Takror",""))</f>
        <v/>
      </c>
    </row>
    <row r="362" customFormat="false" ht="15" hidden="false" customHeight="false" outlineLevel="0" collapsed="false">
      <c r="A362" s="8" t="n">
        <v>358</v>
      </c>
      <c r="B362" s="13"/>
      <c r="C362" s="12"/>
      <c r="D362" s="13"/>
      <c r="E362" s="24"/>
      <c r="F362" s="12"/>
      <c r="G362" s="25"/>
      <c r="H362" s="14" t="str">
        <f aca="false">IF(OR($D362="",$B362=""),"",INT(($B362-$D362)/365.25))</f>
        <v/>
      </c>
      <c r="I362" s="25"/>
      <c r="J362" s="12"/>
      <c r="K362" s="12"/>
      <c r="L362" s="14" t="str">
        <f aca="false">IF(OR($C362="",$D362="",$B362=""),"",IF(COUNTIFS($C$5:$C$1504,$C362,$D$5:$D$1504,$D362,$B$5:$B$1504,$B362)&gt;1,"Takror",""))</f>
        <v/>
      </c>
    </row>
    <row r="363" customFormat="false" ht="15" hidden="false" customHeight="false" outlineLevel="0" collapsed="false">
      <c r="A363" s="8" t="n">
        <v>359</v>
      </c>
      <c r="B363" s="13"/>
      <c r="C363" s="12"/>
      <c r="D363" s="13"/>
      <c r="E363" s="24"/>
      <c r="F363" s="12"/>
      <c r="G363" s="25"/>
      <c r="H363" s="14" t="str">
        <f aca="false">IF(OR($D363="",$B363=""),"",INT(($B363-$D363)/365.25))</f>
        <v/>
      </c>
      <c r="I363" s="25"/>
      <c r="J363" s="12"/>
      <c r="K363" s="12"/>
      <c r="L363" s="14" t="str">
        <f aca="false">IF(OR($C363="",$D363="",$B363=""),"",IF(COUNTIFS($C$5:$C$1504,$C363,$D$5:$D$1504,$D363,$B$5:$B$1504,$B363)&gt;1,"Takror",""))</f>
        <v/>
      </c>
    </row>
    <row r="364" customFormat="false" ht="15" hidden="false" customHeight="false" outlineLevel="0" collapsed="false">
      <c r="A364" s="8" t="n">
        <v>360</v>
      </c>
      <c r="B364" s="13"/>
      <c r="C364" s="12"/>
      <c r="D364" s="13"/>
      <c r="E364" s="24"/>
      <c r="F364" s="12"/>
      <c r="G364" s="25"/>
      <c r="H364" s="14" t="str">
        <f aca="false">IF(OR($D364="",$B364=""),"",INT(($B364-$D364)/365.25))</f>
        <v/>
      </c>
      <c r="I364" s="25"/>
      <c r="J364" s="12"/>
      <c r="K364" s="12"/>
      <c r="L364" s="14" t="str">
        <f aca="false">IF(OR($C364="",$D364="",$B364=""),"",IF(COUNTIFS($C$5:$C$1504,$C364,$D$5:$D$1504,$D364,$B$5:$B$1504,$B364)&gt;1,"Takror",""))</f>
        <v/>
      </c>
    </row>
    <row r="365" customFormat="false" ht="15" hidden="false" customHeight="false" outlineLevel="0" collapsed="false">
      <c r="A365" s="8" t="n">
        <v>361</v>
      </c>
      <c r="B365" s="13"/>
      <c r="C365" s="12"/>
      <c r="D365" s="13"/>
      <c r="E365" s="24"/>
      <c r="F365" s="12"/>
      <c r="G365" s="25"/>
      <c r="H365" s="14" t="str">
        <f aca="false">IF(OR($D365="",$B365=""),"",INT(($B365-$D365)/365.25))</f>
        <v/>
      </c>
      <c r="I365" s="25"/>
      <c r="J365" s="12"/>
      <c r="K365" s="12"/>
      <c r="L365" s="14" t="str">
        <f aca="false">IF(OR($C365="",$D365="",$B365=""),"",IF(COUNTIFS($C$5:$C$1504,$C365,$D$5:$D$1504,$D365,$B$5:$B$1504,$B365)&gt;1,"Takror",""))</f>
        <v/>
      </c>
    </row>
    <row r="366" customFormat="false" ht="15" hidden="false" customHeight="false" outlineLevel="0" collapsed="false">
      <c r="A366" s="8" t="n">
        <v>362</v>
      </c>
      <c r="B366" s="13"/>
      <c r="C366" s="12"/>
      <c r="D366" s="13"/>
      <c r="E366" s="24"/>
      <c r="F366" s="12"/>
      <c r="G366" s="25"/>
      <c r="H366" s="14" t="str">
        <f aca="false">IF(OR($D366="",$B366=""),"",INT(($B366-$D366)/365.25))</f>
        <v/>
      </c>
      <c r="I366" s="25"/>
      <c r="J366" s="12"/>
      <c r="K366" s="12"/>
      <c r="L366" s="14" t="str">
        <f aca="false">IF(OR($C366="",$D366="",$B366=""),"",IF(COUNTIFS($C$5:$C$1504,$C366,$D$5:$D$1504,$D366,$B$5:$B$1504,$B366)&gt;1,"Takror",""))</f>
        <v/>
      </c>
    </row>
    <row r="367" customFormat="false" ht="15" hidden="false" customHeight="false" outlineLevel="0" collapsed="false">
      <c r="A367" s="8" t="n">
        <v>363</v>
      </c>
      <c r="B367" s="13"/>
      <c r="C367" s="12"/>
      <c r="D367" s="13"/>
      <c r="E367" s="24"/>
      <c r="F367" s="12"/>
      <c r="G367" s="25"/>
      <c r="H367" s="14" t="str">
        <f aca="false">IF(OR($D367="",$B367=""),"",INT(($B367-$D367)/365.25))</f>
        <v/>
      </c>
      <c r="I367" s="25"/>
      <c r="J367" s="12"/>
      <c r="K367" s="12"/>
      <c r="L367" s="14" t="str">
        <f aca="false">IF(OR($C367="",$D367="",$B367=""),"",IF(COUNTIFS($C$5:$C$1504,$C367,$D$5:$D$1504,$D367,$B$5:$B$1504,$B367)&gt;1,"Takror",""))</f>
        <v/>
      </c>
    </row>
    <row r="368" customFormat="false" ht="15" hidden="false" customHeight="false" outlineLevel="0" collapsed="false">
      <c r="A368" s="8" t="n">
        <v>364</v>
      </c>
      <c r="B368" s="13"/>
      <c r="C368" s="12"/>
      <c r="D368" s="13"/>
      <c r="E368" s="24"/>
      <c r="F368" s="12"/>
      <c r="G368" s="25"/>
      <c r="H368" s="14" t="str">
        <f aca="false">IF(OR($D368="",$B368=""),"",INT(($B368-$D368)/365.25))</f>
        <v/>
      </c>
      <c r="I368" s="25"/>
      <c r="J368" s="12"/>
      <c r="K368" s="12"/>
      <c r="L368" s="14" t="str">
        <f aca="false">IF(OR($C368="",$D368="",$B368=""),"",IF(COUNTIFS($C$5:$C$1504,$C368,$D$5:$D$1504,$D368,$B$5:$B$1504,$B368)&gt;1,"Takror",""))</f>
        <v/>
      </c>
    </row>
    <row r="369" customFormat="false" ht="15" hidden="false" customHeight="false" outlineLevel="0" collapsed="false">
      <c r="A369" s="8" t="n">
        <v>365</v>
      </c>
      <c r="B369" s="13"/>
      <c r="C369" s="12"/>
      <c r="D369" s="13"/>
      <c r="E369" s="24"/>
      <c r="F369" s="12"/>
      <c r="G369" s="25"/>
      <c r="H369" s="14" t="str">
        <f aca="false">IF(OR($D369="",$B369=""),"",INT(($B369-$D369)/365.25))</f>
        <v/>
      </c>
      <c r="I369" s="25"/>
      <c r="J369" s="12"/>
      <c r="K369" s="12"/>
      <c r="L369" s="14" t="str">
        <f aca="false">IF(OR($C369="",$D369="",$B369=""),"",IF(COUNTIFS($C$5:$C$1504,$C369,$D$5:$D$1504,$D369,$B$5:$B$1504,$B369)&gt;1,"Takror",""))</f>
        <v/>
      </c>
    </row>
    <row r="370" customFormat="false" ht="15" hidden="false" customHeight="false" outlineLevel="0" collapsed="false">
      <c r="A370" s="8" t="n">
        <v>366</v>
      </c>
      <c r="B370" s="13"/>
      <c r="C370" s="12"/>
      <c r="D370" s="13"/>
      <c r="E370" s="24"/>
      <c r="F370" s="12"/>
      <c r="G370" s="25"/>
      <c r="H370" s="14" t="str">
        <f aca="false">IF(OR($D370="",$B370=""),"",INT(($B370-$D370)/365.25))</f>
        <v/>
      </c>
      <c r="I370" s="25"/>
      <c r="J370" s="12"/>
      <c r="K370" s="12"/>
      <c r="L370" s="14" t="str">
        <f aca="false">IF(OR($C370="",$D370="",$B370=""),"",IF(COUNTIFS($C$5:$C$1504,$C370,$D$5:$D$1504,$D370,$B$5:$B$1504,$B370)&gt;1,"Takror",""))</f>
        <v/>
      </c>
    </row>
    <row r="371" customFormat="false" ht="15" hidden="false" customHeight="false" outlineLevel="0" collapsed="false">
      <c r="A371" s="8" t="n">
        <v>367</v>
      </c>
      <c r="B371" s="13"/>
      <c r="C371" s="12"/>
      <c r="D371" s="13"/>
      <c r="E371" s="24"/>
      <c r="F371" s="12"/>
      <c r="G371" s="25"/>
      <c r="H371" s="14" t="str">
        <f aca="false">IF(OR($D371="",$B371=""),"",INT(($B371-$D371)/365.25))</f>
        <v/>
      </c>
      <c r="I371" s="25"/>
      <c r="J371" s="12"/>
      <c r="K371" s="12"/>
      <c r="L371" s="14" t="str">
        <f aca="false">IF(OR($C371="",$D371="",$B371=""),"",IF(COUNTIFS($C$5:$C$1504,$C371,$D$5:$D$1504,$D371,$B$5:$B$1504,$B371)&gt;1,"Takror",""))</f>
        <v/>
      </c>
    </row>
    <row r="372" customFormat="false" ht="15" hidden="false" customHeight="false" outlineLevel="0" collapsed="false">
      <c r="A372" s="8" t="n">
        <v>368</v>
      </c>
      <c r="B372" s="13"/>
      <c r="C372" s="12"/>
      <c r="D372" s="13"/>
      <c r="E372" s="24"/>
      <c r="F372" s="12"/>
      <c r="G372" s="25"/>
      <c r="H372" s="14" t="str">
        <f aca="false">IF(OR($D372="",$B372=""),"",INT(($B372-$D372)/365.25))</f>
        <v/>
      </c>
      <c r="I372" s="25"/>
      <c r="J372" s="12"/>
      <c r="K372" s="12"/>
      <c r="L372" s="14" t="str">
        <f aca="false">IF(OR($C372="",$D372="",$B372=""),"",IF(COUNTIFS($C$5:$C$1504,$C372,$D$5:$D$1504,$D372,$B$5:$B$1504,$B372)&gt;1,"Takror",""))</f>
        <v/>
      </c>
    </row>
    <row r="373" customFormat="false" ht="15" hidden="false" customHeight="false" outlineLevel="0" collapsed="false">
      <c r="A373" s="8" t="n">
        <v>369</v>
      </c>
      <c r="B373" s="13"/>
      <c r="C373" s="12"/>
      <c r="D373" s="13"/>
      <c r="E373" s="24"/>
      <c r="F373" s="12"/>
      <c r="G373" s="25"/>
      <c r="H373" s="14" t="str">
        <f aca="false">IF(OR($D373="",$B373=""),"",INT(($B373-$D373)/365.25))</f>
        <v/>
      </c>
      <c r="I373" s="25"/>
      <c r="J373" s="12"/>
      <c r="K373" s="12"/>
      <c r="L373" s="14" t="str">
        <f aca="false">IF(OR($C373="",$D373="",$B373=""),"",IF(COUNTIFS($C$5:$C$1504,$C373,$D$5:$D$1504,$D373,$B$5:$B$1504,$B373)&gt;1,"Takror",""))</f>
        <v/>
      </c>
    </row>
    <row r="374" customFormat="false" ht="15" hidden="false" customHeight="false" outlineLevel="0" collapsed="false">
      <c r="A374" s="8" t="n">
        <v>370</v>
      </c>
      <c r="B374" s="13"/>
      <c r="C374" s="12"/>
      <c r="D374" s="13"/>
      <c r="E374" s="24"/>
      <c r="F374" s="12"/>
      <c r="G374" s="25"/>
      <c r="H374" s="14" t="str">
        <f aca="false">IF(OR($D374="",$B374=""),"",INT(($B374-$D374)/365.25))</f>
        <v/>
      </c>
      <c r="I374" s="25"/>
      <c r="J374" s="12"/>
      <c r="K374" s="12"/>
      <c r="L374" s="14" t="str">
        <f aca="false">IF(OR($C374="",$D374="",$B374=""),"",IF(COUNTIFS($C$5:$C$1504,$C374,$D$5:$D$1504,$D374,$B$5:$B$1504,$B374)&gt;1,"Takror",""))</f>
        <v/>
      </c>
    </row>
    <row r="375" customFormat="false" ht="15" hidden="false" customHeight="false" outlineLevel="0" collapsed="false">
      <c r="A375" s="8" t="n">
        <v>371</v>
      </c>
      <c r="B375" s="13"/>
      <c r="C375" s="12"/>
      <c r="D375" s="13"/>
      <c r="E375" s="24"/>
      <c r="F375" s="12"/>
      <c r="G375" s="25"/>
      <c r="H375" s="14" t="str">
        <f aca="false">IF(OR($D375="",$B375=""),"",INT(($B375-$D375)/365.25))</f>
        <v/>
      </c>
      <c r="I375" s="25"/>
      <c r="J375" s="12"/>
      <c r="K375" s="12"/>
      <c r="L375" s="14" t="str">
        <f aca="false">IF(OR($C375="",$D375="",$B375=""),"",IF(COUNTIFS($C$5:$C$1504,$C375,$D$5:$D$1504,$D375,$B$5:$B$1504,$B375)&gt;1,"Takror",""))</f>
        <v/>
      </c>
    </row>
    <row r="376" customFormat="false" ht="15" hidden="false" customHeight="false" outlineLevel="0" collapsed="false">
      <c r="A376" s="8" t="n">
        <v>372</v>
      </c>
      <c r="B376" s="13"/>
      <c r="C376" s="12"/>
      <c r="D376" s="13"/>
      <c r="E376" s="24"/>
      <c r="F376" s="12"/>
      <c r="G376" s="25"/>
      <c r="H376" s="14" t="str">
        <f aca="false">IF(OR($D376="",$B376=""),"",INT(($B376-$D376)/365.25))</f>
        <v/>
      </c>
      <c r="I376" s="25"/>
      <c r="J376" s="12"/>
      <c r="K376" s="12"/>
      <c r="L376" s="14" t="str">
        <f aca="false">IF(OR($C376="",$D376="",$B376=""),"",IF(COUNTIFS($C$5:$C$1504,$C376,$D$5:$D$1504,$D376,$B$5:$B$1504,$B376)&gt;1,"Takror",""))</f>
        <v/>
      </c>
    </row>
    <row r="377" customFormat="false" ht="15" hidden="false" customHeight="false" outlineLevel="0" collapsed="false">
      <c r="A377" s="8" t="n">
        <v>373</v>
      </c>
      <c r="B377" s="13"/>
      <c r="C377" s="12"/>
      <c r="D377" s="13"/>
      <c r="E377" s="24"/>
      <c r="F377" s="12"/>
      <c r="G377" s="25"/>
      <c r="H377" s="14" t="str">
        <f aca="false">IF(OR($D377="",$B377=""),"",INT(($B377-$D377)/365.25))</f>
        <v/>
      </c>
      <c r="I377" s="25"/>
      <c r="J377" s="12"/>
      <c r="K377" s="12"/>
      <c r="L377" s="14" t="str">
        <f aca="false">IF(OR($C377="",$D377="",$B377=""),"",IF(COUNTIFS($C$5:$C$1504,$C377,$D$5:$D$1504,$D377,$B$5:$B$1504,$B377)&gt;1,"Takror",""))</f>
        <v/>
      </c>
    </row>
    <row r="378" customFormat="false" ht="15" hidden="false" customHeight="false" outlineLevel="0" collapsed="false">
      <c r="A378" s="8" t="n">
        <v>374</v>
      </c>
      <c r="B378" s="13"/>
      <c r="C378" s="12"/>
      <c r="D378" s="13"/>
      <c r="E378" s="24"/>
      <c r="F378" s="12"/>
      <c r="G378" s="25"/>
      <c r="H378" s="14" t="str">
        <f aca="false">IF(OR($D378="",$B378=""),"",INT(($B378-$D378)/365.25))</f>
        <v/>
      </c>
      <c r="I378" s="25"/>
      <c r="J378" s="12"/>
      <c r="K378" s="12"/>
      <c r="L378" s="14" t="str">
        <f aca="false">IF(OR($C378="",$D378="",$B378=""),"",IF(COUNTIFS($C$5:$C$1504,$C378,$D$5:$D$1504,$D378,$B$5:$B$1504,$B378)&gt;1,"Takror",""))</f>
        <v/>
      </c>
    </row>
    <row r="379" customFormat="false" ht="15" hidden="false" customHeight="false" outlineLevel="0" collapsed="false">
      <c r="A379" s="8" t="n">
        <v>375</v>
      </c>
      <c r="B379" s="13"/>
      <c r="C379" s="12"/>
      <c r="D379" s="13"/>
      <c r="E379" s="24"/>
      <c r="F379" s="12"/>
      <c r="G379" s="25"/>
      <c r="H379" s="14" t="str">
        <f aca="false">IF(OR($D379="",$B379=""),"",INT(($B379-$D379)/365.25))</f>
        <v/>
      </c>
      <c r="I379" s="25"/>
      <c r="J379" s="12"/>
      <c r="K379" s="12"/>
      <c r="L379" s="14" t="str">
        <f aca="false">IF(OR($C379="",$D379="",$B379=""),"",IF(COUNTIFS($C$5:$C$1504,$C379,$D$5:$D$1504,$D379,$B$5:$B$1504,$B379)&gt;1,"Takror",""))</f>
        <v/>
      </c>
    </row>
    <row r="380" customFormat="false" ht="15" hidden="false" customHeight="false" outlineLevel="0" collapsed="false">
      <c r="A380" s="8" t="n">
        <v>376</v>
      </c>
      <c r="B380" s="13"/>
      <c r="C380" s="12"/>
      <c r="D380" s="13"/>
      <c r="E380" s="24"/>
      <c r="F380" s="12"/>
      <c r="G380" s="25"/>
      <c r="H380" s="14" t="str">
        <f aca="false">IF(OR($D380="",$B380=""),"",INT(($B380-$D380)/365.25))</f>
        <v/>
      </c>
      <c r="I380" s="25"/>
      <c r="J380" s="12"/>
      <c r="K380" s="12"/>
      <c r="L380" s="14" t="str">
        <f aca="false">IF(OR($C380="",$D380="",$B380=""),"",IF(COUNTIFS($C$5:$C$1504,$C380,$D$5:$D$1504,$D380,$B$5:$B$1504,$B380)&gt;1,"Takror",""))</f>
        <v/>
      </c>
    </row>
    <row r="381" customFormat="false" ht="15" hidden="false" customHeight="false" outlineLevel="0" collapsed="false">
      <c r="A381" s="8" t="n">
        <v>377</v>
      </c>
      <c r="B381" s="13"/>
      <c r="C381" s="12"/>
      <c r="D381" s="13"/>
      <c r="E381" s="24"/>
      <c r="F381" s="12"/>
      <c r="G381" s="25"/>
      <c r="H381" s="14" t="str">
        <f aca="false">IF(OR($D381="",$B381=""),"",INT(($B381-$D381)/365.25))</f>
        <v/>
      </c>
      <c r="I381" s="25"/>
      <c r="J381" s="12"/>
      <c r="K381" s="12"/>
      <c r="L381" s="14" t="str">
        <f aca="false">IF(OR($C381="",$D381="",$B381=""),"",IF(COUNTIFS($C$5:$C$1504,$C381,$D$5:$D$1504,$D381,$B$5:$B$1504,$B381)&gt;1,"Takror",""))</f>
        <v/>
      </c>
    </row>
    <row r="382" customFormat="false" ht="15" hidden="false" customHeight="false" outlineLevel="0" collapsed="false">
      <c r="A382" s="8" t="n">
        <v>378</v>
      </c>
      <c r="B382" s="13"/>
      <c r="C382" s="12"/>
      <c r="D382" s="13"/>
      <c r="E382" s="24"/>
      <c r="F382" s="12"/>
      <c r="G382" s="25"/>
      <c r="H382" s="14" t="str">
        <f aca="false">IF(OR($D382="",$B382=""),"",INT(($B382-$D382)/365.25))</f>
        <v/>
      </c>
      <c r="I382" s="25"/>
      <c r="J382" s="12"/>
      <c r="K382" s="12"/>
      <c r="L382" s="14" t="str">
        <f aca="false">IF(OR($C382="",$D382="",$B382=""),"",IF(COUNTIFS($C$5:$C$1504,$C382,$D$5:$D$1504,$D382,$B$5:$B$1504,$B382)&gt;1,"Takror",""))</f>
        <v/>
      </c>
    </row>
    <row r="383" customFormat="false" ht="15" hidden="false" customHeight="false" outlineLevel="0" collapsed="false">
      <c r="A383" s="8" t="n">
        <v>379</v>
      </c>
      <c r="B383" s="13"/>
      <c r="C383" s="12"/>
      <c r="D383" s="13"/>
      <c r="E383" s="24"/>
      <c r="F383" s="12"/>
      <c r="G383" s="25"/>
      <c r="H383" s="14" t="str">
        <f aca="false">IF(OR($D383="",$B383=""),"",INT(($B383-$D383)/365.25))</f>
        <v/>
      </c>
      <c r="I383" s="25"/>
      <c r="J383" s="12"/>
      <c r="K383" s="12"/>
      <c r="L383" s="14" t="str">
        <f aca="false">IF(OR($C383="",$D383="",$B383=""),"",IF(COUNTIFS($C$5:$C$1504,$C383,$D$5:$D$1504,$D383,$B$5:$B$1504,$B383)&gt;1,"Takror",""))</f>
        <v/>
      </c>
    </row>
    <row r="384" customFormat="false" ht="15" hidden="false" customHeight="false" outlineLevel="0" collapsed="false">
      <c r="A384" s="8" t="n">
        <v>380</v>
      </c>
      <c r="B384" s="13"/>
      <c r="C384" s="12"/>
      <c r="D384" s="13"/>
      <c r="E384" s="24"/>
      <c r="F384" s="12"/>
      <c r="G384" s="25"/>
      <c r="H384" s="14" t="str">
        <f aca="false">IF(OR($D384="",$B384=""),"",INT(($B384-$D384)/365.25))</f>
        <v/>
      </c>
      <c r="I384" s="25"/>
      <c r="J384" s="12"/>
      <c r="K384" s="12"/>
      <c r="L384" s="14" t="str">
        <f aca="false">IF(OR($C384="",$D384="",$B384=""),"",IF(COUNTIFS($C$5:$C$1504,$C384,$D$5:$D$1504,$D384,$B$5:$B$1504,$B384)&gt;1,"Takror",""))</f>
        <v/>
      </c>
    </row>
    <row r="385" customFormat="false" ht="15" hidden="false" customHeight="false" outlineLevel="0" collapsed="false">
      <c r="A385" s="8" t="n">
        <v>381</v>
      </c>
      <c r="B385" s="13"/>
      <c r="C385" s="12"/>
      <c r="D385" s="13"/>
      <c r="E385" s="24"/>
      <c r="F385" s="12"/>
      <c r="G385" s="25"/>
      <c r="H385" s="14" t="str">
        <f aca="false">IF(OR($D385="",$B385=""),"",INT(($B385-$D385)/365.25))</f>
        <v/>
      </c>
      <c r="I385" s="25"/>
      <c r="J385" s="12"/>
      <c r="K385" s="12"/>
      <c r="L385" s="14" t="str">
        <f aca="false">IF(OR($C385="",$D385="",$B385=""),"",IF(COUNTIFS($C$5:$C$1504,$C385,$D$5:$D$1504,$D385,$B$5:$B$1504,$B385)&gt;1,"Takror",""))</f>
        <v/>
      </c>
    </row>
    <row r="386" customFormat="false" ht="15" hidden="false" customHeight="false" outlineLevel="0" collapsed="false">
      <c r="A386" s="8" t="n">
        <v>382</v>
      </c>
      <c r="B386" s="13"/>
      <c r="C386" s="12"/>
      <c r="D386" s="13"/>
      <c r="E386" s="24"/>
      <c r="F386" s="12"/>
      <c r="G386" s="25"/>
      <c r="H386" s="14" t="str">
        <f aca="false">IF(OR($D386="",$B386=""),"",INT(($B386-$D386)/365.25))</f>
        <v/>
      </c>
      <c r="I386" s="25"/>
      <c r="J386" s="12"/>
      <c r="K386" s="12"/>
      <c r="L386" s="14" t="str">
        <f aca="false">IF(OR($C386="",$D386="",$B386=""),"",IF(COUNTIFS($C$5:$C$1504,$C386,$D$5:$D$1504,$D386,$B$5:$B$1504,$B386)&gt;1,"Takror",""))</f>
        <v/>
      </c>
    </row>
    <row r="387" customFormat="false" ht="15" hidden="false" customHeight="false" outlineLevel="0" collapsed="false">
      <c r="A387" s="8" t="n">
        <v>383</v>
      </c>
      <c r="B387" s="13"/>
      <c r="C387" s="12"/>
      <c r="D387" s="13"/>
      <c r="E387" s="24"/>
      <c r="F387" s="12"/>
      <c r="G387" s="25"/>
      <c r="H387" s="14" t="str">
        <f aca="false">IF(OR($D387="",$B387=""),"",INT(($B387-$D387)/365.25))</f>
        <v/>
      </c>
      <c r="I387" s="25"/>
      <c r="J387" s="12"/>
      <c r="K387" s="12"/>
      <c r="L387" s="14" t="str">
        <f aca="false">IF(OR($C387="",$D387="",$B387=""),"",IF(COUNTIFS($C$5:$C$1504,$C387,$D$5:$D$1504,$D387,$B$5:$B$1504,$B387)&gt;1,"Takror",""))</f>
        <v/>
      </c>
    </row>
    <row r="388" customFormat="false" ht="15" hidden="false" customHeight="false" outlineLevel="0" collapsed="false">
      <c r="A388" s="8" t="n">
        <v>384</v>
      </c>
      <c r="B388" s="13"/>
      <c r="C388" s="12"/>
      <c r="D388" s="13"/>
      <c r="E388" s="24"/>
      <c r="F388" s="12"/>
      <c r="G388" s="25"/>
      <c r="H388" s="14" t="str">
        <f aca="false">IF(OR($D388="",$B388=""),"",INT(($B388-$D388)/365.25))</f>
        <v/>
      </c>
      <c r="I388" s="25"/>
      <c r="J388" s="12"/>
      <c r="K388" s="12"/>
      <c r="L388" s="14" t="str">
        <f aca="false">IF(OR($C388="",$D388="",$B388=""),"",IF(COUNTIFS($C$5:$C$1504,$C388,$D$5:$D$1504,$D388,$B$5:$B$1504,$B388)&gt;1,"Takror",""))</f>
        <v/>
      </c>
    </row>
    <row r="389" customFormat="false" ht="15" hidden="false" customHeight="false" outlineLevel="0" collapsed="false">
      <c r="A389" s="8" t="n">
        <v>385</v>
      </c>
      <c r="B389" s="13"/>
      <c r="C389" s="12"/>
      <c r="D389" s="13"/>
      <c r="E389" s="24"/>
      <c r="F389" s="12"/>
      <c r="G389" s="25"/>
      <c r="H389" s="14" t="str">
        <f aca="false">IF(OR($D389="",$B389=""),"",INT(($B389-$D389)/365.25))</f>
        <v/>
      </c>
      <c r="I389" s="25"/>
      <c r="J389" s="12"/>
      <c r="K389" s="12"/>
      <c r="L389" s="14" t="str">
        <f aca="false">IF(OR($C389="",$D389="",$B389=""),"",IF(COUNTIFS($C$5:$C$1504,$C389,$D$5:$D$1504,$D389,$B$5:$B$1504,$B389)&gt;1,"Takror",""))</f>
        <v/>
      </c>
    </row>
    <row r="390" customFormat="false" ht="15" hidden="false" customHeight="false" outlineLevel="0" collapsed="false">
      <c r="A390" s="8" t="n">
        <v>386</v>
      </c>
      <c r="B390" s="13"/>
      <c r="C390" s="12"/>
      <c r="D390" s="13"/>
      <c r="E390" s="24"/>
      <c r="F390" s="12"/>
      <c r="G390" s="25"/>
      <c r="H390" s="14" t="str">
        <f aca="false">IF(OR($D390="",$B390=""),"",INT(($B390-$D390)/365.25))</f>
        <v/>
      </c>
      <c r="I390" s="25"/>
      <c r="J390" s="12"/>
      <c r="K390" s="12"/>
      <c r="L390" s="14" t="str">
        <f aca="false">IF(OR($C390="",$D390="",$B390=""),"",IF(COUNTIFS($C$5:$C$1504,$C390,$D$5:$D$1504,$D390,$B$5:$B$1504,$B390)&gt;1,"Takror",""))</f>
        <v/>
      </c>
    </row>
    <row r="391" customFormat="false" ht="15" hidden="false" customHeight="false" outlineLevel="0" collapsed="false">
      <c r="A391" s="8" t="n">
        <v>387</v>
      </c>
      <c r="B391" s="13"/>
      <c r="C391" s="12"/>
      <c r="D391" s="13"/>
      <c r="E391" s="24"/>
      <c r="F391" s="12"/>
      <c r="G391" s="25"/>
      <c r="H391" s="14" t="str">
        <f aca="false">IF(OR($D391="",$B391=""),"",INT(($B391-$D391)/365.25))</f>
        <v/>
      </c>
      <c r="I391" s="25"/>
      <c r="J391" s="12"/>
      <c r="K391" s="12"/>
      <c r="L391" s="14" t="str">
        <f aca="false">IF(OR($C391="",$D391="",$B391=""),"",IF(COUNTIFS($C$5:$C$1504,$C391,$D$5:$D$1504,$D391,$B$5:$B$1504,$B391)&gt;1,"Takror",""))</f>
        <v/>
      </c>
    </row>
    <row r="392" customFormat="false" ht="15" hidden="false" customHeight="false" outlineLevel="0" collapsed="false">
      <c r="A392" s="8" t="n">
        <v>388</v>
      </c>
      <c r="B392" s="13"/>
      <c r="C392" s="12"/>
      <c r="D392" s="13"/>
      <c r="E392" s="24"/>
      <c r="F392" s="12"/>
      <c r="G392" s="25"/>
      <c r="H392" s="14" t="str">
        <f aca="false">IF(OR($D392="",$B392=""),"",INT(($B392-$D392)/365.25))</f>
        <v/>
      </c>
      <c r="I392" s="25"/>
      <c r="J392" s="12"/>
      <c r="K392" s="12"/>
      <c r="L392" s="14" t="str">
        <f aca="false">IF(OR($C392="",$D392="",$B392=""),"",IF(COUNTIFS($C$5:$C$1504,$C392,$D$5:$D$1504,$D392,$B$5:$B$1504,$B392)&gt;1,"Takror",""))</f>
        <v/>
      </c>
    </row>
    <row r="393" customFormat="false" ht="15" hidden="false" customHeight="false" outlineLevel="0" collapsed="false">
      <c r="A393" s="8" t="n">
        <v>389</v>
      </c>
      <c r="B393" s="13"/>
      <c r="C393" s="12"/>
      <c r="D393" s="13"/>
      <c r="E393" s="24"/>
      <c r="F393" s="12"/>
      <c r="G393" s="25"/>
      <c r="H393" s="14" t="str">
        <f aca="false">IF(OR($D393="",$B393=""),"",INT(($B393-$D393)/365.25))</f>
        <v/>
      </c>
      <c r="I393" s="25"/>
      <c r="J393" s="12"/>
      <c r="K393" s="12"/>
      <c r="L393" s="14" t="str">
        <f aca="false">IF(OR($C393="",$D393="",$B393=""),"",IF(COUNTIFS($C$5:$C$1504,$C393,$D$5:$D$1504,$D393,$B$5:$B$1504,$B393)&gt;1,"Takror",""))</f>
        <v/>
      </c>
    </row>
    <row r="394" customFormat="false" ht="15" hidden="false" customHeight="false" outlineLevel="0" collapsed="false">
      <c r="A394" s="8" t="n">
        <v>390</v>
      </c>
      <c r="B394" s="13"/>
      <c r="C394" s="12"/>
      <c r="D394" s="13"/>
      <c r="E394" s="24"/>
      <c r="F394" s="12"/>
      <c r="G394" s="25"/>
      <c r="H394" s="14" t="str">
        <f aca="false">IF(OR($D394="",$B394=""),"",INT(($B394-$D394)/365.25))</f>
        <v/>
      </c>
      <c r="I394" s="25"/>
      <c r="J394" s="12"/>
      <c r="K394" s="12"/>
      <c r="L394" s="14" t="str">
        <f aca="false">IF(OR($C394="",$D394="",$B394=""),"",IF(COUNTIFS($C$5:$C$1504,$C394,$D$5:$D$1504,$D394,$B$5:$B$1504,$B394)&gt;1,"Takror",""))</f>
        <v/>
      </c>
    </row>
    <row r="395" customFormat="false" ht="15" hidden="false" customHeight="false" outlineLevel="0" collapsed="false">
      <c r="A395" s="8" t="n">
        <v>391</v>
      </c>
      <c r="B395" s="13"/>
      <c r="C395" s="12"/>
      <c r="D395" s="13"/>
      <c r="E395" s="24"/>
      <c r="F395" s="12"/>
      <c r="G395" s="25"/>
      <c r="H395" s="14" t="str">
        <f aca="false">IF(OR($D395="",$B395=""),"",INT(($B395-$D395)/365.25))</f>
        <v/>
      </c>
      <c r="I395" s="25"/>
      <c r="J395" s="12"/>
      <c r="K395" s="12"/>
      <c r="L395" s="14" t="str">
        <f aca="false">IF(OR($C395="",$D395="",$B395=""),"",IF(COUNTIFS($C$5:$C$1504,$C395,$D$5:$D$1504,$D395,$B$5:$B$1504,$B395)&gt;1,"Takror",""))</f>
        <v/>
      </c>
    </row>
    <row r="396" customFormat="false" ht="15" hidden="false" customHeight="false" outlineLevel="0" collapsed="false">
      <c r="A396" s="8" t="n">
        <v>392</v>
      </c>
      <c r="B396" s="13"/>
      <c r="C396" s="12"/>
      <c r="D396" s="13"/>
      <c r="E396" s="24"/>
      <c r="F396" s="12"/>
      <c r="G396" s="25"/>
      <c r="H396" s="14" t="str">
        <f aca="false">IF(OR($D396="",$B396=""),"",INT(($B396-$D396)/365.25))</f>
        <v/>
      </c>
      <c r="I396" s="25"/>
      <c r="J396" s="12"/>
      <c r="K396" s="12"/>
      <c r="L396" s="14" t="str">
        <f aca="false">IF(OR($C396="",$D396="",$B396=""),"",IF(COUNTIFS($C$5:$C$1504,$C396,$D$5:$D$1504,$D396,$B$5:$B$1504,$B396)&gt;1,"Takror",""))</f>
        <v/>
      </c>
    </row>
    <row r="397" customFormat="false" ht="15" hidden="false" customHeight="false" outlineLevel="0" collapsed="false">
      <c r="A397" s="8" t="n">
        <v>393</v>
      </c>
      <c r="B397" s="13"/>
      <c r="C397" s="12"/>
      <c r="D397" s="13"/>
      <c r="E397" s="24"/>
      <c r="F397" s="12"/>
      <c r="G397" s="25"/>
      <c r="H397" s="14" t="str">
        <f aca="false">IF(OR($D397="",$B397=""),"",INT(($B397-$D397)/365.25))</f>
        <v/>
      </c>
      <c r="I397" s="25"/>
      <c r="J397" s="12"/>
      <c r="K397" s="12"/>
      <c r="L397" s="14" t="str">
        <f aca="false">IF(OR($C397="",$D397="",$B397=""),"",IF(COUNTIFS($C$5:$C$1504,$C397,$D$5:$D$1504,$D397,$B$5:$B$1504,$B397)&gt;1,"Takror",""))</f>
        <v/>
      </c>
    </row>
    <row r="398" customFormat="false" ht="15" hidden="false" customHeight="false" outlineLevel="0" collapsed="false">
      <c r="A398" s="8" t="n">
        <v>394</v>
      </c>
      <c r="B398" s="13"/>
      <c r="C398" s="12"/>
      <c r="D398" s="13"/>
      <c r="E398" s="24"/>
      <c r="F398" s="12"/>
      <c r="G398" s="25"/>
      <c r="H398" s="14" t="str">
        <f aca="false">IF(OR($D398="",$B398=""),"",INT(($B398-$D398)/365.25))</f>
        <v/>
      </c>
      <c r="I398" s="25"/>
      <c r="J398" s="12"/>
      <c r="K398" s="12"/>
      <c r="L398" s="14" t="str">
        <f aca="false">IF(OR($C398="",$D398="",$B398=""),"",IF(COUNTIFS($C$5:$C$1504,$C398,$D$5:$D$1504,$D398,$B$5:$B$1504,$B398)&gt;1,"Takror",""))</f>
        <v/>
      </c>
    </row>
    <row r="399" customFormat="false" ht="15" hidden="false" customHeight="false" outlineLevel="0" collapsed="false">
      <c r="A399" s="8" t="n">
        <v>395</v>
      </c>
      <c r="B399" s="13"/>
      <c r="C399" s="12"/>
      <c r="D399" s="13"/>
      <c r="E399" s="24"/>
      <c r="F399" s="12"/>
      <c r="G399" s="25"/>
      <c r="H399" s="14" t="str">
        <f aca="false">IF(OR($D399="",$B399=""),"",INT(($B399-$D399)/365.25))</f>
        <v/>
      </c>
      <c r="I399" s="25"/>
      <c r="J399" s="12"/>
      <c r="K399" s="12"/>
      <c r="L399" s="14" t="str">
        <f aca="false">IF(OR($C399="",$D399="",$B399=""),"",IF(COUNTIFS($C$5:$C$1504,$C399,$D$5:$D$1504,$D399,$B$5:$B$1504,$B399)&gt;1,"Takror",""))</f>
        <v/>
      </c>
    </row>
    <row r="400" customFormat="false" ht="15" hidden="false" customHeight="false" outlineLevel="0" collapsed="false">
      <c r="A400" s="8" t="n">
        <v>396</v>
      </c>
      <c r="B400" s="13"/>
      <c r="C400" s="12"/>
      <c r="D400" s="13"/>
      <c r="E400" s="24"/>
      <c r="F400" s="12"/>
      <c r="G400" s="25"/>
      <c r="H400" s="14" t="str">
        <f aca="false">IF(OR($D400="",$B400=""),"",INT(($B400-$D400)/365.25))</f>
        <v/>
      </c>
      <c r="I400" s="25"/>
      <c r="J400" s="12"/>
      <c r="K400" s="12"/>
      <c r="L400" s="14" t="str">
        <f aca="false">IF(OR($C400="",$D400="",$B400=""),"",IF(COUNTIFS($C$5:$C$1504,$C400,$D$5:$D$1504,$D400,$B$5:$B$1504,$B400)&gt;1,"Takror",""))</f>
        <v/>
      </c>
    </row>
    <row r="401" customFormat="false" ht="15" hidden="false" customHeight="false" outlineLevel="0" collapsed="false">
      <c r="A401" s="8" t="n">
        <v>397</v>
      </c>
      <c r="B401" s="13"/>
      <c r="C401" s="12"/>
      <c r="D401" s="13"/>
      <c r="E401" s="24"/>
      <c r="F401" s="12"/>
      <c r="G401" s="25"/>
      <c r="H401" s="14" t="str">
        <f aca="false">IF(OR($D401="",$B401=""),"",INT(($B401-$D401)/365.25))</f>
        <v/>
      </c>
      <c r="I401" s="25"/>
      <c r="J401" s="12"/>
      <c r="K401" s="12"/>
      <c r="L401" s="14" t="str">
        <f aca="false">IF(OR($C401="",$D401="",$B401=""),"",IF(COUNTIFS($C$5:$C$1504,$C401,$D$5:$D$1504,$D401,$B$5:$B$1504,$B401)&gt;1,"Takror",""))</f>
        <v/>
      </c>
    </row>
    <row r="402" customFormat="false" ht="15" hidden="false" customHeight="false" outlineLevel="0" collapsed="false">
      <c r="A402" s="8" t="n">
        <v>398</v>
      </c>
      <c r="B402" s="13"/>
      <c r="C402" s="12"/>
      <c r="D402" s="13"/>
      <c r="E402" s="24"/>
      <c r="F402" s="12"/>
      <c r="G402" s="25"/>
      <c r="H402" s="14" t="str">
        <f aca="false">IF(OR($D402="",$B402=""),"",INT(($B402-$D402)/365.25))</f>
        <v/>
      </c>
      <c r="I402" s="25"/>
      <c r="J402" s="12"/>
      <c r="K402" s="12"/>
      <c r="L402" s="14" t="str">
        <f aca="false">IF(OR($C402="",$D402="",$B402=""),"",IF(COUNTIFS($C$5:$C$1504,$C402,$D$5:$D$1504,$D402,$B$5:$B$1504,$B402)&gt;1,"Takror",""))</f>
        <v/>
      </c>
    </row>
    <row r="403" customFormat="false" ht="15" hidden="false" customHeight="false" outlineLevel="0" collapsed="false">
      <c r="A403" s="8" t="n">
        <v>399</v>
      </c>
      <c r="B403" s="13"/>
      <c r="C403" s="12"/>
      <c r="D403" s="13"/>
      <c r="E403" s="24"/>
      <c r="F403" s="12"/>
      <c r="G403" s="25"/>
      <c r="H403" s="14" t="str">
        <f aca="false">IF(OR($D403="",$B403=""),"",INT(($B403-$D403)/365.25))</f>
        <v/>
      </c>
      <c r="I403" s="25"/>
      <c r="J403" s="12"/>
      <c r="K403" s="12"/>
      <c r="L403" s="14" t="str">
        <f aca="false">IF(OR($C403="",$D403="",$B403=""),"",IF(COUNTIFS($C$5:$C$1504,$C403,$D$5:$D$1504,$D403,$B$5:$B$1504,$B403)&gt;1,"Takror",""))</f>
        <v/>
      </c>
    </row>
    <row r="404" customFormat="false" ht="15" hidden="false" customHeight="false" outlineLevel="0" collapsed="false">
      <c r="A404" s="8" t="n">
        <v>400</v>
      </c>
      <c r="B404" s="13"/>
      <c r="C404" s="12"/>
      <c r="D404" s="13"/>
      <c r="E404" s="24"/>
      <c r="F404" s="12"/>
      <c r="G404" s="25"/>
      <c r="H404" s="14" t="str">
        <f aca="false">IF(OR($D404="",$B404=""),"",INT(($B404-$D404)/365.25))</f>
        <v/>
      </c>
      <c r="I404" s="25"/>
      <c r="J404" s="12"/>
      <c r="K404" s="12"/>
      <c r="L404" s="14" t="str">
        <f aca="false">IF(OR($C404="",$D404="",$B404=""),"",IF(COUNTIFS($C$5:$C$1504,$C404,$D$5:$D$1504,$D404,$B$5:$B$1504,$B404)&gt;1,"Takror",""))</f>
        <v/>
      </c>
    </row>
    <row r="405" customFormat="false" ht="15" hidden="false" customHeight="false" outlineLevel="0" collapsed="false">
      <c r="A405" s="8" t="n">
        <v>401</v>
      </c>
      <c r="B405" s="13"/>
      <c r="C405" s="12"/>
      <c r="D405" s="13"/>
      <c r="E405" s="24"/>
      <c r="F405" s="12"/>
      <c r="G405" s="25"/>
      <c r="H405" s="14" t="str">
        <f aca="false">IF(OR($D405="",$B405=""),"",INT(($B405-$D405)/365.25))</f>
        <v/>
      </c>
      <c r="I405" s="25"/>
      <c r="J405" s="12"/>
      <c r="K405" s="12"/>
      <c r="L405" s="14" t="str">
        <f aca="false">IF(OR($C405="",$D405="",$B405=""),"",IF(COUNTIFS($C$5:$C$1504,$C405,$D$5:$D$1504,$D405,$B$5:$B$1504,$B405)&gt;1,"Takror",""))</f>
        <v/>
      </c>
    </row>
    <row r="406" customFormat="false" ht="15" hidden="false" customHeight="false" outlineLevel="0" collapsed="false">
      <c r="A406" s="8" t="n">
        <v>402</v>
      </c>
      <c r="B406" s="13"/>
      <c r="C406" s="12"/>
      <c r="D406" s="13"/>
      <c r="E406" s="24"/>
      <c r="F406" s="12"/>
      <c r="G406" s="25"/>
      <c r="H406" s="14" t="str">
        <f aca="false">IF(OR($D406="",$B406=""),"",INT(($B406-$D406)/365.25))</f>
        <v/>
      </c>
      <c r="I406" s="25"/>
      <c r="J406" s="12"/>
      <c r="K406" s="12"/>
      <c r="L406" s="14" t="str">
        <f aca="false">IF(OR($C406="",$D406="",$B406=""),"",IF(COUNTIFS($C$5:$C$1504,$C406,$D$5:$D$1504,$D406,$B$5:$B$1504,$B406)&gt;1,"Takror",""))</f>
        <v/>
      </c>
    </row>
    <row r="407" customFormat="false" ht="15" hidden="false" customHeight="false" outlineLevel="0" collapsed="false">
      <c r="A407" s="8" t="n">
        <v>403</v>
      </c>
      <c r="B407" s="13"/>
      <c r="C407" s="12"/>
      <c r="D407" s="13"/>
      <c r="E407" s="24"/>
      <c r="F407" s="12"/>
      <c r="G407" s="25"/>
      <c r="H407" s="14" t="str">
        <f aca="false">IF(OR($D407="",$B407=""),"",INT(($B407-$D407)/365.25))</f>
        <v/>
      </c>
      <c r="I407" s="25"/>
      <c r="J407" s="12"/>
      <c r="K407" s="12"/>
      <c r="L407" s="14" t="str">
        <f aca="false">IF(OR($C407="",$D407="",$B407=""),"",IF(COUNTIFS($C$5:$C$1504,$C407,$D$5:$D$1504,$D407,$B$5:$B$1504,$B407)&gt;1,"Takror",""))</f>
        <v/>
      </c>
    </row>
    <row r="408" customFormat="false" ht="15" hidden="false" customHeight="false" outlineLevel="0" collapsed="false">
      <c r="A408" s="8" t="n">
        <v>404</v>
      </c>
      <c r="B408" s="13"/>
      <c r="C408" s="12"/>
      <c r="D408" s="13"/>
      <c r="E408" s="24"/>
      <c r="F408" s="12"/>
      <c r="G408" s="25"/>
      <c r="H408" s="14" t="str">
        <f aca="false">IF(OR($D408="",$B408=""),"",INT(($B408-$D408)/365.25))</f>
        <v/>
      </c>
      <c r="I408" s="25"/>
      <c r="J408" s="12"/>
      <c r="K408" s="12"/>
      <c r="L408" s="14" t="str">
        <f aca="false">IF(OR($C408="",$D408="",$B408=""),"",IF(COUNTIFS($C$5:$C$1504,$C408,$D$5:$D$1504,$D408,$B$5:$B$1504,$B408)&gt;1,"Takror",""))</f>
        <v/>
      </c>
    </row>
    <row r="409" customFormat="false" ht="15" hidden="false" customHeight="false" outlineLevel="0" collapsed="false">
      <c r="A409" s="8" t="n">
        <v>405</v>
      </c>
      <c r="B409" s="13"/>
      <c r="C409" s="12"/>
      <c r="D409" s="13"/>
      <c r="E409" s="24"/>
      <c r="F409" s="12"/>
      <c r="G409" s="25"/>
      <c r="H409" s="14" t="str">
        <f aca="false">IF(OR($D409="",$B409=""),"",INT(($B409-$D409)/365.25))</f>
        <v/>
      </c>
      <c r="I409" s="25"/>
      <c r="J409" s="12"/>
      <c r="K409" s="12"/>
      <c r="L409" s="14" t="str">
        <f aca="false">IF(OR($C409="",$D409="",$B409=""),"",IF(COUNTIFS($C$5:$C$1504,$C409,$D$5:$D$1504,$D409,$B$5:$B$1504,$B409)&gt;1,"Takror",""))</f>
        <v/>
      </c>
    </row>
    <row r="410" customFormat="false" ht="15" hidden="false" customHeight="false" outlineLevel="0" collapsed="false">
      <c r="A410" s="8" t="n">
        <v>406</v>
      </c>
      <c r="B410" s="13"/>
      <c r="C410" s="12"/>
      <c r="D410" s="13"/>
      <c r="E410" s="24"/>
      <c r="F410" s="12"/>
      <c r="G410" s="25"/>
      <c r="H410" s="14" t="str">
        <f aca="false">IF(OR($D410="",$B410=""),"",INT(($B410-$D410)/365.25))</f>
        <v/>
      </c>
      <c r="I410" s="25"/>
      <c r="J410" s="12"/>
      <c r="K410" s="12"/>
      <c r="L410" s="14" t="str">
        <f aca="false">IF(OR($C410="",$D410="",$B410=""),"",IF(COUNTIFS($C$5:$C$1504,$C410,$D$5:$D$1504,$D410,$B$5:$B$1504,$B410)&gt;1,"Takror",""))</f>
        <v/>
      </c>
    </row>
    <row r="411" customFormat="false" ht="15" hidden="false" customHeight="false" outlineLevel="0" collapsed="false">
      <c r="A411" s="8" t="n">
        <v>407</v>
      </c>
      <c r="B411" s="13"/>
      <c r="C411" s="12"/>
      <c r="D411" s="13"/>
      <c r="E411" s="24"/>
      <c r="F411" s="12"/>
      <c r="G411" s="25"/>
      <c r="H411" s="14" t="str">
        <f aca="false">IF(OR($D411="",$B411=""),"",INT(($B411-$D411)/365.25))</f>
        <v/>
      </c>
      <c r="I411" s="25"/>
      <c r="J411" s="12"/>
      <c r="K411" s="12"/>
      <c r="L411" s="14" t="str">
        <f aca="false">IF(OR($C411="",$D411="",$B411=""),"",IF(COUNTIFS($C$5:$C$1504,$C411,$D$5:$D$1504,$D411,$B$5:$B$1504,$B411)&gt;1,"Takror",""))</f>
        <v/>
      </c>
    </row>
    <row r="412" customFormat="false" ht="15" hidden="false" customHeight="false" outlineLevel="0" collapsed="false">
      <c r="A412" s="8" t="n">
        <v>408</v>
      </c>
      <c r="B412" s="13"/>
      <c r="C412" s="12"/>
      <c r="D412" s="13"/>
      <c r="E412" s="24"/>
      <c r="F412" s="12"/>
      <c r="G412" s="25"/>
      <c r="H412" s="14" t="str">
        <f aca="false">IF(OR($D412="",$B412=""),"",INT(($B412-$D412)/365.25))</f>
        <v/>
      </c>
      <c r="I412" s="25"/>
      <c r="J412" s="12"/>
      <c r="K412" s="12"/>
      <c r="L412" s="14" t="str">
        <f aca="false">IF(OR($C412="",$D412="",$B412=""),"",IF(COUNTIFS($C$5:$C$1504,$C412,$D$5:$D$1504,$D412,$B$5:$B$1504,$B412)&gt;1,"Takror",""))</f>
        <v/>
      </c>
    </row>
    <row r="413" customFormat="false" ht="15" hidden="false" customHeight="false" outlineLevel="0" collapsed="false">
      <c r="A413" s="8" t="n">
        <v>409</v>
      </c>
      <c r="B413" s="13"/>
      <c r="C413" s="12"/>
      <c r="D413" s="13"/>
      <c r="E413" s="24"/>
      <c r="F413" s="12"/>
      <c r="G413" s="25"/>
      <c r="H413" s="14" t="str">
        <f aca="false">IF(OR($D413="",$B413=""),"",INT(($B413-$D413)/365.25))</f>
        <v/>
      </c>
      <c r="I413" s="25"/>
      <c r="J413" s="12"/>
      <c r="K413" s="12"/>
      <c r="L413" s="14" t="str">
        <f aca="false">IF(OR($C413="",$D413="",$B413=""),"",IF(COUNTIFS($C$5:$C$1504,$C413,$D$5:$D$1504,$D413,$B$5:$B$1504,$B413)&gt;1,"Takror",""))</f>
        <v/>
      </c>
    </row>
    <row r="414" customFormat="false" ht="15" hidden="false" customHeight="false" outlineLevel="0" collapsed="false">
      <c r="A414" s="8" t="n">
        <v>410</v>
      </c>
      <c r="B414" s="13"/>
      <c r="C414" s="12"/>
      <c r="D414" s="13"/>
      <c r="E414" s="24"/>
      <c r="F414" s="12"/>
      <c r="G414" s="25"/>
      <c r="H414" s="14" t="str">
        <f aca="false">IF(OR($D414="",$B414=""),"",INT(($B414-$D414)/365.25))</f>
        <v/>
      </c>
      <c r="I414" s="25"/>
      <c r="J414" s="12"/>
      <c r="K414" s="12"/>
      <c r="L414" s="14" t="str">
        <f aca="false">IF(OR($C414="",$D414="",$B414=""),"",IF(COUNTIFS($C$5:$C$1504,$C414,$D$5:$D$1504,$D414,$B$5:$B$1504,$B414)&gt;1,"Takror",""))</f>
        <v/>
      </c>
    </row>
    <row r="415" customFormat="false" ht="15" hidden="false" customHeight="false" outlineLevel="0" collapsed="false">
      <c r="A415" s="8" t="n">
        <v>411</v>
      </c>
      <c r="B415" s="13"/>
      <c r="C415" s="12"/>
      <c r="D415" s="13"/>
      <c r="E415" s="24"/>
      <c r="F415" s="12"/>
      <c r="G415" s="25"/>
      <c r="H415" s="14" t="str">
        <f aca="false">IF(OR($D415="",$B415=""),"",INT(($B415-$D415)/365.25))</f>
        <v/>
      </c>
      <c r="I415" s="25"/>
      <c r="J415" s="12"/>
      <c r="K415" s="12"/>
      <c r="L415" s="14" t="str">
        <f aca="false">IF(OR($C415="",$D415="",$B415=""),"",IF(COUNTIFS($C$5:$C$1504,$C415,$D$5:$D$1504,$D415,$B$5:$B$1504,$B415)&gt;1,"Takror",""))</f>
        <v/>
      </c>
    </row>
    <row r="416" customFormat="false" ht="15" hidden="false" customHeight="false" outlineLevel="0" collapsed="false">
      <c r="A416" s="8" t="n">
        <v>412</v>
      </c>
      <c r="B416" s="13"/>
      <c r="C416" s="12"/>
      <c r="D416" s="13"/>
      <c r="E416" s="24"/>
      <c r="F416" s="12"/>
      <c r="G416" s="25"/>
      <c r="H416" s="14" t="str">
        <f aca="false">IF(OR($D416="",$B416=""),"",INT(($B416-$D416)/365.25))</f>
        <v/>
      </c>
      <c r="I416" s="25"/>
      <c r="J416" s="12"/>
      <c r="K416" s="12"/>
      <c r="L416" s="14" t="str">
        <f aca="false">IF(OR($C416="",$D416="",$B416=""),"",IF(COUNTIFS($C$5:$C$1504,$C416,$D$5:$D$1504,$D416,$B$5:$B$1504,$B416)&gt;1,"Takror",""))</f>
        <v/>
      </c>
    </row>
    <row r="417" customFormat="false" ht="15" hidden="false" customHeight="false" outlineLevel="0" collapsed="false">
      <c r="A417" s="8" t="n">
        <v>413</v>
      </c>
      <c r="B417" s="13"/>
      <c r="C417" s="12"/>
      <c r="D417" s="13"/>
      <c r="E417" s="24"/>
      <c r="F417" s="12"/>
      <c r="G417" s="25"/>
      <c r="H417" s="14" t="str">
        <f aca="false">IF(OR($D417="",$B417=""),"",INT(($B417-$D417)/365.25))</f>
        <v/>
      </c>
      <c r="I417" s="25"/>
      <c r="J417" s="12"/>
      <c r="K417" s="12"/>
      <c r="L417" s="14" t="str">
        <f aca="false">IF(OR($C417="",$D417="",$B417=""),"",IF(COUNTIFS($C$5:$C$1504,$C417,$D$5:$D$1504,$D417,$B$5:$B$1504,$B417)&gt;1,"Takror",""))</f>
        <v/>
      </c>
    </row>
    <row r="418" customFormat="false" ht="15" hidden="false" customHeight="false" outlineLevel="0" collapsed="false">
      <c r="A418" s="8" t="n">
        <v>414</v>
      </c>
      <c r="B418" s="13"/>
      <c r="C418" s="12"/>
      <c r="D418" s="13"/>
      <c r="E418" s="24"/>
      <c r="F418" s="12"/>
      <c r="G418" s="25"/>
      <c r="H418" s="14" t="str">
        <f aca="false">IF(OR($D418="",$B418=""),"",INT(($B418-$D418)/365.25))</f>
        <v/>
      </c>
      <c r="I418" s="25"/>
      <c r="J418" s="12"/>
      <c r="K418" s="12"/>
      <c r="L418" s="14" t="str">
        <f aca="false">IF(OR($C418="",$D418="",$B418=""),"",IF(COUNTIFS($C$5:$C$1504,$C418,$D$5:$D$1504,$D418,$B$5:$B$1504,$B418)&gt;1,"Takror",""))</f>
        <v/>
      </c>
    </row>
    <row r="419" customFormat="false" ht="15" hidden="false" customHeight="false" outlineLevel="0" collapsed="false">
      <c r="A419" s="8" t="n">
        <v>415</v>
      </c>
      <c r="B419" s="13"/>
      <c r="C419" s="12"/>
      <c r="D419" s="13"/>
      <c r="E419" s="24"/>
      <c r="F419" s="12"/>
      <c r="G419" s="25"/>
      <c r="H419" s="14" t="str">
        <f aca="false">IF(OR($D419="",$B419=""),"",INT(($B419-$D419)/365.25))</f>
        <v/>
      </c>
      <c r="I419" s="25"/>
      <c r="J419" s="12"/>
      <c r="K419" s="12"/>
      <c r="L419" s="14" t="str">
        <f aca="false">IF(OR($C419="",$D419="",$B419=""),"",IF(COUNTIFS($C$5:$C$1504,$C419,$D$5:$D$1504,$D419,$B$5:$B$1504,$B419)&gt;1,"Takror",""))</f>
        <v/>
      </c>
    </row>
    <row r="420" customFormat="false" ht="15" hidden="false" customHeight="false" outlineLevel="0" collapsed="false">
      <c r="A420" s="8" t="n">
        <v>416</v>
      </c>
      <c r="B420" s="13"/>
      <c r="C420" s="12"/>
      <c r="D420" s="13"/>
      <c r="E420" s="24"/>
      <c r="F420" s="12"/>
      <c r="G420" s="25"/>
      <c r="H420" s="14" t="str">
        <f aca="false">IF(OR($D420="",$B420=""),"",INT(($B420-$D420)/365.25))</f>
        <v/>
      </c>
      <c r="I420" s="25"/>
      <c r="J420" s="12"/>
      <c r="K420" s="12"/>
      <c r="L420" s="14" t="str">
        <f aca="false">IF(OR($C420="",$D420="",$B420=""),"",IF(COUNTIFS($C$5:$C$1504,$C420,$D$5:$D$1504,$D420,$B$5:$B$1504,$B420)&gt;1,"Takror",""))</f>
        <v/>
      </c>
    </row>
    <row r="421" customFormat="false" ht="15" hidden="false" customHeight="false" outlineLevel="0" collapsed="false">
      <c r="A421" s="8" t="n">
        <v>417</v>
      </c>
      <c r="B421" s="13"/>
      <c r="C421" s="12"/>
      <c r="D421" s="13"/>
      <c r="E421" s="24"/>
      <c r="F421" s="12"/>
      <c r="G421" s="25"/>
      <c r="H421" s="14" t="str">
        <f aca="false">IF(OR($D421="",$B421=""),"",INT(($B421-$D421)/365.25))</f>
        <v/>
      </c>
      <c r="I421" s="25"/>
      <c r="J421" s="12"/>
      <c r="K421" s="12"/>
      <c r="L421" s="14" t="str">
        <f aca="false">IF(OR($C421="",$D421="",$B421=""),"",IF(COUNTIFS($C$5:$C$1504,$C421,$D$5:$D$1504,$D421,$B$5:$B$1504,$B421)&gt;1,"Takror",""))</f>
        <v/>
      </c>
    </row>
    <row r="422" customFormat="false" ht="15" hidden="false" customHeight="false" outlineLevel="0" collapsed="false">
      <c r="A422" s="8" t="n">
        <v>418</v>
      </c>
      <c r="B422" s="13"/>
      <c r="C422" s="12"/>
      <c r="D422" s="13"/>
      <c r="E422" s="24"/>
      <c r="F422" s="12"/>
      <c r="G422" s="25"/>
      <c r="H422" s="14" t="str">
        <f aca="false">IF(OR($D422="",$B422=""),"",INT(($B422-$D422)/365.25))</f>
        <v/>
      </c>
      <c r="I422" s="25"/>
      <c r="J422" s="12"/>
      <c r="K422" s="12"/>
      <c r="L422" s="14" t="str">
        <f aca="false">IF(OR($C422="",$D422="",$B422=""),"",IF(COUNTIFS($C$5:$C$1504,$C422,$D$5:$D$1504,$D422,$B$5:$B$1504,$B422)&gt;1,"Takror",""))</f>
        <v/>
      </c>
    </row>
    <row r="423" customFormat="false" ht="15" hidden="false" customHeight="false" outlineLevel="0" collapsed="false">
      <c r="A423" s="8" t="n">
        <v>419</v>
      </c>
      <c r="B423" s="13"/>
      <c r="C423" s="12"/>
      <c r="D423" s="13"/>
      <c r="E423" s="24"/>
      <c r="F423" s="12"/>
      <c r="G423" s="25"/>
      <c r="H423" s="14" t="str">
        <f aca="false">IF(OR($D423="",$B423=""),"",INT(($B423-$D423)/365.25))</f>
        <v/>
      </c>
      <c r="I423" s="25"/>
      <c r="J423" s="12"/>
      <c r="K423" s="12"/>
      <c r="L423" s="14" t="str">
        <f aca="false">IF(OR($C423="",$D423="",$B423=""),"",IF(COUNTIFS($C$5:$C$1504,$C423,$D$5:$D$1504,$D423,$B$5:$B$1504,$B423)&gt;1,"Takror",""))</f>
        <v/>
      </c>
    </row>
    <row r="424" customFormat="false" ht="15" hidden="false" customHeight="false" outlineLevel="0" collapsed="false">
      <c r="A424" s="8" t="n">
        <v>420</v>
      </c>
      <c r="B424" s="13"/>
      <c r="C424" s="12"/>
      <c r="D424" s="13"/>
      <c r="E424" s="24"/>
      <c r="F424" s="12"/>
      <c r="G424" s="25"/>
      <c r="H424" s="14" t="str">
        <f aca="false">IF(OR($D424="",$B424=""),"",INT(($B424-$D424)/365.25))</f>
        <v/>
      </c>
      <c r="I424" s="25"/>
      <c r="J424" s="12"/>
      <c r="K424" s="12"/>
      <c r="L424" s="14" t="str">
        <f aca="false">IF(OR($C424="",$D424="",$B424=""),"",IF(COUNTIFS($C$5:$C$1504,$C424,$D$5:$D$1504,$D424,$B$5:$B$1504,$B424)&gt;1,"Takror",""))</f>
        <v/>
      </c>
    </row>
    <row r="425" customFormat="false" ht="15" hidden="false" customHeight="false" outlineLevel="0" collapsed="false">
      <c r="A425" s="8" t="n">
        <v>421</v>
      </c>
      <c r="B425" s="13"/>
      <c r="C425" s="12"/>
      <c r="D425" s="13"/>
      <c r="E425" s="24"/>
      <c r="F425" s="12"/>
      <c r="G425" s="25"/>
      <c r="H425" s="14" t="str">
        <f aca="false">IF(OR($D425="",$B425=""),"",INT(($B425-$D425)/365.25))</f>
        <v/>
      </c>
      <c r="I425" s="25"/>
      <c r="J425" s="12"/>
      <c r="K425" s="12"/>
      <c r="L425" s="14" t="str">
        <f aca="false">IF(OR($C425="",$D425="",$B425=""),"",IF(COUNTIFS($C$5:$C$1504,$C425,$D$5:$D$1504,$D425,$B$5:$B$1504,$B425)&gt;1,"Takror",""))</f>
        <v/>
      </c>
    </row>
    <row r="426" customFormat="false" ht="15" hidden="false" customHeight="false" outlineLevel="0" collapsed="false">
      <c r="A426" s="8" t="n">
        <v>422</v>
      </c>
      <c r="B426" s="13"/>
      <c r="C426" s="12"/>
      <c r="D426" s="13"/>
      <c r="E426" s="24"/>
      <c r="F426" s="12"/>
      <c r="G426" s="25"/>
      <c r="H426" s="14" t="str">
        <f aca="false">IF(OR($D426="",$B426=""),"",INT(($B426-$D426)/365.25))</f>
        <v/>
      </c>
      <c r="I426" s="25"/>
      <c r="J426" s="12"/>
      <c r="K426" s="12"/>
      <c r="L426" s="14" t="str">
        <f aca="false">IF(OR($C426="",$D426="",$B426=""),"",IF(COUNTIFS($C$5:$C$1504,$C426,$D$5:$D$1504,$D426,$B$5:$B$1504,$B426)&gt;1,"Takror",""))</f>
        <v/>
      </c>
    </row>
    <row r="427" customFormat="false" ht="15" hidden="false" customHeight="false" outlineLevel="0" collapsed="false">
      <c r="A427" s="8" t="n">
        <v>423</v>
      </c>
      <c r="B427" s="13"/>
      <c r="C427" s="12"/>
      <c r="D427" s="13"/>
      <c r="E427" s="24"/>
      <c r="F427" s="12"/>
      <c r="G427" s="25"/>
      <c r="H427" s="14" t="str">
        <f aca="false">IF(OR($D427="",$B427=""),"",INT(($B427-$D427)/365.25))</f>
        <v/>
      </c>
      <c r="I427" s="25"/>
      <c r="J427" s="12"/>
      <c r="K427" s="12"/>
      <c r="L427" s="14" t="str">
        <f aca="false">IF(OR($C427="",$D427="",$B427=""),"",IF(COUNTIFS($C$5:$C$1504,$C427,$D$5:$D$1504,$D427,$B$5:$B$1504,$B427)&gt;1,"Takror",""))</f>
        <v/>
      </c>
    </row>
    <row r="428" customFormat="false" ht="15" hidden="false" customHeight="false" outlineLevel="0" collapsed="false">
      <c r="A428" s="8" t="n">
        <v>424</v>
      </c>
      <c r="B428" s="13"/>
      <c r="C428" s="12"/>
      <c r="D428" s="13"/>
      <c r="E428" s="24"/>
      <c r="F428" s="12"/>
      <c r="G428" s="25"/>
      <c r="H428" s="14" t="str">
        <f aca="false">IF(OR($D428="",$B428=""),"",INT(($B428-$D428)/365.25))</f>
        <v/>
      </c>
      <c r="I428" s="25"/>
      <c r="J428" s="12"/>
      <c r="K428" s="12"/>
      <c r="L428" s="14" t="str">
        <f aca="false">IF(OR($C428="",$D428="",$B428=""),"",IF(COUNTIFS($C$5:$C$1504,$C428,$D$5:$D$1504,$D428,$B$5:$B$1504,$B428)&gt;1,"Takror",""))</f>
        <v/>
      </c>
    </row>
    <row r="429" customFormat="false" ht="15" hidden="false" customHeight="false" outlineLevel="0" collapsed="false">
      <c r="A429" s="8" t="n">
        <v>425</v>
      </c>
      <c r="B429" s="13"/>
      <c r="C429" s="12"/>
      <c r="D429" s="13"/>
      <c r="E429" s="24"/>
      <c r="F429" s="12"/>
      <c r="G429" s="25"/>
      <c r="H429" s="14" t="str">
        <f aca="false">IF(OR($D429="",$B429=""),"",INT(($B429-$D429)/365.25))</f>
        <v/>
      </c>
      <c r="I429" s="25"/>
      <c r="J429" s="12"/>
      <c r="K429" s="12"/>
      <c r="L429" s="14" t="str">
        <f aca="false">IF(OR($C429="",$D429="",$B429=""),"",IF(COUNTIFS($C$5:$C$1504,$C429,$D$5:$D$1504,$D429,$B$5:$B$1504,$B429)&gt;1,"Takror",""))</f>
        <v/>
      </c>
    </row>
    <row r="430" customFormat="false" ht="15" hidden="false" customHeight="false" outlineLevel="0" collapsed="false">
      <c r="A430" s="8" t="n">
        <v>426</v>
      </c>
      <c r="B430" s="13"/>
      <c r="C430" s="12"/>
      <c r="D430" s="13"/>
      <c r="E430" s="24"/>
      <c r="F430" s="12"/>
      <c r="G430" s="25"/>
      <c r="H430" s="14" t="str">
        <f aca="false">IF(OR($D430="",$B430=""),"",INT(($B430-$D430)/365.25))</f>
        <v/>
      </c>
      <c r="I430" s="25"/>
      <c r="J430" s="12"/>
      <c r="K430" s="12"/>
      <c r="L430" s="14" t="str">
        <f aca="false">IF(OR($C430="",$D430="",$B430=""),"",IF(COUNTIFS($C$5:$C$1504,$C430,$D$5:$D$1504,$D430,$B$5:$B$1504,$B430)&gt;1,"Takror",""))</f>
        <v/>
      </c>
    </row>
    <row r="431" customFormat="false" ht="15" hidden="false" customHeight="false" outlineLevel="0" collapsed="false">
      <c r="A431" s="8" t="n">
        <v>427</v>
      </c>
      <c r="B431" s="13"/>
      <c r="C431" s="12"/>
      <c r="D431" s="13"/>
      <c r="E431" s="24"/>
      <c r="F431" s="12"/>
      <c r="G431" s="25"/>
      <c r="H431" s="14" t="str">
        <f aca="false">IF(OR($D431="",$B431=""),"",INT(($B431-$D431)/365.25))</f>
        <v/>
      </c>
      <c r="I431" s="25"/>
      <c r="J431" s="12"/>
      <c r="K431" s="12"/>
      <c r="L431" s="14" t="str">
        <f aca="false">IF(OR($C431="",$D431="",$B431=""),"",IF(COUNTIFS($C$5:$C$1504,$C431,$D$5:$D$1504,$D431,$B$5:$B$1504,$B431)&gt;1,"Takror",""))</f>
        <v/>
      </c>
    </row>
    <row r="432" customFormat="false" ht="15" hidden="false" customHeight="false" outlineLevel="0" collapsed="false">
      <c r="A432" s="8" t="n">
        <v>428</v>
      </c>
      <c r="B432" s="13"/>
      <c r="C432" s="12"/>
      <c r="D432" s="13"/>
      <c r="E432" s="24"/>
      <c r="F432" s="12"/>
      <c r="G432" s="25"/>
      <c r="H432" s="14" t="str">
        <f aca="false">IF(OR($D432="",$B432=""),"",INT(($B432-$D432)/365.25))</f>
        <v/>
      </c>
      <c r="I432" s="25"/>
      <c r="J432" s="12"/>
      <c r="K432" s="12"/>
      <c r="L432" s="14" t="str">
        <f aca="false">IF(OR($C432="",$D432="",$B432=""),"",IF(COUNTIFS($C$5:$C$1504,$C432,$D$5:$D$1504,$D432,$B$5:$B$1504,$B432)&gt;1,"Takror",""))</f>
        <v/>
      </c>
    </row>
    <row r="433" customFormat="false" ht="15" hidden="false" customHeight="false" outlineLevel="0" collapsed="false">
      <c r="A433" s="8" t="n">
        <v>429</v>
      </c>
      <c r="B433" s="13"/>
      <c r="C433" s="12"/>
      <c r="D433" s="13"/>
      <c r="E433" s="24"/>
      <c r="F433" s="12"/>
      <c r="G433" s="25"/>
      <c r="H433" s="14" t="str">
        <f aca="false">IF(OR($D433="",$B433=""),"",INT(($B433-$D433)/365.25))</f>
        <v/>
      </c>
      <c r="I433" s="25"/>
      <c r="J433" s="12"/>
      <c r="K433" s="12"/>
      <c r="L433" s="14" t="str">
        <f aca="false">IF(OR($C433="",$D433="",$B433=""),"",IF(COUNTIFS($C$5:$C$1504,$C433,$D$5:$D$1504,$D433,$B$5:$B$1504,$B433)&gt;1,"Takror",""))</f>
        <v/>
      </c>
    </row>
    <row r="434" customFormat="false" ht="15" hidden="false" customHeight="false" outlineLevel="0" collapsed="false">
      <c r="A434" s="8" t="n">
        <v>430</v>
      </c>
      <c r="B434" s="13"/>
      <c r="C434" s="12"/>
      <c r="D434" s="13"/>
      <c r="E434" s="24"/>
      <c r="F434" s="12"/>
      <c r="G434" s="25"/>
      <c r="H434" s="14" t="str">
        <f aca="false">IF(OR($D434="",$B434=""),"",INT(($B434-$D434)/365.25))</f>
        <v/>
      </c>
      <c r="I434" s="25"/>
      <c r="J434" s="12"/>
      <c r="K434" s="12"/>
      <c r="L434" s="14" t="str">
        <f aca="false">IF(OR($C434="",$D434="",$B434=""),"",IF(COUNTIFS($C$5:$C$1504,$C434,$D$5:$D$1504,$D434,$B$5:$B$1504,$B434)&gt;1,"Takror",""))</f>
        <v/>
      </c>
    </row>
    <row r="435" customFormat="false" ht="15" hidden="false" customHeight="false" outlineLevel="0" collapsed="false">
      <c r="A435" s="8" t="n">
        <v>431</v>
      </c>
      <c r="B435" s="13"/>
      <c r="C435" s="12"/>
      <c r="D435" s="13"/>
      <c r="E435" s="24"/>
      <c r="F435" s="12"/>
      <c r="G435" s="25"/>
      <c r="H435" s="14" t="str">
        <f aca="false">IF(OR($D435="",$B435=""),"",INT(($B435-$D435)/365.25))</f>
        <v/>
      </c>
      <c r="I435" s="25"/>
      <c r="J435" s="12"/>
      <c r="K435" s="12"/>
      <c r="L435" s="14" t="str">
        <f aca="false">IF(OR($C435="",$D435="",$B435=""),"",IF(COUNTIFS($C$5:$C$1504,$C435,$D$5:$D$1504,$D435,$B$5:$B$1504,$B435)&gt;1,"Takror",""))</f>
        <v/>
      </c>
    </row>
    <row r="436" customFormat="false" ht="15" hidden="false" customHeight="false" outlineLevel="0" collapsed="false">
      <c r="A436" s="8" t="n">
        <v>432</v>
      </c>
      <c r="B436" s="13"/>
      <c r="C436" s="12"/>
      <c r="D436" s="13"/>
      <c r="E436" s="24"/>
      <c r="F436" s="12"/>
      <c r="G436" s="25"/>
      <c r="H436" s="14" t="str">
        <f aca="false">IF(OR($D436="",$B436=""),"",INT(($B436-$D436)/365.25))</f>
        <v/>
      </c>
      <c r="I436" s="25"/>
      <c r="J436" s="12"/>
      <c r="K436" s="12"/>
      <c r="L436" s="14" t="str">
        <f aca="false">IF(OR($C436="",$D436="",$B436=""),"",IF(COUNTIFS($C$5:$C$1504,$C436,$D$5:$D$1504,$D436,$B$5:$B$1504,$B436)&gt;1,"Takror",""))</f>
        <v/>
      </c>
    </row>
    <row r="437" customFormat="false" ht="15" hidden="false" customHeight="false" outlineLevel="0" collapsed="false">
      <c r="A437" s="8" t="n">
        <v>433</v>
      </c>
      <c r="B437" s="13"/>
      <c r="C437" s="12"/>
      <c r="D437" s="13"/>
      <c r="E437" s="24"/>
      <c r="F437" s="12"/>
      <c r="G437" s="25"/>
      <c r="H437" s="14" t="str">
        <f aca="false">IF(OR($D437="",$B437=""),"",INT(($B437-$D437)/365.25))</f>
        <v/>
      </c>
      <c r="I437" s="25"/>
      <c r="J437" s="12"/>
      <c r="K437" s="12"/>
      <c r="L437" s="14" t="str">
        <f aca="false">IF(OR($C437="",$D437="",$B437=""),"",IF(COUNTIFS($C$5:$C$1504,$C437,$D$5:$D$1504,$D437,$B$5:$B$1504,$B437)&gt;1,"Takror",""))</f>
        <v/>
      </c>
    </row>
    <row r="438" customFormat="false" ht="15" hidden="false" customHeight="false" outlineLevel="0" collapsed="false">
      <c r="A438" s="8" t="n">
        <v>434</v>
      </c>
      <c r="B438" s="13"/>
      <c r="C438" s="12"/>
      <c r="D438" s="13"/>
      <c r="E438" s="24"/>
      <c r="F438" s="12"/>
      <c r="G438" s="25"/>
      <c r="H438" s="14" t="str">
        <f aca="false">IF(OR($D438="",$B438=""),"",INT(($B438-$D438)/365.25))</f>
        <v/>
      </c>
      <c r="I438" s="25"/>
      <c r="J438" s="12"/>
      <c r="K438" s="12"/>
      <c r="L438" s="14" t="str">
        <f aca="false">IF(OR($C438="",$D438="",$B438=""),"",IF(COUNTIFS($C$5:$C$1504,$C438,$D$5:$D$1504,$D438,$B$5:$B$1504,$B438)&gt;1,"Takror",""))</f>
        <v/>
      </c>
    </row>
    <row r="439" customFormat="false" ht="15" hidden="false" customHeight="false" outlineLevel="0" collapsed="false">
      <c r="A439" s="8" t="n">
        <v>435</v>
      </c>
      <c r="B439" s="13"/>
      <c r="C439" s="12"/>
      <c r="D439" s="13"/>
      <c r="E439" s="24"/>
      <c r="F439" s="12"/>
      <c r="G439" s="25"/>
      <c r="H439" s="14" t="str">
        <f aca="false">IF(OR($D439="",$B439=""),"",INT(($B439-$D439)/365.25))</f>
        <v/>
      </c>
      <c r="I439" s="25"/>
      <c r="J439" s="12"/>
      <c r="K439" s="12"/>
      <c r="L439" s="14" t="str">
        <f aca="false">IF(OR($C439="",$D439="",$B439=""),"",IF(COUNTIFS($C$5:$C$1504,$C439,$D$5:$D$1504,$D439,$B$5:$B$1504,$B439)&gt;1,"Takror",""))</f>
        <v/>
      </c>
    </row>
    <row r="440" customFormat="false" ht="15" hidden="false" customHeight="false" outlineLevel="0" collapsed="false">
      <c r="A440" s="8" t="n">
        <v>436</v>
      </c>
      <c r="B440" s="13"/>
      <c r="C440" s="12"/>
      <c r="D440" s="13"/>
      <c r="E440" s="24"/>
      <c r="F440" s="12"/>
      <c r="G440" s="25"/>
      <c r="H440" s="14" t="str">
        <f aca="false">IF(OR($D440="",$B440=""),"",INT(($B440-$D440)/365.25))</f>
        <v/>
      </c>
      <c r="I440" s="25"/>
      <c r="J440" s="12"/>
      <c r="K440" s="12"/>
      <c r="L440" s="14" t="str">
        <f aca="false">IF(OR($C440="",$D440="",$B440=""),"",IF(COUNTIFS($C$5:$C$1504,$C440,$D$5:$D$1504,$D440,$B$5:$B$1504,$B440)&gt;1,"Takror",""))</f>
        <v/>
      </c>
    </row>
    <row r="441" customFormat="false" ht="15" hidden="false" customHeight="false" outlineLevel="0" collapsed="false">
      <c r="A441" s="8" t="n">
        <v>437</v>
      </c>
      <c r="B441" s="13"/>
      <c r="C441" s="12"/>
      <c r="D441" s="13"/>
      <c r="E441" s="24"/>
      <c r="F441" s="12"/>
      <c r="G441" s="25"/>
      <c r="H441" s="14" t="str">
        <f aca="false">IF(OR($D441="",$B441=""),"",INT(($B441-$D441)/365.25))</f>
        <v/>
      </c>
      <c r="I441" s="25"/>
      <c r="J441" s="12"/>
      <c r="K441" s="12"/>
      <c r="L441" s="14" t="str">
        <f aca="false">IF(OR($C441="",$D441="",$B441=""),"",IF(COUNTIFS($C$5:$C$1504,$C441,$D$5:$D$1504,$D441,$B$5:$B$1504,$B441)&gt;1,"Takror",""))</f>
        <v/>
      </c>
    </row>
    <row r="442" customFormat="false" ht="15" hidden="false" customHeight="false" outlineLevel="0" collapsed="false">
      <c r="A442" s="8" t="n">
        <v>438</v>
      </c>
      <c r="B442" s="13"/>
      <c r="C442" s="12"/>
      <c r="D442" s="13"/>
      <c r="E442" s="24"/>
      <c r="F442" s="12"/>
      <c r="G442" s="25"/>
      <c r="H442" s="14" t="str">
        <f aca="false">IF(OR($D442="",$B442=""),"",INT(($B442-$D442)/365.25))</f>
        <v/>
      </c>
      <c r="I442" s="25"/>
      <c r="J442" s="12"/>
      <c r="K442" s="12"/>
      <c r="L442" s="14" t="str">
        <f aca="false">IF(OR($C442="",$D442="",$B442=""),"",IF(COUNTIFS($C$5:$C$1504,$C442,$D$5:$D$1504,$D442,$B$5:$B$1504,$B442)&gt;1,"Takror",""))</f>
        <v/>
      </c>
    </row>
    <row r="443" customFormat="false" ht="15" hidden="false" customHeight="false" outlineLevel="0" collapsed="false">
      <c r="A443" s="8" t="n">
        <v>439</v>
      </c>
      <c r="B443" s="13"/>
      <c r="C443" s="12"/>
      <c r="D443" s="13"/>
      <c r="E443" s="24"/>
      <c r="F443" s="12"/>
      <c r="G443" s="25"/>
      <c r="H443" s="14" t="str">
        <f aca="false">IF(OR($D443="",$B443=""),"",INT(($B443-$D443)/365.25))</f>
        <v/>
      </c>
      <c r="I443" s="25"/>
      <c r="J443" s="12"/>
      <c r="K443" s="12"/>
      <c r="L443" s="14" t="str">
        <f aca="false">IF(OR($C443="",$D443="",$B443=""),"",IF(COUNTIFS($C$5:$C$1504,$C443,$D$5:$D$1504,$D443,$B$5:$B$1504,$B443)&gt;1,"Takror",""))</f>
        <v/>
      </c>
    </row>
    <row r="444" customFormat="false" ht="15" hidden="false" customHeight="false" outlineLevel="0" collapsed="false">
      <c r="A444" s="8" t="n">
        <v>440</v>
      </c>
      <c r="B444" s="13"/>
      <c r="C444" s="12"/>
      <c r="D444" s="13"/>
      <c r="E444" s="24"/>
      <c r="F444" s="12"/>
      <c r="G444" s="25"/>
      <c r="H444" s="14" t="str">
        <f aca="false">IF(OR($D444="",$B444=""),"",INT(($B444-$D444)/365.25))</f>
        <v/>
      </c>
      <c r="I444" s="25"/>
      <c r="J444" s="12"/>
      <c r="K444" s="12"/>
      <c r="L444" s="14" t="str">
        <f aca="false">IF(OR($C444="",$D444="",$B444=""),"",IF(COUNTIFS($C$5:$C$1504,$C444,$D$5:$D$1504,$D444,$B$5:$B$1504,$B444)&gt;1,"Takror",""))</f>
        <v/>
      </c>
    </row>
    <row r="445" customFormat="false" ht="15" hidden="false" customHeight="false" outlineLevel="0" collapsed="false">
      <c r="A445" s="8" t="n">
        <v>441</v>
      </c>
      <c r="B445" s="13"/>
      <c r="C445" s="12"/>
      <c r="D445" s="13"/>
      <c r="E445" s="24"/>
      <c r="F445" s="12"/>
      <c r="G445" s="25"/>
      <c r="H445" s="14" t="str">
        <f aca="false">IF(OR($D445="",$B445=""),"",INT(($B445-$D445)/365.25))</f>
        <v/>
      </c>
      <c r="I445" s="25"/>
      <c r="J445" s="12"/>
      <c r="K445" s="12"/>
      <c r="L445" s="14" t="str">
        <f aca="false">IF(OR($C445="",$D445="",$B445=""),"",IF(COUNTIFS($C$5:$C$1504,$C445,$D$5:$D$1504,$D445,$B$5:$B$1504,$B445)&gt;1,"Takror",""))</f>
        <v/>
      </c>
    </row>
    <row r="446" customFormat="false" ht="15" hidden="false" customHeight="false" outlineLevel="0" collapsed="false">
      <c r="A446" s="8" t="n">
        <v>442</v>
      </c>
      <c r="B446" s="13"/>
      <c r="C446" s="12"/>
      <c r="D446" s="13"/>
      <c r="E446" s="24"/>
      <c r="F446" s="12"/>
      <c r="G446" s="25"/>
      <c r="H446" s="14" t="str">
        <f aca="false">IF(OR($D446="",$B446=""),"",INT(($B446-$D446)/365.25))</f>
        <v/>
      </c>
      <c r="I446" s="25"/>
      <c r="J446" s="12"/>
      <c r="K446" s="12"/>
      <c r="L446" s="14" t="str">
        <f aca="false">IF(OR($C446="",$D446="",$B446=""),"",IF(COUNTIFS($C$5:$C$1504,$C446,$D$5:$D$1504,$D446,$B$5:$B$1504,$B446)&gt;1,"Takror",""))</f>
        <v/>
      </c>
    </row>
    <row r="447" customFormat="false" ht="15" hidden="false" customHeight="false" outlineLevel="0" collapsed="false">
      <c r="A447" s="8" t="n">
        <v>443</v>
      </c>
      <c r="B447" s="13"/>
      <c r="C447" s="12"/>
      <c r="D447" s="13"/>
      <c r="E447" s="24"/>
      <c r="F447" s="12"/>
      <c r="G447" s="25"/>
      <c r="H447" s="14" t="str">
        <f aca="false">IF(OR($D447="",$B447=""),"",INT(($B447-$D447)/365.25))</f>
        <v/>
      </c>
      <c r="I447" s="25"/>
      <c r="J447" s="12"/>
      <c r="K447" s="12"/>
      <c r="L447" s="14" t="str">
        <f aca="false">IF(OR($C447="",$D447="",$B447=""),"",IF(COUNTIFS($C$5:$C$1504,$C447,$D$5:$D$1504,$D447,$B$5:$B$1504,$B447)&gt;1,"Takror",""))</f>
        <v/>
      </c>
    </row>
    <row r="448" customFormat="false" ht="15" hidden="false" customHeight="false" outlineLevel="0" collapsed="false">
      <c r="A448" s="8" t="n">
        <v>444</v>
      </c>
      <c r="B448" s="13"/>
      <c r="C448" s="12"/>
      <c r="D448" s="13"/>
      <c r="E448" s="24"/>
      <c r="F448" s="12"/>
      <c r="G448" s="25"/>
      <c r="H448" s="14" t="str">
        <f aca="false">IF(OR($D448="",$B448=""),"",INT(($B448-$D448)/365.25))</f>
        <v/>
      </c>
      <c r="I448" s="25"/>
      <c r="J448" s="12"/>
      <c r="K448" s="12"/>
      <c r="L448" s="14" t="str">
        <f aca="false">IF(OR($C448="",$D448="",$B448=""),"",IF(COUNTIFS($C$5:$C$1504,$C448,$D$5:$D$1504,$D448,$B$5:$B$1504,$B448)&gt;1,"Takror",""))</f>
        <v/>
      </c>
    </row>
    <row r="449" customFormat="false" ht="15" hidden="false" customHeight="false" outlineLevel="0" collapsed="false">
      <c r="A449" s="8" t="n">
        <v>445</v>
      </c>
      <c r="B449" s="13"/>
      <c r="C449" s="12"/>
      <c r="D449" s="13"/>
      <c r="E449" s="24"/>
      <c r="F449" s="12"/>
      <c r="G449" s="25"/>
      <c r="H449" s="14" t="str">
        <f aca="false">IF(OR($D449="",$B449=""),"",INT(($B449-$D449)/365.25))</f>
        <v/>
      </c>
      <c r="I449" s="25"/>
      <c r="J449" s="12"/>
      <c r="K449" s="12"/>
      <c r="L449" s="14" t="str">
        <f aca="false">IF(OR($C449="",$D449="",$B449=""),"",IF(COUNTIFS($C$5:$C$1504,$C449,$D$5:$D$1504,$D449,$B$5:$B$1504,$B449)&gt;1,"Takror",""))</f>
        <v/>
      </c>
    </row>
    <row r="450" customFormat="false" ht="15" hidden="false" customHeight="false" outlineLevel="0" collapsed="false">
      <c r="A450" s="8" t="n">
        <v>446</v>
      </c>
      <c r="B450" s="13"/>
      <c r="C450" s="12"/>
      <c r="D450" s="13"/>
      <c r="E450" s="24"/>
      <c r="F450" s="12"/>
      <c r="G450" s="25"/>
      <c r="H450" s="14" t="str">
        <f aca="false">IF(OR($D450="",$B450=""),"",INT(($B450-$D450)/365.25))</f>
        <v/>
      </c>
      <c r="I450" s="25"/>
      <c r="J450" s="12"/>
      <c r="K450" s="12"/>
      <c r="L450" s="14" t="str">
        <f aca="false">IF(OR($C450="",$D450="",$B450=""),"",IF(COUNTIFS($C$5:$C$1504,$C450,$D$5:$D$1504,$D450,$B$5:$B$1504,$B450)&gt;1,"Takror",""))</f>
        <v/>
      </c>
    </row>
    <row r="451" customFormat="false" ht="15" hidden="false" customHeight="false" outlineLevel="0" collapsed="false">
      <c r="A451" s="8" t="n">
        <v>447</v>
      </c>
      <c r="B451" s="13"/>
      <c r="C451" s="12"/>
      <c r="D451" s="13"/>
      <c r="E451" s="24"/>
      <c r="F451" s="12"/>
      <c r="G451" s="25"/>
      <c r="H451" s="14" t="str">
        <f aca="false">IF(OR($D451="",$B451=""),"",INT(($B451-$D451)/365.25))</f>
        <v/>
      </c>
      <c r="I451" s="25"/>
      <c r="J451" s="12"/>
      <c r="K451" s="12"/>
      <c r="L451" s="14" t="str">
        <f aca="false">IF(OR($C451="",$D451="",$B451=""),"",IF(COUNTIFS($C$5:$C$1504,$C451,$D$5:$D$1504,$D451,$B$5:$B$1504,$B451)&gt;1,"Takror",""))</f>
        <v/>
      </c>
    </row>
    <row r="452" customFormat="false" ht="15" hidden="false" customHeight="false" outlineLevel="0" collapsed="false">
      <c r="A452" s="8" t="n">
        <v>448</v>
      </c>
      <c r="B452" s="13"/>
      <c r="C452" s="12"/>
      <c r="D452" s="13"/>
      <c r="E452" s="24"/>
      <c r="F452" s="12"/>
      <c r="G452" s="25"/>
      <c r="H452" s="14" t="str">
        <f aca="false">IF(OR($D452="",$B452=""),"",INT(($B452-$D452)/365.25))</f>
        <v/>
      </c>
      <c r="I452" s="25"/>
      <c r="J452" s="12"/>
      <c r="K452" s="12"/>
      <c r="L452" s="14" t="str">
        <f aca="false">IF(OR($C452="",$D452="",$B452=""),"",IF(COUNTIFS($C$5:$C$1504,$C452,$D$5:$D$1504,$D452,$B$5:$B$1504,$B452)&gt;1,"Takror",""))</f>
        <v/>
      </c>
    </row>
    <row r="453" customFormat="false" ht="15" hidden="false" customHeight="false" outlineLevel="0" collapsed="false">
      <c r="A453" s="8" t="n">
        <v>449</v>
      </c>
      <c r="B453" s="13"/>
      <c r="C453" s="12"/>
      <c r="D453" s="13"/>
      <c r="E453" s="24"/>
      <c r="F453" s="12"/>
      <c r="G453" s="25"/>
      <c r="H453" s="14" t="str">
        <f aca="false">IF(OR($D453="",$B453=""),"",INT(($B453-$D453)/365.25))</f>
        <v/>
      </c>
      <c r="I453" s="25"/>
      <c r="J453" s="12"/>
      <c r="K453" s="12"/>
      <c r="L453" s="14" t="str">
        <f aca="false">IF(OR($C453="",$D453="",$B453=""),"",IF(COUNTIFS($C$5:$C$1504,$C453,$D$5:$D$1504,$D453,$B$5:$B$1504,$B453)&gt;1,"Takror",""))</f>
        <v/>
      </c>
    </row>
    <row r="454" customFormat="false" ht="15" hidden="false" customHeight="false" outlineLevel="0" collapsed="false">
      <c r="A454" s="8" t="n">
        <v>450</v>
      </c>
      <c r="B454" s="13"/>
      <c r="C454" s="12"/>
      <c r="D454" s="13"/>
      <c r="E454" s="24"/>
      <c r="F454" s="12"/>
      <c r="G454" s="25"/>
      <c r="H454" s="14" t="str">
        <f aca="false">IF(OR($D454="",$B454=""),"",INT(($B454-$D454)/365.25))</f>
        <v/>
      </c>
      <c r="I454" s="25"/>
      <c r="J454" s="12"/>
      <c r="K454" s="12"/>
      <c r="L454" s="14" t="str">
        <f aca="false">IF(OR($C454="",$D454="",$B454=""),"",IF(COUNTIFS($C$5:$C$1504,$C454,$D$5:$D$1504,$D454,$B$5:$B$1504,$B454)&gt;1,"Takror",""))</f>
        <v/>
      </c>
    </row>
    <row r="455" customFormat="false" ht="15" hidden="false" customHeight="false" outlineLevel="0" collapsed="false">
      <c r="A455" s="8" t="n">
        <v>451</v>
      </c>
      <c r="B455" s="13"/>
      <c r="C455" s="12"/>
      <c r="D455" s="13"/>
      <c r="E455" s="24"/>
      <c r="F455" s="12"/>
      <c r="G455" s="25"/>
      <c r="H455" s="14" t="str">
        <f aca="false">IF(OR($D455="",$B455=""),"",INT(($B455-$D455)/365.25))</f>
        <v/>
      </c>
      <c r="I455" s="25"/>
      <c r="J455" s="12"/>
      <c r="K455" s="12"/>
      <c r="L455" s="14" t="str">
        <f aca="false">IF(OR($C455="",$D455="",$B455=""),"",IF(COUNTIFS($C$5:$C$1504,$C455,$D$5:$D$1504,$D455,$B$5:$B$1504,$B455)&gt;1,"Takror",""))</f>
        <v/>
      </c>
    </row>
    <row r="456" customFormat="false" ht="15" hidden="false" customHeight="false" outlineLevel="0" collapsed="false">
      <c r="A456" s="8" t="n">
        <v>452</v>
      </c>
      <c r="B456" s="13"/>
      <c r="C456" s="12"/>
      <c r="D456" s="13"/>
      <c r="E456" s="24"/>
      <c r="F456" s="12"/>
      <c r="G456" s="25"/>
      <c r="H456" s="14" t="str">
        <f aca="false">IF(OR($D456="",$B456=""),"",INT(($B456-$D456)/365.25))</f>
        <v/>
      </c>
      <c r="I456" s="25"/>
      <c r="J456" s="12"/>
      <c r="K456" s="12"/>
      <c r="L456" s="14" t="str">
        <f aca="false">IF(OR($C456="",$D456="",$B456=""),"",IF(COUNTIFS($C$5:$C$1504,$C456,$D$5:$D$1504,$D456,$B$5:$B$1504,$B456)&gt;1,"Takror",""))</f>
        <v/>
      </c>
    </row>
    <row r="457" customFormat="false" ht="15" hidden="false" customHeight="false" outlineLevel="0" collapsed="false">
      <c r="A457" s="8" t="n">
        <v>453</v>
      </c>
      <c r="B457" s="13"/>
      <c r="C457" s="12"/>
      <c r="D457" s="13"/>
      <c r="E457" s="24"/>
      <c r="F457" s="12"/>
      <c r="G457" s="25"/>
      <c r="H457" s="14" t="str">
        <f aca="false">IF(OR($D457="",$B457=""),"",INT(($B457-$D457)/365.25))</f>
        <v/>
      </c>
      <c r="I457" s="25"/>
      <c r="J457" s="12"/>
      <c r="K457" s="12"/>
      <c r="L457" s="14" t="str">
        <f aca="false">IF(OR($C457="",$D457="",$B457=""),"",IF(COUNTIFS($C$5:$C$1504,$C457,$D$5:$D$1504,$D457,$B$5:$B$1504,$B457)&gt;1,"Takror",""))</f>
        <v/>
      </c>
    </row>
    <row r="458" customFormat="false" ht="15" hidden="false" customHeight="false" outlineLevel="0" collapsed="false">
      <c r="A458" s="8" t="n">
        <v>454</v>
      </c>
      <c r="B458" s="13"/>
      <c r="C458" s="12"/>
      <c r="D458" s="13"/>
      <c r="E458" s="24"/>
      <c r="F458" s="12"/>
      <c r="G458" s="25"/>
      <c r="H458" s="14" t="str">
        <f aca="false">IF(OR($D458="",$B458=""),"",INT(($B458-$D458)/365.25))</f>
        <v/>
      </c>
      <c r="I458" s="25"/>
      <c r="J458" s="12"/>
      <c r="K458" s="12"/>
      <c r="L458" s="14" t="str">
        <f aca="false">IF(OR($C458="",$D458="",$B458=""),"",IF(COUNTIFS($C$5:$C$1504,$C458,$D$5:$D$1504,$D458,$B$5:$B$1504,$B458)&gt;1,"Takror",""))</f>
        <v/>
      </c>
    </row>
    <row r="459" customFormat="false" ht="15" hidden="false" customHeight="false" outlineLevel="0" collapsed="false">
      <c r="A459" s="8" t="n">
        <v>455</v>
      </c>
      <c r="B459" s="13"/>
      <c r="C459" s="12"/>
      <c r="D459" s="13"/>
      <c r="E459" s="24"/>
      <c r="F459" s="12"/>
      <c r="G459" s="25"/>
      <c r="H459" s="14" t="str">
        <f aca="false">IF(OR($D459="",$B459=""),"",INT(($B459-$D459)/365.25))</f>
        <v/>
      </c>
      <c r="I459" s="25"/>
      <c r="J459" s="12"/>
      <c r="K459" s="12"/>
      <c r="L459" s="14" t="str">
        <f aca="false">IF(OR($C459="",$D459="",$B459=""),"",IF(COUNTIFS($C$5:$C$1504,$C459,$D$5:$D$1504,$D459,$B$5:$B$1504,$B459)&gt;1,"Takror",""))</f>
        <v/>
      </c>
    </row>
    <row r="460" customFormat="false" ht="15" hidden="false" customHeight="false" outlineLevel="0" collapsed="false">
      <c r="A460" s="8" t="n">
        <v>456</v>
      </c>
      <c r="B460" s="13"/>
      <c r="C460" s="12"/>
      <c r="D460" s="13"/>
      <c r="E460" s="24"/>
      <c r="F460" s="12"/>
      <c r="G460" s="25"/>
      <c r="H460" s="14" t="str">
        <f aca="false">IF(OR($D460="",$B460=""),"",INT(($B460-$D460)/365.25))</f>
        <v/>
      </c>
      <c r="I460" s="25"/>
      <c r="J460" s="12"/>
      <c r="K460" s="12"/>
      <c r="L460" s="14" t="str">
        <f aca="false">IF(OR($C460="",$D460="",$B460=""),"",IF(COUNTIFS($C$5:$C$1504,$C460,$D$5:$D$1504,$D460,$B$5:$B$1504,$B460)&gt;1,"Takror",""))</f>
        <v/>
      </c>
    </row>
    <row r="461" customFormat="false" ht="15" hidden="false" customHeight="false" outlineLevel="0" collapsed="false">
      <c r="A461" s="8" t="n">
        <v>457</v>
      </c>
      <c r="B461" s="13"/>
      <c r="C461" s="12"/>
      <c r="D461" s="13"/>
      <c r="E461" s="24"/>
      <c r="F461" s="12"/>
      <c r="G461" s="25"/>
      <c r="H461" s="14" t="str">
        <f aca="false">IF(OR($D461="",$B461=""),"",INT(($B461-$D461)/365.25))</f>
        <v/>
      </c>
      <c r="I461" s="25"/>
      <c r="J461" s="12"/>
      <c r="K461" s="12"/>
      <c r="L461" s="14" t="str">
        <f aca="false">IF(OR($C461="",$D461="",$B461=""),"",IF(COUNTIFS($C$5:$C$1504,$C461,$D$5:$D$1504,$D461,$B$5:$B$1504,$B461)&gt;1,"Takror",""))</f>
        <v/>
      </c>
    </row>
    <row r="462" customFormat="false" ht="15" hidden="false" customHeight="false" outlineLevel="0" collapsed="false">
      <c r="A462" s="8" t="n">
        <v>458</v>
      </c>
      <c r="B462" s="13"/>
      <c r="C462" s="12"/>
      <c r="D462" s="13"/>
      <c r="E462" s="24"/>
      <c r="F462" s="12"/>
      <c r="G462" s="25"/>
      <c r="H462" s="14" t="str">
        <f aca="false">IF(OR($D462="",$B462=""),"",INT(($B462-$D462)/365.25))</f>
        <v/>
      </c>
      <c r="I462" s="25"/>
      <c r="J462" s="12"/>
      <c r="K462" s="12"/>
      <c r="L462" s="14" t="str">
        <f aca="false">IF(OR($C462="",$D462="",$B462=""),"",IF(COUNTIFS($C$5:$C$1504,$C462,$D$5:$D$1504,$D462,$B$5:$B$1504,$B462)&gt;1,"Takror",""))</f>
        <v/>
      </c>
    </row>
    <row r="463" customFormat="false" ht="15" hidden="false" customHeight="false" outlineLevel="0" collapsed="false">
      <c r="A463" s="8" t="n">
        <v>459</v>
      </c>
      <c r="B463" s="13"/>
      <c r="C463" s="12"/>
      <c r="D463" s="13"/>
      <c r="E463" s="24"/>
      <c r="F463" s="12"/>
      <c r="G463" s="25"/>
      <c r="H463" s="14" t="str">
        <f aca="false">IF(OR($D463="",$B463=""),"",INT(($B463-$D463)/365.25))</f>
        <v/>
      </c>
      <c r="I463" s="25"/>
      <c r="J463" s="12"/>
      <c r="K463" s="12"/>
      <c r="L463" s="14" t="str">
        <f aca="false">IF(OR($C463="",$D463="",$B463=""),"",IF(COUNTIFS($C$5:$C$1504,$C463,$D$5:$D$1504,$D463,$B$5:$B$1504,$B463)&gt;1,"Takror",""))</f>
        <v/>
      </c>
    </row>
    <row r="464" customFormat="false" ht="15" hidden="false" customHeight="false" outlineLevel="0" collapsed="false">
      <c r="A464" s="8" t="n">
        <v>460</v>
      </c>
      <c r="B464" s="13"/>
      <c r="C464" s="12"/>
      <c r="D464" s="13"/>
      <c r="E464" s="24"/>
      <c r="F464" s="12"/>
      <c r="G464" s="25"/>
      <c r="H464" s="14" t="str">
        <f aca="false">IF(OR($D464="",$B464=""),"",INT(($B464-$D464)/365.25))</f>
        <v/>
      </c>
      <c r="I464" s="25"/>
      <c r="J464" s="12"/>
      <c r="K464" s="12"/>
      <c r="L464" s="14" t="str">
        <f aca="false">IF(OR($C464="",$D464="",$B464=""),"",IF(COUNTIFS($C$5:$C$1504,$C464,$D$5:$D$1504,$D464,$B$5:$B$1504,$B464)&gt;1,"Takror",""))</f>
        <v/>
      </c>
    </row>
    <row r="465" customFormat="false" ht="15" hidden="false" customHeight="false" outlineLevel="0" collapsed="false">
      <c r="A465" s="8" t="n">
        <v>461</v>
      </c>
      <c r="B465" s="13"/>
      <c r="C465" s="12"/>
      <c r="D465" s="13"/>
      <c r="E465" s="24"/>
      <c r="F465" s="12"/>
      <c r="G465" s="25"/>
      <c r="H465" s="14" t="str">
        <f aca="false">IF(OR($D465="",$B465=""),"",INT(($B465-$D465)/365.25))</f>
        <v/>
      </c>
      <c r="I465" s="25"/>
      <c r="J465" s="12"/>
      <c r="K465" s="12"/>
      <c r="L465" s="14" t="str">
        <f aca="false">IF(OR($C465="",$D465="",$B465=""),"",IF(COUNTIFS($C$5:$C$1504,$C465,$D$5:$D$1504,$D465,$B$5:$B$1504,$B465)&gt;1,"Takror",""))</f>
        <v/>
      </c>
    </row>
    <row r="466" customFormat="false" ht="15" hidden="false" customHeight="false" outlineLevel="0" collapsed="false">
      <c r="A466" s="8" t="n">
        <v>462</v>
      </c>
      <c r="B466" s="13"/>
      <c r="C466" s="12"/>
      <c r="D466" s="13"/>
      <c r="E466" s="24"/>
      <c r="F466" s="12"/>
      <c r="G466" s="25"/>
      <c r="H466" s="14" t="str">
        <f aca="false">IF(OR($D466="",$B466=""),"",INT(($B466-$D466)/365.25))</f>
        <v/>
      </c>
      <c r="I466" s="25"/>
      <c r="J466" s="12"/>
      <c r="K466" s="12"/>
      <c r="L466" s="14" t="str">
        <f aca="false">IF(OR($C466="",$D466="",$B466=""),"",IF(COUNTIFS($C$5:$C$1504,$C466,$D$5:$D$1504,$D466,$B$5:$B$1504,$B466)&gt;1,"Takror",""))</f>
        <v/>
      </c>
    </row>
    <row r="467" customFormat="false" ht="15" hidden="false" customHeight="false" outlineLevel="0" collapsed="false">
      <c r="A467" s="8" t="n">
        <v>463</v>
      </c>
      <c r="B467" s="13"/>
      <c r="C467" s="12"/>
      <c r="D467" s="13"/>
      <c r="E467" s="24"/>
      <c r="F467" s="12"/>
      <c r="G467" s="25"/>
      <c r="H467" s="14" t="str">
        <f aca="false">IF(OR($D467="",$B467=""),"",INT(($B467-$D467)/365.25))</f>
        <v/>
      </c>
      <c r="I467" s="25"/>
      <c r="J467" s="12"/>
      <c r="K467" s="12"/>
      <c r="L467" s="14" t="str">
        <f aca="false">IF(OR($C467="",$D467="",$B467=""),"",IF(COUNTIFS($C$5:$C$1504,$C467,$D$5:$D$1504,$D467,$B$5:$B$1504,$B467)&gt;1,"Takror",""))</f>
        <v/>
      </c>
    </row>
    <row r="468" customFormat="false" ht="15" hidden="false" customHeight="false" outlineLevel="0" collapsed="false">
      <c r="A468" s="8" t="n">
        <v>464</v>
      </c>
      <c r="B468" s="13"/>
      <c r="C468" s="12"/>
      <c r="D468" s="13"/>
      <c r="E468" s="24"/>
      <c r="F468" s="12"/>
      <c r="G468" s="25"/>
      <c r="H468" s="14" t="str">
        <f aca="false">IF(OR($D468="",$B468=""),"",INT(($B468-$D468)/365.25))</f>
        <v/>
      </c>
      <c r="I468" s="25"/>
      <c r="J468" s="12"/>
      <c r="K468" s="12"/>
      <c r="L468" s="14" t="str">
        <f aca="false">IF(OR($C468="",$D468="",$B468=""),"",IF(COUNTIFS($C$5:$C$1504,$C468,$D$5:$D$1504,$D468,$B$5:$B$1504,$B468)&gt;1,"Takror",""))</f>
        <v/>
      </c>
    </row>
    <row r="469" customFormat="false" ht="15" hidden="false" customHeight="false" outlineLevel="0" collapsed="false">
      <c r="A469" s="8" t="n">
        <v>465</v>
      </c>
      <c r="B469" s="13"/>
      <c r="C469" s="12"/>
      <c r="D469" s="13"/>
      <c r="E469" s="24"/>
      <c r="F469" s="12"/>
      <c r="G469" s="25"/>
      <c r="H469" s="14" t="str">
        <f aca="false">IF(OR($D469="",$B469=""),"",INT(($B469-$D469)/365.25))</f>
        <v/>
      </c>
      <c r="I469" s="25"/>
      <c r="J469" s="12"/>
      <c r="K469" s="12"/>
      <c r="L469" s="14" t="str">
        <f aca="false">IF(OR($C469="",$D469="",$B469=""),"",IF(COUNTIFS($C$5:$C$1504,$C469,$D$5:$D$1504,$D469,$B$5:$B$1504,$B469)&gt;1,"Takror",""))</f>
        <v/>
      </c>
    </row>
    <row r="470" customFormat="false" ht="15" hidden="false" customHeight="false" outlineLevel="0" collapsed="false">
      <c r="A470" s="8" t="n">
        <v>466</v>
      </c>
      <c r="B470" s="13"/>
      <c r="C470" s="12"/>
      <c r="D470" s="13"/>
      <c r="E470" s="24"/>
      <c r="F470" s="12"/>
      <c r="G470" s="25"/>
      <c r="H470" s="14" t="str">
        <f aca="false">IF(OR($D470="",$B470=""),"",INT(($B470-$D470)/365.25))</f>
        <v/>
      </c>
      <c r="I470" s="25"/>
      <c r="J470" s="12"/>
      <c r="K470" s="12"/>
      <c r="L470" s="14" t="str">
        <f aca="false">IF(OR($C470="",$D470="",$B470=""),"",IF(COUNTIFS($C$5:$C$1504,$C470,$D$5:$D$1504,$D470,$B$5:$B$1504,$B470)&gt;1,"Takror",""))</f>
        <v/>
      </c>
    </row>
    <row r="471" customFormat="false" ht="15" hidden="false" customHeight="false" outlineLevel="0" collapsed="false">
      <c r="A471" s="8" t="n">
        <v>467</v>
      </c>
      <c r="B471" s="13"/>
      <c r="C471" s="12"/>
      <c r="D471" s="13"/>
      <c r="E471" s="24"/>
      <c r="F471" s="12"/>
      <c r="G471" s="25"/>
      <c r="H471" s="14" t="str">
        <f aca="false">IF(OR($D471="",$B471=""),"",INT(($B471-$D471)/365.25))</f>
        <v/>
      </c>
      <c r="I471" s="25"/>
      <c r="J471" s="12"/>
      <c r="K471" s="12"/>
      <c r="L471" s="14" t="str">
        <f aca="false">IF(OR($C471="",$D471="",$B471=""),"",IF(COUNTIFS($C$5:$C$1504,$C471,$D$5:$D$1504,$D471,$B$5:$B$1504,$B471)&gt;1,"Takror",""))</f>
        <v/>
      </c>
    </row>
    <row r="472" customFormat="false" ht="15" hidden="false" customHeight="false" outlineLevel="0" collapsed="false">
      <c r="A472" s="8" t="n">
        <v>468</v>
      </c>
      <c r="B472" s="13"/>
      <c r="C472" s="12"/>
      <c r="D472" s="13"/>
      <c r="E472" s="24"/>
      <c r="F472" s="12"/>
      <c r="G472" s="25"/>
      <c r="H472" s="14" t="str">
        <f aca="false">IF(OR($D472="",$B472=""),"",INT(($B472-$D472)/365.25))</f>
        <v/>
      </c>
      <c r="I472" s="25"/>
      <c r="J472" s="12"/>
      <c r="K472" s="12"/>
      <c r="L472" s="14" t="str">
        <f aca="false">IF(OR($C472="",$D472="",$B472=""),"",IF(COUNTIFS($C$5:$C$1504,$C472,$D$5:$D$1504,$D472,$B$5:$B$1504,$B472)&gt;1,"Takror",""))</f>
        <v/>
      </c>
    </row>
    <row r="473" customFormat="false" ht="15" hidden="false" customHeight="false" outlineLevel="0" collapsed="false">
      <c r="A473" s="8" t="n">
        <v>469</v>
      </c>
      <c r="B473" s="13"/>
      <c r="C473" s="12"/>
      <c r="D473" s="13"/>
      <c r="E473" s="24"/>
      <c r="F473" s="12"/>
      <c r="G473" s="25"/>
      <c r="H473" s="14" t="str">
        <f aca="false">IF(OR($D473="",$B473=""),"",INT(($B473-$D473)/365.25))</f>
        <v/>
      </c>
      <c r="I473" s="25"/>
      <c r="J473" s="12"/>
      <c r="K473" s="12"/>
      <c r="L473" s="14" t="str">
        <f aca="false">IF(OR($C473="",$D473="",$B473=""),"",IF(COUNTIFS($C$5:$C$1504,$C473,$D$5:$D$1504,$D473,$B$5:$B$1504,$B473)&gt;1,"Takror",""))</f>
        <v/>
      </c>
    </row>
    <row r="474" customFormat="false" ht="15" hidden="false" customHeight="false" outlineLevel="0" collapsed="false">
      <c r="A474" s="8" t="n">
        <v>470</v>
      </c>
      <c r="B474" s="13"/>
      <c r="C474" s="12"/>
      <c r="D474" s="13"/>
      <c r="E474" s="24"/>
      <c r="F474" s="12"/>
      <c r="G474" s="25"/>
      <c r="H474" s="14" t="str">
        <f aca="false">IF(OR($D474="",$B474=""),"",INT(($B474-$D474)/365.25))</f>
        <v/>
      </c>
      <c r="I474" s="25"/>
      <c r="J474" s="12"/>
      <c r="K474" s="12"/>
      <c r="L474" s="14" t="str">
        <f aca="false">IF(OR($C474="",$D474="",$B474=""),"",IF(COUNTIFS($C$5:$C$1504,$C474,$D$5:$D$1504,$D474,$B$5:$B$1504,$B474)&gt;1,"Takror",""))</f>
        <v/>
      </c>
    </row>
    <row r="475" customFormat="false" ht="15" hidden="false" customHeight="false" outlineLevel="0" collapsed="false">
      <c r="A475" s="8" t="n">
        <v>471</v>
      </c>
      <c r="B475" s="13"/>
      <c r="C475" s="12"/>
      <c r="D475" s="13"/>
      <c r="E475" s="24"/>
      <c r="F475" s="12"/>
      <c r="G475" s="25"/>
      <c r="H475" s="14" t="str">
        <f aca="false">IF(OR($D475="",$B475=""),"",INT(($B475-$D475)/365.25))</f>
        <v/>
      </c>
      <c r="I475" s="25"/>
      <c r="J475" s="12"/>
      <c r="K475" s="12"/>
      <c r="L475" s="14" t="str">
        <f aca="false">IF(OR($C475="",$D475="",$B475=""),"",IF(COUNTIFS($C$5:$C$1504,$C475,$D$5:$D$1504,$D475,$B$5:$B$1504,$B475)&gt;1,"Takror",""))</f>
        <v/>
      </c>
    </row>
    <row r="476" customFormat="false" ht="15" hidden="false" customHeight="false" outlineLevel="0" collapsed="false">
      <c r="A476" s="8" t="n">
        <v>472</v>
      </c>
      <c r="B476" s="13"/>
      <c r="C476" s="12"/>
      <c r="D476" s="13"/>
      <c r="E476" s="24"/>
      <c r="F476" s="12"/>
      <c r="G476" s="25"/>
      <c r="H476" s="14" t="str">
        <f aca="false">IF(OR($D476="",$B476=""),"",INT(($B476-$D476)/365.25))</f>
        <v/>
      </c>
      <c r="I476" s="25"/>
      <c r="J476" s="12"/>
      <c r="K476" s="12"/>
      <c r="L476" s="14" t="str">
        <f aca="false">IF(OR($C476="",$D476="",$B476=""),"",IF(COUNTIFS($C$5:$C$1504,$C476,$D$5:$D$1504,$D476,$B$5:$B$1504,$B476)&gt;1,"Takror",""))</f>
        <v/>
      </c>
    </row>
    <row r="477" customFormat="false" ht="15" hidden="false" customHeight="false" outlineLevel="0" collapsed="false">
      <c r="A477" s="8" t="n">
        <v>473</v>
      </c>
      <c r="B477" s="13"/>
      <c r="C477" s="12"/>
      <c r="D477" s="13"/>
      <c r="E477" s="24"/>
      <c r="F477" s="12"/>
      <c r="G477" s="25"/>
      <c r="H477" s="14" t="str">
        <f aca="false">IF(OR($D477="",$B477=""),"",INT(($B477-$D477)/365.25))</f>
        <v/>
      </c>
      <c r="I477" s="25"/>
      <c r="J477" s="12"/>
      <c r="K477" s="12"/>
      <c r="L477" s="14" t="str">
        <f aca="false">IF(OR($C477="",$D477="",$B477=""),"",IF(COUNTIFS($C$5:$C$1504,$C477,$D$5:$D$1504,$D477,$B$5:$B$1504,$B477)&gt;1,"Takror",""))</f>
        <v/>
      </c>
    </row>
    <row r="478" customFormat="false" ht="15" hidden="false" customHeight="false" outlineLevel="0" collapsed="false">
      <c r="A478" s="8" t="n">
        <v>474</v>
      </c>
      <c r="B478" s="13"/>
      <c r="C478" s="12"/>
      <c r="D478" s="13"/>
      <c r="E478" s="24"/>
      <c r="F478" s="12"/>
      <c r="G478" s="25"/>
      <c r="H478" s="14" t="str">
        <f aca="false">IF(OR($D478="",$B478=""),"",INT(($B478-$D478)/365.25))</f>
        <v/>
      </c>
      <c r="I478" s="25"/>
      <c r="J478" s="12"/>
      <c r="K478" s="12"/>
      <c r="L478" s="14" t="str">
        <f aca="false">IF(OR($C478="",$D478="",$B478=""),"",IF(COUNTIFS($C$5:$C$1504,$C478,$D$5:$D$1504,$D478,$B$5:$B$1504,$B478)&gt;1,"Takror",""))</f>
        <v/>
      </c>
    </row>
    <row r="479" customFormat="false" ht="15" hidden="false" customHeight="false" outlineLevel="0" collapsed="false">
      <c r="A479" s="8" t="n">
        <v>475</v>
      </c>
      <c r="B479" s="13"/>
      <c r="C479" s="12"/>
      <c r="D479" s="13"/>
      <c r="E479" s="24"/>
      <c r="F479" s="12"/>
      <c r="G479" s="25"/>
      <c r="H479" s="14" t="str">
        <f aca="false">IF(OR($D479="",$B479=""),"",INT(($B479-$D479)/365.25))</f>
        <v/>
      </c>
      <c r="I479" s="25"/>
      <c r="J479" s="12"/>
      <c r="K479" s="12"/>
      <c r="L479" s="14" t="str">
        <f aca="false">IF(OR($C479="",$D479="",$B479=""),"",IF(COUNTIFS($C$5:$C$1504,$C479,$D$5:$D$1504,$D479,$B$5:$B$1504,$B479)&gt;1,"Takror",""))</f>
        <v/>
      </c>
    </row>
    <row r="480" customFormat="false" ht="15" hidden="false" customHeight="false" outlineLevel="0" collapsed="false">
      <c r="A480" s="8" t="n">
        <v>476</v>
      </c>
      <c r="B480" s="13"/>
      <c r="C480" s="12"/>
      <c r="D480" s="13"/>
      <c r="E480" s="24"/>
      <c r="F480" s="12"/>
      <c r="G480" s="25"/>
      <c r="H480" s="14" t="str">
        <f aca="false">IF(OR($D480="",$B480=""),"",INT(($B480-$D480)/365.25))</f>
        <v/>
      </c>
      <c r="I480" s="25"/>
      <c r="J480" s="12"/>
      <c r="K480" s="12"/>
      <c r="L480" s="14" t="str">
        <f aca="false">IF(OR($C480="",$D480="",$B480=""),"",IF(COUNTIFS($C$5:$C$1504,$C480,$D$5:$D$1504,$D480,$B$5:$B$1504,$B480)&gt;1,"Takror",""))</f>
        <v/>
      </c>
    </row>
    <row r="481" customFormat="false" ht="15" hidden="false" customHeight="false" outlineLevel="0" collapsed="false">
      <c r="A481" s="8" t="n">
        <v>477</v>
      </c>
      <c r="B481" s="13"/>
      <c r="C481" s="12"/>
      <c r="D481" s="13"/>
      <c r="E481" s="24"/>
      <c r="F481" s="12"/>
      <c r="G481" s="25"/>
      <c r="H481" s="14" t="str">
        <f aca="false">IF(OR($D481="",$B481=""),"",INT(($B481-$D481)/365.25))</f>
        <v/>
      </c>
      <c r="I481" s="25"/>
      <c r="J481" s="12"/>
      <c r="K481" s="12"/>
      <c r="L481" s="14" t="str">
        <f aca="false">IF(OR($C481="",$D481="",$B481=""),"",IF(COUNTIFS($C$5:$C$1504,$C481,$D$5:$D$1504,$D481,$B$5:$B$1504,$B481)&gt;1,"Takror",""))</f>
        <v/>
      </c>
    </row>
    <row r="482" customFormat="false" ht="15" hidden="false" customHeight="false" outlineLevel="0" collapsed="false">
      <c r="A482" s="8" t="n">
        <v>478</v>
      </c>
      <c r="B482" s="13"/>
      <c r="C482" s="12"/>
      <c r="D482" s="13"/>
      <c r="E482" s="24"/>
      <c r="F482" s="12"/>
      <c r="G482" s="25"/>
      <c r="H482" s="14" t="str">
        <f aca="false">IF(OR($D482="",$B482=""),"",INT(($B482-$D482)/365.25))</f>
        <v/>
      </c>
      <c r="I482" s="25"/>
      <c r="J482" s="12"/>
      <c r="K482" s="12"/>
      <c r="L482" s="14" t="str">
        <f aca="false">IF(OR($C482="",$D482="",$B482=""),"",IF(COUNTIFS($C$5:$C$1504,$C482,$D$5:$D$1504,$D482,$B$5:$B$1504,$B482)&gt;1,"Takror",""))</f>
        <v/>
      </c>
    </row>
    <row r="483" customFormat="false" ht="15" hidden="false" customHeight="false" outlineLevel="0" collapsed="false">
      <c r="A483" s="8" t="n">
        <v>479</v>
      </c>
      <c r="B483" s="13"/>
      <c r="C483" s="12"/>
      <c r="D483" s="13"/>
      <c r="E483" s="24"/>
      <c r="F483" s="12"/>
      <c r="G483" s="25"/>
      <c r="H483" s="14" t="str">
        <f aca="false">IF(OR($D483="",$B483=""),"",INT(($B483-$D483)/365.25))</f>
        <v/>
      </c>
      <c r="I483" s="25"/>
      <c r="J483" s="12"/>
      <c r="K483" s="12"/>
      <c r="L483" s="14" t="str">
        <f aca="false">IF(OR($C483="",$D483="",$B483=""),"",IF(COUNTIFS($C$5:$C$1504,$C483,$D$5:$D$1504,$D483,$B$5:$B$1504,$B483)&gt;1,"Takror",""))</f>
        <v/>
      </c>
    </row>
    <row r="484" customFormat="false" ht="15" hidden="false" customHeight="false" outlineLevel="0" collapsed="false">
      <c r="A484" s="8" t="n">
        <v>480</v>
      </c>
      <c r="B484" s="13"/>
      <c r="C484" s="12"/>
      <c r="D484" s="13"/>
      <c r="E484" s="24"/>
      <c r="F484" s="12"/>
      <c r="G484" s="25"/>
      <c r="H484" s="14" t="str">
        <f aca="false">IF(OR($D484="",$B484=""),"",INT(($B484-$D484)/365.25))</f>
        <v/>
      </c>
      <c r="I484" s="25"/>
      <c r="J484" s="12"/>
      <c r="K484" s="12"/>
      <c r="L484" s="14" t="str">
        <f aca="false">IF(OR($C484="",$D484="",$B484=""),"",IF(COUNTIFS($C$5:$C$1504,$C484,$D$5:$D$1504,$D484,$B$5:$B$1504,$B484)&gt;1,"Takror",""))</f>
        <v/>
      </c>
    </row>
    <row r="485" customFormat="false" ht="15" hidden="false" customHeight="false" outlineLevel="0" collapsed="false">
      <c r="A485" s="8" t="n">
        <v>481</v>
      </c>
      <c r="B485" s="13"/>
      <c r="C485" s="12"/>
      <c r="D485" s="13"/>
      <c r="E485" s="24"/>
      <c r="F485" s="12"/>
      <c r="G485" s="25"/>
      <c r="H485" s="14" t="str">
        <f aca="false">IF(OR($D485="",$B485=""),"",INT(($B485-$D485)/365.25))</f>
        <v/>
      </c>
      <c r="I485" s="25"/>
      <c r="J485" s="12"/>
      <c r="K485" s="12"/>
      <c r="L485" s="14" t="str">
        <f aca="false">IF(OR($C485="",$D485="",$B485=""),"",IF(COUNTIFS($C$5:$C$1504,$C485,$D$5:$D$1504,$D485,$B$5:$B$1504,$B485)&gt;1,"Takror",""))</f>
        <v/>
      </c>
    </row>
    <row r="486" customFormat="false" ht="15" hidden="false" customHeight="false" outlineLevel="0" collapsed="false">
      <c r="A486" s="8" t="n">
        <v>482</v>
      </c>
      <c r="B486" s="13"/>
      <c r="C486" s="12"/>
      <c r="D486" s="13"/>
      <c r="E486" s="24"/>
      <c r="F486" s="12"/>
      <c r="G486" s="25"/>
      <c r="H486" s="14" t="str">
        <f aca="false">IF(OR($D486="",$B486=""),"",INT(($B486-$D486)/365.25))</f>
        <v/>
      </c>
      <c r="I486" s="25"/>
      <c r="J486" s="12"/>
      <c r="K486" s="12"/>
      <c r="L486" s="14" t="str">
        <f aca="false">IF(OR($C486="",$D486="",$B486=""),"",IF(COUNTIFS($C$5:$C$1504,$C486,$D$5:$D$1504,$D486,$B$5:$B$1504,$B486)&gt;1,"Takror",""))</f>
        <v/>
      </c>
    </row>
    <row r="487" customFormat="false" ht="15" hidden="false" customHeight="false" outlineLevel="0" collapsed="false">
      <c r="A487" s="8" t="n">
        <v>483</v>
      </c>
      <c r="B487" s="13"/>
      <c r="C487" s="12"/>
      <c r="D487" s="13"/>
      <c r="E487" s="24"/>
      <c r="F487" s="12"/>
      <c r="G487" s="25"/>
      <c r="H487" s="14" t="str">
        <f aca="false">IF(OR($D487="",$B487=""),"",INT(($B487-$D487)/365.25))</f>
        <v/>
      </c>
      <c r="I487" s="25"/>
      <c r="J487" s="12"/>
      <c r="K487" s="12"/>
      <c r="L487" s="14" t="str">
        <f aca="false">IF(OR($C487="",$D487="",$B487=""),"",IF(COUNTIFS($C$5:$C$1504,$C487,$D$5:$D$1504,$D487,$B$5:$B$1504,$B487)&gt;1,"Takror",""))</f>
        <v/>
      </c>
    </row>
    <row r="488" customFormat="false" ht="15" hidden="false" customHeight="false" outlineLevel="0" collapsed="false">
      <c r="A488" s="8" t="n">
        <v>484</v>
      </c>
      <c r="B488" s="13"/>
      <c r="C488" s="12"/>
      <c r="D488" s="13"/>
      <c r="E488" s="24"/>
      <c r="F488" s="12"/>
      <c r="G488" s="25"/>
      <c r="H488" s="14" t="str">
        <f aca="false">IF(OR($D488="",$B488=""),"",INT(($B488-$D488)/365.25))</f>
        <v/>
      </c>
      <c r="I488" s="25"/>
      <c r="J488" s="12"/>
      <c r="K488" s="12"/>
      <c r="L488" s="14" t="str">
        <f aca="false">IF(OR($C488="",$D488="",$B488=""),"",IF(COUNTIFS($C$5:$C$1504,$C488,$D$5:$D$1504,$D488,$B$5:$B$1504,$B488)&gt;1,"Takror",""))</f>
        <v/>
      </c>
    </row>
    <row r="489" customFormat="false" ht="15" hidden="false" customHeight="false" outlineLevel="0" collapsed="false">
      <c r="A489" s="8" t="n">
        <v>485</v>
      </c>
      <c r="B489" s="13"/>
      <c r="C489" s="12"/>
      <c r="D489" s="13"/>
      <c r="E489" s="24"/>
      <c r="F489" s="12"/>
      <c r="G489" s="25"/>
      <c r="H489" s="14" t="str">
        <f aca="false">IF(OR($D489="",$B489=""),"",INT(($B489-$D489)/365.25))</f>
        <v/>
      </c>
      <c r="I489" s="25"/>
      <c r="J489" s="12"/>
      <c r="K489" s="12"/>
      <c r="L489" s="14" t="str">
        <f aca="false">IF(OR($C489="",$D489="",$B489=""),"",IF(COUNTIFS($C$5:$C$1504,$C489,$D$5:$D$1504,$D489,$B$5:$B$1504,$B489)&gt;1,"Takror",""))</f>
        <v/>
      </c>
    </row>
    <row r="490" customFormat="false" ht="15" hidden="false" customHeight="false" outlineLevel="0" collapsed="false">
      <c r="A490" s="8" t="n">
        <v>486</v>
      </c>
      <c r="B490" s="13"/>
      <c r="C490" s="12"/>
      <c r="D490" s="13"/>
      <c r="E490" s="24"/>
      <c r="F490" s="12"/>
      <c r="G490" s="25"/>
      <c r="H490" s="14" t="str">
        <f aca="false">IF(OR($D490="",$B490=""),"",INT(($B490-$D490)/365.25))</f>
        <v/>
      </c>
      <c r="I490" s="25"/>
      <c r="J490" s="12"/>
      <c r="K490" s="12"/>
      <c r="L490" s="14" t="str">
        <f aca="false">IF(OR($C490="",$D490="",$B490=""),"",IF(COUNTIFS($C$5:$C$1504,$C490,$D$5:$D$1504,$D490,$B$5:$B$1504,$B490)&gt;1,"Takror",""))</f>
        <v/>
      </c>
    </row>
    <row r="491" customFormat="false" ht="15" hidden="false" customHeight="false" outlineLevel="0" collapsed="false">
      <c r="A491" s="8" t="n">
        <v>487</v>
      </c>
      <c r="B491" s="13"/>
      <c r="C491" s="12"/>
      <c r="D491" s="13"/>
      <c r="E491" s="24"/>
      <c r="F491" s="12"/>
      <c r="G491" s="25"/>
      <c r="H491" s="14" t="str">
        <f aca="false">IF(OR($D491="",$B491=""),"",INT(($B491-$D491)/365.25))</f>
        <v/>
      </c>
      <c r="I491" s="25"/>
      <c r="J491" s="12"/>
      <c r="K491" s="12"/>
      <c r="L491" s="14" t="str">
        <f aca="false">IF(OR($C491="",$D491="",$B491=""),"",IF(COUNTIFS($C$5:$C$1504,$C491,$D$5:$D$1504,$D491,$B$5:$B$1504,$B491)&gt;1,"Takror",""))</f>
        <v/>
      </c>
    </row>
    <row r="492" customFormat="false" ht="15" hidden="false" customHeight="false" outlineLevel="0" collapsed="false">
      <c r="A492" s="8" t="n">
        <v>488</v>
      </c>
      <c r="B492" s="13"/>
      <c r="C492" s="12"/>
      <c r="D492" s="13"/>
      <c r="E492" s="24"/>
      <c r="F492" s="12"/>
      <c r="G492" s="25"/>
      <c r="H492" s="14" t="str">
        <f aca="false">IF(OR($D492="",$B492=""),"",INT(($B492-$D492)/365.25))</f>
        <v/>
      </c>
      <c r="I492" s="25"/>
      <c r="J492" s="12"/>
      <c r="K492" s="12"/>
      <c r="L492" s="14" t="str">
        <f aca="false">IF(OR($C492="",$D492="",$B492=""),"",IF(COUNTIFS($C$5:$C$1504,$C492,$D$5:$D$1504,$D492,$B$5:$B$1504,$B492)&gt;1,"Takror",""))</f>
        <v/>
      </c>
    </row>
    <row r="493" customFormat="false" ht="15" hidden="false" customHeight="false" outlineLevel="0" collapsed="false">
      <c r="A493" s="8" t="n">
        <v>489</v>
      </c>
      <c r="B493" s="13"/>
      <c r="C493" s="12"/>
      <c r="D493" s="13"/>
      <c r="E493" s="24"/>
      <c r="F493" s="12"/>
      <c r="G493" s="25"/>
      <c r="H493" s="14" t="str">
        <f aca="false">IF(OR($D493="",$B493=""),"",INT(($B493-$D493)/365.25))</f>
        <v/>
      </c>
      <c r="I493" s="25"/>
      <c r="J493" s="12"/>
      <c r="K493" s="12"/>
      <c r="L493" s="14" t="str">
        <f aca="false">IF(OR($C493="",$D493="",$B493=""),"",IF(COUNTIFS($C$5:$C$1504,$C493,$D$5:$D$1504,$D493,$B$5:$B$1504,$B493)&gt;1,"Takror",""))</f>
        <v/>
      </c>
    </row>
    <row r="494" customFormat="false" ht="15" hidden="false" customHeight="false" outlineLevel="0" collapsed="false">
      <c r="A494" s="8" t="n">
        <v>490</v>
      </c>
      <c r="B494" s="13"/>
      <c r="C494" s="12"/>
      <c r="D494" s="13"/>
      <c r="E494" s="24"/>
      <c r="F494" s="12"/>
      <c r="G494" s="25"/>
      <c r="H494" s="14" t="str">
        <f aca="false">IF(OR($D494="",$B494=""),"",INT(($B494-$D494)/365.25))</f>
        <v/>
      </c>
      <c r="I494" s="25"/>
      <c r="J494" s="12"/>
      <c r="K494" s="12"/>
      <c r="L494" s="14" t="str">
        <f aca="false">IF(OR($C494="",$D494="",$B494=""),"",IF(COUNTIFS($C$5:$C$1504,$C494,$D$5:$D$1504,$D494,$B$5:$B$1504,$B494)&gt;1,"Takror",""))</f>
        <v/>
      </c>
    </row>
    <row r="495" customFormat="false" ht="15" hidden="false" customHeight="false" outlineLevel="0" collapsed="false">
      <c r="A495" s="8" t="n">
        <v>491</v>
      </c>
      <c r="B495" s="13"/>
      <c r="C495" s="12"/>
      <c r="D495" s="13"/>
      <c r="E495" s="24"/>
      <c r="F495" s="12"/>
      <c r="G495" s="25"/>
      <c r="H495" s="14" t="str">
        <f aca="false">IF(OR($D495="",$B495=""),"",INT(($B495-$D495)/365.25))</f>
        <v/>
      </c>
      <c r="I495" s="25"/>
      <c r="J495" s="12"/>
      <c r="K495" s="12"/>
      <c r="L495" s="14" t="str">
        <f aca="false">IF(OR($C495="",$D495="",$B495=""),"",IF(COUNTIFS($C$5:$C$1504,$C495,$D$5:$D$1504,$D495,$B$5:$B$1504,$B495)&gt;1,"Takror",""))</f>
        <v/>
      </c>
    </row>
    <row r="496" customFormat="false" ht="15" hidden="false" customHeight="false" outlineLevel="0" collapsed="false">
      <c r="A496" s="8" t="n">
        <v>492</v>
      </c>
      <c r="B496" s="13"/>
      <c r="C496" s="12"/>
      <c r="D496" s="13"/>
      <c r="E496" s="24"/>
      <c r="F496" s="12"/>
      <c r="G496" s="25"/>
      <c r="H496" s="14" t="str">
        <f aca="false">IF(OR($D496="",$B496=""),"",INT(($B496-$D496)/365.25))</f>
        <v/>
      </c>
      <c r="I496" s="25"/>
      <c r="J496" s="12"/>
      <c r="K496" s="12"/>
      <c r="L496" s="14" t="str">
        <f aca="false">IF(OR($C496="",$D496="",$B496=""),"",IF(COUNTIFS($C$5:$C$1504,$C496,$D$5:$D$1504,$D496,$B$5:$B$1504,$B496)&gt;1,"Takror",""))</f>
        <v/>
      </c>
    </row>
    <row r="497" customFormat="false" ht="15" hidden="false" customHeight="false" outlineLevel="0" collapsed="false">
      <c r="A497" s="8" t="n">
        <v>493</v>
      </c>
      <c r="B497" s="13"/>
      <c r="C497" s="12"/>
      <c r="D497" s="13"/>
      <c r="E497" s="24"/>
      <c r="F497" s="12"/>
      <c r="G497" s="25"/>
      <c r="H497" s="14" t="str">
        <f aca="false">IF(OR($D497="",$B497=""),"",INT(($B497-$D497)/365.25))</f>
        <v/>
      </c>
      <c r="I497" s="25"/>
      <c r="J497" s="12"/>
      <c r="K497" s="12"/>
      <c r="L497" s="14" t="str">
        <f aca="false">IF(OR($C497="",$D497="",$B497=""),"",IF(COUNTIFS($C$5:$C$1504,$C497,$D$5:$D$1504,$D497,$B$5:$B$1504,$B497)&gt;1,"Takror",""))</f>
        <v/>
      </c>
    </row>
    <row r="498" customFormat="false" ht="15" hidden="false" customHeight="false" outlineLevel="0" collapsed="false">
      <c r="A498" s="8" t="n">
        <v>494</v>
      </c>
      <c r="B498" s="13"/>
      <c r="C498" s="12"/>
      <c r="D498" s="13"/>
      <c r="E498" s="24"/>
      <c r="F498" s="12"/>
      <c r="G498" s="25"/>
      <c r="H498" s="14" t="str">
        <f aca="false">IF(OR($D498="",$B498=""),"",INT(($B498-$D498)/365.25))</f>
        <v/>
      </c>
      <c r="I498" s="25"/>
      <c r="J498" s="12"/>
      <c r="K498" s="12"/>
      <c r="L498" s="14" t="str">
        <f aca="false">IF(OR($C498="",$D498="",$B498=""),"",IF(COUNTIFS($C$5:$C$1504,$C498,$D$5:$D$1504,$D498,$B$5:$B$1504,$B498)&gt;1,"Takror",""))</f>
        <v/>
      </c>
    </row>
    <row r="499" customFormat="false" ht="15" hidden="false" customHeight="false" outlineLevel="0" collapsed="false">
      <c r="A499" s="8" t="n">
        <v>495</v>
      </c>
      <c r="B499" s="13"/>
      <c r="C499" s="12"/>
      <c r="D499" s="13"/>
      <c r="E499" s="24"/>
      <c r="F499" s="12"/>
      <c r="G499" s="25"/>
      <c r="H499" s="14" t="str">
        <f aca="false">IF(OR($D499="",$B499=""),"",INT(($B499-$D499)/365.25))</f>
        <v/>
      </c>
      <c r="I499" s="25"/>
      <c r="J499" s="12"/>
      <c r="K499" s="12"/>
      <c r="L499" s="14" t="str">
        <f aca="false">IF(OR($C499="",$D499="",$B499=""),"",IF(COUNTIFS($C$5:$C$1504,$C499,$D$5:$D$1504,$D499,$B$5:$B$1504,$B499)&gt;1,"Takror",""))</f>
        <v/>
      </c>
    </row>
    <row r="500" customFormat="false" ht="15" hidden="false" customHeight="false" outlineLevel="0" collapsed="false">
      <c r="A500" s="8" t="n">
        <v>496</v>
      </c>
      <c r="B500" s="13"/>
      <c r="C500" s="12"/>
      <c r="D500" s="13"/>
      <c r="E500" s="24"/>
      <c r="F500" s="12"/>
      <c r="G500" s="25"/>
      <c r="H500" s="14" t="str">
        <f aca="false">IF(OR($D500="",$B500=""),"",INT(($B500-$D500)/365.25))</f>
        <v/>
      </c>
      <c r="I500" s="25"/>
      <c r="J500" s="12"/>
      <c r="K500" s="12"/>
      <c r="L500" s="14" t="str">
        <f aca="false">IF(OR($C500="",$D500="",$B500=""),"",IF(COUNTIFS($C$5:$C$1504,$C500,$D$5:$D$1504,$D500,$B$5:$B$1504,$B500)&gt;1,"Takror",""))</f>
        <v/>
      </c>
    </row>
    <row r="501" customFormat="false" ht="15" hidden="false" customHeight="false" outlineLevel="0" collapsed="false">
      <c r="A501" s="8" t="n">
        <v>497</v>
      </c>
      <c r="B501" s="13"/>
      <c r="C501" s="12"/>
      <c r="D501" s="13"/>
      <c r="E501" s="24"/>
      <c r="F501" s="12"/>
      <c r="G501" s="25"/>
      <c r="H501" s="14" t="str">
        <f aca="false">IF(OR($D501="",$B501=""),"",INT(($B501-$D501)/365.25))</f>
        <v/>
      </c>
      <c r="I501" s="25"/>
      <c r="J501" s="12"/>
      <c r="K501" s="12"/>
      <c r="L501" s="14" t="str">
        <f aca="false">IF(OR($C501="",$D501="",$B501=""),"",IF(COUNTIFS($C$5:$C$1504,$C501,$D$5:$D$1504,$D501,$B$5:$B$1504,$B501)&gt;1,"Takror",""))</f>
        <v/>
      </c>
    </row>
    <row r="502" customFormat="false" ht="15" hidden="false" customHeight="false" outlineLevel="0" collapsed="false">
      <c r="A502" s="8" t="n">
        <v>498</v>
      </c>
      <c r="B502" s="13"/>
      <c r="C502" s="12"/>
      <c r="D502" s="13"/>
      <c r="E502" s="24"/>
      <c r="F502" s="12"/>
      <c r="G502" s="25"/>
      <c r="H502" s="14" t="str">
        <f aca="false">IF(OR($D502="",$B502=""),"",INT(($B502-$D502)/365.25))</f>
        <v/>
      </c>
      <c r="I502" s="25"/>
      <c r="J502" s="12"/>
      <c r="K502" s="12"/>
      <c r="L502" s="14" t="str">
        <f aca="false">IF(OR($C502="",$D502="",$B502=""),"",IF(COUNTIFS($C$5:$C$1504,$C502,$D$5:$D$1504,$D502,$B$5:$B$1504,$B502)&gt;1,"Takror",""))</f>
        <v/>
      </c>
    </row>
    <row r="503" customFormat="false" ht="15" hidden="false" customHeight="false" outlineLevel="0" collapsed="false">
      <c r="A503" s="8" t="n">
        <v>499</v>
      </c>
      <c r="B503" s="13"/>
      <c r="C503" s="12"/>
      <c r="D503" s="13"/>
      <c r="E503" s="24"/>
      <c r="F503" s="12"/>
      <c r="G503" s="25"/>
      <c r="H503" s="14" t="str">
        <f aca="false">IF(OR($D503="",$B503=""),"",INT(($B503-$D503)/365.25))</f>
        <v/>
      </c>
      <c r="I503" s="25"/>
      <c r="J503" s="12"/>
      <c r="K503" s="12"/>
      <c r="L503" s="14" t="str">
        <f aca="false">IF(OR($C503="",$D503="",$B503=""),"",IF(COUNTIFS($C$5:$C$1504,$C503,$D$5:$D$1504,$D503,$B$5:$B$1504,$B503)&gt;1,"Takror",""))</f>
        <v/>
      </c>
    </row>
    <row r="504" customFormat="false" ht="15" hidden="false" customHeight="false" outlineLevel="0" collapsed="false">
      <c r="A504" s="8" t="n">
        <v>500</v>
      </c>
      <c r="B504" s="13"/>
      <c r="C504" s="12"/>
      <c r="D504" s="13"/>
      <c r="E504" s="24"/>
      <c r="F504" s="12"/>
      <c r="G504" s="25"/>
      <c r="H504" s="14" t="str">
        <f aca="false">IF(OR($D504="",$B504=""),"",INT(($B504-$D504)/365.25))</f>
        <v/>
      </c>
      <c r="I504" s="25"/>
      <c r="J504" s="12"/>
      <c r="K504" s="12"/>
      <c r="L504" s="14" t="str">
        <f aca="false">IF(OR($C504="",$D504="",$B504=""),"",IF(COUNTIFS($C$5:$C$1504,$C504,$D$5:$D$1504,$D504,$B$5:$B$1504,$B504)&gt;1,"Takror",""))</f>
        <v/>
      </c>
    </row>
    <row r="505" customFormat="false" ht="15" hidden="false" customHeight="false" outlineLevel="0" collapsed="false">
      <c r="A505" s="8" t="n">
        <v>501</v>
      </c>
      <c r="B505" s="13"/>
      <c r="C505" s="12"/>
      <c r="D505" s="13"/>
      <c r="E505" s="24"/>
      <c r="F505" s="12"/>
      <c r="G505" s="25"/>
      <c r="H505" s="14" t="str">
        <f aca="false">IF(OR($D505="",$B505=""),"",INT(($B505-$D505)/365.25))</f>
        <v/>
      </c>
      <c r="I505" s="25"/>
      <c r="J505" s="12"/>
      <c r="K505" s="12"/>
      <c r="L505" s="14" t="str">
        <f aca="false">IF(OR($C505="",$D505="",$B505=""),"",IF(COUNTIFS($C$5:$C$1504,$C505,$D$5:$D$1504,$D505,$B$5:$B$1504,$B505)&gt;1,"Takror",""))</f>
        <v/>
      </c>
    </row>
    <row r="506" customFormat="false" ht="15" hidden="false" customHeight="false" outlineLevel="0" collapsed="false">
      <c r="A506" s="8" t="n">
        <v>502</v>
      </c>
      <c r="B506" s="13"/>
      <c r="C506" s="12"/>
      <c r="D506" s="13"/>
      <c r="E506" s="24"/>
      <c r="F506" s="12"/>
      <c r="G506" s="25"/>
      <c r="H506" s="14" t="str">
        <f aca="false">IF(OR($D506="",$B506=""),"",INT(($B506-$D506)/365.25))</f>
        <v/>
      </c>
      <c r="I506" s="25"/>
      <c r="J506" s="12"/>
      <c r="K506" s="12"/>
      <c r="L506" s="14" t="str">
        <f aca="false">IF(OR($C506="",$D506="",$B506=""),"",IF(COUNTIFS($C$5:$C$1504,$C506,$D$5:$D$1504,$D506,$B$5:$B$1504,$B506)&gt;1,"Takror",""))</f>
        <v/>
      </c>
    </row>
    <row r="507" customFormat="false" ht="15" hidden="false" customHeight="false" outlineLevel="0" collapsed="false">
      <c r="A507" s="8" t="n">
        <v>503</v>
      </c>
      <c r="B507" s="13"/>
      <c r="C507" s="12"/>
      <c r="D507" s="13"/>
      <c r="E507" s="24"/>
      <c r="F507" s="12"/>
      <c r="G507" s="25"/>
      <c r="H507" s="14" t="str">
        <f aca="false">IF(OR($D507="",$B507=""),"",INT(($B507-$D507)/365.25))</f>
        <v/>
      </c>
      <c r="I507" s="25"/>
      <c r="J507" s="12"/>
      <c r="K507" s="12"/>
      <c r="L507" s="14" t="str">
        <f aca="false">IF(OR($C507="",$D507="",$B507=""),"",IF(COUNTIFS($C$5:$C$1504,$C507,$D$5:$D$1504,$D507,$B$5:$B$1504,$B507)&gt;1,"Takror",""))</f>
        <v/>
      </c>
    </row>
    <row r="508" customFormat="false" ht="15" hidden="false" customHeight="false" outlineLevel="0" collapsed="false">
      <c r="A508" s="8" t="n">
        <v>504</v>
      </c>
      <c r="B508" s="13"/>
      <c r="C508" s="12"/>
      <c r="D508" s="13"/>
      <c r="E508" s="24"/>
      <c r="F508" s="12"/>
      <c r="G508" s="25"/>
      <c r="H508" s="14" t="str">
        <f aca="false">IF(OR($D508="",$B508=""),"",INT(($B508-$D508)/365.25))</f>
        <v/>
      </c>
      <c r="I508" s="25"/>
      <c r="J508" s="12"/>
      <c r="K508" s="12"/>
      <c r="L508" s="14" t="str">
        <f aca="false">IF(OR($C508="",$D508="",$B508=""),"",IF(COUNTIFS($C$5:$C$1504,$C508,$D$5:$D$1504,$D508,$B$5:$B$1504,$B508)&gt;1,"Takror",""))</f>
        <v/>
      </c>
    </row>
    <row r="509" customFormat="false" ht="15" hidden="false" customHeight="false" outlineLevel="0" collapsed="false">
      <c r="A509" s="8" t="n">
        <v>505</v>
      </c>
      <c r="B509" s="13"/>
      <c r="C509" s="12"/>
      <c r="D509" s="13"/>
      <c r="E509" s="24"/>
      <c r="F509" s="12"/>
      <c r="G509" s="25"/>
      <c r="H509" s="14" t="str">
        <f aca="false">IF(OR($D509="",$B509=""),"",INT(($B509-$D509)/365.25))</f>
        <v/>
      </c>
      <c r="I509" s="25"/>
      <c r="J509" s="12"/>
      <c r="K509" s="12"/>
      <c r="L509" s="14" t="str">
        <f aca="false">IF(OR($C509="",$D509="",$B509=""),"",IF(COUNTIFS($C$5:$C$1504,$C509,$D$5:$D$1504,$D509,$B$5:$B$1504,$B509)&gt;1,"Takror",""))</f>
        <v/>
      </c>
    </row>
    <row r="510" customFormat="false" ht="15" hidden="false" customHeight="false" outlineLevel="0" collapsed="false">
      <c r="A510" s="8" t="n">
        <v>506</v>
      </c>
      <c r="B510" s="13"/>
      <c r="C510" s="12"/>
      <c r="D510" s="13"/>
      <c r="E510" s="24"/>
      <c r="F510" s="12"/>
      <c r="G510" s="25"/>
      <c r="H510" s="14" t="str">
        <f aca="false">IF(OR($D510="",$B510=""),"",INT(($B510-$D510)/365.25))</f>
        <v/>
      </c>
      <c r="I510" s="25"/>
      <c r="J510" s="12"/>
      <c r="K510" s="12"/>
      <c r="L510" s="14" t="str">
        <f aca="false">IF(OR($C510="",$D510="",$B510=""),"",IF(COUNTIFS($C$5:$C$1504,$C510,$D$5:$D$1504,$D510,$B$5:$B$1504,$B510)&gt;1,"Takror",""))</f>
        <v/>
      </c>
    </row>
    <row r="511" customFormat="false" ht="15" hidden="false" customHeight="false" outlineLevel="0" collapsed="false">
      <c r="A511" s="8" t="n">
        <v>507</v>
      </c>
      <c r="B511" s="13"/>
      <c r="C511" s="12"/>
      <c r="D511" s="13"/>
      <c r="E511" s="24"/>
      <c r="F511" s="12"/>
      <c r="G511" s="25"/>
      <c r="H511" s="14" t="str">
        <f aca="false">IF(OR($D511="",$B511=""),"",INT(($B511-$D511)/365.25))</f>
        <v/>
      </c>
      <c r="I511" s="25"/>
      <c r="J511" s="12"/>
      <c r="K511" s="12"/>
      <c r="L511" s="14" t="str">
        <f aca="false">IF(OR($C511="",$D511="",$B511=""),"",IF(COUNTIFS($C$5:$C$1504,$C511,$D$5:$D$1504,$D511,$B$5:$B$1504,$B511)&gt;1,"Takror",""))</f>
        <v/>
      </c>
    </row>
    <row r="512" customFormat="false" ht="15" hidden="false" customHeight="false" outlineLevel="0" collapsed="false">
      <c r="A512" s="8" t="n">
        <v>508</v>
      </c>
      <c r="B512" s="13"/>
      <c r="C512" s="12"/>
      <c r="D512" s="13"/>
      <c r="E512" s="24"/>
      <c r="F512" s="12"/>
      <c r="G512" s="25"/>
      <c r="H512" s="14" t="str">
        <f aca="false">IF(OR($D512="",$B512=""),"",INT(($B512-$D512)/365.25))</f>
        <v/>
      </c>
      <c r="I512" s="25"/>
      <c r="J512" s="12"/>
      <c r="K512" s="12"/>
      <c r="L512" s="14" t="str">
        <f aca="false">IF(OR($C512="",$D512="",$B512=""),"",IF(COUNTIFS($C$5:$C$1504,$C512,$D$5:$D$1504,$D512,$B$5:$B$1504,$B512)&gt;1,"Takror",""))</f>
        <v/>
      </c>
    </row>
    <row r="513" customFormat="false" ht="15" hidden="false" customHeight="false" outlineLevel="0" collapsed="false">
      <c r="A513" s="8" t="n">
        <v>509</v>
      </c>
      <c r="B513" s="13"/>
      <c r="C513" s="12"/>
      <c r="D513" s="13"/>
      <c r="E513" s="24"/>
      <c r="F513" s="12"/>
      <c r="G513" s="25"/>
      <c r="H513" s="14" t="str">
        <f aca="false">IF(OR($D513="",$B513=""),"",INT(($B513-$D513)/365.25))</f>
        <v/>
      </c>
      <c r="I513" s="25"/>
      <c r="J513" s="12"/>
      <c r="K513" s="12"/>
      <c r="L513" s="14" t="str">
        <f aca="false">IF(OR($C513="",$D513="",$B513=""),"",IF(COUNTIFS($C$5:$C$1504,$C513,$D$5:$D$1504,$D513,$B$5:$B$1504,$B513)&gt;1,"Takror",""))</f>
        <v/>
      </c>
    </row>
    <row r="514" customFormat="false" ht="15" hidden="false" customHeight="false" outlineLevel="0" collapsed="false">
      <c r="A514" s="8" t="n">
        <v>510</v>
      </c>
      <c r="B514" s="13"/>
      <c r="C514" s="12"/>
      <c r="D514" s="13"/>
      <c r="E514" s="24"/>
      <c r="F514" s="12"/>
      <c r="G514" s="25"/>
      <c r="H514" s="14" t="str">
        <f aca="false">IF(OR($D514="",$B514=""),"",INT(($B514-$D514)/365.25))</f>
        <v/>
      </c>
      <c r="I514" s="25"/>
      <c r="J514" s="12"/>
      <c r="K514" s="12"/>
      <c r="L514" s="14" t="str">
        <f aca="false">IF(OR($C514="",$D514="",$B514=""),"",IF(COUNTIFS($C$5:$C$1504,$C514,$D$5:$D$1504,$D514,$B$5:$B$1504,$B514)&gt;1,"Takror",""))</f>
        <v/>
      </c>
    </row>
    <row r="515" customFormat="false" ht="15" hidden="false" customHeight="false" outlineLevel="0" collapsed="false">
      <c r="A515" s="8" t="n">
        <v>511</v>
      </c>
      <c r="B515" s="13"/>
      <c r="C515" s="12"/>
      <c r="D515" s="13"/>
      <c r="E515" s="24"/>
      <c r="F515" s="12"/>
      <c r="G515" s="25"/>
      <c r="H515" s="14" t="str">
        <f aca="false">IF(OR($D515="",$B515=""),"",INT(($B515-$D515)/365.25))</f>
        <v/>
      </c>
      <c r="I515" s="25"/>
      <c r="J515" s="12"/>
      <c r="K515" s="12"/>
      <c r="L515" s="14" t="str">
        <f aca="false">IF(OR($C515="",$D515="",$B515=""),"",IF(COUNTIFS($C$5:$C$1504,$C515,$D$5:$D$1504,$D515,$B$5:$B$1504,$B515)&gt;1,"Takror",""))</f>
        <v/>
      </c>
    </row>
    <row r="516" customFormat="false" ht="15" hidden="false" customHeight="false" outlineLevel="0" collapsed="false">
      <c r="A516" s="8" t="n">
        <v>512</v>
      </c>
      <c r="B516" s="13"/>
      <c r="C516" s="12"/>
      <c r="D516" s="13"/>
      <c r="E516" s="24"/>
      <c r="F516" s="12"/>
      <c r="G516" s="25"/>
      <c r="H516" s="14" t="str">
        <f aca="false">IF(OR($D516="",$B516=""),"",INT(($B516-$D516)/365.25))</f>
        <v/>
      </c>
      <c r="I516" s="25"/>
      <c r="J516" s="12"/>
      <c r="K516" s="12"/>
      <c r="L516" s="14" t="str">
        <f aca="false">IF(OR($C516="",$D516="",$B516=""),"",IF(COUNTIFS($C$5:$C$1504,$C516,$D$5:$D$1504,$D516,$B$5:$B$1504,$B516)&gt;1,"Takror",""))</f>
        <v/>
      </c>
    </row>
    <row r="517" customFormat="false" ht="15" hidden="false" customHeight="false" outlineLevel="0" collapsed="false">
      <c r="A517" s="8" t="n">
        <v>513</v>
      </c>
      <c r="B517" s="13"/>
      <c r="C517" s="12"/>
      <c r="D517" s="13"/>
      <c r="E517" s="24"/>
      <c r="F517" s="12"/>
      <c r="G517" s="25"/>
      <c r="H517" s="14" t="str">
        <f aca="false">IF(OR($D517="",$B517=""),"",INT(($B517-$D517)/365.25))</f>
        <v/>
      </c>
      <c r="I517" s="25"/>
      <c r="J517" s="12"/>
      <c r="K517" s="12"/>
      <c r="L517" s="14" t="str">
        <f aca="false">IF(OR($C517="",$D517="",$B517=""),"",IF(COUNTIFS($C$5:$C$1504,$C517,$D$5:$D$1504,$D517,$B$5:$B$1504,$B517)&gt;1,"Takror",""))</f>
        <v/>
      </c>
    </row>
    <row r="518" customFormat="false" ht="15" hidden="false" customHeight="false" outlineLevel="0" collapsed="false">
      <c r="A518" s="8" t="n">
        <v>514</v>
      </c>
      <c r="B518" s="13"/>
      <c r="C518" s="12"/>
      <c r="D518" s="13"/>
      <c r="E518" s="24"/>
      <c r="F518" s="12"/>
      <c r="G518" s="25"/>
      <c r="H518" s="14" t="str">
        <f aca="false">IF(OR($D518="",$B518=""),"",INT(($B518-$D518)/365.25))</f>
        <v/>
      </c>
      <c r="I518" s="25"/>
      <c r="J518" s="12"/>
      <c r="K518" s="12"/>
      <c r="L518" s="14" t="str">
        <f aca="false">IF(OR($C518="",$D518="",$B518=""),"",IF(COUNTIFS($C$5:$C$1504,$C518,$D$5:$D$1504,$D518,$B$5:$B$1504,$B518)&gt;1,"Takror",""))</f>
        <v/>
      </c>
    </row>
    <row r="519" customFormat="false" ht="15" hidden="false" customHeight="false" outlineLevel="0" collapsed="false">
      <c r="A519" s="8" t="n">
        <v>515</v>
      </c>
      <c r="B519" s="13"/>
      <c r="C519" s="12"/>
      <c r="D519" s="13"/>
      <c r="E519" s="24"/>
      <c r="F519" s="12"/>
      <c r="G519" s="25"/>
      <c r="H519" s="14" t="str">
        <f aca="false">IF(OR($D519="",$B519=""),"",INT(($B519-$D519)/365.25))</f>
        <v/>
      </c>
      <c r="I519" s="25"/>
      <c r="J519" s="12"/>
      <c r="K519" s="12"/>
      <c r="L519" s="14" t="str">
        <f aca="false">IF(OR($C519="",$D519="",$B519=""),"",IF(COUNTIFS($C$5:$C$1504,$C519,$D$5:$D$1504,$D519,$B$5:$B$1504,$B519)&gt;1,"Takror",""))</f>
        <v/>
      </c>
    </row>
    <row r="520" customFormat="false" ht="15" hidden="false" customHeight="false" outlineLevel="0" collapsed="false">
      <c r="A520" s="8" t="n">
        <v>516</v>
      </c>
      <c r="B520" s="13"/>
      <c r="C520" s="12"/>
      <c r="D520" s="13"/>
      <c r="E520" s="24"/>
      <c r="F520" s="12"/>
      <c r="G520" s="25"/>
      <c r="H520" s="14" t="str">
        <f aca="false">IF(OR($D520="",$B520=""),"",INT(($B520-$D520)/365.25))</f>
        <v/>
      </c>
      <c r="I520" s="25"/>
      <c r="J520" s="12"/>
      <c r="K520" s="12"/>
      <c r="L520" s="14" t="str">
        <f aca="false">IF(OR($C520="",$D520="",$B520=""),"",IF(COUNTIFS($C$5:$C$1504,$C520,$D$5:$D$1504,$D520,$B$5:$B$1504,$B520)&gt;1,"Takror",""))</f>
        <v/>
      </c>
    </row>
    <row r="521" customFormat="false" ht="15" hidden="false" customHeight="false" outlineLevel="0" collapsed="false">
      <c r="A521" s="8" t="n">
        <v>517</v>
      </c>
      <c r="B521" s="13"/>
      <c r="C521" s="12"/>
      <c r="D521" s="13"/>
      <c r="E521" s="24"/>
      <c r="F521" s="12"/>
      <c r="G521" s="25"/>
      <c r="H521" s="14" t="str">
        <f aca="false">IF(OR($D521="",$B521=""),"",INT(($B521-$D521)/365.25))</f>
        <v/>
      </c>
      <c r="I521" s="25"/>
      <c r="J521" s="12"/>
      <c r="K521" s="12"/>
      <c r="L521" s="14" t="str">
        <f aca="false">IF(OR($C521="",$D521="",$B521=""),"",IF(COUNTIFS($C$5:$C$1504,$C521,$D$5:$D$1504,$D521,$B$5:$B$1504,$B521)&gt;1,"Takror",""))</f>
        <v/>
      </c>
    </row>
    <row r="522" customFormat="false" ht="15" hidden="false" customHeight="false" outlineLevel="0" collapsed="false">
      <c r="A522" s="8" t="n">
        <v>518</v>
      </c>
      <c r="B522" s="13"/>
      <c r="C522" s="12"/>
      <c r="D522" s="13"/>
      <c r="E522" s="24"/>
      <c r="F522" s="12"/>
      <c r="G522" s="25"/>
      <c r="H522" s="14" t="str">
        <f aca="false">IF(OR($D522="",$B522=""),"",INT(($B522-$D522)/365.25))</f>
        <v/>
      </c>
      <c r="I522" s="25"/>
      <c r="J522" s="12"/>
      <c r="K522" s="12"/>
      <c r="L522" s="14" t="str">
        <f aca="false">IF(OR($C522="",$D522="",$B522=""),"",IF(COUNTIFS($C$5:$C$1504,$C522,$D$5:$D$1504,$D522,$B$5:$B$1504,$B522)&gt;1,"Takror",""))</f>
        <v/>
      </c>
    </row>
    <row r="523" customFormat="false" ht="15" hidden="false" customHeight="false" outlineLevel="0" collapsed="false">
      <c r="A523" s="8" t="n">
        <v>519</v>
      </c>
      <c r="B523" s="13"/>
      <c r="C523" s="12"/>
      <c r="D523" s="13"/>
      <c r="E523" s="24"/>
      <c r="F523" s="12"/>
      <c r="G523" s="25"/>
      <c r="H523" s="14" t="str">
        <f aca="false">IF(OR($D523="",$B523=""),"",INT(($B523-$D523)/365.25))</f>
        <v/>
      </c>
      <c r="I523" s="25"/>
      <c r="J523" s="12"/>
      <c r="K523" s="12"/>
      <c r="L523" s="14" t="str">
        <f aca="false">IF(OR($C523="",$D523="",$B523=""),"",IF(COUNTIFS($C$5:$C$1504,$C523,$D$5:$D$1504,$D523,$B$5:$B$1504,$B523)&gt;1,"Takror",""))</f>
        <v/>
      </c>
    </row>
    <row r="524" customFormat="false" ht="15" hidden="false" customHeight="false" outlineLevel="0" collapsed="false">
      <c r="A524" s="8" t="n">
        <v>520</v>
      </c>
      <c r="B524" s="13"/>
      <c r="C524" s="12"/>
      <c r="D524" s="13"/>
      <c r="E524" s="24"/>
      <c r="F524" s="12"/>
      <c r="G524" s="25"/>
      <c r="H524" s="14" t="str">
        <f aca="false">IF(OR($D524="",$B524=""),"",INT(($B524-$D524)/365.25))</f>
        <v/>
      </c>
      <c r="I524" s="25"/>
      <c r="J524" s="12"/>
      <c r="K524" s="12"/>
      <c r="L524" s="14" t="str">
        <f aca="false">IF(OR($C524="",$D524="",$B524=""),"",IF(COUNTIFS($C$5:$C$1504,$C524,$D$5:$D$1504,$D524,$B$5:$B$1504,$B524)&gt;1,"Takror",""))</f>
        <v/>
      </c>
    </row>
    <row r="525" customFormat="false" ht="15" hidden="false" customHeight="false" outlineLevel="0" collapsed="false">
      <c r="A525" s="8" t="n">
        <v>521</v>
      </c>
      <c r="B525" s="13"/>
      <c r="C525" s="12"/>
      <c r="D525" s="13"/>
      <c r="E525" s="24"/>
      <c r="F525" s="12"/>
      <c r="G525" s="25"/>
      <c r="H525" s="14" t="str">
        <f aca="false">IF(OR($D525="",$B525=""),"",INT(($B525-$D525)/365.25))</f>
        <v/>
      </c>
      <c r="I525" s="25"/>
      <c r="J525" s="12"/>
      <c r="K525" s="12"/>
      <c r="L525" s="14" t="str">
        <f aca="false">IF(OR($C525="",$D525="",$B525=""),"",IF(COUNTIFS($C$5:$C$1504,$C525,$D$5:$D$1504,$D525,$B$5:$B$1504,$B525)&gt;1,"Takror",""))</f>
        <v/>
      </c>
    </row>
    <row r="526" customFormat="false" ht="15" hidden="false" customHeight="false" outlineLevel="0" collapsed="false">
      <c r="A526" s="8" t="n">
        <v>522</v>
      </c>
      <c r="B526" s="13"/>
      <c r="C526" s="12"/>
      <c r="D526" s="13"/>
      <c r="E526" s="24"/>
      <c r="F526" s="12"/>
      <c r="G526" s="25"/>
      <c r="H526" s="14" t="str">
        <f aca="false">IF(OR($D526="",$B526=""),"",INT(($B526-$D526)/365.25))</f>
        <v/>
      </c>
      <c r="I526" s="25"/>
      <c r="J526" s="12"/>
      <c r="K526" s="12"/>
      <c r="L526" s="14" t="str">
        <f aca="false">IF(OR($C526="",$D526="",$B526=""),"",IF(COUNTIFS($C$5:$C$1504,$C526,$D$5:$D$1504,$D526,$B$5:$B$1504,$B526)&gt;1,"Takror",""))</f>
        <v/>
      </c>
    </row>
    <row r="527" customFormat="false" ht="15" hidden="false" customHeight="false" outlineLevel="0" collapsed="false">
      <c r="A527" s="8" t="n">
        <v>523</v>
      </c>
      <c r="B527" s="13"/>
      <c r="C527" s="12"/>
      <c r="D527" s="13"/>
      <c r="E527" s="24"/>
      <c r="F527" s="12"/>
      <c r="G527" s="25"/>
      <c r="H527" s="14" t="str">
        <f aca="false">IF(OR($D527="",$B527=""),"",INT(($B527-$D527)/365.25))</f>
        <v/>
      </c>
      <c r="I527" s="25"/>
      <c r="J527" s="12"/>
      <c r="K527" s="12"/>
      <c r="L527" s="14" t="str">
        <f aca="false">IF(OR($C527="",$D527="",$B527=""),"",IF(COUNTIFS($C$5:$C$1504,$C527,$D$5:$D$1504,$D527,$B$5:$B$1504,$B527)&gt;1,"Takror",""))</f>
        <v/>
      </c>
    </row>
    <row r="528" customFormat="false" ht="15" hidden="false" customHeight="false" outlineLevel="0" collapsed="false">
      <c r="A528" s="8" t="n">
        <v>524</v>
      </c>
      <c r="B528" s="13"/>
      <c r="C528" s="12"/>
      <c r="D528" s="13"/>
      <c r="E528" s="24"/>
      <c r="F528" s="12"/>
      <c r="G528" s="25"/>
      <c r="H528" s="14" t="str">
        <f aca="false">IF(OR($D528="",$B528=""),"",INT(($B528-$D528)/365.25))</f>
        <v/>
      </c>
      <c r="I528" s="25"/>
      <c r="J528" s="12"/>
      <c r="K528" s="12"/>
      <c r="L528" s="14" t="str">
        <f aca="false">IF(OR($C528="",$D528="",$B528=""),"",IF(COUNTIFS($C$5:$C$1504,$C528,$D$5:$D$1504,$D528,$B$5:$B$1504,$B528)&gt;1,"Takror",""))</f>
        <v/>
      </c>
    </row>
    <row r="529" customFormat="false" ht="15" hidden="false" customHeight="false" outlineLevel="0" collapsed="false">
      <c r="A529" s="8" t="n">
        <v>525</v>
      </c>
      <c r="B529" s="13"/>
      <c r="C529" s="12"/>
      <c r="D529" s="13"/>
      <c r="E529" s="24"/>
      <c r="F529" s="12"/>
      <c r="G529" s="25"/>
      <c r="H529" s="14" t="str">
        <f aca="false">IF(OR($D529="",$B529=""),"",INT(($B529-$D529)/365.25))</f>
        <v/>
      </c>
      <c r="I529" s="25"/>
      <c r="J529" s="12"/>
      <c r="K529" s="12"/>
      <c r="L529" s="14" t="str">
        <f aca="false">IF(OR($C529="",$D529="",$B529=""),"",IF(COUNTIFS($C$5:$C$1504,$C529,$D$5:$D$1504,$D529,$B$5:$B$1504,$B529)&gt;1,"Takror",""))</f>
        <v/>
      </c>
    </row>
    <row r="530" customFormat="false" ht="15" hidden="false" customHeight="false" outlineLevel="0" collapsed="false">
      <c r="A530" s="8" t="n">
        <v>526</v>
      </c>
      <c r="B530" s="13"/>
      <c r="C530" s="12"/>
      <c r="D530" s="13"/>
      <c r="E530" s="24"/>
      <c r="F530" s="12"/>
      <c r="G530" s="25"/>
      <c r="H530" s="14" t="str">
        <f aca="false">IF(OR($D530="",$B530=""),"",INT(($B530-$D530)/365.25))</f>
        <v/>
      </c>
      <c r="I530" s="25"/>
      <c r="J530" s="12"/>
      <c r="K530" s="12"/>
      <c r="L530" s="14" t="str">
        <f aca="false">IF(OR($C530="",$D530="",$B530=""),"",IF(COUNTIFS($C$5:$C$1504,$C530,$D$5:$D$1504,$D530,$B$5:$B$1504,$B530)&gt;1,"Takror",""))</f>
        <v/>
      </c>
    </row>
    <row r="531" customFormat="false" ht="15" hidden="false" customHeight="false" outlineLevel="0" collapsed="false">
      <c r="A531" s="8" t="n">
        <v>527</v>
      </c>
      <c r="B531" s="13"/>
      <c r="C531" s="12"/>
      <c r="D531" s="13"/>
      <c r="E531" s="24"/>
      <c r="F531" s="12"/>
      <c r="G531" s="25"/>
      <c r="H531" s="14" t="str">
        <f aca="false">IF(OR($D531="",$B531=""),"",INT(($B531-$D531)/365.25))</f>
        <v/>
      </c>
      <c r="I531" s="25"/>
      <c r="J531" s="12"/>
      <c r="K531" s="12"/>
      <c r="L531" s="14" t="str">
        <f aca="false">IF(OR($C531="",$D531="",$B531=""),"",IF(COUNTIFS($C$5:$C$1504,$C531,$D$5:$D$1504,$D531,$B$5:$B$1504,$B531)&gt;1,"Takror",""))</f>
        <v/>
      </c>
    </row>
    <row r="532" customFormat="false" ht="15" hidden="false" customHeight="false" outlineLevel="0" collapsed="false">
      <c r="A532" s="8" t="n">
        <v>528</v>
      </c>
      <c r="B532" s="13"/>
      <c r="C532" s="12"/>
      <c r="D532" s="13"/>
      <c r="E532" s="24"/>
      <c r="F532" s="12"/>
      <c r="G532" s="25"/>
      <c r="H532" s="14" t="str">
        <f aca="false">IF(OR($D532="",$B532=""),"",INT(($B532-$D532)/365.25))</f>
        <v/>
      </c>
      <c r="I532" s="25"/>
      <c r="J532" s="12"/>
      <c r="K532" s="12"/>
      <c r="L532" s="14" t="str">
        <f aca="false">IF(OR($C532="",$D532="",$B532=""),"",IF(COUNTIFS($C$5:$C$1504,$C532,$D$5:$D$1504,$D532,$B$5:$B$1504,$B532)&gt;1,"Takror",""))</f>
        <v/>
      </c>
    </row>
    <row r="533" customFormat="false" ht="15" hidden="false" customHeight="false" outlineLevel="0" collapsed="false">
      <c r="A533" s="8" t="n">
        <v>529</v>
      </c>
      <c r="B533" s="13"/>
      <c r="C533" s="12"/>
      <c r="D533" s="13"/>
      <c r="E533" s="24"/>
      <c r="F533" s="12"/>
      <c r="G533" s="25"/>
      <c r="H533" s="14" t="str">
        <f aca="false">IF(OR($D533="",$B533=""),"",INT(($B533-$D533)/365.25))</f>
        <v/>
      </c>
      <c r="I533" s="25"/>
      <c r="J533" s="12"/>
      <c r="K533" s="12"/>
      <c r="L533" s="14" t="str">
        <f aca="false">IF(OR($C533="",$D533="",$B533=""),"",IF(COUNTIFS($C$5:$C$1504,$C533,$D$5:$D$1504,$D533,$B$5:$B$1504,$B533)&gt;1,"Takror",""))</f>
        <v/>
      </c>
    </row>
    <row r="534" customFormat="false" ht="15" hidden="false" customHeight="false" outlineLevel="0" collapsed="false">
      <c r="A534" s="8" t="n">
        <v>530</v>
      </c>
      <c r="B534" s="13"/>
      <c r="C534" s="12"/>
      <c r="D534" s="13"/>
      <c r="E534" s="24"/>
      <c r="F534" s="12"/>
      <c r="G534" s="25"/>
      <c r="H534" s="14" t="str">
        <f aca="false">IF(OR($D534="",$B534=""),"",INT(($B534-$D534)/365.25))</f>
        <v/>
      </c>
      <c r="I534" s="25"/>
      <c r="J534" s="12"/>
      <c r="K534" s="12"/>
      <c r="L534" s="14" t="str">
        <f aca="false">IF(OR($C534="",$D534="",$B534=""),"",IF(COUNTIFS($C$5:$C$1504,$C534,$D$5:$D$1504,$D534,$B$5:$B$1504,$B534)&gt;1,"Takror",""))</f>
        <v/>
      </c>
    </row>
    <row r="535" customFormat="false" ht="15" hidden="false" customHeight="false" outlineLevel="0" collapsed="false">
      <c r="A535" s="8" t="n">
        <v>531</v>
      </c>
      <c r="B535" s="13"/>
      <c r="C535" s="12"/>
      <c r="D535" s="13"/>
      <c r="E535" s="24"/>
      <c r="F535" s="12"/>
      <c r="G535" s="25"/>
      <c r="H535" s="14" t="str">
        <f aca="false">IF(OR($D535="",$B535=""),"",INT(($B535-$D535)/365.25))</f>
        <v/>
      </c>
      <c r="I535" s="25"/>
      <c r="J535" s="12"/>
      <c r="K535" s="12"/>
      <c r="L535" s="14" t="str">
        <f aca="false">IF(OR($C535="",$D535="",$B535=""),"",IF(COUNTIFS($C$5:$C$1504,$C535,$D$5:$D$1504,$D535,$B$5:$B$1504,$B535)&gt;1,"Takror",""))</f>
        <v/>
      </c>
    </row>
    <row r="536" customFormat="false" ht="15" hidden="false" customHeight="false" outlineLevel="0" collapsed="false">
      <c r="A536" s="8" t="n">
        <v>532</v>
      </c>
      <c r="B536" s="13"/>
      <c r="C536" s="12"/>
      <c r="D536" s="13"/>
      <c r="E536" s="24"/>
      <c r="F536" s="12"/>
      <c r="G536" s="25"/>
      <c r="H536" s="14" t="str">
        <f aca="false">IF(OR($D536="",$B536=""),"",INT(($B536-$D536)/365.25))</f>
        <v/>
      </c>
      <c r="I536" s="25"/>
      <c r="J536" s="12"/>
      <c r="K536" s="12"/>
      <c r="L536" s="14" t="str">
        <f aca="false">IF(OR($C536="",$D536="",$B536=""),"",IF(COUNTIFS($C$5:$C$1504,$C536,$D$5:$D$1504,$D536,$B$5:$B$1504,$B536)&gt;1,"Takror",""))</f>
        <v/>
      </c>
    </row>
    <row r="537" customFormat="false" ht="15" hidden="false" customHeight="false" outlineLevel="0" collapsed="false">
      <c r="A537" s="8" t="n">
        <v>533</v>
      </c>
      <c r="B537" s="13"/>
      <c r="C537" s="12"/>
      <c r="D537" s="13"/>
      <c r="E537" s="24"/>
      <c r="F537" s="12"/>
      <c r="G537" s="25"/>
      <c r="H537" s="14" t="str">
        <f aca="false">IF(OR($D537="",$B537=""),"",INT(($B537-$D537)/365.25))</f>
        <v/>
      </c>
      <c r="I537" s="25"/>
      <c r="J537" s="12"/>
      <c r="K537" s="12"/>
      <c r="L537" s="14" t="str">
        <f aca="false">IF(OR($C537="",$D537="",$B537=""),"",IF(COUNTIFS($C$5:$C$1504,$C537,$D$5:$D$1504,$D537,$B$5:$B$1504,$B537)&gt;1,"Takror",""))</f>
        <v/>
      </c>
    </row>
    <row r="538" customFormat="false" ht="15" hidden="false" customHeight="false" outlineLevel="0" collapsed="false">
      <c r="A538" s="8" t="n">
        <v>534</v>
      </c>
      <c r="B538" s="13"/>
      <c r="C538" s="12"/>
      <c r="D538" s="13"/>
      <c r="E538" s="24"/>
      <c r="F538" s="12"/>
      <c r="G538" s="25"/>
      <c r="H538" s="14" t="str">
        <f aca="false">IF(OR($D538="",$B538=""),"",INT(($B538-$D538)/365.25))</f>
        <v/>
      </c>
      <c r="I538" s="25"/>
      <c r="J538" s="12"/>
      <c r="K538" s="12"/>
      <c r="L538" s="14" t="str">
        <f aca="false">IF(OR($C538="",$D538="",$B538=""),"",IF(COUNTIFS($C$5:$C$1504,$C538,$D$5:$D$1504,$D538,$B$5:$B$1504,$B538)&gt;1,"Takror",""))</f>
        <v/>
      </c>
    </row>
    <row r="539" customFormat="false" ht="15" hidden="false" customHeight="false" outlineLevel="0" collapsed="false">
      <c r="A539" s="8" t="n">
        <v>535</v>
      </c>
      <c r="B539" s="13"/>
      <c r="C539" s="12"/>
      <c r="D539" s="13"/>
      <c r="E539" s="24"/>
      <c r="F539" s="12"/>
      <c r="G539" s="25"/>
      <c r="H539" s="14" t="str">
        <f aca="false">IF(OR($D539="",$B539=""),"",INT(($B539-$D539)/365.25))</f>
        <v/>
      </c>
      <c r="I539" s="25"/>
      <c r="J539" s="12"/>
      <c r="K539" s="12"/>
      <c r="L539" s="14" t="str">
        <f aca="false">IF(OR($C539="",$D539="",$B539=""),"",IF(COUNTIFS($C$5:$C$1504,$C539,$D$5:$D$1504,$D539,$B$5:$B$1504,$B539)&gt;1,"Takror",""))</f>
        <v/>
      </c>
    </row>
    <row r="540" customFormat="false" ht="15" hidden="false" customHeight="false" outlineLevel="0" collapsed="false">
      <c r="A540" s="8" t="n">
        <v>536</v>
      </c>
      <c r="B540" s="13"/>
      <c r="C540" s="12"/>
      <c r="D540" s="13"/>
      <c r="E540" s="24"/>
      <c r="F540" s="12"/>
      <c r="G540" s="25"/>
      <c r="H540" s="14" t="str">
        <f aca="false">IF(OR($D540="",$B540=""),"",INT(($B540-$D540)/365.25))</f>
        <v/>
      </c>
      <c r="I540" s="25"/>
      <c r="J540" s="12"/>
      <c r="K540" s="12"/>
      <c r="L540" s="14" t="str">
        <f aca="false">IF(OR($C540="",$D540="",$B540=""),"",IF(COUNTIFS($C$5:$C$1504,$C540,$D$5:$D$1504,$D540,$B$5:$B$1504,$B540)&gt;1,"Takror",""))</f>
        <v/>
      </c>
    </row>
    <row r="541" customFormat="false" ht="15" hidden="false" customHeight="false" outlineLevel="0" collapsed="false">
      <c r="A541" s="8" t="n">
        <v>537</v>
      </c>
      <c r="B541" s="13"/>
      <c r="C541" s="12"/>
      <c r="D541" s="13"/>
      <c r="E541" s="24"/>
      <c r="F541" s="12"/>
      <c r="G541" s="25"/>
      <c r="H541" s="14" t="str">
        <f aca="false">IF(OR($D541="",$B541=""),"",INT(($B541-$D541)/365.25))</f>
        <v/>
      </c>
      <c r="I541" s="25"/>
      <c r="J541" s="12"/>
      <c r="K541" s="12"/>
      <c r="L541" s="14" t="str">
        <f aca="false">IF(OR($C541="",$D541="",$B541=""),"",IF(COUNTIFS($C$5:$C$1504,$C541,$D$5:$D$1504,$D541,$B$5:$B$1504,$B541)&gt;1,"Takror",""))</f>
        <v/>
      </c>
    </row>
    <row r="542" customFormat="false" ht="15" hidden="false" customHeight="false" outlineLevel="0" collapsed="false">
      <c r="A542" s="8" t="n">
        <v>538</v>
      </c>
      <c r="B542" s="13"/>
      <c r="C542" s="12"/>
      <c r="D542" s="13"/>
      <c r="E542" s="24"/>
      <c r="F542" s="12"/>
      <c r="G542" s="25"/>
      <c r="H542" s="14" t="str">
        <f aca="false">IF(OR($D542="",$B542=""),"",INT(($B542-$D542)/365.25))</f>
        <v/>
      </c>
      <c r="I542" s="25"/>
      <c r="J542" s="12"/>
      <c r="K542" s="12"/>
      <c r="L542" s="14" t="str">
        <f aca="false">IF(OR($C542="",$D542="",$B542=""),"",IF(COUNTIFS($C$5:$C$1504,$C542,$D$5:$D$1504,$D542,$B$5:$B$1504,$B542)&gt;1,"Takror",""))</f>
        <v/>
      </c>
    </row>
    <row r="543" customFormat="false" ht="15" hidden="false" customHeight="false" outlineLevel="0" collapsed="false">
      <c r="A543" s="8" t="n">
        <v>539</v>
      </c>
      <c r="B543" s="13"/>
      <c r="C543" s="12"/>
      <c r="D543" s="13"/>
      <c r="E543" s="24"/>
      <c r="F543" s="12"/>
      <c r="G543" s="25"/>
      <c r="H543" s="14" t="str">
        <f aca="false">IF(OR($D543="",$B543=""),"",INT(($B543-$D543)/365.25))</f>
        <v/>
      </c>
      <c r="I543" s="25"/>
      <c r="J543" s="12"/>
      <c r="K543" s="12"/>
      <c r="L543" s="14" t="str">
        <f aca="false">IF(OR($C543="",$D543="",$B543=""),"",IF(COUNTIFS($C$5:$C$1504,$C543,$D$5:$D$1504,$D543,$B$5:$B$1504,$B543)&gt;1,"Takror",""))</f>
        <v/>
      </c>
    </row>
    <row r="544" customFormat="false" ht="15" hidden="false" customHeight="false" outlineLevel="0" collapsed="false">
      <c r="A544" s="8" t="n">
        <v>540</v>
      </c>
      <c r="B544" s="13"/>
      <c r="C544" s="12"/>
      <c r="D544" s="13"/>
      <c r="E544" s="24"/>
      <c r="F544" s="12"/>
      <c r="G544" s="25"/>
      <c r="H544" s="14" t="str">
        <f aca="false">IF(OR($D544="",$B544=""),"",INT(($B544-$D544)/365.25))</f>
        <v/>
      </c>
      <c r="I544" s="25"/>
      <c r="J544" s="12"/>
      <c r="K544" s="12"/>
      <c r="L544" s="14" t="str">
        <f aca="false">IF(OR($C544="",$D544="",$B544=""),"",IF(COUNTIFS($C$5:$C$1504,$C544,$D$5:$D$1504,$D544,$B$5:$B$1504,$B544)&gt;1,"Takror",""))</f>
        <v/>
      </c>
    </row>
    <row r="545" customFormat="false" ht="15" hidden="false" customHeight="false" outlineLevel="0" collapsed="false">
      <c r="A545" s="8" t="n">
        <v>541</v>
      </c>
      <c r="B545" s="13"/>
      <c r="C545" s="12"/>
      <c r="D545" s="13"/>
      <c r="E545" s="24"/>
      <c r="F545" s="12"/>
      <c r="G545" s="25"/>
      <c r="H545" s="14" t="str">
        <f aca="false">IF(OR($D545="",$B545=""),"",INT(($B545-$D545)/365.25))</f>
        <v/>
      </c>
      <c r="I545" s="25"/>
      <c r="J545" s="12"/>
      <c r="K545" s="12"/>
      <c r="L545" s="14" t="str">
        <f aca="false">IF(OR($C545="",$D545="",$B545=""),"",IF(COUNTIFS($C$5:$C$1504,$C545,$D$5:$D$1504,$D545,$B$5:$B$1504,$B545)&gt;1,"Takror",""))</f>
        <v/>
      </c>
    </row>
    <row r="546" customFormat="false" ht="15" hidden="false" customHeight="false" outlineLevel="0" collapsed="false">
      <c r="A546" s="8" t="n">
        <v>542</v>
      </c>
      <c r="B546" s="13"/>
      <c r="C546" s="12"/>
      <c r="D546" s="13"/>
      <c r="E546" s="24"/>
      <c r="F546" s="12"/>
      <c r="G546" s="25"/>
      <c r="H546" s="14" t="str">
        <f aca="false">IF(OR($D546="",$B546=""),"",INT(($B546-$D546)/365.25))</f>
        <v/>
      </c>
      <c r="I546" s="25"/>
      <c r="J546" s="12"/>
      <c r="K546" s="12"/>
      <c r="L546" s="14" t="str">
        <f aca="false">IF(OR($C546="",$D546="",$B546=""),"",IF(COUNTIFS($C$5:$C$1504,$C546,$D$5:$D$1504,$D546,$B$5:$B$1504,$B546)&gt;1,"Takror",""))</f>
        <v/>
      </c>
    </row>
    <row r="547" customFormat="false" ht="15" hidden="false" customHeight="false" outlineLevel="0" collapsed="false">
      <c r="A547" s="8" t="n">
        <v>543</v>
      </c>
      <c r="B547" s="13"/>
      <c r="C547" s="12"/>
      <c r="D547" s="13"/>
      <c r="E547" s="24"/>
      <c r="F547" s="12"/>
      <c r="G547" s="25"/>
      <c r="H547" s="14" t="str">
        <f aca="false">IF(OR($D547="",$B547=""),"",INT(($B547-$D547)/365.25))</f>
        <v/>
      </c>
      <c r="I547" s="25"/>
      <c r="J547" s="12"/>
      <c r="K547" s="12"/>
      <c r="L547" s="14" t="str">
        <f aca="false">IF(OR($C547="",$D547="",$B547=""),"",IF(COUNTIFS($C$5:$C$1504,$C547,$D$5:$D$1504,$D547,$B$5:$B$1504,$B547)&gt;1,"Takror",""))</f>
        <v/>
      </c>
    </row>
    <row r="548" customFormat="false" ht="15" hidden="false" customHeight="false" outlineLevel="0" collapsed="false">
      <c r="A548" s="8" t="n">
        <v>544</v>
      </c>
      <c r="B548" s="13"/>
      <c r="C548" s="12"/>
      <c r="D548" s="13"/>
      <c r="E548" s="24"/>
      <c r="F548" s="12"/>
      <c r="G548" s="25"/>
      <c r="H548" s="14" t="str">
        <f aca="false">IF(OR($D548="",$B548=""),"",INT(($B548-$D548)/365.25))</f>
        <v/>
      </c>
      <c r="I548" s="25"/>
      <c r="J548" s="12"/>
      <c r="K548" s="12"/>
      <c r="L548" s="14" t="str">
        <f aca="false">IF(OR($C548="",$D548="",$B548=""),"",IF(COUNTIFS($C$5:$C$1504,$C548,$D$5:$D$1504,$D548,$B$5:$B$1504,$B548)&gt;1,"Takror",""))</f>
        <v/>
      </c>
    </row>
    <row r="549" customFormat="false" ht="15" hidden="false" customHeight="false" outlineLevel="0" collapsed="false">
      <c r="A549" s="8" t="n">
        <v>545</v>
      </c>
      <c r="B549" s="13"/>
      <c r="C549" s="12"/>
      <c r="D549" s="13"/>
      <c r="E549" s="24"/>
      <c r="F549" s="12"/>
      <c r="G549" s="25"/>
      <c r="H549" s="14" t="str">
        <f aca="false">IF(OR($D549="",$B549=""),"",INT(($B549-$D549)/365.25))</f>
        <v/>
      </c>
      <c r="I549" s="25"/>
      <c r="J549" s="12"/>
      <c r="K549" s="12"/>
      <c r="L549" s="14" t="str">
        <f aca="false">IF(OR($C549="",$D549="",$B549=""),"",IF(COUNTIFS($C$5:$C$1504,$C549,$D$5:$D$1504,$D549,$B$5:$B$1504,$B549)&gt;1,"Takror",""))</f>
        <v/>
      </c>
    </row>
    <row r="550" customFormat="false" ht="15" hidden="false" customHeight="false" outlineLevel="0" collapsed="false">
      <c r="A550" s="8" t="n">
        <v>546</v>
      </c>
      <c r="B550" s="13"/>
      <c r="C550" s="12"/>
      <c r="D550" s="13"/>
      <c r="E550" s="24"/>
      <c r="F550" s="12"/>
      <c r="G550" s="25"/>
      <c r="H550" s="14" t="str">
        <f aca="false">IF(OR($D550="",$B550=""),"",INT(($B550-$D550)/365.25))</f>
        <v/>
      </c>
      <c r="I550" s="25"/>
      <c r="J550" s="12"/>
      <c r="K550" s="12"/>
      <c r="L550" s="14" t="str">
        <f aca="false">IF(OR($C550="",$D550="",$B550=""),"",IF(COUNTIFS($C$5:$C$1504,$C550,$D$5:$D$1504,$D550,$B$5:$B$1504,$B550)&gt;1,"Takror",""))</f>
        <v/>
      </c>
    </row>
    <row r="551" customFormat="false" ht="15" hidden="false" customHeight="false" outlineLevel="0" collapsed="false">
      <c r="A551" s="8" t="n">
        <v>547</v>
      </c>
      <c r="B551" s="13"/>
      <c r="C551" s="12"/>
      <c r="D551" s="13"/>
      <c r="E551" s="24"/>
      <c r="F551" s="12"/>
      <c r="G551" s="25"/>
      <c r="H551" s="14" t="str">
        <f aca="false">IF(OR($D551="",$B551=""),"",INT(($B551-$D551)/365.25))</f>
        <v/>
      </c>
      <c r="I551" s="25"/>
      <c r="J551" s="12"/>
      <c r="K551" s="12"/>
      <c r="L551" s="14" t="str">
        <f aca="false">IF(OR($C551="",$D551="",$B551=""),"",IF(COUNTIFS($C$5:$C$1504,$C551,$D$5:$D$1504,$D551,$B$5:$B$1504,$B551)&gt;1,"Takror",""))</f>
        <v/>
      </c>
    </row>
    <row r="552" customFormat="false" ht="15" hidden="false" customHeight="false" outlineLevel="0" collapsed="false">
      <c r="A552" s="8" t="n">
        <v>548</v>
      </c>
      <c r="B552" s="13"/>
      <c r="C552" s="12"/>
      <c r="D552" s="13"/>
      <c r="E552" s="24"/>
      <c r="F552" s="12"/>
      <c r="G552" s="25"/>
      <c r="H552" s="14" t="str">
        <f aca="false">IF(OR($D552="",$B552=""),"",INT(($B552-$D552)/365.25))</f>
        <v/>
      </c>
      <c r="I552" s="25"/>
      <c r="J552" s="12"/>
      <c r="K552" s="12"/>
      <c r="L552" s="14" t="str">
        <f aca="false">IF(OR($C552="",$D552="",$B552=""),"",IF(COUNTIFS($C$5:$C$1504,$C552,$D$5:$D$1504,$D552,$B$5:$B$1504,$B552)&gt;1,"Takror",""))</f>
        <v/>
      </c>
    </row>
    <row r="553" customFormat="false" ht="15" hidden="false" customHeight="false" outlineLevel="0" collapsed="false">
      <c r="A553" s="8" t="n">
        <v>549</v>
      </c>
      <c r="B553" s="13"/>
      <c r="C553" s="12"/>
      <c r="D553" s="13"/>
      <c r="E553" s="24"/>
      <c r="F553" s="12"/>
      <c r="G553" s="25"/>
      <c r="H553" s="14" t="str">
        <f aca="false">IF(OR($D553="",$B553=""),"",INT(($B553-$D553)/365.25))</f>
        <v/>
      </c>
      <c r="I553" s="25"/>
      <c r="J553" s="12"/>
      <c r="K553" s="12"/>
      <c r="L553" s="14" t="str">
        <f aca="false">IF(OR($C553="",$D553="",$B553=""),"",IF(COUNTIFS($C$5:$C$1504,$C553,$D$5:$D$1504,$D553,$B$5:$B$1504,$B553)&gt;1,"Takror",""))</f>
        <v/>
      </c>
    </row>
    <row r="554" customFormat="false" ht="15" hidden="false" customHeight="false" outlineLevel="0" collapsed="false">
      <c r="A554" s="8" t="n">
        <v>550</v>
      </c>
      <c r="B554" s="13"/>
      <c r="C554" s="12"/>
      <c r="D554" s="13"/>
      <c r="E554" s="24"/>
      <c r="F554" s="12"/>
      <c r="G554" s="25"/>
      <c r="H554" s="14" t="str">
        <f aca="false">IF(OR($D554="",$B554=""),"",INT(($B554-$D554)/365.25))</f>
        <v/>
      </c>
      <c r="I554" s="25"/>
      <c r="J554" s="12"/>
      <c r="K554" s="12"/>
      <c r="L554" s="14" t="str">
        <f aca="false">IF(OR($C554="",$D554="",$B554=""),"",IF(COUNTIFS($C$5:$C$1504,$C554,$D$5:$D$1504,$D554,$B$5:$B$1504,$B554)&gt;1,"Takror",""))</f>
        <v/>
      </c>
    </row>
    <row r="555" customFormat="false" ht="15" hidden="false" customHeight="false" outlineLevel="0" collapsed="false">
      <c r="A555" s="8" t="n">
        <v>551</v>
      </c>
      <c r="B555" s="13"/>
      <c r="C555" s="12"/>
      <c r="D555" s="13"/>
      <c r="E555" s="24"/>
      <c r="F555" s="12"/>
      <c r="G555" s="25"/>
      <c r="H555" s="14" t="str">
        <f aca="false">IF(OR($D555="",$B555=""),"",INT(($B555-$D555)/365.25))</f>
        <v/>
      </c>
      <c r="I555" s="25"/>
      <c r="J555" s="12"/>
      <c r="K555" s="12"/>
      <c r="L555" s="14" t="str">
        <f aca="false">IF(OR($C555="",$D555="",$B555=""),"",IF(COUNTIFS($C$5:$C$1504,$C555,$D$5:$D$1504,$D555,$B$5:$B$1504,$B555)&gt;1,"Takror",""))</f>
        <v/>
      </c>
    </row>
    <row r="556" customFormat="false" ht="15" hidden="false" customHeight="false" outlineLevel="0" collapsed="false">
      <c r="A556" s="8" t="n">
        <v>552</v>
      </c>
      <c r="B556" s="13"/>
      <c r="C556" s="12"/>
      <c r="D556" s="13"/>
      <c r="E556" s="24"/>
      <c r="F556" s="12"/>
      <c r="G556" s="25"/>
      <c r="H556" s="14" t="str">
        <f aca="false">IF(OR($D556="",$B556=""),"",INT(($B556-$D556)/365.25))</f>
        <v/>
      </c>
      <c r="I556" s="25"/>
      <c r="J556" s="12"/>
      <c r="K556" s="12"/>
      <c r="L556" s="14" t="str">
        <f aca="false">IF(OR($C556="",$D556="",$B556=""),"",IF(COUNTIFS($C$5:$C$1504,$C556,$D$5:$D$1504,$D556,$B$5:$B$1504,$B556)&gt;1,"Takror",""))</f>
        <v/>
      </c>
    </row>
    <row r="557" customFormat="false" ht="15" hidden="false" customHeight="false" outlineLevel="0" collapsed="false">
      <c r="A557" s="8" t="n">
        <v>553</v>
      </c>
      <c r="B557" s="13"/>
      <c r="C557" s="12"/>
      <c r="D557" s="13"/>
      <c r="E557" s="24"/>
      <c r="F557" s="12"/>
      <c r="G557" s="25"/>
      <c r="H557" s="14" t="str">
        <f aca="false">IF(OR($D557="",$B557=""),"",INT(($B557-$D557)/365.25))</f>
        <v/>
      </c>
      <c r="I557" s="25"/>
      <c r="J557" s="12"/>
      <c r="K557" s="12"/>
      <c r="L557" s="14" t="str">
        <f aca="false">IF(OR($C557="",$D557="",$B557=""),"",IF(COUNTIFS($C$5:$C$1504,$C557,$D$5:$D$1504,$D557,$B$5:$B$1504,$B557)&gt;1,"Takror",""))</f>
        <v/>
      </c>
    </row>
    <row r="558" customFormat="false" ht="15" hidden="false" customHeight="false" outlineLevel="0" collapsed="false">
      <c r="A558" s="8" t="n">
        <v>554</v>
      </c>
      <c r="B558" s="13"/>
      <c r="C558" s="12"/>
      <c r="D558" s="13"/>
      <c r="E558" s="24"/>
      <c r="F558" s="12"/>
      <c r="G558" s="25"/>
      <c r="H558" s="14" t="str">
        <f aca="false">IF(OR($D558="",$B558=""),"",INT(($B558-$D558)/365.25))</f>
        <v/>
      </c>
      <c r="I558" s="25"/>
      <c r="J558" s="12"/>
      <c r="K558" s="12"/>
      <c r="L558" s="14" t="str">
        <f aca="false">IF(OR($C558="",$D558="",$B558=""),"",IF(COUNTIFS($C$5:$C$1504,$C558,$D$5:$D$1504,$D558,$B$5:$B$1504,$B558)&gt;1,"Takror",""))</f>
        <v/>
      </c>
    </row>
    <row r="559" customFormat="false" ht="15" hidden="false" customHeight="false" outlineLevel="0" collapsed="false">
      <c r="A559" s="8" t="n">
        <v>555</v>
      </c>
      <c r="B559" s="13"/>
      <c r="C559" s="12"/>
      <c r="D559" s="13"/>
      <c r="E559" s="24"/>
      <c r="F559" s="12"/>
      <c r="G559" s="25"/>
      <c r="H559" s="14" t="str">
        <f aca="false">IF(OR($D559="",$B559=""),"",INT(($B559-$D559)/365.25))</f>
        <v/>
      </c>
      <c r="I559" s="25"/>
      <c r="J559" s="12"/>
      <c r="K559" s="12"/>
      <c r="L559" s="14" t="str">
        <f aca="false">IF(OR($C559="",$D559="",$B559=""),"",IF(COUNTIFS($C$5:$C$1504,$C559,$D$5:$D$1504,$D559,$B$5:$B$1504,$B559)&gt;1,"Takror",""))</f>
        <v/>
      </c>
    </row>
    <row r="560" customFormat="false" ht="15" hidden="false" customHeight="false" outlineLevel="0" collapsed="false">
      <c r="A560" s="8" t="n">
        <v>556</v>
      </c>
      <c r="B560" s="13"/>
      <c r="C560" s="12"/>
      <c r="D560" s="13"/>
      <c r="E560" s="24"/>
      <c r="F560" s="12"/>
      <c r="G560" s="25"/>
      <c r="H560" s="14" t="str">
        <f aca="false">IF(OR($D560="",$B560=""),"",INT(($B560-$D560)/365.25))</f>
        <v/>
      </c>
      <c r="I560" s="25"/>
      <c r="J560" s="12"/>
      <c r="K560" s="12"/>
      <c r="L560" s="14" t="str">
        <f aca="false">IF(OR($C560="",$D560="",$B560=""),"",IF(COUNTIFS($C$5:$C$1504,$C560,$D$5:$D$1504,$D560,$B$5:$B$1504,$B560)&gt;1,"Takror",""))</f>
        <v/>
      </c>
    </row>
    <row r="561" customFormat="false" ht="15" hidden="false" customHeight="false" outlineLevel="0" collapsed="false">
      <c r="A561" s="8" t="n">
        <v>557</v>
      </c>
      <c r="B561" s="13"/>
      <c r="C561" s="12"/>
      <c r="D561" s="13"/>
      <c r="E561" s="24"/>
      <c r="F561" s="12"/>
      <c r="G561" s="25"/>
      <c r="H561" s="14" t="str">
        <f aca="false">IF(OR($D561="",$B561=""),"",INT(($B561-$D561)/365.25))</f>
        <v/>
      </c>
      <c r="I561" s="25"/>
      <c r="J561" s="12"/>
      <c r="K561" s="12"/>
      <c r="L561" s="14" t="str">
        <f aca="false">IF(OR($C561="",$D561="",$B561=""),"",IF(COUNTIFS($C$5:$C$1504,$C561,$D$5:$D$1504,$D561,$B$5:$B$1504,$B561)&gt;1,"Takror",""))</f>
        <v/>
      </c>
    </row>
    <row r="562" customFormat="false" ht="15" hidden="false" customHeight="false" outlineLevel="0" collapsed="false">
      <c r="A562" s="8" t="n">
        <v>558</v>
      </c>
      <c r="B562" s="13"/>
      <c r="C562" s="12"/>
      <c r="D562" s="13"/>
      <c r="E562" s="24"/>
      <c r="F562" s="12"/>
      <c r="G562" s="25"/>
      <c r="H562" s="14" t="str">
        <f aca="false">IF(OR($D562="",$B562=""),"",INT(($B562-$D562)/365.25))</f>
        <v/>
      </c>
      <c r="I562" s="25"/>
      <c r="J562" s="12"/>
      <c r="K562" s="12"/>
      <c r="L562" s="14" t="str">
        <f aca="false">IF(OR($C562="",$D562="",$B562=""),"",IF(COUNTIFS($C$5:$C$1504,$C562,$D$5:$D$1504,$D562,$B$5:$B$1504,$B562)&gt;1,"Takror",""))</f>
        <v/>
      </c>
    </row>
    <row r="563" customFormat="false" ht="15" hidden="false" customHeight="false" outlineLevel="0" collapsed="false">
      <c r="A563" s="8" t="n">
        <v>559</v>
      </c>
      <c r="B563" s="13"/>
      <c r="C563" s="12"/>
      <c r="D563" s="13"/>
      <c r="E563" s="24"/>
      <c r="F563" s="12"/>
      <c r="G563" s="25"/>
      <c r="H563" s="14" t="str">
        <f aca="false">IF(OR($D563="",$B563=""),"",INT(($B563-$D563)/365.25))</f>
        <v/>
      </c>
      <c r="I563" s="25"/>
      <c r="J563" s="12"/>
      <c r="K563" s="12"/>
      <c r="L563" s="14" t="str">
        <f aca="false">IF(OR($C563="",$D563="",$B563=""),"",IF(COUNTIFS($C$5:$C$1504,$C563,$D$5:$D$1504,$D563,$B$5:$B$1504,$B563)&gt;1,"Takror",""))</f>
        <v/>
      </c>
    </row>
    <row r="564" customFormat="false" ht="15" hidden="false" customHeight="false" outlineLevel="0" collapsed="false">
      <c r="A564" s="8" t="n">
        <v>560</v>
      </c>
      <c r="B564" s="13"/>
      <c r="C564" s="12"/>
      <c r="D564" s="13"/>
      <c r="E564" s="24"/>
      <c r="F564" s="12"/>
      <c r="G564" s="25"/>
      <c r="H564" s="14" t="str">
        <f aca="false">IF(OR($D564="",$B564=""),"",INT(($B564-$D564)/365.25))</f>
        <v/>
      </c>
      <c r="I564" s="25"/>
      <c r="J564" s="12"/>
      <c r="K564" s="12"/>
      <c r="L564" s="14" t="str">
        <f aca="false">IF(OR($C564="",$D564="",$B564=""),"",IF(COUNTIFS($C$5:$C$1504,$C564,$D$5:$D$1504,$D564,$B$5:$B$1504,$B564)&gt;1,"Takror",""))</f>
        <v/>
      </c>
    </row>
    <row r="565" customFormat="false" ht="15" hidden="false" customHeight="false" outlineLevel="0" collapsed="false">
      <c r="A565" s="8" t="n">
        <v>561</v>
      </c>
      <c r="B565" s="13"/>
      <c r="C565" s="12"/>
      <c r="D565" s="13"/>
      <c r="E565" s="24"/>
      <c r="F565" s="12"/>
      <c r="G565" s="25"/>
      <c r="H565" s="14" t="str">
        <f aca="false">IF(OR($D565="",$B565=""),"",INT(($B565-$D565)/365.25))</f>
        <v/>
      </c>
      <c r="I565" s="25"/>
      <c r="J565" s="12"/>
      <c r="K565" s="12"/>
      <c r="L565" s="14" t="str">
        <f aca="false">IF(OR($C565="",$D565="",$B565=""),"",IF(COUNTIFS($C$5:$C$1504,$C565,$D$5:$D$1504,$D565,$B$5:$B$1504,$B565)&gt;1,"Takror",""))</f>
        <v/>
      </c>
    </row>
    <row r="566" customFormat="false" ht="15" hidden="false" customHeight="false" outlineLevel="0" collapsed="false">
      <c r="A566" s="8" t="n">
        <v>562</v>
      </c>
      <c r="B566" s="13"/>
      <c r="C566" s="12"/>
      <c r="D566" s="13"/>
      <c r="E566" s="24"/>
      <c r="F566" s="12"/>
      <c r="G566" s="25"/>
      <c r="H566" s="14" t="str">
        <f aca="false">IF(OR($D566="",$B566=""),"",INT(($B566-$D566)/365.25))</f>
        <v/>
      </c>
      <c r="I566" s="25"/>
      <c r="J566" s="12"/>
      <c r="K566" s="12"/>
      <c r="L566" s="14" t="str">
        <f aca="false">IF(OR($C566="",$D566="",$B566=""),"",IF(COUNTIFS($C$5:$C$1504,$C566,$D$5:$D$1504,$D566,$B$5:$B$1504,$B566)&gt;1,"Takror",""))</f>
        <v/>
      </c>
    </row>
    <row r="567" customFormat="false" ht="15" hidden="false" customHeight="false" outlineLevel="0" collapsed="false">
      <c r="A567" s="8" t="n">
        <v>563</v>
      </c>
      <c r="B567" s="13"/>
      <c r="C567" s="12"/>
      <c r="D567" s="13"/>
      <c r="E567" s="24"/>
      <c r="F567" s="12"/>
      <c r="G567" s="25"/>
      <c r="H567" s="14" t="str">
        <f aca="false">IF(OR($D567="",$B567=""),"",INT(($B567-$D567)/365.25))</f>
        <v/>
      </c>
      <c r="I567" s="25"/>
      <c r="J567" s="12"/>
      <c r="K567" s="12"/>
      <c r="L567" s="14" t="str">
        <f aca="false">IF(OR($C567="",$D567="",$B567=""),"",IF(COUNTIFS($C$5:$C$1504,$C567,$D$5:$D$1504,$D567,$B$5:$B$1504,$B567)&gt;1,"Takror",""))</f>
        <v/>
      </c>
    </row>
    <row r="568" customFormat="false" ht="15" hidden="false" customHeight="false" outlineLevel="0" collapsed="false">
      <c r="A568" s="8" t="n">
        <v>564</v>
      </c>
      <c r="B568" s="13"/>
      <c r="C568" s="12"/>
      <c r="D568" s="13"/>
      <c r="E568" s="24"/>
      <c r="F568" s="12"/>
      <c r="G568" s="25"/>
      <c r="H568" s="14" t="str">
        <f aca="false">IF(OR($D568="",$B568=""),"",INT(($B568-$D568)/365.25))</f>
        <v/>
      </c>
      <c r="I568" s="25"/>
      <c r="J568" s="12"/>
      <c r="K568" s="12"/>
      <c r="L568" s="14" t="str">
        <f aca="false">IF(OR($C568="",$D568="",$B568=""),"",IF(COUNTIFS($C$5:$C$1504,$C568,$D$5:$D$1504,$D568,$B$5:$B$1504,$B568)&gt;1,"Takror",""))</f>
        <v/>
      </c>
    </row>
    <row r="569" customFormat="false" ht="15" hidden="false" customHeight="false" outlineLevel="0" collapsed="false">
      <c r="A569" s="8" t="n">
        <v>565</v>
      </c>
      <c r="B569" s="13"/>
      <c r="C569" s="12"/>
      <c r="D569" s="13"/>
      <c r="E569" s="24"/>
      <c r="F569" s="12"/>
      <c r="G569" s="25"/>
      <c r="H569" s="14" t="str">
        <f aca="false">IF(OR($D569="",$B569=""),"",INT(($B569-$D569)/365.25))</f>
        <v/>
      </c>
      <c r="I569" s="25"/>
      <c r="J569" s="12"/>
      <c r="K569" s="12"/>
      <c r="L569" s="14" t="str">
        <f aca="false">IF(OR($C569="",$D569="",$B569=""),"",IF(COUNTIFS($C$5:$C$1504,$C569,$D$5:$D$1504,$D569,$B$5:$B$1504,$B569)&gt;1,"Takror",""))</f>
        <v/>
      </c>
    </row>
    <row r="570" customFormat="false" ht="15" hidden="false" customHeight="false" outlineLevel="0" collapsed="false">
      <c r="A570" s="8" t="n">
        <v>566</v>
      </c>
      <c r="B570" s="13"/>
      <c r="C570" s="12"/>
      <c r="D570" s="13"/>
      <c r="E570" s="24"/>
      <c r="F570" s="12"/>
      <c r="G570" s="25"/>
      <c r="H570" s="14" t="str">
        <f aca="false">IF(OR($D570="",$B570=""),"",INT(($B570-$D570)/365.25))</f>
        <v/>
      </c>
      <c r="I570" s="25"/>
      <c r="J570" s="12"/>
      <c r="K570" s="12"/>
      <c r="L570" s="14" t="str">
        <f aca="false">IF(OR($C570="",$D570="",$B570=""),"",IF(COUNTIFS($C$5:$C$1504,$C570,$D$5:$D$1504,$D570,$B$5:$B$1504,$B570)&gt;1,"Takror",""))</f>
        <v/>
      </c>
    </row>
    <row r="571" customFormat="false" ht="15" hidden="false" customHeight="false" outlineLevel="0" collapsed="false">
      <c r="A571" s="8" t="n">
        <v>567</v>
      </c>
      <c r="B571" s="13"/>
      <c r="C571" s="12"/>
      <c r="D571" s="13"/>
      <c r="E571" s="24"/>
      <c r="F571" s="12"/>
      <c r="G571" s="25"/>
      <c r="H571" s="14" t="str">
        <f aca="false">IF(OR($D571="",$B571=""),"",INT(($B571-$D571)/365.25))</f>
        <v/>
      </c>
      <c r="I571" s="25"/>
      <c r="J571" s="12"/>
      <c r="K571" s="12"/>
      <c r="L571" s="14" t="str">
        <f aca="false">IF(OR($C571="",$D571="",$B571=""),"",IF(COUNTIFS($C$5:$C$1504,$C571,$D$5:$D$1504,$D571,$B$5:$B$1504,$B571)&gt;1,"Takror",""))</f>
        <v/>
      </c>
    </row>
    <row r="572" customFormat="false" ht="15" hidden="false" customHeight="false" outlineLevel="0" collapsed="false">
      <c r="A572" s="8" t="n">
        <v>568</v>
      </c>
      <c r="B572" s="13"/>
      <c r="C572" s="12"/>
      <c r="D572" s="13"/>
      <c r="E572" s="24"/>
      <c r="F572" s="12"/>
      <c r="G572" s="25"/>
      <c r="H572" s="14" t="str">
        <f aca="false">IF(OR($D572="",$B572=""),"",INT(($B572-$D572)/365.25))</f>
        <v/>
      </c>
      <c r="I572" s="25"/>
      <c r="J572" s="12"/>
      <c r="K572" s="12"/>
      <c r="L572" s="14" t="str">
        <f aca="false">IF(OR($C572="",$D572="",$B572=""),"",IF(COUNTIFS($C$5:$C$1504,$C572,$D$5:$D$1504,$D572,$B$5:$B$1504,$B572)&gt;1,"Takror",""))</f>
        <v/>
      </c>
    </row>
    <row r="573" customFormat="false" ht="15" hidden="false" customHeight="false" outlineLevel="0" collapsed="false">
      <c r="A573" s="8" t="n">
        <v>569</v>
      </c>
      <c r="B573" s="13"/>
      <c r="C573" s="12"/>
      <c r="D573" s="13"/>
      <c r="E573" s="24"/>
      <c r="F573" s="12"/>
      <c r="G573" s="25"/>
      <c r="H573" s="14" t="str">
        <f aca="false">IF(OR($D573="",$B573=""),"",INT(($B573-$D573)/365.25))</f>
        <v/>
      </c>
      <c r="I573" s="25"/>
      <c r="J573" s="12"/>
      <c r="K573" s="12"/>
      <c r="L573" s="14" t="str">
        <f aca="false">IF(OR($C573="",$D573="",$B573=""),"",IF(COUNTIFS($C$5:$C$1504,$C573,$D$5:$D$1504,$D573,$B$5:$B$1504,$B573)&gt;1,"Takror",""))</f>
        <v/>
      </c>
    </row>
    <row r="574" customFormat="false" ht="15" hidden="false" customHeight="false" outlineLevel="0" collapsed="false">
      <c r="A574" s="8" t="n">
        <v>570</v>
      </c>
      <c r="B574" s="13"/>
      <c r="C574" s="12"/>
      <c r="D574" s="13"/>
      <c r="E574" s="24"/>
      <c r="F574" s="12"/>
      <c r="G574" s="25"/>
      <c r="H574" s="14" t="str">
        <f aca="false">IF(OR($D574="",$B574=""),"",INT(($B574-$D574)/365.25))</f>
        <v/>
      </c>
      <c r="I574" s="25"/>
      <c r="J574" s="12"/>
      <c r="K574" s="12"/>
      <c r="L574" s="14" t="str">
        <f aca="false">IF(OR($C574="",$D574="",$B574=""),"",IF(COUNTIFS($C$5:$C$1504,$C574,$D$5:$D$1504,$D574,$B$5:$B$1504,$B574)&gt;1,"Takror",""))</f>
        <v/>
      </c>
    </row>
    <row r="575" customFormat="false" ht="15" hidden="false" customHeight="false" outlineLevel="0" collapsed="false">
      <c r="A575" s="8" t="n">
        <v>571</v>
      </c>
      <c r="B575" s="13"/>
      <c r="C575" s="12"/>
      <c r="D575" s="13"/>
      <c r="E575" s="24"/>
      <c r="F575" s="12"/>
      <c r="G575" s="25"/>
      <c r="H575" s="14" t="str">
        <f aca="false">IF(OR($D575="",$B575=""),"",INT(($B575-$D575)/365.25))</f>
        <v/>
      </c>
      <c r="I575" s="25"/>
      <c r="J575" s="12"/>
      <c r="K575" s="12"/>
      <c r="L575" s="14" t="str">
        <f aca="false">IF(OR($C575="",$D575="",$B575=""),"",IF(COUNTIFS($C$5:$C$1504,$C575,$D$5:$D$1504,$D575,$B$5:$B$1504,$B575)&gt;1,"Takror",""))</f>
        <v/>
      </c>
    </row>
    <row r="576" customFormat="false" ht="15" hidden="false" customHeight="false" outlineLevel="0" collapsed="false">
      <c r="A576" s="8" t="n">
        <v>572</v>
      </c>
      <c r="B576" s="13"/>
      <c r="C576" s="12"/>
      <c r="D576" s="13"/>
      <c r="E576" s="24"/>
      <c r="F576" s="12"/>
      <c r="G576" s="25"/>
      <c r="H576" s="14" t="str">
        <f aca="false">IF(OR($D576="",$B576=""),"",INT(($B576-$D576)/365.25))</f>
        <v/>
      </c>
      <c r="I576" s="25"/>
      <c r="J576" s="12"/>
      <c r="K576" s="12"/>
      <c r="L576" s="14" t="str">
        <f aca="false">IF(OR($C576="",$D576="",$B576=""),"",IF(COUNTIFS($C$5:$C$1504,$C576,$D$5:$D$1504,$D576,$B$5:$B$1504,$B576)&gt;1,"Takror",""))</f>
        <v/>
      </c>
    </row>
    <row r="577" customFormat="false" ht="15" hidden="false" customHeight="false" outlineLevel="0" collapsed="false">
      <c r="A577" s="8" t="n">
        <v>573</v>
      </c>
      <c r="B577" s="13"/>
      <c r="C577" s="12"/>
      <c r="D577" s="13"/>
      <c r="E577" s="24"/>
      <c r="F577" s="12"/>
      <c r="G577" s="25"/>
      <c r="H577" s="14" t="str">
        <f aca="false">IF(OR($D577="",$B577=""),"",INT(($B577-$D577)/365.25))</f>
        <v/>
      </c>
      <c r="I577" s="25"/>
      <c r="J577" s="12"/>
      <c r="K577" s="12"/>
      <c r="L577" s="14" t="str">
        <f aca="false">IF(OR($C577="",$D577="",$B577=""),"",IF(COUNTIFS($C$5:$C$1504,$C577,$D$5:$D$1504,$D577,$B$5:$B$1504,$B577)&gt;1,"Takror",""))</f>
        <v/>
      </c>
    </row>
    <row r="578" customFormat="false" ht="15" hidden="false" customHeight="false" outlineLevel="0" collapsed="false">
      <c r="A578" s="8" t="n">
        <v>574</v>
      </c>
      <c r="B578" s="13"/>
      <c r="C578" s="12"/>
      <c r="D578" s="13"/>
      <c r="E578" s="24"/>
      <c r="F578" s="12"/>
      <c r="G578" s="25"/>
      <c r="H578" s="14" t="str">
        <f aca="false">IF(OR($D578="",$B578=""),"",INT(($B578-$D578)/365.25))</f>
        <v/>
      </c>
      <c r="I578" s="25"/>
      <c r="J578" s="12"/>
      <c r="K578" s="12"/>
      <c r="L578" s="14" t="str">
        <f aca="false">IF(OR($C578="",$D578="",$B578=""),"",IF(COUNTIFS($C$5:$C$1504,$C578,$D$5:$D$1504,$D578,$B$5:$B$1504,$B578)&gt;1,"Takror",""))</f>
        <v/>
      </c>
    </row>
    <row r="579" customFormat="false" ht="15" hidden="false" customHeight="false" outlineLevel="0" collapsed="false">
      <c r="A579" s="8" t="n">
        <v>575</v>
      </c>
      <c r="B579" s="13"/>
      <c r="C579" s="12"/>
      <c r="D579" s="13"/>
      <c r="E579" s="24"/>
      <c r="F579" s="12"/>
      <c r="G579" s="25"/>
      <c r="H579" s="14" t="str">
        <f aca="false">IF(OR($D579="",$B579=""),"",INT(($B579-$D579)/365.25))</f>
        <v/>
      </c>
      <c r="I579" s="25"/>
      <c r="J579" s="12"/>
      <c r="K579" s="12"/>
      <c r="L579" s="14" t="str">
        <f aca="false">IF(OR($C579="",$D579="",$B579=""),"",IF(COUNTIFS($C$5:$C$1504,$C579,$D$5:$D$1504,$D579,$B$5:$B$1504,$B579)&gt;1,"Takror",""))</f>
        <v/>
      </c>
    </row>
    <row r="580" customFormat="false" ht="15" hidden="false" customHeight="false" outlineLevel="0" collapsed="false">
      <c r="A580" s="8" t="n">
        <v>576</v>
      </c>
      <c r="B580" s="13"/>
      <c r="C580" s="12"/>
      <c r="D580" s="13"/>
      <c r="E580" s="24"/>
      <c r="F580" s="12"/>
      <c r="G580" s="25"/>
      <c r="H580" s="14" t="str">
        <f aca="false">IF(OR($D580="",$B580=""),"",INT(($B580-$D580)/365.25))</f>
        <v/>
      </c>
      <c r="I580" s="25"/>
      <c r="J580" s="12"/>
      <c r="K580" s="12"/>
      <c r="L580" s="14" t="str">
        <f aca="false">IF(OR($C580="",$D580="",$B580=""),"",IF(COUNTIFS($C$5:$C$1504,$C580,$D$5:$D$1504,$D580,$B$5:$B$1504,$B580)&gt;1,"Takror",""))</f>
        <v/>
      </c>
    </row>
    <row r="581" customFormat="false" ht="15" hidden="false" customHeight="false" outlineLevel="0" collapsed="false">
      <c r="A581" s="8" t="n">
        <v>577</v>
      </c>
      <c r="B581" s="13"/>
      <c r="C581" s="12"/>
      <c r="D581" s="13"/>
      <c r="E581" s="24"/>
      <c r="F581" s="12"/>
      <c r="G581" s="25"/>
      <c r="H581" s="14" t="str">
        <f aca="false">IF(OR($D581="",$B581=""),"",INT(($B581-$D581)/365.25))</f>
        <v/>
      </c>
      <c r="I581" s="25"/>
      <c r="J581" s="12"/>
      <c r="K581" s="12"/>
      <c r="L581" s="14" t="str">
        <f aca="false">IF(OR($C581="",$D581="",$B581=""),"",IF(COUNTIFS($C$5:$C$1504,$C581,$D$5:$D$1504,$D581,$B$5:$B$1504,$B581)&gt;1,"Takror",""))</f>
        <v/>
      </c>
    </row>
    <row r="582" customFormat="false" ht="15" hidden="false" customHeight="false" outlineLevel="0" collapsed="false">
      <c r="A582" s="8" t="n">
        <v>578</v>
      </c>
      <c r="B582" s="13"/>
      <c r="C582" s="12"/>
      <c r="D582" s="13"/>
      <c r="E582" s="24"/>
      <c r="F582" s="12"/>
      <c r="G582" s="25"/>
      <c r="H582" s="14" t="str">
        <f aca="false">IF(OR($D582="",$B582=""),"",INT(($B582-$D582)/365.25))</f>
        <v/>
      </c>
      <c r="I582" s="25"/>
      <c r="J582" s="12"/>
      <c r="K582" s="12"/>
      <c r="L582" s="14" t="str">
        <f aca="false">IF(OR($C582="",$D582="",$B582=""),"",IF(COUNTIFS($C$5:$C$1504,$C582,$D$5:$D$1504,$D582,$B$5:$B$1504,$B582)&gt;1,"Takror",""))</f>
        <v/>
      </c>
    </row>
    <row r="583" customFormat="false" ht="15" hidden="false" customHeight="false" outlineLevel="0" collapsed="false">
      <c r="A583" s="8" t="n">
        <v>579</v>
      </c>
      <c r="B583" s="13"/>
      <c r="C583" s="12"/>
      <c r="D583" s="13"/>
      <c r="E583" s="24"/>
      <c r="F583" s="12"/>
      <c r="G583" s="25"/>
      <c r="H583" s="14" t="str">
        <f aca="false">IF(OR($D583="",$B583=""),"",INT(($B583-$D583)/365.25))</f>
        <v/>
      </c>
      <c r="I583" s="25"/>
      <c r="J583" s="12"/>
      <c r="K583" s="12"/>
      <c r="L583" s="14" t="str">
        <f aca="false">IF(OR($C583="",$D583="",$B583=""),"",IF(COUNTIFS($C$5:$C$1504,$C583,$D$5:$D$1504,$D583,$B$5:$B$1504,$B583)&gt;1,"Takror",""))</f>
        <v/>
      </c>
    </row>
    <row r="584" customFormat="false" ht="15" hidden="false" customHeight="false" outlineLevel="0" collapsed="false">
      <c r="A584" s="8" t="n">
        <v>580</v>
      </c>
      <c r="B584" s="13"/>
      <c r="C584" s="12"/>
      <c r="D584" s="13"/>
      <c r="E584" s="24"/>
      <c r="F584" s="12"/>
      <c r="G584" s="25"/>
      <c r="H584" s="14" t="str">
        <f aca="false">IF(OR($D584="",$B584=""),"",INT(($B584-$D584)/365.25))</f>
        <v/>
      </c>
      <c r="I584" s="25"/>
      <c r="J584" s="12"/>
      <c r="K584" s="12"/>
      <c r="L584" s="14" t="str">
        <f aca="false">IF(OR($C584="",$D584="",$B584=""),"",IF(COUNTIFS($C$5:$C$1504,$C584,$D$5:$D$1504,$D584,$B$5:$B$1504,$B584)&gt;1,"Takror",""))</f>
        <v/>
      </c>
    </row>
    <row r="585" customFormat="false" ht="15" hidden="false" customHeight="false" outlineLevel="0" collapsed="false">
      <c r="A585" s="8" t="n">
        <v>581</v>
      </c>
      <c r="B585" s="13"/>
      <c r="C585" s="12"/>
      <c r="D585" s="13"/>
      <c r="E585" s="24"/>
      <c r="F585" s="12"/>
      <c r="G585" s="25"/>
      <c r="H585" s="14" t="str">
        <f aca="false">IF(OR($D585="",$B585=""),"",INT(($B585-$D585)/365.25))</f>
        <v/>
      </c>
      <c r="I585" s="25"/>
      <c r="J585" s="12"/>
      <c r="K585" s="12"/>
      <c r="L585" s="14" t="str">
        <f aca="false">IF(OR($C585="",$D585="",$B585=""),"",IF(COUNTIFS($C$5:$C$1504,$C585,$D$5:$D$1504,$D585,$B$5:$B$1504,$B585)&gt;1,"Takror",""))</f>
        <v/>
      </c>
    </row>
    <row r="586" customFormat="false" ht="15" hidden="false" customHeight="false" outlineLevel="0" collapsed="false">
      <c r="A586" s="8" t="n">
        <v>582</v>
      </c>
      <c r="B586" s="13"/>
      <c r="C586" s="12"/>
      <c r="D586" s="13"/>
      <c r="E586" s="24"/>
      <c r="F586" s="12"/>
      <c r="G586" s="25"/>
      <c r="H586" s="14" t="str">
        <f aca="false">IF(OR($D586="",$B586=""),"",INT(($B586-$D586)/365.25))</f>
        <v/>
      </c>
      <c r="I586" s="25"/>
      <c r="J586" s="12"/>
      <c r="K586" s="12"/>
      <c r="L586" s="14" t="str">
        <f aca="false">IF(OR($C586="",$D586="",$B586=""),"",IF(COUNTIFS($C$5:$C$1504,$C586,$D$5:$D$1504,$D586,$B$5:$B$1504,$B586)&gt;1,"Takror",""))</f>
        <v/>
      </c>
    </row>
    <row r="587" customFormat="false" ht="15" hidden="false" customHeight="false" outlineLevel="0" collapsed="false">
      <c r="A587" s="8" t="n">
        <v>583</v>
      </c>
      <c r="B587" s="13"/>
      <c r="C587" s="12"/>
      <c r="D587" s="13"/>
      <c r="E587" s="24"/>
      <c r="F587" s="12"/>
      <c r="G587" s="25"/>
      <c r="H587" s="14" t="str">
        <f aca="false">IF(OR($D587="",$B587=""),"",INT(($B587-$D587)/365.25))</f>
        <v/>
      </c>
      <c r="I587" s="25"/>
      <c r="J587" s="12"/>
      <c r="K587" s="12"/>
      <c r="L587" s="14" t="str">
        <f aca="false">IF(OR($C587="",$D587="",$B587=""),"",IF(COUNTIFS($C$5:$C$1504,$C587,$D$5:$D$1504,$D587,$B$5:$B$1504,$B587)&gt;1,"Takror",""))</f>
        <v/>
      </c>
    </row>
    <row r="588" customFormat="false" ht="15" hidden="false" customHeight="false" outlineLevel="0" collapsed="false">
      <c r="A588" s="8" t="n">
        <v>584</v>
      </c>
      <c r="B588" s="13"/>
      <c r="C588" s="12"/>
      <c r="D588" s="13"/>
      <c r="E588" s="24"/>
      <c r="F588" s="12"/>
      <c r="G588" s="25"/>
      <c r="H588" s="14" t="str">
        <f aca="false">IF(OR($D588="",$B588=""),"",INT(($B588-$D588)/365.25))</f>
        <v/>
      </c>
      <c r="I588" s="25"/>
      <c r="J588" s="12"/>
      <c r="K588" s="12"/>
      <c r="L588" s="14" t="str">
        <f aca="false">IF(OR($C588="",$D588="",$B588=""),"",IF(COUNTIFS($C$5:$C$1504,$C588,$D$5:$D$1504,$D588,$B$5:$B$1504,$B588)&gt;1,"Takror",""))</f>
        <v/>
      </c>
    </row>
    <row r="589" customFormat="false" ht="15" hidden="false" customHeight="false" outlineLevel="0" collapsed="false">
      <c r="A589" s="8" t="n">
        <v>585</v>
      </c>
      <c r="B589" s="13"/>
      <c r="C589" s="12"/>
      <c r="D589" s="13"/>
      <c r="E589" s="24"/>
      <c r="F589" s="12"/>
      <c r="G589" s="25"/>
      <c r="H589" s="14" t="str">
        <f aca="false">IF(OR($D589="",$B589=""),"",INT(($B589-$D589)/365.25))</f>
        <v/>
      </c>
      <c r="I589" s="25"/>
      <c r="J589" s="12"/>
      <c r="K589" s="12"/>
      <c r="L589" s="14" t="str">
        <f aca="false">IF(OR($C589="",$D589="",$B589=""),"",IF(COUNTIFS($C$5:$C$1504,$C589,$D$5:$D$1504,$D589,$B$5:$B$1504,$B589)&gt;1,"Takror",""))</f>
        <v/>
      </c>
    </row>
    <row r="590" customFormat="false" ht="15" hidden="false" customHeight="false" outlineLevel="0" collapsed="false">
      <c r="A590" s="8" t="n">
        <v>586</v>
      </c>
      <c r="B590" s="13"/>
      <c r="C590" s="12"/>
      <c r="D590" s="13"/>
      <c r="E590" s="24"/>
      <c r="F590" s="12"/>
      <c r="G590" s="25"/>
      <c r="H590" s="14" t="str">
        <f aca="false">IF(OR($D590="",$B590=""),"",INT(($B590-$D590)/365.25))</f>
        <v/>
      </c>
      <c r="I590" s="25"/>
      <c r="J590" s="12"/>
      <c r="K590" s="12"/>
      <c r="L590" s="14" t="str">
        <f aca="false">IF(OR($C590="",$D590="",$B590=""),"",IF(COUNTIFS($C$5:$C$1504,$C590,$D$5:$D$1504,$D590,$B$5:$B$1504,$B590)&gt;1,"Takror",""))</f>
        <v/>
      </c>
    </row>
    <row r="591" customFormat="false" ht="15" hidden="false" customHeight="false" outlineLevel="0" collapsed="false">
      <c r="A591" s="8" t="n">
        <v>587</v>
      </c>
      <c r="B591" s="13"/>
      <c r="C591" s="12"/>
      <c r="D591" s="13"/>
      <c r="E591" s="24"/>
      <c r="F591" s="12"/>
      <c r="G591" s="25"/>
      <c r="H591" s="14" t="str">
        <f aca="false">IF(OR($D591="",$B591=""),"",INT(($B591-$D591)/365.25))</f>
        <v/>
      </c>
      <c r="I591" s="25"/>
      <c r="J591" s="12"/>
      <c r="K591" s="12"/>
      <c r="L591" s="14" t="str">
        <f aca="false">IF(OR($C591="",$D591="",$B591=""),"",IF(COUNTIFS($C$5:$C$1504,$C591,$D$5:$D$1504,$D591,$B$5:$B$1504,$B591)&gt;1,"Takror",""))</f>
        <v/>
      </c>
    </row>
    <row r="592" customFormat="false" ht="15" hidden="false" customHeight="false" outlineLevel="0" collapsed="false">
      <c r="A592" s="8" t="n">
        <v>588</v>
      </c>
      <c r="B592" s="13"/>
      <c r="C592" s="12"/>
      <c r="D592" s="13"/>
      <c r="E592" s="24"/>
      <c r="F592" s="12"/>
      <c r="G592" s="25"/>
      <c r="H592" s="14" t="str">
        <f aca="false">IF(OR($D592="",$B592=""),"",INT(($B592-$D592)/365.25))</f>
        <v/>
      </c>
      <c r="I592" s="25"/>
      <c r="J592" s="12"/>
      <c r="K592" s="12"/>
      <c r="L592" s="14" t="str">
        <f aca="false">IF(OR($C592="",$D592="",$B592=""),"",IF(COUNTIFS($C$5:$C$1504,$C592,$D$5:$D$1504,$D592,$B$5:$B$1504,$B592)&gt;1,"Takror",""))</f>
        <v/>
      </c>
    </row>
    <row r="593" customFormat="false" ht="15" hidden="false" customHeight="false" outlineLevel="0" collapsed="false">
      <c r="A593" s="8" t="n">
        <v>589</v>
      </c>
      <c r="B593" s="13"/>
      <c r="C593" s="12"/>
      <c r="D593" s="13"/>
      <c r="E593" s="24"/>
      <c r="F593" s="12"/>
      <c r="G593" s="25"/>
      <c r="H593" s="14" t="str">
        <f aca="false">IF(OR($D593="",$B593=""),"",INT(($B593-$D593)/365.25))</f>
        <v/>
      </c>
      <c r="I593" s="25"/>
      <c r="J593" s="12"/>
      <c r="K593" s="12"/>
      <c r="L593" s="14" t="str">
        <f aca="false">IF(OR($C593="",$D593="",$B593=""),"",IF(COUNTIFS($C$5:$C$1504,$C593,$D$5:$D$1504,$D593,$B$5:$B$1504,$B593)&gt;1,"Takror",""))</f>
        <v/>
      </c>
    </row>
    <row r="594" customFormat="false" ht="15" hidden="false" customHeight="false" outlineLevel="0" collapsed="false">
      <c r="A594" s="8" t="n">
        <v>590</v>
      </c>
      <c r="B594" s="13"/>
      <c r="C594" s="12"/>
      <c r="D594" s="13"/>
      <c r="E594" s="24"/>
      <c r="F594" s="12"/>
      <c r="G594" s="25"/>
      <c r="H594" s="14" t="str">
        <f aca="false">IF(OR($D594="",$B594=""),"",INT(($B594-$D594)/365.25))</f>
        <v/>
      </c>
      <c r="I594" s="25"/>
      <c r="J594" s="12"/>
      <c r="K594" s="12"/>
      <c r="L594" s="14" t="str">
        <f aca="false">IF(OR($C594="",$D594="",$B594=""),"",IF(COUNTIFS($C$5:$C$1504,$C594,$D$5:$D$1504,$D594,$B$5:$B$1504,$B594)&gt;1,"Takror",""))</f>
        <v/>
      </c>
    </row>
    <row r="595" customFormat="false" ht="15" hidden="false" customHeight="false" outlineLevel="0" collapsed="false">
      <c r="A595" s="8" t="n">
        <v>591</v>
      </c>
      <c r="B595" s="13"/>
      <c r="C595" s="12"/>
      <c r="D595" s="13"/>
      <c r="E595" s="24"/>
      <c r="F595" s="12"/>
      <c r="G595" s="25"/>
      <c r="H595" s="14" t="str">
        <f aca="false">IF(OR($D595="",$B595=""),"",INT(($B595-$D595)/365.25))</f>
        <v/>
      </c>
      <c r="I595" s="25"/>
      <c r="J595" s="12"/>
      <c r="K595" s="12"/>
      <c r="L595" s="14" t="str">
        <f aca="false">IF(OR($C595="",$D595="",$B595=""),"",IF(COUNTIFS($C$5:$C$1504,$C595,$D$5:$D$1504,$D595,$B$5:$B$1504,$B595)&gt;1,"Takror",""))</f>
        <v/>
      </c>
    </row>
    <row r="596" customFormat="false" ht="15" hidden="false" customHeight="false" outlineLevel="0" collapsed="false">
      <c r="A596" s="8" t="n">
        <v>592</v>
      </c>
      <c r="B596" s="13"/>
      <c r="C596" s="12"/>
      <c r="D596" s="13"/>
      <c r="E596" s="24"/>
      <c r="F596" s="12"/>
      <c r="G596" s="25"/>
      <c r="H596" s="14" t="str">
        <f aca="false">IF(OR($D596="",$B596=""),"",INT(($B596-$D596)/365.25))</f>
        <v/>
      </c>
      <c r="I596" s="25"/>
      <c r="J596" s="12"/>
      <c r="K596" s="12"/>
      <c r="L596" s="14" t="str">
        <f aca="false">IF(OR($C596="",$D596="",$B596=""),"",IF(COUNTIFS($C$5:$C$1504,$C596,$D$5:$D$1504,$D596,$B$5:$B$1504,$B596)&gt;1,"Takror",""))</f>
        <v/>
      </c>
    </row>
    <row r="597" customFormat="false" ht="15" hidden="false" customHeight="false" outlineLevel="0" collapsed="false">
      <c r="A597" s="8" t="n">
        <v>593</v>
      </c>
      <c r="B597" s="13"/>
      <c r="C597" s="12"/>
      <c r="D597" s="13"/>
      <c r="E597" s="24"/>
      <c r="F597" s="12"/>
      <c r="G597" s="25"/>
      <c r="H597" s="14" t="str">
        <f aca="false">IF(OR($D597="",$B597=""),"",INT(($B597-$D597)/365.25))</f>
        <v/>
      </c>
      <c r="I597" s="25"/>
      <c r="J597" s="12"/>
      <c r="K597" s="12"/>
      <c r="L597" s="14" t="str">
        <f aca="false">IF(OR($C597="",$D597="",$B597=""),"",IF(COUNTIFS($C$5:$C$1504,$C597,$D$5:$D$1504,$D597,$B$5:$B$1504,$B597)&gt;1,"Takror",""))</f>
        <v/>
      </c>
    </row>
    <row r="598" customFormat="false" ht="15" hidden="false" customHeight="false" outlineLevel="0" collapsed="false">
      <c r="A598" s="8" t="n">
        <v>594</v>
      </c>
      <c r="B598" s="13"/>
      <c r="C598" s="12"/>
      <c r="D598" s="13"/>
      <c r="E598" s="24"/>
      <c r="F598" s="12"/>
      <c r="G598" s="25"/>
      <c r="H598" s="14" t="str">
        <f aca="false">IF(OR($D598="",$B598=""),"",INT(($B598-$D598)/365.25))</f>
        <v/>
      </c>
      <c r="I598" s="25"/>
      <c r="J598" s="12"/>
      <c r="K598" s="12"/>
      <c r="L598" s="14" t="str">
        <f aca="false">IF(OR($C598="",$D598="",$B598=""),"",IF(COUNTIFS($C$5:$C$1504,$C598,$D$5:$D$1504,$D598,$B$5:$B$1504,$B598)&gt;1,"Takror",""))</f>
        <v/>
      </c>
    </row>
    <row r="599" customFormat="false" ht="15" hidden="false" customHeight="false" outlineLevel="0" collapsed="false">
      <c r="A599" s="8" t="n">
        <v>595</v>
      </c>
      <c r="B599" s="13"/>
      <c r="C599" s="12"/>
      <c r="D599" s="13"/>
      <c r="E599" s="24"/>
      <c r="F599" s="12"/>
      <c r="G599" s="25"/>
      <c r="H599" s="14" t="str">
        <f aca="false">IF(OR($D599="",$B599=""),"",INT(($B599-$D599)/365.25))</f>
        <v/>
      </c>
      <c r="I599" s="25"/>
      <c r="J599" s="12"/>
      <c r="K599" s="12"/>
      <c r="L599" s="14" t="str">
        <f aca="false">IF(OR($C599="",$D599="",$B599=""),"",IF(COUNTIFS($C$5:$C$1504,$C599,$D$5:$D$1504,$D599,$B$5:$B$1504,$B599)&gt;1,"Takror",""))</f>
        <v/>
      </c>
    </row>
    <row r="600" customFormat="false" ht="15" hidden="false" customHeight="false" outlineLevel="0" collapsed="false">
      <c r="A600" s="8" t="n">
        <v>596</v>
      </c>
      <c r="B600" s="13"/>
      <c r="C600" s="12"/>
      <c r="D600" s="13"/>
      <c r="E600" s="24"/>
      <c r="F600" s="12"/>
      <c r="G600" s="25"/>
      <c r="H600" s="14" t="str">
        <f aca="false">IF(OR($D600="",$B600=""),"",INT(($B600-$D600)/365.25))</f>
        <v/>
      </c>
      <c r="I600" s="25"/>
      <c r="J600" s="12"/>
      <c r="K600" s="12"/>
      <c r="L600" s="14" t="str">
        <f aca="false">IF(OR($C600="",$D600="",$B600=""),"",IF(COUNTIFS($C$5:$C$1504,$C600,$D$5:$D$1504,$D600,$B$5:$B$1504,$B600)&gt;1,"Takror",""))</f>
        <v/>
      </c>
    </row>
    <row r="601" customFormat="false" ht="15" hidden="false" customHeight="false" outlineLevel="0" collapsed="false">
      <c r="A601" s="8" t="n">
        <v>597</v>
      </c>
      <c r="B601" s="13"/>
      <c r="C601" s="12"/>
      <c r="D601" s="13"/>
      <c r="E601" s="24"/>
      <c r="F601" s="12"/>
      <c r="G601" s="25"/>
      <c r="H601" s="14" t="str">
        <f aca="false">IF(OR($D601="",$B601=""),"",INT(($B601-$D601)/365.25))</f>
        <v/>
      </c>
      <c r="I601" s="25"/>
      <c r="J601" s="12"/>
      <c r="K601" s="12"/>
      <c r="L601" s="14" t="str">
        <f aca="false">IF(OR($C601="",$D601="",$B601=""),"",IF(COUNTIFS($C$5:$C$1504,$C601,$D$5:$D$1504,$D601,$B$5:$B$1504,$B601)&gt;1,"Takror",""))</f>
        <v/>
      </c>
    </row>
    <row r="602" customFormat="false" ht="15" hidden="false" customHeight="false" outlineLevel="0" collapsed="false">
      <c r="A602" s="8" t="n">
        <v>598</v>
      </c>
      <c r="B602" s="13"/>
      <c r="C602" s="12"/>
      <c r="D602" s="13"/>
      <c r="E602" s="24"/>
      <c r="F602" s="12"/>
      <c r="G602" s="25"/>
      <c r="H602" s="14" t="str">
        <f aca="false">IF(OR($D602="",$B602=""),"",INT(($B602-$D602)/365.25))</f>
        <v/>
      </c>
      <c r="I602" s="25"/>
      <c r="J602" s="12"/>
      <c r="K602" s="12"/>
      <c r="L602" s="14" t="str">
        <f aca="false">IF(OR($C602="",$D602="",$B602=""),"",IF(COUNTIFS($C$5:$C$1504,$C602,$D$5:$D$1504,$D602,$B$5:$B$1504,$B602)&gt;1,"Takror",""))</f>
        <v/>
      </c>
    </row>
    <row r="603" customFormat="false" ht="15" hidden="false" customHeight="false" outlineLevel="0" collapsed="false">
      <c r="A603" s="8" t="n">
        <v>599</v>
      </c>
      <c r="B603" s="13"/>
      <c r="C603" s="12"/>
      <c r="D603" s="13"/>
      <c r="E603" s="24"/>
      <c r="F603" s="12"/>
      <c r="G603" s="25"/>
      <c r="H603" s="14" t="str">
        <f aca="false">IF(OR($D603="",$B603=""),"",INT(($B603-$D603)/365.25))</f>
        <v/>
      </c>
      <c r="I603" s="25"/>
      <c r="J603" s="12"/>
      <c r="K603" s="12"/>
      <c r="L603" s="14" t="str">
        <f aca="false">IF(OR($C603="",$D603="",$B603=""),"",IF(COUNTIFS($C$5:$C$1504,$C603,$D$5:$D$1504,$D603,$B$5:$B$1504,$B603)&gt;1,"Takror",""))</f>
        <v/>
      </c>
    </row>
    <row r="604" customFormat="false" ht="15" hidden="false" customHeight="false" outlineLevel="0" collapsed="false">
      <c r="A604" s="8" t="n">
        <v>600</v>
      </c>
      <c r="B604" s="13"/>
      <c r="C604" s="12"/>
      <c r="D604" s="13"/>
      <c r="E604" s="24"/>
      <c r="F604" s="12"/>
      <c r="G604" s="25"/>
      <c r="H604" s="14" t="str">
        <f aca="false">IF(OR($D604="",$B604=""),"",INT(($B604-$D604)/365.25))</f>
        <v/>
      </c>
      <c r="I604" s="25"/>
      <c r="J604" s="12"/>
      <c r="K604" s="12"/>
      <c r="L604" s="14" t="str">
        <f aca="false">IF(OR($C604="",$D604="",$B604=""),"",IF(COUNTIFS($C$5:$C$1504,$C604,$D$5:$D$1504,$D604,$B$5:$B$1504,$B604)&gt;1,"Takror",""))</f>
        <v/>
      </c>
    </row>
    <row r="605" customFormat="false" ht="15" hidden="false" customHeight="false" outlineLevel="0" collapsed="false">
      <c r="A605" s="8" t="n">
        <v>601</v>
      </c>
      <c r="B605" s="13"/>
      <c r="C605" s="12"/>
      <c r="D605" s="13"/>
      <c r="E605" s="24"/>
      <c r="F605" s="12"/>
      <c r="G605" s="25"/>
      <c r="H605" s="14" t="str">
        <f aca="false">IF(OR($D605="",$B605=""),"",INT(($B605-$D605)/365.25))</f>
        <v/>
      </c>
      <c r="I605" s="25"/>
      <c r="J605" s="12"/>
      <c r="K605" s="12"/>
      <c r="L605" s="14" t="str">
        <f aca="false">IF(OR($C605="",$D605="",$B605=""),"",IF(COUNTIFS($C$5:$C$1504,$C605,$D$5:$D$1504,$D605,$B$5:$B$1504,$B605)&gt;1,"Takror",""))</f>
        <v/>
      </c>
    </row>
    <row r="606" customFormat="false" ht="15" hidden="false" customHeight="false" outlineLevel="0" collapsed="false">
      <c r="A606" s="8" t="n">
        <v>602</v>
      </c>
      <c r="B606" s="13"/>
      <c r="C606" s="12"/>
      <c r="D606" s="13"/>
      <c r="E606" s="24"/>
      <c r="F606" s="12"/>
      <c r="G606" s="25"/>
      <c r="H606" s="14" t="str">
        <f aca="false">IF(OR($D606="",$B606=""),"",INT(($B606-$D606)/365.25))</f>
        <v/>
      </c>
      <c r="I606" s="25"/>
      <c r="J606" s="12"/>
      <c r="K606" s="12"/>
      <c r="L606" s="14" t="str">
        <f aca="false">IF(OR($C606="",$D606="",$B606=""),"",IF(COUNTIFS($C$5:$C$1504,$C606,$D$5:$D$1504,$D606,$B$5:$B$1504,$B606)&gt;1,"Takror",""))</f>
        <v/>
      </c>
    </row>
    <row r="607" customFormat="false" ht="15" hidden="false" customHeight="false" outlineLevel="0" collapsed="false">
      <c r="A607" s="8" t="n">
        <v>603</v>
      </c>
      <c r="B607" s="13"/>
      <c r="C607" s="12"/>
      <c r="D607" s="13"/>
      <c r="E607" s="24"/>
      <c r="F607" s="12"/>
      <c r="G607" s="25"/>
      <c r="H607" s="14" t="str">
        <f aca="false">IF(OR($D607="",$B607=""),"",INT(($B607-$D607)/365.25))</f>
        <v/>
      </c>
      <c r="I607" s="25"/>
      <c r="J607" s="12"/>
      <c r="K607" s="12"/>
      <c r="L607" s="14" t="str">
        <f aca="false">IF(OR($C607="",$D607="",$B607=""),"",IF(COUNTIFS($C$5:$C$1504,$C607,$D$5:$D$1504,$D607,$B$5:$B$1504,$B607)&gt;1,"Takror",""))</f>
        <v/>
      </c>
    </row>
    <row r="608" customFormat="false" ht="15" hidden="false" customHeight="false" outlineLevel="0" collapsed="false">
      <c r="A608" s="8" t="n">
        <v>604</v>
      </c>
      <c r="B608" s="13"/>
      <c r="C608" s="12"/>
      <c r="D608" s="13"/>
      <c r="E608" s="24"/>
      <c r="F608" s="12"/>
      <c r="G608" s="25"/>
      <c r="H608" s="14" t="str">
        <f aca="false">IF(OR($D608="",$B608=""),"",INT(($B608-$D608)/365.25))</f>
        <v/>
      </c>
      <c r="I608" s="25"/>
      <c r="J608" s="12"/>
      <c r="K608" s="12"/>
      <c r="L608" s="14" t="str">
        <f aca="false">IF(OR($C608="",$D608="",$B608=""),"",IF(COUNTIFS($C$5:$C$1504,$C608,$D$5:$D$1504,$D608,$B$5:$B$1504,$B608)&gt;1,"Takror",""))</f>
        <v/>
      </c>
    </row>
    <row r="609" customFormat="false" ht="15" hidden="false" customHeight="false" outlineLevel="0" collapsed="false">
      <c r="A609" s="8" t="n">
        <v>605</v>
      </c>
      <c r="B609" s="13"/>
      <c r="C609" s="12"/>
      <c r="D609" s="13"/>
      <c r="E609" s="24"/>
      <c r="F609" s="12"/>
      <c r="G609" s="25"/>
      <c r="H609" s="14" t="str">
        <f aca="false">IF(OR($D609="",$B609=""),"",INT(($B609-$D609)/365.25))</f>
        <v/>
      </c>
      <c r="I609" s="25"/>
      <c r="J609" s="12"/>
      <c r="K609" s="12"/>
      <c r="L609" s="14" t="str">
        <f aca="false">IF(OR($C609="",$D609="",$B609=""),"",IF(COUNTIFS($C$5:$C$1504,$C609,$D$5:$D$1504,$D609,$B$5:$B$1504,$B609)&gt;1,"Takror",""))</f>
        <v/>
      </c>
    </row>
    <row r="610" customFormat="false" ht="15" hidden="false" customHeight="false" outlineLevel="0" collapsed="false">
      <c r="A610" s="8" t="n">
        <v>606</v>
      </c>
      <c r="B610" s="13"/>
      <c r="C610" s="12"/>
      <c r="D610" s="13"/>
      <c r="E610" s="24"/>
      <c r="F610" s="12"/>
      <c r="G610" s="25"/>
      <c r="H610" s="14" t="str">
        <f aca="false">IF(OR($D610="",$B610=""),"",INT(($B610-$D610)/365.25))</f>
        <v/>
      </c>
      <c r="I610" s="25"/>
      <c r="J610" s="12"/>
      <c r="K610" s="12"/>
      <c r="L610" s="14" t="str">
        <f aca="false">IF(OR($C610="",$D610="",$B610=""),"",IF(COUNTIFS($C$5:$C$1504,$C610,$D$5:$D$1504,$D610,$B$5:$B$1504,$B610)&gt;1,"Takror",""))</f>
        <v/>
      </c>
    </row>
    <row r="611" customFormat="false" ht="15" hidden="false" customHeight="false" outlineLevel="0" collapsed="false">
      <c r="A611" s="8" t="n">
        <v>607</v>
      </c>
      <c r="B611" s="13"/>
      <c r="C611" s="12"/>
      <c r="D611" s="13"/>
      <c r="E611" s="24"/>
      <c r="F611" s="12"/>
      <c r="G611" s="25"/>
      <c r="H611" s="14" t="str">
        <f aca="false">IF(OR($D611="",$B611=""),"",INT(($B611-$D611)/365.25))</f>
        <v/>
      </c>
      <c r="I611" s="25"/>
      <c r="J611" s="12"/>
      <c r="K611" s="12"/>
      <c r="L611" s="14" t="str">
        <f aca="false">IF(OR($C611="",$D611="",$B611=""),"",IF(COUNTIFS($C$5:$C$1504,$C611,$D$5:$D$1504,$D611,$B$5:$B$1504,$B611)&gt;1,"Takror",""))</f>
        <v/>
      </c>
    </row>
    <row r="612" customFormat="false" ht="15" hidden="false" customHeight="false" outlineLevel="0" collapsed="false">
      <c r="A612" s="8" t="n">
        <v>608</v>
      </c>
      <c r="B612" s="13"/>
      <c r="C612" s="12"/>
      <c r="D612" s="13"/>
      <c r="E612" s="24"/>
      <c r="F612" s="12"/>
      <c r="G612" s="25"/>
      <c r="H612" s="14" t="str">
        <f aca="false">IF(OR($D612="",$B612=""),"",INT(($B612-$D612)/365.25))</f>
        <v/>
      </c>
      <c r="I612" s="25"/>
      <c r="J612" s="12"/>
      <c r="K612" s="12"/>
      <c r="L612" s="14" t="str">
        <f aca="false">IF(OR($C612="",$D612="",$B612=""),"",IF(COUNTIFS($C$5:$C$1504,$C612,$D$5:$D$1504,$D612,$B$5:$B$1504,$B612)&gt;1,"Takror",""))</f>
        <v/>
      </c>
    </row>
    <row r="613" customFormat="false" ht="15" hidden="false" customHeight="false" outlineLevel="0" collapsed="false">
      <c r="A613" s="8" t="n">
        <v>609</v>
      </c>
      <c r="B613" s="13"/>
      <c r="C613" s="12"/>
      <c r="D613" s="13"/>
      <c r="E613" s="24"/>
      <c r="F613" s="12"/>
      <c r="G613" s="25"/>
      <c r="H613" s="14" t="str">
        <f aca="false">IF(OR($D613="",$B613=""),"",INT(($B613-$D613)/365.25))</f>
        <v/>
      </c>
      <c r="I613" s="25"/>
      <c r="J613" s="12"/>
      <c r="K613" s="12"/>
      <c r="L613" s="14" t="str">
        <f aca="false">IF(OR($C613="",$D613="",$B613=""),"",IF(COUNTIFS($C$5:$C$1504,$C613,$D$5:$D$1504,$D613,$B$5:$B$1504,$B613)&gt;1,"Takror",""))</f>
        <v/>
      </c>
    </row>
    <row r="614" customFormat="false" ht="15" hidden="false" customHeight="false" outlineLevel="0" collapsed="false">
      <c r="A614" s="8" t="n">
        <v>610</v>
      </c>
      <c r="B614" s="13"/>
      <c r="C614" s="12"/>
      <c r="D614" s="13"/>
      <c r="E614" s="24"/>
      <c r="F614" s="12"/>
      <c r="G614" s="25"/>
      <c r="H614" s="14" t="str">
        <f aca="false">IF(OR($D614="",$B614=""),"",INT(($B614-$D614)/365.25))</f>
        <v/>
      </c>
      <c r="I614" s="25"/>
      <c r="J614" s="12"/>
      <c r="K614" s="12"/>
      <c r="L614" s="14" t="str">
        <f aca="false">IF(OR($C614="",$D614="",$B614=""),"",IF(COUNTIFS($C$5:$C$1504,$C614,$D$5:$D$1504,$D614,$B$5:$B$1504,$B614)&gt;1,"Takror",""))</f>
        <v/>
      </c>
    </row>
    <row r="615" customFormat="false" ht="15" hidden="false" customHeight="false" outlineLevel="0" collapsed="false">
      <c r="A615" s="8" t="n">
        <v>611</v>
      </c>
      <c r="B615" s="13"/>
      <c r="C615" s="12"/>
      <c r="D615" s="13"/>
      <c r="E615" s="24"/>
      <c r="F615" s="12"/>
      <c r="G615" s="25"/>
      <c r="H615" s="14" t="str">
        <f aca="false">IF(OR($D615="",$B615=""),"",INT(($B615-$D615)/365.25))</f>
        <v/>
      </c>
      <c r="I615" s="25"/>
      <c r="J615" s="12"/>
      <c r="K615" s="12"/>
      <c r="L615" s="14" t="str">
        <f aca="false">IF(OR($C615="",$D615="",$B615=""),"",IF(COUNTIFS($C$5:$C$1504,$C615,$D$5:$D$1504,$D615,$B$5:$B$1504,$B615)&gt;1,"Takror",""))</f>
        <v/>
      </c>
    </row>
    <row r="616" customFormat="false" ht="15" hidden="false" customHeight="false" outlineLevel="0" collapsed="false">
      <c r="A616" s="8" t="n">
        <v>612</v>
      </c>
      <c r="B616" s="13"/>
      <c r="C616" s="12"/>
      <c r="D616" s="13"/>
      <c r="E616" s="24"/>
      <c r="F616" s="12"/>
      <c r="G616" s="25"/>
      <c r="H616" s="14" t="str">
        <f aca="false">IF(OR($D616="",$B616=""),"",INT(($B616-$D616)/365.25))</f>
        <v/>
      </c>
      <c r="I616" s="25"/>
      <c r="J616" s="12"/>
      <c r="K616" s="12"/>
      <c r="L616" s="14" t="str">
        <f aca="false">IF(OR($C616="",$D616="",$B616=""),"",IF(COUNTIFS($C$5:$C$1504,$C616,$D$5:$D$1504,$D616,$B$5:$B$1504,$B616)&gt;1,"Takror",""))</f>
        <v/>
      </c>
    </row>
    <row r="617" customFormat="false" ht="15" hidden="false" customHeight="false" outlineLevel="0" collapsed="false">
      <c r="A617" s="8" t="n">
        <v>613</v>
      </c>
      <c r="B617" s="13"/>
      <c r="C617" s="12"/>
      <c r="D617" s="13"/>
      <c r="E617" s="24"/>
      <c r="F617" s="12"/>
      <c r="G617" s="25"/>
      <c r="H617" s="14" t="str">
        <f aca="false">IF(OR($D617="",$B617=""),"",INT(($B617-$D617)/365.25))</f>
        <v/>
      </c>
      <c r="I617" s="25"/>
      <c r="J617" s="12"/>
      <c r="K617" s="12"/>
      <c r="L617" s="14" t="str">
        <f aca="false">IF(OR($C617="",$D617="",$B617=""),"",IF(COUNTIFS($C$5:$C$1504,$C617,$D$5:$D$1504,$D617,$B$5:$B$1504,$B617)&gt;1,"Takror",""))</f>
        <v/>
      </c>
    </row>
    <row r="618" customFormat="false" ht="15" hidden="false" customHeight="false" outlineLevel="0" collapsed="false">
      <c r="A618" s="8" t="n">
        <v>614</v>
      </c>
      <c r="B618" s="13"/>
      <c r="C618" s="12"/>
      <c r="D618" s="13"/>
      <c r="E618" s="24"/>
      <c r="F618" s="12"/>
      <c r="G618" s="25"/>
      <c r="H618" s="14" t="str">
        <f aca="false">IF(OR($D618="",$B618=""),"",INT(($B618-$D618)/365.25))</f>
        <v/>
      </c>
      <c r="I618" s="25"/>
      <c r="J618" s="12"/>
      <c r="K618" s="12"/>
      <c r="L618" s="14" t="str">
        <f aca="false">IF(OR($C618="",$D618="",$B618=""),"",IF(COUNTIFS($C$5:$C$1504,$C618,$D$5:$D$1504,$D618,$B$5:$B$1504,$B618)&gt;1,"Takror",""))</f>
        <v/>
      </c>
    </row>
    <row r="619" customFormat="false" ht="15" hidden="false" customHeight="false" outlineLevel="0" collapsed="false">
      <c r="A619" s="8" t="n">
        <v>615</v>
      </c>
      <c r="B619" s="13"/>
      <c r="C619" s="12"/>
      <c r="D619" s="13"/>
      <c r="E619" s="24"/>
      <c r="F619" s="12"/>
      <c r="G619" s="25"/>
      <c r="H619" s="14" t="str">
        <f aca="false">IF(OR($D619="",$B619=""),"",INT(($B619-$D619)/365.25))</f>
        <v/>
      </c>
      <c r="I619" s="25"/>
      <c r="J619" s="12"/>
      <c r="K619" s="12"/>
      <c r="L619" s="14" t="str">
        <f aca="false">IF(OR($C619="",$D619="",$B619=""),"",IF(COUNTIFS($C$5:$C$1504,$C619,$D$5:$D$1504,$D619,$B$5:$B$1504,$B619)&gt;1,"Takror",""))</f>
        <v/>
      </c>
    </row>
    <row r="620" customFormat="false" ht="15" hidden="false" customHeight="false" outlineLevel="0" collapsed="false">
      <c r="A620" s="8" t="n">
        <v>616</v>
      </c>
      <c r="B620" s="13"/>
      <c r="C620" s="12"/>
      <c r="D620" s="13"/>
      <c r="E620" s="24"/>
      <c r="F620" s="12"/>
      <c r="G620" s="25"/>
      <c r="H620" s="14" t="str">
        <f aca="false">IF(OR($D620="",$B620=""),"",INT(($B620-$D620)/365.25))</f>
        <v/>
      </c>
      <c r="I620" s="25"/>
      <c r="J620" s="12"/>
      <c r="K620" s="12"/>
      <c r="L620" s="14" t="str">
        <f aca="false">IF(OR($C620="",$D620="",$B620=""),"",IF(COUNTIFS($C$5:$C$1504,$C620,$D$5:$D$1504,$D620,$B$5:$B$1504,$B620)&gt;1,"Takror",""))</f>
        <v/>
      </c>
    </row>
    <row r="621" customFormat="false" ht="15" hidden="false" customHeight="false" outlineLevel="0" collapsed="false">
      <c r="A621" s="8" t="n">
        <v>617</v>
      </c>
      <c r="B621" s="13"/>
      <c r="C621" s="12"/>
      <c r="D621" s="13"/>
      <c r="E621" s="24"/>
      <c r="F621" s="12"/>
      <c r="G621" s="25"/>
      <c r="H621" s="14" t="str">
        <f aca="false">IF(OR($D621="",$B621=""),"",INT(($B621-$D621)/365.25))</f>
        <v/>
      </c>
      <c r="I621" s="25"/>
      <c r="J621" s="12"/>
      <c r="K621" s="12"/>
      <c r="L621" s="14" t="str">
        <f aca="false">IF(OR($C621="",$D621="",$B621=""),"",IF(COUNTIFS($C$5:$C$1504,$C621,$D$5:$D$1504,$D621,$B$5:$B$1504,$B621)&gt;1,"Takror",""))</f>
        <v/>
      </c>
    </row>
    <row r="622" customFormat="false" ht="15" hidden="false" customHeight="false" outlineLevel="0" collapsed="false">
      <c r="A622" s="8" t="n">
        <v>618</v>
      </c>
      <c r="B622" s="13"/>
      <c r="C622" s="12"/>
      <c r="D622" s="13"/>
      <c r="E622" s="24"/>
      <c r="F622" s="12"/>
      <c r="G622" s="25"/>
      <c r="H622" s="14" t="str">
        <f aca="false">IF(OR($D622="",$B622=""),"",INT(($B622-$D622)/365.25))</f>
        <v/>
      </c>
      <c r="I622" s="25"/>
      <c r="J622" s="12"/>
      <c r="K622" s="12"/>
      <c r="L622" s="14" t="str">
        <f aca="false">IF(OR($C622="",$D622="",$B622=""),"",IF(COUNTIFS($C$5:$C$1504,$C622,$D$5:$D$1504,$D622,$B$5:$B$1504,$B622)&gt;1,"Takror",""))</f>
        <v/>
      </c>
    </row>
    <row r="623" customFormat="false" ht="15" hidden="false" customHeight="false" outlineLevel="0" collapsed="false">
      <c r="A623" s="8" t="n">
        <v>619</v>
      </c>
      <c r="B623" s="13"/>
      <c r="C623" s="12"/>
      <c r="D623" s="13"/>
      <c r="E623" s="24"/>
      <c r="F623" s="12"/>
      <c r="G623" s="25"/>
      <c r="H623" s="14" t="str">
        <f aca="false">IF(OR($D623="",$B623=""),"",INT(($B623-$D623)/365.25))</f>
        <v/>
      </c>
      <c r="I623" s="25"/>
      <c r="J623" s="12"/>
      <c r="K623" s="12"/>
      <c r="L623" s="14" t="str">
        <f aca="false">IF(OR($C623="",$D623="",$B623=""),"",IF(COUNTIFS($C$5:$C$1504,$C623,$D$5:$D$1504,$D623,$B$5:$B$1504,$B623)&gt;1,"Takror",""))</f>
        <v/>
      </c>
    </row>
    <row r="624" customFormat="false" ht="15" hidden="false" customHeight="false" outlineLevel="0" collapsed="false">
      <c r="A624" s="8" t="n">
        <v>620</v>
      </c>
      <c r="B624" s="13"/>
      <c r="C624" s="12"/>
      <c r="D624" s="13"/>
      <c r="E624" s="24"/>
      <c r="F624" s="12"/>
      <c r="G624" s="25"/>
      <c r="H624" s="14" t="str">
        <f aca="false">IF(OR($D624="",$B624=""),"",INT(($B624-$D624)/365.25))</f>
        <v/>
      </c>
      <c r="I624" s="25"/>
      <c r="J624" s="12"/>
      <c r="K624" s="12"/>
      <c r="L624" s="14" t="str">
        <f aca="false">IF(OR($C624="",$D624="",$B624=""),"",IF(COUNTIFS($C$5:$C$1504,$C624,$D$5:$D$1504,$D624,$B$5:$B$1504,$B624)&gt;1,"Takror",""))</f>
        <v/>
      </c>
    </row>
    <row r="625" customFormat="false" ht="15" hidden="false" customHeight="false" outlineLevel="0" collapsed="false">
      <c r="A625" s="8" t="n">
        <v>621</v>
      </c>
      <c r="B625" s="13"/>
      <c r="C625" s="12"/>
      <c r="D625" s="13"/>
      <c r="E625" s="24"/>
      <c r="F625" s="12"/>
      <c r="G625" s="25"/>
      <c r="H625" s="14" t="str">
        <f aca="false">IF(OR($D625="",$B625=""),"",INT(($B625-$D625)/365.25))</f>
        <v/>
      </c>
      <c r="I625" s="25"/>
      <c r="J625" s="12"/>
      <c r="K625" s="12"/>
      <c r="L625" s="14" t="str">
        <f aca="false">IF(OR($C625="",$D625="",$B625=""),"",IF(COUNTIFS($C$5:$C$1504,$C625,$D$5:$D$1504,$D625,$B$5:$B$1504,$B625)&gt;1,"Takror",""))</f>
        <v/>
      </c>
    </row>
    <row r="626" customFormat="false" ht="15" hidden="false" customHeight="false" outlineLevel="0" collapsed="false">
      <c r="A626" s="8" t="n">
        <v>622</v>
      </c>
      <c r="B626" s="13"/>
      <c r="C626" s="12"/>
      <c r="D626" s="13"/>
      <c r="E626" s="24"/>
      <c r="F626" s="12"/>
      <c r="G626" s="25"/>
      <c r="H626" s="14" t="str">
        <f aca="false">IF(OR($D626="",$B626=""),"",INT(($B626-$D626)/365.25))</f>
        <v/>
      </c>
      <c r="I626" s="25"/>
      <c r="J626" s="12"/>
      <c r="K626" s="12"/>
      <c r="L626" s="14" t="str">
        <f aca="false">IF(OR($C626="",$D626="",$B626=""),"",IF(COUNTIFS($C$5:$C$1504,$C626,$D$5:$D$1504,$D626,$B$5:$B$1504,$B626)&gt;1,"Takror",""))</f>
        <v/>
      </c>
    </row>
    <row r="627" customFormat="false" ht="15" hidden="false" customHeight="false" outlineLevel="0" collapsed="false">
      <c r="A627" s="8" t="n">
        <v>623</v>
      </c>
      <c r="B627" s="13"/>
      <c r="C627" s="12"/>
      <c r="D627" s="13"/>
      <c r="E627" s="24"/>
      <c r="F627" s="12"/>
      <c r="G627" s="25"/>
      <c r="H627" s="14" t="str">
        <f aca="false">IF(OR($D627="",$B627=""),"",INT(($B627-$D627)/365.25))</f>
        <v/>
      </c>
      <c r="I627" s="25"/>
      <c r="J627" s="12"/>
      <c r="K627" s="12"/>
      <c r="L627" s="14" t="str">
        <f aca="false">IF(OR($C627="",$D627="",$B627=""),"",IF(COUNTIFS($C$5:$C$1504,$C627,$D$5:$D$1504,$D627,$B$5:$B$1504,$B627)&gt;1,"Takror",""))</f>
        <v/>
      </c>
    </row>
    <row r="628" customFormat="false" ht="15" hidden="false" customHeight="false" outlineLevel="0" collapsed="false">
      <c r="A628" s="8" t="n">
        <v>624</v>
      </c>
      <c r="B628" s="13"/>
      <c r="C628" s="12"/>
      <c r="D628" s="13"/>
      <c r="E628" s="24"/>
      <c r="F628" s="12"/>
      <c r="G628" s="25"/>
      <c r="H628" s="14" t="str">
        <f aca="false">IF(OR($D628="",$B628=""),"",INT(($B628-$D628)/365.25))</f>
        <v/>
      </c>
      <c r="I628" s="25"/>
      <c r="J628" s="12"/>
      <c r="K628" s="12"/>
      <c r="L628" s="14" t="str">
        <f aca="false">IF(OR($C628="",$D628="",$B628=""),"",IF(COUNTIFS($C$5:$C$1504,$C628,$D$5:$D$1504,$D628,$B$5:$B$1504,$B628)&gt;1,"Takror",""))</f>
        <v/>
      </c>
    </row>
    <row r="629" customFormat="false" ht="15" hidden="false" customHeight="false" outlineLevel="0" collapsed="false">
      <c r="A629" s="8" t="n">
        <v>625</v>
      </c>
      <c r="B629" s="13"/>
      <c r="C629" s="12"/>
      <c r="D629" s="13"/>
      <c r="E629" s="24"/>
      <c r="F629" s="12"/>
      <c r="G629" s="25"/>
      <c r="H629" s="14" t="str">
        <f aca="false">IF(OR($D629="",$B629=""),"",INT(($B629-$D629)/365.25))</f>
        <v/>
      </c>
      <c r="I629" s="25"/>
      <c r="J629" s="12"/>
      <c r="K629" s="12"/>
      <c r="L629" s="14" t="str">
        <f aca="false">IF(OR($C629="",$D629="",$B629=""),"",IF(COUNTIFS($C$5:$C$1504,$C629,$D$5:$D$1504,$D629,$B$5:$B$1504,$B629)&gt;1,"Takror",""))</f>
        <v/>
      </c>
    </row>
    <row r="630" customFormat="false" ht="15" hidden="false" customHeight="false" outlineLevel="0" collapsed="false">
      <c r="A630" s="8" t="n">
        <v>626</v>
      </c>
      <c r="B630" s="13"/>
      <c r="C630" s="12"/>
      <c r="D630" s="13"/>
      <c r="E630" s="24"/>
      <c r="F630" s="12"/>
      <c r="G630" s="25"/>
      <c r="H630" s="14" t="str">
        <f aca="false">IF(OR($D630="",$B630=""),"",INT(($B630-$D630)/365.25))</f>
        <v/>
      </c>
      <c r="I630" s="25"/>
      <c r="J630" s="12"/>
      <c r="K630" s="12"/>
      <c r="L630" s="14" t="str">
        <f aca="false">IF(OR($C630="",$D630="",$B630=""),"",IF(COUNTIFS($C$5:$C$1504,$C630,$D$5:$D$1504,$D630,$B$5:$B$1504,$B630)&gt;1,"Takror",""))</f>
        <v/>
      </c>
    </row>
    <row r="631" customFormat="false" ht="15" hidden="false" customHeight="false" outlineLevel="0" collapsed="false">
      <c r="A631" s="8" t="n">
        <v>627</v>
      </c>
      <c r="B631" s="13"/>
      <c r="C631" s="12"/>
      <c r="D631" s="13"/>
      <c r="E631" s="24"/>
      <c r="F631" s="12"/>
      <c r="G631" s="25"/>
      <c r="H631" s="14" t="str">
        <f aca="false">IF(OR($D631="",$B631=""),"",INT(($B631-$D631)/365.25))</f>
        <v/>
      </c>
      <c r="I631" s="25"/>
      <c r="J631" s="12"/>
      <c r="K631" s="12"/>
      <c r="L631" s="14" t="str">
        <f aca="false">IF(OR($C631="",$D631="",$B631=""),"",IF(COUNTIFS($C$5:$C$1504,$C631,$D$5:$D$1504,$D631,$B$5:$B$1504,$B631)&gt;1,"Takror",""))</f>
        <v/>
      </c>
    </row>
    <row r="632" customFormat="false" ht="15" hidden="false" customHeight="false" outlineLevel="0" collapsed="false">
      <c r="A632" s="8" t="n">
        <v>628</v>
      </c>
      <c r="B632" s="13"/>
      <c r="C632" s="12"/>
      <c r="D632" s="13"/>
      <c r="E632" s="24"/>
      <c r="F632" s="12"/>
      <c r="G632" s="25"/>
      <c r="H632" s="14" t="str">
        <f aca="false">IF(OR($D632="",$B632=""),"",INT(($B632-$D632)/365.25))</f>
        <v/>
      </c>
      <c r="I632" s="25"/>
      <c r="J632" s="12"/>
      <c r="K632" s="12"/>
      <c r="L632" s="14" t="str">
        <f aca="false">IF(OR($C632="",$D632="",$B632=""),"",IF(COUNTIFS($C$5:$C$1504,$C632,$D$5:$D$1504,$D632,$B$5:$B$1504,$B632)&gt;1,"Takror",""))</f>
        <v/>
      </c>
    </row>
    <row r="633" customFormat="false" ht="15" hidden="false" customHeight="false" outlineLevel="0" collapsed="false">
      <c r="A633" s="8" t="n">
        <v>629</v>
      </c>
      <c r="B633" s="13"/>
      <c r="C633" s="12"/>
      <c r="D633" s="13"/>
      <c r="E633" s="24"/>
      <c r="F633" s="12"/>
      <c r="G633" s="25"/>
      <c r="H633" s="14" t="str">
        <f aca="false">IF(OR($D633="",$B633=""),"",INT(($B633-$D633)/365.25))</f>
        <v/>
      </c>
      <c r="I633" s="25"/>
      <c r="J633" s="12"/>
      <c r="K633" s="12"/>
      <c r="L633" s="14" t="str">
        <f aca="false">IF(OR($C633="",$D633="",$B633=""),"",IF(COUNTIFS($C$5:$C$1504,$C633,$D$5:$D$1504,$D633,$B$5:$B$1504,$B633)&gt;1,"Takror",""))</f>
        <v/>
      </c>
    </row>
    <row r="634" customFormat="false" ht="15" hidden="false" customHeight="false" outlineLevel="0" collapsed="false">
      <c r="A634" s="8" t="n">
        <v>630</v>
      </c>
      <c r="B634" s="13"/>
      <c r="C634" s="12"/>
      <c r="D634" s="13"/>
      <c r="E634" s="24"/>
      <c r="F634" s="12"/>
      <c r="G634" s="25"/>
      <c r="H634" s="14" t="str">
        <f aca="false">IF(OR($D634="",$B634=""),"",INT(($B634-$D634)/365.25))</f>
        <v/>
      </c>
      <c r="I634" s="25"/>
      <c r="J634" s="12"/>
      <c r="K634" s="12"/>
      <c r="L634" s="14" t="str">
        <f aca="false">IF(OR($C634="",$D634="",$B634=""),"",IF(COUNTIFS($C$5:$C$1504,$C634,$D$5:$D$1504,$D634,$B$5:$B$1504,$B634)&gt;1,"Takror",""))</f>
        <v/>
      </c>
    </row>
    <row r="635" customFormat="false" ht="15" hidden="false" customHeight="false" outlineLevel="0" collapsed="false">
      <c r="A635" s="8" t="n">
        <v>631</v>
      </c>
      <c r="B635" s="13"/>
      <c r="C635" s="12"/>
      <c r="D635" s="13"/>
      <c r="E635" s="24"/>
      <c r="F635" s="12"/>
      <c r="G635" s="25"/>
      <c r="H635" s="14" t="str">
        <f aca="false">IF(OR($D635="",$B635=""),"",INT(($B635-$D635)/365.25))</f>
        <v/>
      </c>
      <c r="I635" s="25"/>
      <c r="J635" s="12"/>
      <c r="K635" s="12"/>
      <c r="L635" s="14" t="str">
        <f aca="false">IF(OR($C635="",$D635="",$B635=""),"",IF(COUNTIFS($C$5:$C$1504,$C635,$D$5:$D$1504,$D635,$B$5:$B$1504,$B635)&gt;1,"Takror",""))</f>
        <v/>
      </c>
    </row>
    <row r="636" customFormat="false" ht="15" hidden="false" customHeight="false" outlineLevel="0" collapsed="false">
      <c r="A636" s="8" t="n">
        <v>632</v>
      </c>
      <c r="B636" s="13"/>
      <c r="C636" s="12"/>
      <c r="D636" s="13"/>
      <c r="E636" s="24"/>
      <c r="F636" s="12"/>
      <c r="G636" s="25"/>
      <c r="H636" s="14" t="str">
        <f aca="false">IF(OR($D636="",$B636=""),"",INT(($B636-$D636)/365.25))</f>
        <v/>
      </c>
      <c r="I636" s="25"/>
      <c r="J636" s="12"/>
      <c r="K636" s="12"/>
      <c r="L636" s="14" t="str">
        <f aca="false">IF(OR($C636="",$D636="",$B636=""),"",IF(COUNTIFS($C$5:$C$1504,$C636,$D$5:$D$1504,$D636,$B$5:$B$1504,$B636)&gt;1,"Takror",""))</f>
        <v/>
      </c>
    </row>
    <row r="637" customFormat="false" ht="15" hidden="false" customHeight="false" outlineLevel="0" collapsed="false">
      <c r="A637" s="8" t="n">
        <v>633</v>
      </c>
      <c r="B637" s="13"/>
      <c r="C637" s="12"/>
      <c r="D637" s="13"/>
      <c r="E637" s="24"/>
      <c r="F637" s="12"/>
      <c r="G637" s="25"/>
      <c r="H637" s="14" t="str">
        <f aca="false">IF(OR($D637="",$B637=""),"",INT(($B637-$D637)/365.25))</f>
        <v/>
      </c>
      <c r="I637" s="25"/>
      <c r="J637" s="12"/>
      <c r="K637" s="12"/>
      <c r="L637" s="14" t="str">
        <f aca="false">IF(OR($C637="",$D637="",$B637=""),"",IF(COUNTIFS($C$5:$C$1504,$C637,$D$5:$D$1504,$D637,$B$5:$B$1504,$B637)&gt;1,"Takror",""))</f>
        <v/>
      </c>
    </row>
    <row r="638" customFormat="false" ht="15" hidden="false" customHeight="false" outlineLevel="0" collapsed="false">
      <c r="A638" s="8" t="n">
        <v>634</v>
      </c>
      <c r="B638" s="13"/>
      <c r="C638" s="12"/>
      <c r="D638" s="13"/>
      <c r="E638" s="24"/>
      <c r="F638" s="12"/>
      <c r="G638" s="25"/>
      <c r="H638" s="14" t="str">
        <f aca="false">IF(OR($D638="",$B638=""),"",INT(($B638-$D638)/365.25))</f>
        <v/>
      </c>
      <c r="I638" s="25"/>
      <c r="J638" s="12"/>
      <c r="K638" s="12"/>
      <c r="L638" s="14" t="str">
        <f aca="false">IF(OR($C638="",$D638="",$B638=""),"",IF(COUNTIFS($C$5:$C$1504,$C638,$D$5:$D$1504,$D638,$B$5:$B$1504,$B638)&gt;1,"Takror",""))</f>
        <v/>
      </c>
    </row>
    <row r="639" customFormat="false" ht="15" hidden="false" customHeight="false" outlineLevel="0" collapsed="false">
      <c r="A639" s="8" t="n">
        <v>635</v>
      </c>
      <c r="B639" s="13"/>
      <c r="C639" s="12"/>
      <c r="D639" s="13"/>
      <c r="E639" s="24"/>
      <c r="F639" s="12"/>
      <c r="G639" s="25"/>
      <c r="H639" s="14" t="str">
        <f aca="false">IF(OR($D639="",$B639=""),"",INT(($B639-$D639)/365.25))</f>
        <v/>
      </c>
      <c r="I639" s="25"/>
      <c r="J639" s="12"/>
      <c r="K639" s="12"/>
      <c r="L639" s="14" t="str">
        <f aca="false">IF(OR($C639="",$D639="",$B639=""),"",IF(COUNTIFS($C$5:$C$1504,$C639,$D$5:$D$1504,$D639,$B$5:$B$1504,$B639)&gt;1,"Takror",""))</f>
        <v/>
      </c>
    </row>
    <row r="640" customFormat="false" ht="15" hidden="false" customHeight="false" outlineLevel="0" collapsed="false">
      <c r="A640" s="8" t="n">
        <v>636</v>
      </c>
      <c r="B640" s="13"/>
      <c r="C640" s="12"/>
      <c r="D640" s="13"/>
      <c r="E640" s="24"/>
      <c r="F640" s="12"/>
      <c r="G640" s="25"/>
      <c r="H640" s="14" t="str">
        <f aca="false">IF(OR($D640="",$B640=""),"",INT(($B640-$D640)/365.25))</f>
        <v/>
      </c>
      <c r="I640" s="25"/>
      <c r="J640" s="12"/>
      <c r="K640" s="12"/>
      <c r="L640" s="14" t="str">
        <f aca="false">IF(OR($C640="",$D640="",$B640=""),"",IF(COUNTIFS($C$5:$C$1504,$C640,$D$5:$D$1504,$D640,$B$5:$B$1504,$B640)&gt;1,"Takror",""))</f>
        <v/>
      </c>
    </row>
    <row r="641" customFormat="false" ht="15" hidden="false" customHeight="false" outlineLevel="0" collapsed="false">
      <c r="A641" s="8" t="n">
        <v>637</v>
      </c>
      <c r="B641" s="13"/>
      <c r="C641" s="12"/>
      <c r="D641" s="13"/>
      <c r="E641" s="24"/>
      <c r="F641" s="12"/>
      <c r="G641" s="25"/>
      <c r="H641" s="14" t="str">
        <f aca="false">IF(OR($D641="",$B641=""),"",INT(($B641-$D641)/365.25))</f>
        <v/>
      </c>
      <c r="I641" s="25"/>
      <c r="J641" s="12"/>
      <c r="K641" s="12"/>
      <c r="L641" s="14" t="str">
        <f aca="false">IF(OR($C641="",$D641="",$B641=""),"",IF(COUNTIFS($C$5:$C$1504,$C641,$D$5:$D$1504,$D641,$B$5:$B$1504,$B641)&gt;1,"Takror",""))</f>
        <v/>
      </c>
    </row>
    <row r="642" customFormat="false" ht="15" hidden="false" customHeight="false" outlineLevel="0" collapsed="false">
      <c r="A642" s="8" t="n">
        <v>638</v>
      </c>
      <c r="B642" s="13"/>
      <c r="C642" s="12"/>
      <c r="D642" s="13"/>
      <c r="E642" s="24"/>
      <c r="F642" s="12"/>
      <c r="G642" s="25"/>
      <c r="H642" s="14" t="str">
        <f aca="false">IF(OR($D642="",$B642=""),"",INT(($B642-$D642)/365.25))</f>
        <v/>
      </c>
      <c r="I642" s="25"/>
      <c r="J642" s="12"/>
      <c r="K642" s="12"/>
      <c r="L642" s="14" t="str">
        <f aca="false">IF(OR($C642="",$D642="",$B642=""),"",IF(COUNTIFS($C$5:$C$1504,$C642,$D$5:$D$1504,$D642,$B$5:$B$1504,$B642)&gt;1,"Takror",""))</f>
        <v/>
      </c>
    </row>
    <row r="643" customFormat="false" ht="15" hidden="false" customHeight="false" outlineLevel="0" collapsed="false">
      <c r="A643" s="8" t="n">
        <v>639</v>
      </c>
      <c r="B643" s="13"/>
      <c r="C643" s="12"/>
      <c r="D643" s="13"/>
      <c r="E643" s="24"/>
      <c r="F643" s="12"/>
      <c r="G643" s="25"/>
      <c r="H643" s="14" t="str">
        <f aca="false">IF(OR($D643="",$B643=""),"",INT(($B643-$D643)/365.25))</f>
        <v/>
      </c>
      <c r="I643" s="25"/>
      <c r="J643" s="12"/>
      <c r="K643" s="12"/>
      <c r="L643" s="14" t="str">
        <f aca="false">IF(OR($C643="",$D643="",$B643=""),"",IF(COUNTIFS($C$5:$C$1504,$C643,$D$5:$D$1504,$D643,$B$5:$B$1504,$B643)&gt;1,"Takror",""))</f>
        <v/>
      </c>
    </row>
    <row r="644" customFormat="false" ht="15" hidden="false" customHeight="false" outlineLevel="0" collapsed="false">
      <c r="A644" s="8" t="n">
        <v>640</v>
      </c>
      <c r="B644" s="13"/>
      <c r="C644" s="12"/>
      <c r="D644" s="13"/>
      <c r="E644" s="24"/>
      <c r="F644" s="12"/>
      <c r="G644" s="25"/>
      <c r="H644" s="14" t="str">
        <f aca="false">IF(OR($D644="",$B644=""),"",INT(($B644-$D644)/365.25))</f>
        <v/>
      </c>
      <c r="I644" s="25"/>
      <c r="J644" s="12"/>
      <c r="K644" s="12"/>
      <c r="L644" s="14" t="str">
        <f aca="false">IF(OR($C644="",$D644="",$B644=""),"",IF(COUNTIFS($C$5:$C$1504,$C644,$D$5:$D$1504,$D644,$B$5:$B$1504,$B644)&gt;1,"Takror",""))</f>
        <v/>
      </c>
    </row>
    <row r="645" customFormat="false" ht="15" hidden="false" customHeight="false" outlineLevel="0" collapsed="false">
      <c r="A645" s="8" t="n">
        <v>641</v>
      </c>
      <c r="B645" s="13"/>
      <c r="C645" s="12"/>
      <c r="D645" s="13"/>
      <c r="E645" s="24"/>
      <c r="F645" s="12"/>
      <c r="G645" s="25"/>
      <c r="H645" s="14" t="str">
        <f aca="false">IF(OR($D645="",$B645=""),"",INT(($B645-$D645)/365.25))</f>
        <v/>
      </c>
      <c r="I645" s="25"/>
      <c r="J645" s="12"/>
      <c r="K645" s="12"/>
      <c r="L645" s="14" t="str">
        <f aca="false">IF(OR($C645="",$D645="",$B645=""),"",IF(COUNTIFS($C$5:$C$1504,$C645,$D$5:$D$1504,$D645,$B$5:$B$1504,$B645)&gt;1,"Takror",""))</f>
        <v/>
      </c>
    </row>
    <row r="646" customFormat="false" ht="15" hidden="false" customHeight="false" outlineLevel="0" collapsed="false">
      <c r="A646" s="8" t="n">
        <v>642</v>
      </c>
      <c r="B646" s="13"/>
      <c r="C646" s="12"/>
      <c r="D646" s="13"/>
      <c r="E646" s="24"/>
      <c r="F646" s="12"/>
      <c r="G646" s="25"/>
      <c r="H646" s="14" t="str">
        <f aca="false">IF(OR($D646="",$B646=""),"",INT(($B646-$D646)/365.25))</f>
        <v/>
      </c>
      <c r="I646" s="25"/>
      <c r="J646" s="12"/>
      <c r="K646" s="12"/>
      <c r="L646" s="14" t="str">
        <f aca="false">IF(OR($C646="",$D646="",$B646=""),"",IF(COUNTIFS($C$5:$C$1504,$C646,$D$5:$D$1504,$D646,$B$5:$B$1504,$B646)&gt;1,"Takror",""))</f>
        <v/>
      </c>
    </row>
    <row r="647" customFormat="false" ht="15" hidden="false" customHeight="false" outlineLevel="0" collapsed="false">
      <c r="A647" s="8" t="n">
        <v>643</v>
      </c>
      <c r="B647" s="13"/>
      <c r="C647" s="12"/>
      <c r="D647" s="13"/>
      <c r="E647" s="24"/>
      <c r="F647" s="12"/>
      <c r="G647" s="25"/>
      <c r="H647" s="14" t="str">
        <f aca="false">IF(OR($D647="",$B647=""),"",INT(($B647-$D647)/365.25))</f>
        <v/>
      </c>
      <c r="I647" s="25"/>
      <c r="J647" s="12"/>
      <c r="K647" s="12"/>
      <c r="L647" s="14" t="str">
        <f aca="false">IF(OR($C647="",$D647="",$B647=""),"",IF(COUNTIFS($C$5:$C$1504,$C647,$D$5:$D$1504,$D647,$B$5:$B$1504,$B647)&gt;1,"Takror",""))</f>
        <v/>
      </c>
    </row>
    <row r="648" customFormat="false" ht="15" hidden="false" customHeight="false" outlineLevel="0" collapsed="false">
      <c r="A648" s="8" t="n">
        <v>644</v>
      </c>
      <c r="B648" s="13"/>
      <c r="C648" s="12"/>
      <c r="D648" s="13"/>
      <c r="E648" s="24"/>
      <c r="F648" s="12"/>
      <c r="G648" s="25"/>
      <c r="H648" s="14" t="str">
        <f aca="false">IF(OR($D648="",$B648=""),"",INT(($B648-$D648)/365.25))</f>
        <v/>
      </c>
      <c r="I648" s="25"/>
      <c r="J648" s="12"/>
      <c r="K648" s="12"/>
      <c r="L648" s="14" t="str">
        <f aca="false">IF(OR($C648="",$D648="",$B648=""),"",IF(COUNTIFS($C$5:$C$1504,$C648,$D$5:$D$1504,$D648,$B$5:$B$1504,$B648)&gt;1,"Takror",""))</f>
        <v/>
      </c>
    </row>
    <row r="649" customFormat="false" ht="15" hidden="false" customHeight="false" outlineLevel="0" collapsed="false">
      <c r="A649" s="8" t="n">
        <v>645</v>
      </c>
      <c r="B649" s="13"/>
      <c r="C649" s="12"/>
      <c r="D649" s="13"/>
      <c r="E649" s="24"/>
      <c r="F649" s="12"/>
      <c r="G649" s="25"/>
      <c r="H649" s="14" t="str">
        <f aca="false">IF(OR($D649="",$B649=""),"",INT(($B649-$D649)/365.25))</f>
        <v/>
      </c>
      <c r="I649" s="25"/>
      <c r="J649" s="12"/>
      <c r="K649" s="12"/>
      <c r="L649" s="14" t="str">
        <f aca="false">IF(OR($C649="",$D649="",$B649=""),"",IF(COUNTIFS($C$5:$C$1504,$C649,$D$5:$D$1504,$D649,$B$5:$B$1504,$B649)&gt;1,"Takror",""))</f>
        <v/>
      </c>
    </row>
    <row r="650" customFormat="false" ht="15" hidden="false" customHeight="false" outlineLevel="0" collapsed="false">
      <c r="A650" s="8" t="n">
        <v>646</v>
      </c>
      <c r="B650" s="13"/>
      <c r="C650" s="12"/>
      <c r="D650" s="13"/>
      <c r="E650" s="24"/>
      <c r="F650" s="12"/>
      <c r="G650" s="25"/>
      <c r="H650" s="14" t="str">
        <f aca="false">IF(OR($D650="",$B650=""),"",INT(($B650-$D650)/365.25))</f>
        <v/>
      </c>
      <c r="I650" s="25"/>
      <c r="J650" s="12"/>
      <c r="K650" s="12"/>
      <c r="L650" s="14" t="str">
        <f aca="false">IF(OR($C650="",$D650="",$B650=""),"",IF(COUNTIFS($C$5:$C$1504,$C650,$D$5:$D$1504,$D650,$B$5:$B$1504,$B650)&gt;1,"Takror",""))</f>
        <v/>
      </c>
    </row>
    <row r="651" customFormat="false" ht="15" hidden="false" customHeight="false" outlineLevel="0" collapsed="false">
      <c r="A651" s="8" t="n">
        <v>647</v>
      </c>
      <c r="B651" s="13"/>
      <c r="C651" s="12"/>
      <c r="D651" s="13"/>
      <c r="E651" s="24"/>
      <c r="F651" s="12"/>
      <c r="G651" s="25"/>
      <c r="H651" s="14" t="str">
        <f aca="false">IF(OR($D651="",$B651=""),"",INT(($B651-$D651)/365.25))</f>
        <v/>
      </c>
      <c r="I651" s="25"/>
      <c r="J651" s="12"/>
      <c r="K651" s="12"/>
      <c r="L651" s="14" t="str">
        <f aca="false">IF(OR($C651="",$D651="",$B651=""),"",IF(COUNTIFS($C$5:$C$1504,$C651,$D$5:$D$1504,$D651,$B$5:$B$1504,$B651)&gt;1,"Takror",""))</f>
        <v/>
      </c>
    </row>
    <row r="652" customFormat="false" ht="15" hidden="false" customHeight="false" outlineLevel="0" collapsed="false">
      <c r="A652" s="8" t="n">
        <v>648</v>
      </c>
      <c r="B652" s="13"/>
      <c r="C652" s="12"/>
      <c r="D652" s="13"/>
      <c r="E652" s="24"/>
      <c r="F652" s="12"/>
      <c r="G652" s="25"/>
      <c r="H652" s="14" t="str">
        <f aca="false">IF(OR($D652="",$B652=""),"",INT(($B652-$D652)/365.25))</f>
        <v/>
      </c>
      <c r="I652" s="25"/>
      <c r="J652" s="12"/>
      <c r="K652" s="12"/>
      <c r="L652" s="14" t="str">
        <f aca="false">IF(OR($C652="",$D652="",$B652=""),"",IF(COUNTIFS($C$5:$C$1504,$C652,$D$5:$D$1504,$D652,$B$5:$B$1504,$B652)&gt;1,"Takror",""))</f>
        <v/>
      </c>
    </row>
    <row r="653" customFormat="false" ht="15" hidden="false" customHeight="false" outlineLevel="0" collapsed="false">
      <c r="A653" s="8" t="n">
        <v>649</v>
      </c>
      <c r="B653" s="13"/>
      <c r="C653" s="12"/>
      <c r="D653" s="13"/>
      <c r="E653" s="24"/>
      <c r="F653" s="12"/>
      <c r="G653" s="25"/>
      <c r="H653" s="14" t="str">
        <f aca="false">IF(OR($D653="",$B653=""),"",INT(($B653-$D653)/365.25))</f>
        <v/>
      </c>
      <c r="I653" s="25"/>
      <c r="J653" s="12"/>
      <c r="K653" s="12"/>
      <c r="L653" s="14" t="str">
        <f aca="false">IF(OR($C653="",$D653="",$B653=""),"",IF(COUNTIFS($C$5:$C$1504,$C653,$D$5:$D$1504,$D653,$B$5:$B$1504,$B653)&gt;1,"Takror",""))</f>
        <v/>
      </c>
    </row>
    <row r="654" customFormat="false" ht="15" hidden="false" customHeight="false" outlineLevel="0" collapsed="false">
      <c r="A654" s="8" t="n">
        <v>650</v>
      </c>
      <c r="B654" s="13"/>
      <c r="C654" s="12"/>
      <c r="D654" s="13"/>
      <c r="E654" s="24"/>
      <c r="F654" s="12"/>
      <c r="G654" s="25"/>
      <c r="H654" s="14" t="str">
        <f aca="false">IF(OR($D654="",$B654=""),"",INT(($B654-$D654)/365.25))</f>
        <v/>
      </c>
      <c r="I654" s="25"/>
      <c r="J654" s="12"/>
      <c r="K654" s="12"/>
      <c r="L654" s="14" t="str">
        <f aca="false">IF(OR($C654="",$D654="",$B654=""),"",IF(COUNTIFS($C$5:$C$1504,$C654,$D$5:$D$1504,$D654,$B$5:$B$1504,$B654)&gt;1,"Takror",""))</f>
        <v/>
      </c>
    </row>
    <row r="655" customFormat="false" ht="15" hidden="false" customHeight="false" outlineLevel="0" collapsed="false">
      <c r="A655" s="8" t="n">
        <v>651</v>
      </c>
      <c r="B655" s="13"/>
      <c r="C655" s="12"/>
      <c r="D655" s="13"/>
      <c r="E655" s="24"/>
      <c r="F655" s="12"/>
      <c r="G655" s="25"/>
      <c r="H655" s="14" t="str">
        <f aca="false">IF(OR($D655="",$B655=""),"",INT(($B655-$D655)/365.25))</f>
        <v/>
      </c>
      <c r="I655" s="25"/>
      <c r="J655" s="12"/>
      <c r="K655" s="12"/>
      <c r="L655" s="14" t="str">
        <f aca="false">IF(OR($C655="",$D655="",$B655=""),"",IF(COUNTIFS($C$5:$C$1504,$C655,$D$5:$D$1504,$D655,$B$5:$B$1504,$B655)&gt;1,"Takror",""))</f>
        <v/>
      </c>
    </row>
    <row r="656" customFormat="false" ht="15" hidden="false" customHeight="false" outlineLevel="0" collapsed="false">
      <c r="A656" s="8" t="n">
        <v>652</v>
      </c>
      <c r="B656" s="13"/>
      <c r="C656" s="12"/>
      <c r="D656" s="13"/>
      <c r="E656" s="24"/>
      <c r="F656" s="12"/>
      <c r="G656" s="25"/>
      <c r="H656" s="14" t="str">
        <f aca="false">IF(OR($D656="",$B656=""),"",INT(($B656-$D656)/365.25))</f>
        <v/>
      </c>
      <c r="I656" s="25"/>
      <c r="J656" s="12"/>
      <c r="K656" s="12"/>
      <c r="L656" s="14" t="str">
        <f aca="false">IF(OR($C656="",$D656="",$B656=""),"",IF(COUNTIFS($C$5:$C$1504,$C656,$D$5:$D$1504,$D656,$B$5:$B$1504,$B656)&gt;1,"Takror",""))</f>
        <v/>
      </c>
    </row>
    <row r="657" customFormat="false" ht="15" hidden="false" customHeight="false" outlineLevel="0" collapsed="false">
      <c r="A657" s="8" t="n">
        <v>653</v>
      </c>
      <c r="B657" s="13"/>
      <c r="C657" s="12"/>
      <c r="D657" s="13"/>
      <c r="E657" s="24"/>
      <c r="F657" s="12"/>
      <c r="G657" s="25"/>
      <c r="H657" s="14" t="str">
        <f aca="false">IF(OR($D657="",$B657=""),"",INT(($B657-$D657)/365.25))</f>
        <v/>
      </c>
      <c r="I657" s="25"/>
      <c r="J657" s="12"/>
      <c r="K657" s="12"/>
      <c r="L657" s="14" t="str">
        <f aca="false">IF(OR($C657="",$D657="",$B657=""),"",IF(COUNTIFS($C$5:$C$1504,$C657,$D$5:$D$1504,$D657,$B$5:$B$1504,$B657)&gt;1,"Takror",""))</f>
        <v/>
      </c>
    </row>
    <row r="658" customFormat="false" ht="15" hidden="false" customHeight="false" outlineLevel="0" collapsed="false">
      <c r="A658" s="8" t="n">
        <v>654</v>
      </c>
      <c r="B658" s="13"/>
      <c r="C658" s="12"/>
      <c r="D658" s="13"/>
      <c r="E658" s="24"/>
      <c r="F658" s="12"/>
      <c r="G658" s="25"/>
      <c r="H658" s="14" t="str">
        <f aca="false">IF(OR($D658="",$B658=""),"",INT(($B658-$D658)/365.25))</f>
        <v/>
      </c>
      <c r="I658" s="25"/>
      <c r="J658" s="12"/>
      <c r="K658" s="12"/>
      <c r="L658" s="14" t="str">
        <f aca="false">IF(OR($C658="",$D658="",$B658=""),"",IF(COUNTIFS($C$5:$C$1504,$C658,$D$5:$D$1504,$D658,$B$5:$B$1504,$B658)&gt;1,"Takror",""))</f>
        <v/>
      </c>
    </row>
    <row r="659" customFormat="false" ht="15" hidden="false" customHeight="false" outlineLevel="0" collapsed="false">
      <c r="A659" s="8" t="n">
        <v>655</v>
      </c>
      <c r="B659" s="13"/>
      <c r="C659" s="12"/>
      <c r="D659" s="13"/>
      <c r="E659" s="24"/>
      <c r="F659" s="12"/>
      <c r="G659" s="25"/>
      <c r="H659" s="14" t="str">
        <f aca="false">IF(OR($D659="",$B659=""),"",INT(($B659-$D659)/365.25))</f>
        <v/>
      </c>
      <c r="I659" s="25"/>
      <c r="J659" s="12"/>
      <c r="K659" s="12"/>
      <c r="L659" s="14" t="str">
        <f aca="false">IF(OR($C659="",$D659="",$B659=""),"",IF(COUNTIFS($C$5:$C$1504,$C659,$D$5:$D$1504,$D659,$B$5:$B$1504,$B659)&gt;1,"Takror",""))</f>
        <v/>
      </c>
    </row>
    <row r="660" customFormat="false" ht="15" hidden="false" customHeight="false" outlineLevel="0" collapsed="false">
      <c r="A660" s="8" t="n">
        <v>656</v>
      </c>
      <c r="B660" s="13"/>
      <c r="C660" s="12"/>
      <c r="D660" s="13"/>
      <c r="E660" s="24"/>
      <c r="F660" s="12"/>
      <c r="G660" s="25"/>
      <c r="H660" s="14" t="str">
        <f aca="false">IF(OR($D660="",$B660=""),"",INT(($B660-$D660)/365.25))</f>
        <v/>
      </c>
      <c r="I660" s="25"/>
      <c r="J660" s="12"/>
      <c r="K660" s="12"/>
      <c r="L660" s="14" t="str">
        <f aca="false">IF(OR($C660="",$D660="",$B660=""),"",IF(COUNTIFS($C$5:$C$1504,$C660,$D$5:$D$1504,$D660,$B$5:$B$1504,$B660)&gt;1,"Takror",""))</f>
        <v/>
      </c>
    </row>
    <row r="661" customFormat="false" ht="15" hidden="false" customHeight="false" outlineLevel="0" collapsed="false">
      <c r="A661" s="8" t="n">
        <v>657</v>
      </c>
      <c r="B661" s="13"/>
      <c r="C661" s="12"/>
      <c r="D661" s="13"/>
      <c r="E661" s="24"/>
      <c r="F661" s="12"/>
      <c r="G661" s="25"/>
      <c r="H661" s="14" t="str">
        <f aca="false">IF(OR($D661="",$B661=""),"",INT(($B661-$D661)/365.25))</f>
        <v/>
      </c>
      <c r="I661" s="25"/>
      <c r="J661" s="12"/>
      <c r="K661" s="12"/>
      <c r="L661" s="14" t="str">
        <f aca="false">IF(OR($C661="",$D661="",$B661=""),"",IF(COUNTIFS($C$5:$C$1504,$C661,$D$5:$D$1504,$D661,$B$5:$B$1504,$B661)&gt;1,"Takror",""))</f>
        <v/>
      </c>
    </row>
    <row r="662" customFormat="false" ht="15" hidden="false" customHeight="false" outlineLevel="0" collapsed="false">
      <c r="A662" s="8" t="n">
        <v>658</v>
      </c>
      <c r="B662" s="13"/>
      <c r="C662" s="12"/>
      <c r="D662" s="13"/>
      <c r="E662" s="24"/>
      <c r="F662" s="12"/>
      <c r="G662" s="25"/>
      <c r="H662" s="14" t="str">
        <f aca="false">IF(OR($D662="",$B662=""),"",INT(($B662-$D662)/365.25))</f>
        <v/>
      </c>
      <c r="I662" s="25"/>
      <c r="J662" s="12"/>
      <c r="K662" s="12"/>
      <c r="L662" s="14" t="str">
        <f aca="false">IF(OR($C662="",$D662="",$B662=""),"",IF(COUNTIFS($C$5:$C$1504,$C662,$D$5:$D$1504,$D662,$B$5:$B$1504,$B662)&gt;1,"Takror",""))</f>
        <v/>
      </c>
    </row>
    <row r="663" customFormat="false" ht="15" hidden="false" customHeight="false" outlineLevel="0" collapsed="false">
      <c r="A663" s="8" t="n">
        <v>659</v>
      </c>
      <c r="B663" s="13"/>
      <c r="C663" s="12"/>
      <c r="D663" s="13"/>
      <c r="E663" s="24"/>
      <c r="F663" s="12"/>
      <c r="G663" s="25"/>
      <c r="H663" s="14" t="str">
        <f aca="false">IF(OR($D663="",$B663=""),"",INT(($B663-$D663)/365.25))</f>
        <v/>
      </c>
      <c r="I663" s="25"/>
      <c r="J663" s="12"/>
      <c r="K663" s="12"/>
      <c r="L663" s="14" t="str">
        <f aca="false">IF(OR($C663="",$D663="",$B663=""),"",IF(COUNTIFS($C$5:$C$1504,$C663,$D$5:$D$1504,$D663,$B$5:$B$1504,$B663)&gt;1,"Takror",""))</f>
        <v/>
      </c>
    </row>
    <row r="664" customFormat="false" ht="15" hidden="false" customHeight="false" outlineLevel="0" collapsed="false">
      <c r="A664" s="8" t="n">
        <v>660</v>
      </c>
      <c r="B664" s="13"/>
      <c r="C664" s="12"/>
      <c r="D664" s="13"/>
      <c r="E664" s="24"/>
      <c r="F664" s="12"/>
      <c r="G664" s="25"/>
      <c r="H664" s="14" t="str">
        <f aca="false">IF(OR($D664="",$B664=""),"",INT(($B664-$D664)/365.25))</f>
        <v/>
      </c>
      <c r="I664" s="25"/>
      <c r="J664" s="12"/>
      <c r="K664" s="12"/>
      <c r="L664" s="14" t="str">
        <f aca="false">IF(OR($C664="",$D664="",$B664=""),"",IF(COUNTIFS($C$5:$C$1504,$C664,$D$5:$D$1504,$D664,$B$5:$B$1504,$B664)&gt;1,"Takror",""))</f>
        <v/>
      </c>
    </row>
    <row r="665" customFormat="false" ht="15" hidden="false" customHeight="false" outlineLevel="0" collapsed="false">
      <c r="A665" s="8" t="n">
        <v>661</v>
      </c>
      <c r="B665" s="13"/>
      <c r="C665" s="12"/>
      <c r="D665" s="13"/>
      <c r="E665" s="24"/>
      <c r="F665" s="12"/>
      <c r="G665" s="25"/>
      <c r="H665" s="14" t="str">
        <f aca="false">IF(OR($D665="",$B665=""),"",INT(($B665-$D665)/365.25))</f>
        <v/>
      </c>
      <c r="I665" s="25"/>
      <c r="J665" s="12"/>
      <c r="K665" s="12"/>
      <c r="L665" s="14" t="str">
        <f aca="false">IF(OR($C665="",$D665="",$B665=""),"",IF(COUNTIFS($C$5:$C$1504,$C665,$D$5:$D$1504,$D665,$B$5:$B$1504,$B665)&gt;1,"Takror",""))</f>
        <v/>
      </c>
    </row>
    <row r="666" customFormat="false" ht="15" hidden="false" customHeight="false" outlineLevel="0" collapsed="false">
      <c r="A666" s="8" t="n">
        <v>662</v>
      </c>
      <c r="B666" s="13"/>
      <c r="C666" s="12"/>
      <c r="D666" s="13"/>
      <c r="E666" s="24"/>
      <c r="F666" s="12"/>
      <c r="G666" s="25"/>
      <c r="H666" s="14" t="str">
        <f aca="false">IF(OR($D666="",$B666=""),"",INT(($B666-$D666)/365.25))</f>
        <v/>
      </c>
      <c r="I666" s="25"/>
      <c r="J666" s="12"/>
      <c r="K666" s="12"/>
      <c r="L666" s="14" t="str">
        <f aca="false">IF(OR($C666="",$D666="",$B666=""),"",IF(COUNTIFS($C$5:$C$1504,$C666,$D$5:$D$1504,$D666,$B$5:$B$1504,$B666)&gt;1,"Takror",""))</f>
        <v/>
      </c>
    </row>
    <row r="667" customFormat="false" ht="15" hidden="false" customHeight="false" outlineLevel="0" collapsed="false">
      <c r="A667" s="8" t="n">
        <v>663</v>
      </c>
      <c r="B667" s="13"/>
      <c r="C667" s="12"/>
      <c r="D667" s="13"/>
      <c r="E667" s="24"/>
      <c r="F667" s="12"/>
      <c r="G667" s="25"/>
      <c r="H667" s="14" t="str">
        <f aca="false">IF(OR($D667="",$B667=""),"",INT(($B667-$D667)/365.25))</f>
        <v/>
      </c>
      <c r="I667" s="25"/>
      <c r="J667" s="12"/>
      <c r="K667" s="12"/>
      <c r="L667" s="14" t="str">
        <f aca="false">IF(OR($C667="",$D667="",$B667=""),"",IF(COUNTIFS($C$5:$C$1504,$C667,$D$5:$D$1504,$D667,$B$5:$B$1504,$B667)&gt;1,"Takror",""))</f>
        <v/>
      </c>
    </row>
    <row r="668" customFormat="false" ht="15" hidden="false" customHeight="false" outlineLevel="0" collapsed="false">
      <c r="A668" s="8" t="n">
        <v>664</v>
      </c>
      <c r="B668" s="13"/>
      <c r="C668" s="12"/>
      <c r="D668" s="13"/>
      <c r="E668" s="24"/>
      <c r="F668" s="12"/>
      <c r="G668" s="25"/>
      <c r="H668" s="14" t="str">
        <f aca="false">IF(OR($D668="",$B668=""),"",INT(($B668-$D668)/365.25))</f>
        <v/>
      </c>
      <c r="I668" s="25"/>
      <c r="J668" s="12"/>
      <c r="K668" s="12"/>
      <c r="L668" s="14" t="str">
        <f aca="false">IF(OR($C668="",$D668="",$B668=""),"",IF(COUNTIFS($C$5:$C$1504,$C668,$D$5:$D$1504,$D668,$B$5:$B$1504,$B668)&gt;1,"Takror",""))</f>
        <v/>
      </c>
    </row>
    <row r="669" customFormat="false" ht="15" hidden="false" customHeight="false" outlineLevel="0" collapsed="false">
      <c r="A669" s="8" t="n">
        <v>665</v>
      </c>
      <c r="B669" s="13"/>
      <c r="C669" s="12"/>
      <c r="D669" s="13"/>
      <c r="E669" s="24"/>
      <c r="F669" s="12"/>
      <c r="G669" s="25"/>
      <c r="H669" s="14" t="str">
        <f aca="false">IF(OR($D669="",$B669=""),"",INT(($B669-$D669)/365.25))</f>
        <v/>
      </c>
      <c r="I669" s="25"/>
      <c r="J669" s="12"/>
      <c r="K669" s="12"/>
      <c r="L669" s="14" t="str">
        <f aca="false">IF(OR($C669="",$D669="",$B669=""),"",IF(COUNTIFS($C$5:$C$1504,$C669,$D$5:$D$1504,$D669,$B$5:$B$1504,$B669)&gt;1,"Takror",""))</f>
        <v/>
      </c>
    </row>
    <row r="670" customFormat="false" ht="15" hidden="false" customHeight="false" outlineLevel="0" collapsed="false">
      <c r="A670" s="8" t="n">
        <v>666</v>
      </c>
      <c r="B670" s="13"/>
      <c r="C670" s="12"/>
      <c r="D670" s="13"/>
      <c r="E670" s="24"/>
      <c r="F670" s="12"/>
      <c r="G670" s="25"/>
      <c r="H670" s="14" t="str">
        <f aca="false">IF(OR($D670="",$B670=""),"",INT(($B670-$D670)/365.25))</f>
        <v/>
      </c>
      <c r="I670" s="25"/>
      <c r="J670" s="12"/>
      <c r="K670" s="12"/>
      <c r="L670" s="14" t="str">
        <f aca="false">IF(OR($C670="",$D670="",$B670=""),"",IF(COUNTIFS($C$5:$C$1504,$C670,$D$5:$D$1504,$D670,$B$5:$B$1504,$B670)&gt;1,"Takror",""))</f>
        <v/>
      </c>
    </row>
    <row r="671" customFormat="false" ht="15" hidden="false" customHeight="false" outlineLevel="0" collapsed="false">
      <c r="A671" s="8" t="n">
        <v>667</v>
      </c>
      <c r="B671" s="13"/>
      <c r="C671" s="12"/>
      <c r="D671" s="13"/>
      <c r="E671" s="24"/>
      <c r="F671" s="12"/>
      <c r="G671" s="25"/>
      <c r="H671" s="14" t="str">
        <f aca="false">IF(OR($D671="",$B671=""),"",INT(($B671-$D671)/365.25))</f>
        <v/>
      </c>
      <c r="I671" s="25"/>
      <c r="J671" s="12"/>
      <c r="K671" s="12"/>
      <c r="L671" s="14" t="str">
        <f aca="false">IF(OR($C671="",$D671="",$B671=""),"",IF(COUNTIFS($C$5:$C$1504,$C671,$D$5:$D$1504,$D671,$B$5:$B$1504,$B671)&gt;1,"Takror",""))</f>
        <v/>
      </c>
    </row>
    <row r="672" customFormat="false" ht="15" hidden="false" customHeight="false" outlineLevel="0" collapsed="false">
      <c r="A672" s="8" t="n">
        <v>668</v>
      </c>
      <c r="B672" s="13"/>
      <c r="C672" s="12"/>
      <c r="D672" s="13"/>
      <c r="E672" s="24"/>
      <c r="F672" s="12"/>
      <c r="G672" s="25"/>
      <c r="H672" s="14" t="str">
        <f aca="false">IF(OR($D672="",$B672=""),"",INT(($B672-$D672)/365.25))</f>
        <v/>
      </c>
      <c r="I672" s="25"/>
      <c r="J672" s="12"/>
      <c r="K672" s="12"/>
      <c r="L672" s="14" t="str">
        <f aca="false">IF(OR($C672="",$D672="",$B672=""),"",IF(COUNTIFS($C$5:$C$1504,$C672,$D$5:$D$1504,$D672,$B$5:$B$1504,$B672)&gt;1,"Takror",""))</f>
        <v/>
      </c>
    </row>
    <row r="673" customFormat="false" ht="15" hidden="false" customHeight="false" outlineLevel="0" collapsed="false">
      <c r="A673" s="8" t="n">
        <v>669</v>
      </c>
      <c r="B673" s="13"/>
      <c r="C673" s="12"/>
      <c r="D673" s="13"/>
      <c r="E673" s="24"/>
      <c r="F673" s="12"/>
      <c r="G673" s="25"/>
      <c r="H673" s="14" t="str">
        <f aca="false">IF(OR($D673="",$B673=""),"",INT(($B673-$D673)/365.25))</f>
        <v/>
      </c>
      <c r="I673" s="25"/>
      <c r="J673" s="12"/>
      <c r="K673" s="12"/>
      <c r="L673" s="14" t="str">
        <f aca="false">IF(OR($C673="",$D673="",$B673=""),"",IF(COUNTIFS($C$5:$C$1504,$C673,$D$5:$D$1504,$D673,$B$5:$B$1504,$B673)&gt;1,"Takror",""))</f>
        <v/>
      </c>
    </row>
    <row r="674" customFormat="false" ht="15" hidden="false" customHeight="false" outlineLevel="0" collapsed="false">
      <c r="A674" s="8" t="n">
        <v>670</v>
      </c>
      <c r="B674" s="13"/>
      <c r="C674" s="12"/>
      <c r="D674" s="13"/>
      <c r="E674" s="24"/>
      <c r="F674" s="12"/>
      <c r="G674" s="25"/>
      <c r="H674" s="14" t="str">
        <f aca="false">IF(OR($D674="",$B674=""),"",INT(($B674-$D674)/365.25))</f>
        <v/>
      </c>
      <c r="I674" s="25"/>
      <c r="J674" s="12"/>
      <c r="K674" s="12"/>
      <c r="L674" s="14" t="str">
        <f aca="false">IF(OR($C674="",$D674="",$B674=""),"",IF(COUNTIFS($C$5:$C$1504,$C674,$D$5:$D$1504,$D674,$B$5:$B$1504,$B674)&gt;1,"Takror",""))</f>
        <v/>
      </c>
    </row>
    <row r="675" customFormat="false" ht="15" hidden="false" customHeight="false" outlineLevel="0" collapsed="false">
      <c r="A675" s="8" t="n">
        <v>671</v>
      </c>
      <c r="B675" s="13"/>
      <c r="C675" s="12"/>
      <c r="D675" s="13"/>
      <c r="E675" s="24"/>
      <c r="F675" s="12"/>
      <c r="G675" s="25"/>
      <c r="H675" s="14" t="str">
        <f aca="false">IF(OR($D675="",$B675=""),"",INT(($B675-$D675)/365.25))</f>
        <v/>
      </c>
      <c r="I675" s="25"/>
      <c r="J675" s="12"/>
      <c r="K675" s="12"/>
      <c r="L675" s="14" t="str">
        <f aca="false">IF(OR($C675="",$D675="",$B675=""),"",IF(COUNTIFS($C$5:$C$1504,$C675,$D$5:$D$1504,$D675,$B$5:$B$1504,$B675)&gt;1,"Takror",""))</f>
        <v/>
      </c>
    </row>
    <row r="676" customFormat="false" ht="15" hidden="false" customHeight="false" outlineLevel="0" collapsed="false">
      <c r="A676" s="8" t="n">
        <v>672</v>
      </c>
      <c r="B676" s="13"/>
      <c r="C676" s="12"/>
      <c r="D676" s="13"/>
      <c r="E676" s="24"/>
      <c r="F676" s="12"/>
      <c r="G676" s="25"/>
      <c r="H676" s="14" t="str">
        <f aca="false">IF(OR($D676="",$B676=""),"",INT(($B676-$D676)/365.25))</f>
        <v/>
      </c>
      <c r="I676" s="25"/>
      <c r="J676" s="12"/>
      <c r="K676" s="12"/>
      <c r="L676" s="14" t="str">
        <f aca="false">IF(OR($C676="",$D676="",$B676=""),"",IF(COUNTIFS($C$5:$C$1504,$C676,$D$5:$D$1504,$D676,$B$5:$B$1504,$B676)&gt;1,"Takror",""))</f>
        <v/>
      </c>
    </row>
    <row r="677" customFormat="false" ht="15" hidden="false" customHeight="false" outlineLevel="0" collapsed="false">
      <c r="A677" s="8" t="n">
        <v>673</v>
      </c>
      <c r="B677" s="13"/>
      <c r="C677" s="12"/>
      <c r="D677" s="13"/>
      <c r="E677" s="24"/>
      <c r="F677" s="12"/>
      <c r="G677" s="25"/>
      <c r="H677" s="14" t="str">
        <f aca="false">IF(OR($D677="",$B677=""),"",INT(($B677-$D677)/365.25))</f>
        <v/>
      </c>
      <c r="I677" s="25"/>
      <c r="J677" s="12"/>
      <c r="K677" s="12"/>
      <c r="L677" s="14" t="str">
        <f aca="false">IF(OR($C677="",$D677="",$B677=""),"",IF(COUNTIFS($C$5:$C$1504,$C677,$D$5:$D$1504,$D677,$B$5:$B$1504,$B677)&gt;1,"Takror",""))</f>
        <v/>
      </c>
    </row>
    <row r="678" customFormat="false" ht="15" hidden="false" customHeight="false" outlineLevel="0" collapsed="false">
      <c r="A678" s="8" t="n">
        <v>674</v>
      </c>
      <c r="B678" s="13"/>
      <c r="C678" s="12"/>
      <c r="D678" s="13"/>
      <c r="E678" s="24"/>
      <c r="F678" s="12"/>
      <c r="G678" s="25"/>
      <c r="H678" s="14" t="str">
        <f aca="false">IF(OR($D678="",$B678=""),"",INT(($B678-$D678)/365.25))</f>
        <v/>
      </c>
      <c r="I678" s="25"/>
      <c r="J678" s="12"/>
      <c r="K678" s="12"/>
      <c r="L678" s="14" t="str">
        <f aca="false">IF(OR($C678="",$D678="",$B678=""),"",IF(COUNTIFS($C$5:$C$1504,$C678,$D$5:$D$1504,$D678,$B$5:$B$1504,$B678)&gt;1,"Takror",""))</f>
        <v/>
      </c>
    </row>
    <row r="679" customFormat="false" ht="15" hidden="false" customHeight="false" outlineLevel="0" collapsed="false">
      <c r="A679" s="8" t="n">
        <v>675</v>
      </c>
      <c r="B679" s="13"/>
      <c r="C679" s="12"/>
      <c r="D679" s="13"/>
      <c r="E679" s="24"/>
      <c r="F679" s="12"/>
      <c r="G679" s="25"/>
      <c r="H679" s="14" t="str">
        <f aca="false">IF(OR($D679="",$B679=""),"",INT(($B679-$D679)/365.25))</f>
        <v/>
      </c>
      <c r="I679" s="25"/>
      <c r="J679" s="12"/>
      <c r="K679" s="12"/>
      <c r="L679" s="14" t="str">
        <f aca="false">IF(OR($C679="",$D679="",$B679=""),"",IF(COUNTIFS($C$5:$C$1504,$C679,$D$5:$D$1504,$D679,$B$5:$B$1504,$B679)&gt;1,"Takror",""))</f>
        <v/>
      </c>
    </row>
    <row r="680" customFormat="false" ht="15" hidden="false" customHeight="false" outlineLevel="0" collapsed="false">
      <c r="A680" s="8" t="n">
        <v>676</v>
      </c>
      <c r="B680" s="13"/>
      <c r="C680" s="12"/>
      <c r="D680" s="13"/>
      <c r="E680" s="24"/>
      <c r="F680" s="12"/>
      <c r="G680" s="25"/>
      <c r="H680" s="14" t="str">
        <f aca="false">IF(OR($D680="",$B680=""),"",INT(($B680-$D680)/365.25))</f>
        <v/>
      </c>
      <c r="I680" s="25"/>
      <c r="J680" s="12"/>
      <c r="K680" s="12"/>
      <c r="L680" s="14" t="str">
        <f aca="false">IF(OR($C680="",$D680="",$B680=""),"",IF(COUNTIFS($C$5:$C$1504,$C680,$D$5:$D$1504,$D680,$B$5:$B$1504,$B680)&gt;1,"Takror",""))</f>
        <v/>
      </c>
    </row>
    <row r="681" customFormat="false" ht="15" hidden="false" customHeight="false" outlineLevel="0" collapsed="false">
      <c r="A681" s="8" t="n">
        <v>677</v>
      </c>
      <c r="B681" s="13"/>
      <c r="C681" s="12"/>
      <c r="D681" s="13"/>
      <c r="E681" s="24"/>
      <c r="F681" s="12"/>
      <c r="G681" s="25"/>
      <c r="H681" s="14" t="str">
        <f aca="false">IF(OR($D681="",$B681=""),"",INT(($B681-$D681)/365.25))</f>
        <v/>
      </c>
      <c r="I681" s="25"/>
      <c r="J681" s="12"/>
      <c r="K681" s="12"/>
      <c r="L681" s="14" t="str">
        <f aca="false">IF(OR($C681="",$D681="",$B681=""),"",IF(COUNTIFS($C$5:$C$1504,$C681,$D$5:$D$1504,$D681,$B$5:$B$1504,$B681)&gt;1,"Takror",""))</f>
        <v/>
      </c>
    </row>
    <row r="682" customFormat="false" ht="15" hidden="false" customHeight="false" outlineLevel="0" collapsed="false">
      <c r="A682" s="8" t="n">
        <v>678</v>
      </c>
      <c r="B682" s="13"/>
      <c r="C682" s="12"/>
      <c r="D682" s="13"/>
      <c r="E682" s="24"/>
      <c r="F682" s="12"/>
      <c r="G682" s="25"/>
      <c r="H682" s="14" t="str">
        <f aca="false">IF(OR($D682="",$B682=""),"",INT(($B682-$D682)/365.25))</f>
        <v/>
      </c>
      <c r="I682" s="25"/>
      <c r="J682" s="12"/>
      <c r="K682" s="12"/>
      <c r="L682" s="14" t="str">
        <f aca="false">IF(OR($C682="",$D682="",$B682=""),"",IF(COUNTIFS($C$5:$C$1504,$C682,$D$5:$D$1504,$D682,$B$5:$B$1504,$B682)&gt;1,"Takror",""))</f>
        <v/>
      </c>
    </row>
    <row r="683" customFormat="false" ht="15" hidden="false" customHeight="false" outlineLevel="0" collapsed="false">
      <c r="A683" s="8" t="n">
        <v>679</v>
      </c>
      <c r="B683" s="13"/>
      <c r="C683" s="12"/>
      <c r="D683" s="13"/>
      <c r="E683" s="24"/>
      <c r="F683" s="12"/>
      <c r="G683" s="25"/>
      <c r="H683" s="14" t="str">
        <f aca="false">IF(OR($D683="",$B683=""),"",INT(($B683-$D683)/365.25))</f>
        <v/>
      </c>
      <c r="I683" s="25"/>
      <c r="J683" s="12"/>
      <c r="K683" s="12"/>
      <c r="L683" s="14" t="str">
        <f aca="false">IF(OR($C683="",$D683="",$B683=""),"",IF(COUNTIFS($C$5:$C$1504,$C683,$D$5:$D$1504,$D683,$B$5:$B$1504,$B683)&gt;1,"Takror",""))</f>
        <v/>
      </c>
    </row>
    <row r="684" customFormat="false" ht="15" hidden="false" customHeight="false" outlineLevel="0" collapsed="false">
      <c r="A684" s="8" t="n">
        <v>680</v>
      </c>
      <c r="B684" s="13"/>
      <c r="C684" s="12"/>
      <c r="D684" s="13"/>
      <c r="E684" s="24"/>
      <c r="F684" s="12"/>
      <c r="G684" s="25"/>
      <c r="H684" s="14" t="str">
        <f aca="false">IF(OR($D684="",$B684=""),"",INT(($B684-$D684)/365.25))</f>
        <v/>
      </c>
      <c r="I684" s="25"/>
      <c r="J684" s="12"/>
      <c r="K684" s="12"/>
      <c r="L684" s="14" t="str">
        <f aca="false">IF(OR($C684="",$D684="",$B684=""),"",IF(COUNTIFS($C$5:$C$1504,$C684,$D$5:$D$1504,$D684,$B$5:$B$1504,$B684)&gt;1,"Takror",""))</f>
        <v/>
      </c>
    </row>
    <row r="685" customFormat="false" ht="15" hidden="false" customHeight="false" outlineLevel="0" collapsed="false">
      <c r="A685" s="8" t="n">
        <v>681</v>
      </c>
      <c r="B685" s="13"/>
      <c r="C685" s="12"/>
      <c r="D685" s="13"/>
      <c r="E685" s="24"/>
      <c r="F685" s="12"/>
      <c r="G685" s="25"/>
      <c r="H685" s="14" t="str">
        <f aca="false">IF(OR($D685="",$B685=""),"",INT(($B685-$D685)/365.25))</f>
        <v/>
      </c>
      <c r="I685" s="25"/>
      <c r="J685" s="12"/>
      <c r="K685" s="12"/>
      <c r="L685" s="14" t="str">
        <f aca="false">IF(OR($C685="",$D685="",$B685=""),"",IF(COUNTIFS($C$5:$C$1504,$C685,$D$5:$D$1504,$D685,$B$5:$B$1504,$B685)&gt;1,"Takror",""))</f>
        <v/>
      </c>
    </row>
    <row r="686" customFormat="false" ht="15" hidden="false" customHeight="false" outlineLevel="0" collapsed="false">
      <c r="A686" s="8" t="n">
        <v>682</v>
      </c>
      <c r="B686" s="13"/>
      <c r="C686" s="12"/>
      <c r="D686" s="13"/>
      <c r="E686" s="24"/>
      <c r="F686" s="12"/>
      <c r="G686" s="25"/>
      <c r="H686" s="14" t="str">
        <f aca="false">IF(OR($D686="",$B686=""),"",INT(($B686-$D686)/365.25))</f>
        <v/>
      </c>
      <c r="I686" s="25"/>
      <c r="J686" s="12"/>
      <c r="K686" s="12"/>
      <c r="L686" s="14" t="str">
        <f aca="false">IF(OR($C686="",$D686="",$B686=""),"",IF(COUNTIFS($C$5:$C$1504,$C686,$D$5:$D$1504,$D686,$B$5:$B$1504,$B686)&gt;1,"Takror",""))</f>
        <v/>
      </c>
    </row>
    <row r="687" customFormat="false" ht="15" hidden="false" customHeight="false" outlineLevel="0" collapsed="false">
      <c r="A687" s="8" t="n">
        <v>683</v>
      </c>
      <c r="B687" s="13"/>
      <c r="C687" s="12"/>
      <c r="D687" s="13"/>
      <c r="E687" s="24"/>
      <c r="F687" s="12"/>
      <c r="G687" s="25"/>
      <c r="H687" s="14" t="str">
        <f aca="false">IF(OR($D687="",$B687=""),"",INT(($B687-$D687)/365.25))</f>
        <v/>
      </c>
      <c r="I687" s="25"/>
      <c r="J687" s="12"/>
      <c r="K687" s="12"/>
      <c r="L687" s="14" t="str">
        <f aca="false">IF(OR($C687="",$D687="",$B687=""),"",IF(COUNTIFS($C$5:$C$1504,$C687,$D$5:$D$1504,$D687,$B$5:$B$1504,$B687)&gt;1,"Takror",""))</f>
        <v/>
      </c>
    </row>
    <row r="688" customFormat="false" ht="15" hidden="false" customHeight="false" outlineLevel="0" collapsed="false">
      <c r="A688" s="8" t="n">
        <v>684</v>
      </c>
      <c r="B688" s="13"/>
      <c r="C688" s="12"/>
      <c r="D688" s="13"/>
      <c r="E688" s="24"/>
      <c r="F688" s="12"/>
      <c r="G688" s="25"/>
      <c r="H688" s="14" t="str">
        <f aca="false">IF(OR($D688="",$B688=""),"",INT(($B688-$D688)/365.25))</f>
        <v/>
      </c>
      <c r="I688" s="25"/>
      <c r="J688" s="12"/>
      <c r="K688" s="12"/>
      <c r="L688" s="14" t="str">
        <f aca="false">IF(OR($C688="",$D688="",$B688=""),"",IF(COUNTIFS($C$5:$C$1504,$C688,$D$5:$D$1504,$D688,$B$5:$B$1504,$B688)&gt;1,"Takror",""))</f>
        <v/>
      </c>
    </row>
    <row r="689" customFormat="false" ht="15" hidden="false" customHeight="false" outlineLevel="0" collapsed="false">
      <c r="A689" s="8" t="n">
        <v>685</v>
      </c>
      <c r="B689" s="13"/>
      <c r="C689" s="12"/>
      <c r="D689" s="13"/>
      <c r="E689" s="24"/>
      <c r="F689" s="12"/>
      <c r="G689" s="25"/>
      <c r="H689" s="14" t="str">
        <f aca="false">IF(OR($D689="",$B689=""),"",INT(($B689-$D689)/365.25))</f>
        <v/>
      </c>
      <c r="I689" s="25"/>
      <c r="J689" s="12"/>
      <c r="K689" s="12"/>
      <c r="L689" s="14" t="str">
        <f aca="false">IF(OR($C689="",$D689="",$B689=""),"",IF(COUNTIFS($C$5:$C$1504,$C689,$D$5:$D$1504,$D689,$B$5:$B$1504,$B689)&gt;1,"Takror",""))</f>
        <v/>
      </c>
    </row>
    <row r="690" customFormat="false" ht="15" hidden="false" customHeight="false" outlineLevel="0" collapsed="false">
      <c r="A690" s="8" t="n">
        <v>686</v>
      </c>
      <c r="B690" s="13"/>
      <c r="C690" s="12"/>
      <c r="D690" s="13"/>
      <c r="E690" s="24"/>
      <c r="F690" s="12"/>
      <c r="G690" s="25"/>
      <c r="H690" s="14" t="str">
        <f aca="false">IF(OR($D690="",$B690=""),"",INT(($B690-$D690)/365.25))</f>
        <v/>
      </c>
      <c r="I690" s="25"/>
      <c r="J690" s="12"/>
      <c r="K690" s="12"/>
      <c r="L690" s="14" t="str">
        <f aca="false">IF(OR($C690="",$D690="",$B690=""),"",IF(COUNTIFS($C$5:$C$1504,$C690,$D$5:$D$1504,$D690,$B$5:$B$1504,$B690)&gt;1,"Takror",""))</f>
        <v/>
      </c>
    </row>
    <row r="691" customFormat="false" ht="15" hidden="false" customHeight="false" outlineLevel="0" collapsed="false">
      <c r="A691" s="8" t="n">
        <v>687</v>
      </c>
      <c r="B691" s="13"/>
      <c r="C691" s="12"/>
      <c r="D691" s="13"/>
      <c r="E691" s="24"/>
      <c r="F691" s="12"/>
      <c r="G691" s="25"/>
      <c r="H691" s="14" t="str">
        <f aca="false">IF(OR($D691="",$B691=""),"",INT(($B691-$D691)/365.25))</f>
        <v/>
      </c>
      <c r="I691" s="25"/>
      <c r="J691" s="12"/>
      <c r="K691" s="12"/>
      <c r="L691" s="14" t="str">
        <f aca="false">IF(OR($C691="",$D691="",$B691=""),"",IF(COUNTIFS($C$5:$C$1504,$C691,$D$5:$D$1504,$D691,$B$5:$B$1504,$B691)&gt;1,"Takror",""))</f>
        <v/>
      </c>
    </row>
    <row r="692" customFormat="false" ht="15" hidden="false" customHeight="false" outlineLevel="0" collapsed="false">
      <c r="A692" s="8" t="n">
        <v>688</v>
      </c>
      <c r="B692" s="13"/>
      <c r="C692" s="12"/>
      <c r="D692" s="13"/>
      <c r="E692" s="24"/>
      <c r="F692" s="12"/>
      <c r="G692" s="25"/>
      <c r="H692" s="14" t="str">
        <f aca="false">IF(OR($D692="",$B692=""),"",INT(($B692-$D692)/365.25))</f>
        <v/>
      </c>
      <c r="I692" s="25"/>
      <c r="J692" s="12"/>
      <c r="K692" s="12"/>
      <c r="L692" s="14" t="str">
        <f aca="false">IF(OR($C692="",$D692="",$B692=""),"",IF(COUNTIFS($C$5:$C$1504,$C692,$D$5:$D$1504,$D692,$B$5:$B$1504,$B692)&gt;1,"Takror",""))</f>
        <v/>
      </c>
    </row>
    <row r="693" customFormat="false" ht="15" hidden="false" customHeight="false" outlineLevel="0" collapsed="false">
      <c r="A693" s="8" t="n">
        <v>689</v>
      </c>
      <c r="B693" s="13"/>
      <c r="C693" s="12"/>
      <c r="D693" s="13"/>
      <c r="E693" s="24"/>
      <c r="F693" s="12"/>
      <c r="G693" s="25"/>
      <c r="H693" s="14" t="str">
        <f aca="false">IF(OR($D693="",$B693=""),"",INT(($B693-$D693)/365.25))</f>
        <v/>
      </c>
      <c r="I693" s="25"/>
      <c r="J693" s="12"/>
      <c r="K693" s="12"/>
      <c r="L693" s="14" t="str">
        <f aca="false">IF(OR($C693="",$D693="",$B693=""),"",IF(COUNTIFS($C$5:$C$1504,$C693,$D$5:$D$1504,$D693,$B$5:$B$1504,$B693)&gt;1,"Takror",""))</f>
        <v/>
      </c>
    </row>
    <row r="694" customFormat="false" ht="15" hidden="false" customHeight="false" outlineLevel="0" collapsed="false">
      <c r="A694" s="8" t="n">
        <v>690</v>
      </c>
      <c r="B694" s="13"/>
      <c r="C694" s="12"/>
      <c r="D694" s="13"/>
      <c r="E694" s="24"/>
      <c r="F694" s="12"/>
      <c r="G694" s="25"/>
      <c r="H694" s="14" t="str">
        <f aca="false">IF(OR($D694="",$B694=""),"",INT(($B694-$D694)/365.25))</f>
        <v/>
      </c>
      <c r="I694" s="25"/>
      <c r="J694" s="12"/>
      <c r="K694" s="12"/>
      <c r="L694" s="14" t="str">
        <f aca="false">IF(OR($C694="",$D694="",$B694=""),"",IF(COUNTIFS($C$5:$C$1504,$C694,$D$5:$D$1504,$D694,$B$5:$B$1504,$B694)&gt;1,"Takror",""))</f>
        <v/>
      </c>
    </row>
    <row r="695" customFormat="false" ht="15" hidden="false" customHeight="false" outlineLevel="0" collapsed="false">
      <c r="A695" s="8" t="n">
        <v>691</v>
      </c>
      <c r="B695" s="13"/>
      <c r="C695" s="12"/>
      <c r="D695" s="13"/>
      <c r="E695" s="24"/>
      <c r="F695" s="12"/>
      <c r="G695" s="25"/>
      <c r="H695" s="14" t="str">
        <f aca="false">IF(OR($D695="",$B695=""),"",INT(($B695-$D695)/365.25))</f>
        <v/>
      </c>
      <c r="I695" s="25"/>
      <c r="J695" s="12"/>
      <c r="K695" s="12"/>
      <c r="L695" s="14" t="str">
        <f aca="false">IF(OR($C695="",$D695="",$B695=""),"",IF(COUNTIFS($C$5:$C$1504,$C695,$D$5:$D$1504,$D695,$B$5:$B$1504,$B695)&gt;1,"Takror",""))</f>
        <v/>
      </c>
    </row>
    <row r="696" customFormat="false" ht="15" hidden="false" customHeight="false" outlineLevel="0" collapsed="false">
      <c r="A696" s="8" t="n">
        <v>692</v>
      </c>
      <c r="B696" s="13"/>
      <c r="C696" s="12"/>
      <c r="D696" s="13"/>
      <c r="E696" s="24"/>
      <c r="F696" s="12"/>
      <c r="G696" s="25"/>
      <c r="H696" s="14" t="str">
        <f aca="false">IF(OR($D696="",$B696=""),"",INT(($B696-$D696)/365.25))</f>
        <v/>
      </c>
      <c r="I696" s="25"/>
      <c r="J696" s="12"/>
      <c r="K696" s="12"/>
      <c r="L696" s="14" t="str">
        <f aca="false">IF(OR($C696="",$D696="",$B696=""),"",IF(COUNTIFS($C$5:$C$1504,$C696,$D$5:$D$1504,$D696,$B$5:$B$1504,$B696)&gt;1,"Takror",""))</f>
        <v/>
      </c>
    </row>
    <row r="697" customFormat="false" ht="15" hidden="false" customHeight="false" outlineLevel="0" collapsed="false">
      <c r="A697" s="8" t="n">
        <v>693</v>
      </c>
      <c r="B697" s="13"/>
      <c r="C697" s="12"/>
      <c r="D697" s="13"/>
      <c r="E697" s="24"/>
      <c r="F697" s="12"/>
      <c r="G697" s="25"/>
      <c r="H697" s="14" t="str">
        <f aca="false">IF(OR($D697="",$B697=""),"",INT(($B697-$D697)/365.25))</f>
        <v/>
      </c>
      <c r="I697" s="25"/>
      <c r="J697" s="12"/>
      <c r="K697" s="12"/>
      <c r="L697" s="14" t="str">
        <f aca="false">IF(OR($C697="",$D697="",$B697=""),"",IF(COUNTIFS($C$5:$C$1504,$C697,$D$5:$D$1504,$D697,$B$5:$B$1504,$B697)&gt;1,"Takror",""))</f>
        <v/>
      </c>
    </row>
    <row r="698" customFormat="false" ht="15" hidden="false" customHeight="false" outlineLevel="0" collapsed="false">
      <c r="A698" s="8" t="n">
        <v>694</v>
      </c>
      <c r="B698" s="13"/>
      <c r="C698" s="12"/>
      <c r="D698" s="13"/>
      <c r="E698" s="24"/>
      <c r="F698" s="12"/>
      <c r="G698" s="25"/>
      <c r="H698" s="14" t="str">
        <f aca="false">IF(OR($D698="",$B698=""),"",INT(($B698-$D698)/365.25))</f>
        <v/>
      </c>
      <c r="I698" s="25"/>
      <c r="J698" s="12"/>
      <c r="K698" s="12"/>
      <c r="L698" s="14" t="str">
        <f aca="false">IF(OR($C698="",$D698="",$B698=""),"",IF(COUNTIFS($C$5:$C$1504,$C698,$D$5:$D$1504,$D698,$B$5:$B$1504,$B698)&gt;1,"Takror",""))</f>
        <v/>
      </c>
    </row>
    <row r="699" customFormat="false" ht="15" hidden="false" customHeight="false" outlineLevel="0" collapsed="false">
      <c r="A699" s="8" t="n">
        <v>695</v>
      </c>
      <c r="B699" s="13"/>
      <c r="C699" s="12"/>
      <c r="D699" s="13"/>
      <c r="E699" s="24"/>
      <c r="F699" s="12"/>
      <c r="G699" s="25"/>
      <c r="H699" s="14" t="str">
        <f aca="false">IF(OR($D699="",$B699=""),"",INT(($B699-$D699)/365.25))</f>
        <v/>
      </c>
      <c r="I699" s="25"/>
      <c r="J699" s="12"/>
      <c r="K699" s="12"/>
      <c r="L699" s="14" t="str">
        <f aca="false">IF(OR($C699="",$D699="",$B699=""),"",IF(COUNTIFS($C$5:$C$1504,$C699,$D$5:$D$1504,$D699,$B$5:$B$1504,$B699)&gt;1,"Takror",""))</f>
        <v/>
      </c>
    </row>
    <row r="700" customFormat="false" ht="15" hidden="false" customHeight="false" outlineLevel="0" collapsed="false">
      <c r="A700" s="8" t="n">
        <v>696</v>
      </c>
      <c r="B700" s="13"/>
      <c r="C700" s="12"/>
      <c r="D700" s="13"/>
      <c r="E700" s="24"/>
      <c r="F700" s="12"/>
      <c r="G700" s="25"/>
      <c r="H700" s="14" t="str">
        <f aca="false">IF(OR($D700="",$B700=""),"",INT(($B700-$D700)/365.25))</f>
        <v/>
      </c>
      <c r="I700" s="25"/>
      <c r="J700" s="12"/>
      <c r="K700" s="12"/>
      <c r="L700" s="14" t="str">
        <f aca="false">IF(OR($C700="",$D700="",$B700=""),"",IF(COUNTIFS($C$5:$C$1504,$C700,$D$5:$D$1504,$D700,$B$5:$B$1504,$B700)&gt;1,"Takror",""))</f>
        <v/>
      </c>
    </row>
    <row r="701" customFormat="false" ht="15" hidden="false" customHeight="false" outlineLevel="0" collapsed="false">
      <c r="A701" s="8" t="n">
        <v>697</v>
      </c>
      <c r="B701" s="13"/>
      <c r="C701" s="12"/>
      <c r="D701" s="13"/>
      <c r="E701" s="24"/>
      <c r="F701" s="12"/>
      <c r="G701" s="25"/>
      <c r="H701" s="14" t="str">
        <f aca="false">IF(OR($D701="",$B701=""),"",INT(($B701-$D701)/365.25))</f>
        <v/>
      </c>
      <c r="I701" s="25"/>
      <c r="J701" s="12"/>
      <c r="K701" s="12"/>
      <c r="L701" s="14" t="str">
        <f aca="false">IF(OR($C701="",$D701="",$B701=""),"",IF(COUNTIFS($C$5:$C$1504,$C701,$D$5:$D$1504,$D701,$B$5:$B$1504,$B701)&gt;1,"Takror",""))</f>
        <v/>
      </c>
    </row>
    <row r="702" customFormat="false" ht="15" hidden="false" customHeight="false" outlineLevel="0" collapsed="false">
      <c r="A702" s="8" t="n">
        <v>698</v>
      </c>
      <c r="B702" s="13"/>
      <c r="C702" s="12"/>
      <c r="D702" s="13"/>
      <c r="E702" s="24"/>
      <c r="F702" s="12"/>
      <c r="G702" s="25"/>
      <c r="H702" s="14" t="str">
        <f aca="false">IF(OR($D702="",$B702=""),"",INT(($B702-$D702)/365.25))</f>
        <v/>
      </c>
      <c r="I702" s="25"/>
      <c r="J702" s="12"/>
      <c r="K702" s="12"/>
      <c r="L702" s="14" t="str">
        <f aca="false">IF(OR($C702="",$D702="",$B702=""),"",IF(COUNTIFS($C$5:$C$1504,$C702,$D$5:$D$1504,$D702,$B$5:$B$1504,$B702)&gt;1,"Takror",""))</f>
        <v/>
      </c>
    </row>
    <row r="703" customFormat="false" ht="15" hidden="false" customHeight="false" outlineLevel="0" collapsed="false">
      <c r="A703" s="8" t="n">
        <v>699</v>
      </c>
      <c r="B703" s="13"/>
      <c r="C703" s="12"/>
      <c r="D703" s="13"/>
      <c r="E703" s="24"/>
      <c r="F703" s="12"/>
      <c r="G703" s="25"/>
      <c r="H703" s="14" t="str">
        <f aca="false">IF(OR($D703="",$B703=""),"",INT(($B703-$D703)/365.25))</f>
        <v/>
      </c>
      <c r="I703" s="25"/>
      <c r="J703" s="12"/>
      <c r="K703" s="12"/>
      <c r="L703" s="14" t="str">
        <f aca="false">IF(OR($C703="",$D703="",$B703=""),"",IF(COUNTIFS($C$5:$C$1504,$C703,$D$5:$D$1504,$D703,$B$5:$B$1504,$B703)&gt;1,"Takror",""))</f>
        <v/>
      </c>
    </row>
    <row r="704" customFormat="false" ht="15" hidden="false" customHeight="false" outlineLevel="0" collapsed="false">
      <c r="A704" s="8" t="n">
        <v>700</v>
      </c>
      <c r="B704" s="13"/>
      <c r="C704" s="12"/>
      <c r="D704" s="13"/>
      <c r="E704" s="24"/>
      <c r="F704" s="12"/>
      <c r="G704" s="25"/>
      <c r="H704" s="14" t="str">
        <f aca="false">IF(OR($D704="",$B704=""),"",INT(($B704-$D704)/365.25))</f>
        <v/>
      </c>
      <c r="I704" s="25"/>
      <c r="J704" s="12"/>
      <c r="K704" s="12"/>
      <c r="L704" s="14" t="str">
        <f aca="false">IF(OR($C704="",$D704="",$B704=""),"",IF(COUNTIFS($C$5:$C$1504,$C704,$D$5:$D$1504,$D704,$B$5:$B$1504,$B704)&gt;1,"Takror",""))</f>
        <v/>
      </c>
    </row>
    <row r="705" customFormat="false" ht="15" hidden="false" customHeight="false" outlineLevel="0" collapsed="false">
      <c r="A705" s="8" t="n">
        <v>701</v>
      </c>
      <c r="B705" s="13"/>
      <c r="C705" s="12"/>
      <c r="D705" s="13"/>
      <c r="E705" s="24"/>
      <c r="F705" s="12"/>
      <c r="G705" s="25"/>
      <c r="H705" s="14" t="str">
        <f aca="false">IF(OR($D705="",$B705=""),"",INT(($B705-$D705)/365.25))</f>
        <v/>
      </c>
      <c r="I705" s="25"/>
      <c r="J705" s="12"/>
      <c r="K705" s="12"/>
      <c r="L705" s="14" t="str">
        <f aca="false">IF(OR($C705="",$D705="",$B705=""),"",IF(COUNTIFS($C$5:$C$1504,$C705,$D$5:$D$1504,$D705,$B$5:$B$1504,$B705)&gt;1,"Takror",""))</f>
        <v/>
      </c>
    </row>
    <row r="706" customFormat="false" ht="15" hidden="false" customHeight="false" outlineLevel="0" collapsed="false">
      <c r="A706" s="8" t="n">
        <v>702</v>
      </c>
      <c r="B706" s="13"/>
      <c r="C706" s="12"/>
      <c r="D706" s="13"/>
      <c r="E706" s="24"/>
      <c r="F706" s="12"/>
      <c r="G706" s="25"/>
      <c r="H706" s="14" t="str">
        <f aca="false">IF(OR($D706="",$B706=""),"",INT(($B706-$D706)/365.25))</f>
        <v/>
      </c>
      <c r="I706" s="25"/>
      <c r="J706" s="12"/>
      <c r="K706" s="12"/>
      <c r="L706" s="14" t="str">
        <f aca="false">IF(OR($C706="",$D706="",$B706=""),"",IF(COUNTIFS($C$5:$C$1504,$C706,$D$5:$D$1504,$D706,$B$5:$B$1504,$B706)&gt;1,"Takror",""))</f>
        <v/>
      </c>
    </row>
    <row r="707" customFormat="false" ht="15" hidden="false" customHeight="false" outlineLevel="0" collapsed="false">
      <c r="A707" s="8" t="n">
        <v>703</v>
      </c>
      <c r="B707" s="13"/>
      <c r="C707" s="12"/>
      <c r="D707" s="13"/>
      <c r="E707" s="24"/>
      <c r="F707" s="12"/>
      <c r="G707" s="25"/>
      <c r="H707" s="14" t="str">
        <f aca="false">IF(OR($D707="",$B707=""),"",INT(($B707-$D707)/365.25))</f>
        <v/>
      </c>
      <c r="I707" s="25"/>
      <c r="J707" s="12"/>
      <c r="K707" s="12"/>
      <c r="L707" s="14" t="str">
        <f aca="false">IF(OR($C707="",$D707="",$B707=""),"",IF(COUNTIFS($C$5:$C$1504,$C707,$D$5:$D$1504,$D707,$B$5:$B$1504,$B707)&gt;1,"Takror",""))</f>
        <v/>
      </c>
    </row>
    <row r="708" customFormat="false" ht="15" hidden="false" customHeight="false" outlineLevel="0" collapsed="false">
      <c r="A708" s="8" t="n">
        <v>704</v>
      </c>
      <c r="B708" s="13"/>
      <c r="C708" s="12"/>
      <c r="D708" s="13"/>
      <c r="E708" s="24"/>
      <c r="F708" s="12"/>
      <c r="G708" s="25"/>
      <c r="H708" s="14" t="str">
        <f aca="false">IF(OR($D708="",$B708=""),"",INT(($B708-$D708)/365.25))</f>
        <v/>
      </c>
      <c r="I708" s="25"/>
      <c r="J708" s="12"/>
      <c r="K708" s="12"/>
      <c r="L708" s="14" t="str">
        <f aca="false">IF(OR($C708="",$D708="",$B708=""),"",IF(COUNTIFS($C$5:$C$1504,$C708,$D$5:$D$1504,$D708,$B$5:$B$1504,$B708)&gt;1,"Takror",""))</f>
        <v/>
      </c>
    </row>
    <row r="709" customFormat="false" ht="15" hidden="false" customHeight="false" outlineLevel="0" collapsed="false">
      <c r="A709" s="8" t="n">
        <v>705</v>
      </c>
      <c r="B709" s="13"/>
      <c r="C709" s="12"/>
      <c r="D709" s="13"/>
      <c r="E709" s="24"/>
      <c r="F709" s="12"/>
      <c r="G709" s="25"/>
      <c r="H709" s="14" t="str">
        <f aca="false">IF(OR($D709="",$B709=""),"",INT(($B709-$D709)/365.25))</f>
        <v/>
      </c>
      <c r="I709" s="25"/>
      <c r="J709" s="12"/>
      <c r="K709" s="12"/>
      <c r="L709" s="14" t="str">
        <f aca="false">IF(OR($C709="",$D709="",$B709=""),"",IF(COUNTIFS($C$5:$C$1504,$C709,$D$5:$D$1504,$D709,$B$5:$B$1504,$B709)&gt;1,"Takror",""))</f>
        <v/>
      </c>
    </row>
    <row r="710" customFormat="false" ht="15" hidden="false" customHeight="false" outlineLevel="0" collapsed="false">
      <c r="A710" s="8" t="n">
        <v>706</v>
      </c>
      <c r="B710" s="13"/>
      <c r="C710" s="12"/>
      <c r="D710" s="13"/>
      <c r="E710" s="24"/>
      <c r="F710" s="12"/>
      <c r="G710" s="25"/>
      <c r="H710" s="14" t="str">
        <f aca="false">IF(OR($D710="",$B710=""),"",INT(($B710-$D710)/365.25))</f>
        <v/>
      </c>
      <c r="I710" s="25"/>
      <c r="J710" s="12"/>
      <c r="K710" s="12"/>
      <c r="L710" s="14" t="str">
        <f aca="false">IF(OR($C710="",$D710="",$B710=""),"",IF(COUNTIFS($C$5:$C$1504,$C710,$D$5:$D$1504,$D710,$B$5:$B$1504,$B710)&gt;1,"Takror",""))</f>
        <v/>
      </c>
    </row>
    <row r="711" customFormat="false" ht="15" hidden="false" customHeight="false" outlineLevel="0" collapsed="false">
      <c r="A711" s="8" t="n">
        <v>707</v>
      </c>
      <c r="B711" s="13"/>
      <c r="C711" s="12"/>
      <c r="D711" s="13"/>
      <c r="E711" s="24"/>
      <c r="F711" s="12"/>
      <c r="G711" s="25"/>
      <c r="H711" s="14" t="str">
        <f aca="false">IF(OR($D711="",$B711=""),"",INT(($B711-$D711)/365.25))</f>
        <v/>
      </c>
      <c r="I711" s="25"/>
      <c r="J711" s="12"/>
      <c r="K711" s="12"/>
      <c r="L711" s="14" t="str">
        <f aca="false">IF(OR($C711="",$D711="",$B711=""),"",IF(COUNTIFS($C$5:$C$1504,$C711,$D$5:$D$1504,$D711,$B$5:$B$1504,$B711)&gt;1,"Takror",""))</f>
        <v/>
      </c>
    </row>
    <row r="712" customFormat="false" ht="15" hidden="false" customHeight="false" outlineLevel="0" collapsed="false">
      <c r="A712" s="8" t="n">
        <v>708</v>
      </c>
      <c r="B712" s="13"/>
      <c r="C712" s="12"/>
      <c r="D712" s="13"/>
      <c r="E712" s="24"/>
      <c r="F712" s="12"/>
      <c r="G712" s="25"/>
      <c r="H712" s="14" t="str">
        <f aca="false">IF(OR($D712="",$B712=""),"",INT(($B712-$D712)/365.25))</f>
        <v/>
      </c>
      <c r="I712" s="25"/>
      <c r="J712" s="12"/>
      <c r="K712" s="12"/>
      <c r="L712" s="14" t="str">
        <f aca="false">IF(OR($C712="",$D712="",$B712=""),"",IF(COUNTIFS($C$5:$C$1504,$C712,$D$5:$D$1504,$D712,$B$5:$B$1504,$B712)&gt;1,"Takror",""))</f>
        <v/>
      </c>
    </row>
    <row r="713" customFormat="false" ht="15" hidden="false" customHeight="false" outlineLevel="0" collapsed="false">
      <c r="A713" s="8" t="n">
        <v>709</v>
      </c>
      <c r="B713" s="13"/>
      <c r="C713" s="12"/>
      <c r="D713" s="13"/>
      <c r="E713" s="24"/>
      <c r="F713" s="12"/>
      <c r="G713" s="25"/>
      <c r="H713" s="14" t="str">
        <f aca="false">IF(OR($D713="",$B713=""),"",INT(($B713-$D713)/365.25))</f>
        <v/>
      </c>
      <c r="I713" s="25"/>
      <c r="J713" s="12"/>
      <c r="K713" s="12"/>
      <c r="L713" s="14" t="str">
        <f aca="false">IF(OR($C713="",$D713="",$B713=""),"",IF(COUNTIFS($C$5:$C$1504,$C713,$D$5:$D$1504,$D713,$B$5:$B$1504,$B713)&gt;1,"Takror",""))</f>
        <v/>
      </c>
    </row>
    <row r="714" customFormat="false" ht="15" hidden="false" customHeight="false" outlineLevel="0" collapsed="false">
      <c r="A714" s="8" t="n">
        <v>710</v>
      </c>
      <c r="B714" s="13"/>
      <c r="C714" s="12"/>
      <c r="D714" s="13"/>
      <c r="E714" s="24"/>
      <c r="F714" s="12"/>
      <c r="G714" s="25"/>
      <c r="H714" s="14" t="str">
        <f aca="false">IF(OR($D714="",$B714=""),"",INT(($B714-$D714)/365.25))</f>
        <v/>
      </c>
      <c r="I714" s="25"/>
      <c r="J714" s="12"/>
      <c r="K714" s="12"/>
      <c r="L714" s="14" t="str">
        <f aca="false">IF(OR($C714="",$D714="",$B714=""),"",IF(COUNTIFS($C$5:$C$1504,$C714,$D$5:$D$1504,$D714,$B$5:$B$1504,$B714)&gt;1,"Takror",""))</f>
        <v/>
      </c>
    </row>
    <row r="715" customFormat="false" ht="15" hidden="false" customHeight="false" outlineLevel="0" collapsed="false">
      <c r="A715" s="8" t="n">
        <v>711</v>
      </c>
      <c r="B715" s="13"/>
      <c r="C715" s="12"/>
      <c r="D715" s="13"/>
      <c r="E715" s="24"/>
      <c r="F715" s="12"/>
      <c r="G715" s="25"/>
      <c r="H715" s="14" t="str">
        <f aca="false">IF(OR($D715="",$B715=""),"",INT(($B715-$D715)/365.25))</f>
        <v/>
      </c>
      <c r="I715" s="25"/>
      <c r="J715" s="12"/>
      <c r="K715" s="12"/>
      <c r="L715" s="14" t="str">
        <f aca="false">IF(OR($C715="",$D715="",$B715=""),"",IF(COUNTIFS($C$5:$C$1504,$C715,$D$5:$D$1504,$D715,$B$5:$B$1504,$B715)&gt;1,"Takror",""))</f>
        <v/>
      </c>
    </row>
    <row r="716" customFormat="false" ht="15" hidden="false" customHeight="false" outlineLevel="0" collapsed="false">
      <c r="A716" s="8" t="n">
        <v>712</v>
      </c>
      <c r="B716" s="13"/>
      <c r="C716" s="12"/>
      <c r="D716" s="13"/>
      <c r="E716" s="24"/>
      <c r="F716" s="12"/>
      <c r="G716" s="25"/>
      <c r="H716" s="14" t="str">
        <f aca="false">IF(OR($D716="",$B716=""),"",INT(($B716-$D716)/365.25))</f>
        <v/>
      </c>
      <c r="I716" s="25"/>
      <c r="J716" s="12"/>
      <c r="K716" s="12"/>
      <c r="L716" s="14" t="str">
        <f aca="false">IF(OR($C716="",$D716="",$B716=""),"",IF(COUNTIFS($C$5:$C$1504,$C716,$D$5:$D$1504,$D716,$B$5:$B$1504,$B716)&gt;1,"Takror",""))</f>
        <v/>
      </c>
    </row>
    <row r="717" customFormat="false" ht="15" hidden="false" customHeight="false" outlineLevel="0" collapsed="false">
      <c r="A717" s="8" t="n">
        <v>713</v>
      </c>
      <c r="B717" s="13"/>
      <c r="C717" s="12"/>
      <c r="D717" s="13"/>
      <c r="E717" s="24"/>
      <c r="F717" s="12"/>
      <c r="G717" s="25"/>
      <c r="H717" s="14" t="str">
        <f aca="false">IF(OR($D717="",$B717=""),"",INT(($B717-$D717)/365.25))</f>
        <v/>
      </c>
      <c r="I717" s="25"/>
      <c r="J717" s="12"/>
      <c r="K717" s="12"/>
      <c r="L717" s="14" t="str">
        <f aca="false">IF(OR($C717="",$D717="",$B717=""),"",IF(COUNTIFS($C$5:$C$1504,$C717,$D$5:$D$1504,$D717,$B$5:$B$1504,$B717)&gt;1,"Takror",""))</f>
        <v/>
      </c>
    </row>
    <row r="718" customFormat="false" ht="15" hidden="false" customHeight="false" outlineLevel="0" collapsed="false">
      <c r="A718" s="8" t="n">
        <v>714</v>
      </c>
      <c r="B718" s="13"/>
      <c r="C718" s="12"/>
      <c r="D718" s="13"/>
      <c r="E718" s="24"/>
      <c r="F718" s="12"/>
      <c r="G718" s="25"/>
      <c r="H718" s="14" t="str">
        <f aca="false">IF(OR($D718="",$B718=""),"",INT(($B718-$D718)/365.25))</f>
        <v/>
      </c>
      <c r="I718" s="25"/>
      <c r="J718" s="12"/>
      <c r="K718" s="12"/>
      <c r="L718" s="14" t="str">
        <f aca="false">IF(OR($C718="",$D718="",$B718=""),"",IF(COUNTIFS($C$5:$C$1504,$C718,$D$5:$D$1504,$D718,$B$5:$B$1504,$B718)&gt;1,"Takror",""))</f>
        <v/>
      </c>
    </row>
    <row r="719" customFormat="false" ht="15" hidden="false" customHeight="false" outlineLevel="0" collapsed="false">
      <c r="A719" s="8" t="n">
        <v>715</v>
      </c>
      <c r="B719" s="13"/>
      <c r="C719" s="12"/>
      <c r="D719" s="13"/>
      <c r="E719" s="24"/>
      <c r="F719" s="12"/>
      <c r="G719" s="25"/>
      <c r="H719" s="14" t="str">
        <f aca="false">IF(OR($D719="",$B719=""),"",INT(($B719-$D719)/365.25))</f>
        <v/>
      </c>
      <c r="I719" s="25"/>
      <c r="J719" s="12"/>
      <c r="K719" s="12"/>
      <c r="L719" s="14" t="str">
        <f aca="false">IF(OR($C719="",$D719="",$B719=""),"",IF(COUNTIFS($C$5:$C$1504,$C719,$D$5:$D$1504,$D719,$B$5:$B$1504,$B719)&gt;1,"Takror",""))</f>
        <v/>
      </c>
    </row>
    <row r="720" customFormat="false" ht="15" hidden="false" customHeight="false" outlineLevel="0" collapsed="false">
      <c r="A720" s="8" t="n">
        <v>716</v>
      </c>
      <c r="B720" s="13"/>
      <c r="C720" s="12"/>
      <c r="D720" s="13"/>
      <c r="E720" s="24"/>
      <c r="F720" s="12"/>
      <c r="G720" s="25"/>
      <c r="H720" s="14" t="str">
        <f aca="false">IF(OR($D720="",$B720=""),"",INT(($B720-$D720)/365.25))</f>
        <v/>
      </c>
      <c r="I720" s="25"/>
      <c r="J720" s="12"/>
      <c r="K720" s="12"/>
      <c r="L720" s="14" t="str">
        <f aca="false">IF(OR($C720="",$D720="",$B720=""),"",IF(COUNTIFS($C$5:$C$1504,$C720,$D$5:$D$1504,$D720,$B$5:$B$1504,$B720)&gt;1,"Takror",""))</f>
        <v/>
      </c>
    </row>
    <row r="721" customFormat="false" ht="15" hidden="false" customHeight="false" outlineLevel="0" collapsed="false">
      <c r="A721" s="8" t="n">
        <v>717</v>
      </c>
      <c r="B721" s="13"/>
      <c r="C721" s="12"/>
      <c r="D721" s="13"/>
      <c r="E721" s="24"/>
      <c r="F721" s="12"/>
      <c r="G721" s="25"/>
      <c r="H721" s="14" t="str">
        <f aca="false">IF(OR($D721="",$B721=""),"",INT(($B721-$D721)/365.25))</f>
        <v/>
      </c>
      <c r="I721" s="25"/>
      <c r="J721" s="12"/>
      <c r="K721" s="12"/>
      <c r="L721" s="14" t="str">
        <f aca="false">IF(OR($C721="",$D721="",$B721=""),"",IF(COUNTIFS($C$5:$C$1504,$C721,$D$5:$D$1504,$D721,$B$5:$B$1504,$B721)&gt;1,"Takror",""))</f>
        <v/>
      </c>
    </row>
    <row r="722" customFormat="false" ht="15" hidden="false" customHeight="false" outlineLevel="0" collapsed="false">
      <c r="A722" s="8" t="n">
        <v>718</v>
      </c>
      <c r="B722" s="13"/>
      <c r="C722" s="12"/>
      <c r="D722" s="13"/>
      <c r="E722" s="24"/>
      <c r="F722" s="12"/>
      <c r="G722" s="25"/>
      <c r="H722" s="14" t="str">
        <f aca="false">IF(OR($D722="",$B722=""),"",INT(($B722-$D722)/365.25))</f>
        <v/>
      </c>
      <c r="I722" s="25"/>
      <c r="J722" s="12"/>
      <c r="K722" s="12"/>
      <c r="L722" s="14" t="str">
        <f aca="false">IF(OR($C722="",$D722="",$B722=""),"",IF(COUNTIFS($C$5:$C$1504,$C722,$D$5:$D$1504,$D722,$B$5:$B$1504,$B722)&gt;1,"Takror",""))</f>
        <v/>
      </c>
    </row>
    <row r="723" customFormat="false" ht="15" hidden="false" customHeight="false" outlineLevel="0" collapsed="false">
      <c r="A723" s="8" t="n">
        <v>719</v>
      </c>
      <c r="B723" s="13"/>
      <c r="C723" s="12"/>
      <c r="D723" s="13"/>
      <c r="E723" s="24"/>
      <c r="F723" s="12"/>
      <c r="G723" s="25"/>
      <c r="H723" s="14" t="str">
        <f aca="false">IF(OR($D723="",$B723=""),"",INT(($B723-$D723)/365.25))</f>
        <v/>
      </c>
      <c r="I723" s="25"/>
      <c r="J723" s="12"/>
      <c r="K723" s="12"/>
      <c r="L723" s="14" t="str">
        <f aca="false">IF(OR($C723="",$D723="",$B723=""),"",IF(COUNTIFS($C$5:$C$1504,$C723,$D$5:$D$1504,$D723,$B$5:$B$1504,$B723)&gt;1,"Takror",""))</f>
        <v/>
      </c>
    </row>
    <row r="724" customFormat="false" ht="15" hidden="false" customHeight="false" outlineLevel="0" collapsed="false">
      <c r="A724" s="8" t="n">
        <v>720</v>
      </c>
      <c r="B724" s="13"/>
      <c r="C724" s="12"/>
      <c r="D724" s="13"/>
      <c r="E724" s="24"/>
      <c r="F724" s="12"/>
      <c r="G724" s="25"/>
      <c r="H724" s="14" t="str">
        <f aca="false">IF(OR($D724="",$B724=""),"",INT(($B724-$D724)/365.25))</f>
        <v/>
      </c>
      <c r="I724" s="25"/>
      <c r="J724" s="12"/>
      <c r="K724" s="12"/>
      <c r="L724" s="14" t="str">
        <f aca="false">IF(OR($C724="",$D724="",$B724=""),"",IF(COUNTIFS($C$5:$C$1504,$C724,$D$5:$D$1504,$D724,$B$5:$B$1504,$B724)&gt;1,"Takror",""))</f>
        <v/>
      </c>
    </row>
    <row r="725" customFormat="false" ht="15" hidden="false" customHeight="false" outlineLevel="0" collapsed="false">
      <c r="A725" s="8" t="n">
        <v>721</v>
      </c>
      <c r="B725" s="13"/>
      <c r="C725" s="12"/>
      <c r="D725" s="13"/>
      <c r="E725" s="24"/>
      <c r="F725" s="12"/>
      <c r="G725" s="25"/>
      <c r="H725" s="14" t="str">
        <f aca="false">IF(OR($D725="",$B725=""),"",INT(($B725-$D725)/365.25))</f>
        <v/>
      </c>
      <c r="I725" s="25"/>
      <c r="J725" s="12"/>
      <c r="K725" s="12"/>
      <c r="L725" s="14" t="str">
        <f aca="false">IF(OR($C725="",$D725="",$B725=""),"",IF(COUNTIFS($C$5:$C$1504,$C725,$D$5:$D$1504,$D725,$B$5:$B$1504,$B725)&gt;1,"Takror",""))</f>
        <v/>
      </c>
    </row>
    <row r="726" customFormat="false" ht="15" hidden="false" customHeight="false" outlineLevel="0" collapsed="false">
      <c r="A726" s="8" t="n">
        <v>722</v>
      </c>
      <c r="B726" s="13"/>
      <c r="C726" s="12"/>
      <c r="D726" s="13"/>
      <c r="E726" s="24"/>
      <c r="F726" s="12"/>
      <c r="G726" s="25"/>
      <c r="H726" s="14" t="str">
        <f aca="false">IF(OR($D726="",$B726=""),"",INT(($B726-$D726)/365.25))</f>
        <v/>
      </c>
      <c r="I726" s="25"/>
      <c r="J726" s="12"/>
      <c r="K726" s="12"/>
      <c r="L726" s="14" t="str">
        <f aca="false">IF(OR($C726="",$D726="",$B726=""),"",IF(COUNTIFS($C$5:$C$1504,$C726,$D$5:$D$1504,$D726,$B$5:$B$1504,$B726)&gt;1,"Takror",""))</f>
        <v/>
      </c>
    </row>
    <row r="727" customFormat="false" ht="15" hidden="false" customHeight="false" outlineLevel="0" collapsed="false">
      <c r="A727" s="8" t="n">
        <v>723</v>
      </c>
      <c r="B727" s="13"/>
      <c r="C727" s="12"/>
      <c r="D727" s="13"/>
      <c r="E727" s="24"/>
      <c r="F727" s="12"/>
      <c r="G727" s="25"/>
      <c r="H727" s="14" t="str">
        <f aca="false">IF(OR($D727="",$B727=""),"",INT(($B727-$D727)/365.25))</f>
        <v/>
      </c>
      <c r="I727" s="25"/>
      <c r="J727" s="12"/>
      <c r="K727" s="12"/>
      <c r="L727" s="14" t="str">
        <f aca="false">IF(OR($C727="",$D727="",$B727=""),"",IF(COUNTIFS($C$5:$C$1504,$C727,$D$5:$D$1504,$D727,$B$5:$B$1504,$B727)&gt;1,"Takror",""))</f>
        <v/>
      </c>
    </row>
    <row r="728" customFormat="false" ht="15" hidden="false" customHeight="false" outlineLevel="0" collapsed="false">
      <c r="A728" s="8" t="n">
        <v>724</v>
      </c>
      <c r="B728" s="13"/>
      <c r="C728" s="12"/>
      <c r="D728" s="13"/>
      <c r="E728" s="24"/>
      <c r="F728" s="12"/>
      <c r="G728" s="25"/>
      <c r="H728" s="14" t="str">
        <f aca="false">IF(OR($D728="",$B728=""),"",INT(($B728-$D728)/365.25))</f>
        <v/>
      </c>
      <c r="I728" s="25"/>
      <c r="J728" s="12"/>
      <c r="K728" s="12"/>
      <c r="L728" s="14" t="str">
        <f aca="false">IF(OR($C728="",$D728="",$B728=""),"",IF(COUNTIFS($C$5:$C$1504,$C728,$D$5:$D$1504,$D728,$B$5:$B$1504,$B728)&gt;1,"Takror",""))</f>
        <v/>
      </c>
    </row>
    <row r="729" customFormat="false" ht="15" hidden="false" customHeight="false" outlineLevel="0" collapsed="false">
      <c r="A729" s="8" t="n">
        <v>725</v>
      </c>
      <c r="B729" s="13"/>
      <c r="C729" s="12"/>
      <c r="D729" s="13"/>
      <c r="E729" s="24"/>
      <c r="F729" s="12"/>
      <c r="G729" s="25"/>
      <c r="H729" s="14" t="str">
        <f aca="false">IF(OR($D729="",$B729=""),"",INT(($B729-$D729)/365.25))</f>
        <v/>
      </c>
      <c r="I729" s="25"/>
      <c r="J729" s="12"/>
      <c r="K729" s="12"/>
      <c r="L729" s="14" t="str">
        <f aca="false">IF(OR($C729="",$D729="",$B729=""),"",IF(COUNTIFS($C$5:$C$1504,$C729,$D$5:$D$1504,$D729,$B$5:$B$1504,$B729)&gt;1,"Takror",""))</f>
        <v/>
      </c>
    </row>
    <row r="730" customFormat="false" ht="15" hidden="false" customHeight="false" outlineLevel="0" collapsed="false">
      <c r="A730" s="8" t="n">
        <v>726</v>
      </c>
      <c r="B730" s="13"/>
      <c r="C730" s="12"/>
      <c r="D730" s="13"/>
      <c r="E730" s="24"/>
      <c r="F730" s="12"/>
      <c r="G730" s="25"/>
      <c r="H730" s="14" t="str">
        <f aca="false">IF(OR($D730="",$B730=""),"",INT(($B730-$D730)/365.25))</f>
        <v/>
      </c>
      <c r="I730" s="25"/>
      <c r="J730" s="12"/>
      <c r="K730" s="12"/>
      <c r="L730" s="14" t="str">
        <f aca="false">IF(OR($C730="",$D730="",$B730=""),"",IF(COUNTIFS($C$5:$C$1504,$C730,$D$5:$D$1504,$D730,$B$5:$B$1504,$B730)&gt;1,"Takror",""))</f>
        <v/>
      </c>
    </row>
    <row r="731" customFormat="false" ht="15" hidden="false" customHeight="false" outlineLevel="0" collapsed="false">
      <c r="A731" s="8" t="n">
        <v>727</v>
      </c>
      <c r="B731" s="13"/>
      <c r="C731" s="12"/>
      <c r="D731" s="13"/>
      <c r="E731" s="24"/>
      <c r="F731" s="12"/>
      <c r="G731" s="25"/>
      <c r="H731" s="14" t="str">
        <f aca="false">IF(OR($D731="",$B731=""),"",INT(($B731-$D731)/365.25))</f>
        <v/>
      </c>
      <c r="I731" s="25"/>
      <c r="J731" s="12"/>
      <c r="K731" s="12"/>
      <c r="L731" s="14" t="str">
        <f aca="false">IF(OR($C731="",$D731="",$B731=""),"",IF(COUNTIFS($C$5:$C$1504,$C731,$D$5:$D$1504,$D731,$B$5:$B$1504,$B731)&gt;1,"Takror",""))</f>
        <v/>
      </c>
    </row>
    <row r="732" customFormat="false" ht="15" hidden="false" customHeight="false" outlineLevel="0" collapsed="false">
      <c r="A732" s="8" t="n">
        <v>728</v>
      </c>
      <c r="B732" s="13"/>
      <c r="C732" s="12"/>
      <c r="D732" s="13"/>
      <c r="E732" s="24"/>
      <c r="F732" s="12"/>
      <c r="G732" s="25"/>
      <c r="H732" s="14" t="str">
        <f aca="false">IF(OR($D732="",$B732=""),"",INT(($B732-$D732)/365.25))</f>
        <v/>
      </c>
      <c r="I732" s="25"/>
      <c r="J732" s="12"/>
      <c r="K732" s="12"/>
      <c r="L732" s="14" t="str">
        <f aca="false">IF(OR($C732="",$D732="",$B732=""),"",IF(COUNTIFS($C$5:$C$1504,$C732,$D$5:$D$1504,$D732,$B$5:$B$1504,$B732)&gt;1,"Takror",""))</f>
        <v/>
      </c>
    </row>
    <row r="733" customFormat="false" ht="15" hidden="false" customHeight="false" outlineLevel="0" collapsed="false">
      <c r="A733" s="8" t="n">
        <v>729</v>
      </c>
      <c r="B733" s="13"/>
      <c r="C733" s="12"/>
      <c r="D733" s="13"/>
      <c r="E733" s="24"/>
      <c r="F733" s="12"/>
      <c r="G733" s="25"/>
      <c r="H733" s="14" t="str">
        <f aca="false">IF(OR($D733="",$B733=""),"",INT(($B733-$D733)/365.25))</f>
        <v/>
      </c>
      <c r="I733" s="25"/>
      <c r="J733" s="12"/>
      <c r="K733" s="12"/>
      <c r="L733" s="14" t="str">
        <f aca="false">IF(OR($C733="",$D733="",$B733=""),"",IF(COUNTIFS($C$5:$C$1504,$C733,$D$5:$D$1504,$D733,$B$5:$B$1504,$B733)&gt;1,"Takror",""))</f>
        <v/>
      </c>
    </row>
    <row r="734" customFormat="false" ht="15" hidden="false" customHeight="false" outlineLevel="0" collapsed="false">
      <c r="A734" s="8" t="n">
        <v>730</v>
      </c>
      <c r="B734" s="13"/>
      <c r="C734" s="12"/>
      <c r="D734" s="13"/>
      <c r="E734" s="24"/>
      <c r="F734" s="12"/>
      <c r="G734" s="25"/>
      <c r="H734" s="14" t="str">
        <f aca="false">IF(OR($D734="",$B734=""),"",INT(($B734-$D734)/365.25))</f>
        <v/>
      </c>
      <c r="I734" s="25"/>
      <c r="J734" s="12"/>
      <c r="K734" s="12"/>
      <c r="L734" s="14" t="str">
        <f aca="false">IF(OR($C734="",$D734="",$B734=""),"",IF(COUNTIFS($C$5:$C$1504,$C734,$D$5:$D$1504,$D734,$B$5:$B$1504,$B734)&gt;1,"Takror",""))</f>
        <v/>
      </c>
    </row>
    <row r="735" customFormat="false" ht="15" hidden="false" customHeight="false" outlineLevel="0" collapsed="false">
      <c r="A735" s="8" t="n">
        <v>731</v>
      </c>
      <c r="B735" s="13"/>
      <c r="C735" s="12"/>
      <c r="D735" s="13"/>
      <c r="E735" s="24"/>
      <c r="F735" s="12"/>
      <c r="G735" s="25"/>
      <c r="H735" s="14" t="str">
        <f aca="false">IF(OR($D735="",$B735=""),"",INT(($B735-$D735)/365.25))</f>
        <v/>
      </c>
      <c r="I735" s="25"/>
      <c r="J735" s="12"/>
      <c r="K735" s="12"/>
      <c r="L735" s="14" t="str">
        <f aca="false">IF(OR($C735="",$D735="",$B735=""),"",IF(COUNTIFS($C$5:$C$1504,$C735,$D$5:$D$1504,$D735,$B$5:$B$1504,$B735)&gt;1,"Takror",""))</f>
        <v/>
      </c>
    </row>
    <row r="736" customFormat="false" ht="15" hidden="false" customHeight="false" outlineLevel="0" collapsed="false">
      <c r="A736" s="8" t="n">
        <v>732</v>
      </c>
      <c r="B736" s="13"/>
      <c r="C736" s="12"/>
      <c r="D736" s="13"/>
      <c r="E736" s="24"/>
      <c r="F736" s="12"/>
      <c r="G736" s="25"/>
      <c r="H736" s="14" t="str">
        <f aca="false">IF(OR($D736="",$B736=""),"",INT(($B736-$D736)/365.25))</f>
        <v/>
      </c>
      <c r="I736" s="25"/>
      <c r="J736" s="12"/>
      <c r="K736" s="12"/>
      <c r="L736" s="14" t="str">
        <f aca="false">IF(OR($C736="",$D736="",$B736=""),"",IF(COUNTIFS($C$5:$C$1504,$C736,$D$5:$D$1504,$D736,$B$5:$B$1504,$B736)&gt;1,"Takror",""))</f>
        <v/>
      </c>
    </row>
    <row r="737" customFormat="false" ht="15" hidden="false" customHeight="false" outlineLevel="0" collapsed="false">
      <c r="A737" s="8" t="n">
        <v>733</v>
      </c>
      <c r="B737" s="13"/>
      <c r="C737" s="12"/>
      <c r="D737" s="13"/>
      <c r="E737" s="24"/>
      <c r="F737" s="12"/>
      <c r="G737" s="25"/>
      <c r="H737" s="14" t="str">
        <f aca="false">IF(OR($D737="",$B737=""),"",INT(($B737-$D737)/365.25))</f>
        <v/>
      </c>
      <c r="I737" s="25"/>
      <c r="J737" s="12"/>
      <c r="K737" s="12"/>
      <c r="L737" s="14" t="str">
        <f aca="false">IF(OR($C737="",$D737="",$B737=""),"",IF(COUNTIFS($C$5:$C$1504,$C737,$D$5:$D$1504,$D737,$B$5:$B$1504,$B737)&gt;1,"Takror",""))</f>
        <v/>
      </c>
    </row>
    <row r="738" customFormat="false" ht="15" hidden="false" customHeight="false" outlineLevel="0" collapsed="false">
      <c r="A738" s="8" t="n">
        <v>734</v>
      </c>
      <c r="B738" s="13"/>
      <c r="C738" s="12"/>
      <c r="D738" s="13"/>
      <c r="E738" s="24"/>
      <c r="F738" s="12"/>
      <c r="G738" s="25"/>
      <c r="H738" s="14" t="str">
        <f aca="false">IF(OR($D738="",$B738=""),"",INT(($B738-$D738)/365.25))</f>
        <v/>
      </c>
      <c r="I738" s="25"/>
      <c r="J738" s="12"/>
      <c r="K738" s="12"/>
      <c r="L738" s="14" t="str">
        <f aca="false">IF(OR($C738="",$D738="",$B738=""),"",IF(COUNTIFS($C$5:$C$1504,$C738,$D$5:$D$1504,$D738,$B$5:$B$1504,$B738)&gt;1,"Takror",""))</f>
        <v/>
      </c>
    </row>
    <row r="739" customFormat="false" ht="15" hidden="false" customHeight="false" outlineLevel="0" collapsed="false">
      <c r="A739" s="8" t="n">
        <v>735</v>
      </c>
      <c r="B739" s="13"/>
      <c r="C739" s="12"/>
      <c r="D739" s="13"/>
      <c r="E739" s="24"/>
      <c r="F739" s="12"/>
      <c r="G739" s="25"/>
      <c r="H739" s="14" t="str">
        <f aca="false">IF(OR($D739="",$B739=""),"",INT(($B739-$D739)/365.25))</f>
        <v/>
      </c>
      <c r="I739" s="25"/>
      <c r="J739" s="12"/>
      <c r="K739" s="12"/>
      <c r="L739" s="14" t="str">
        <f aca="false">IF(OR($C739="",$D739="",$B739=""),"",IF(COUNTIFS($C$5:$C$1504,$C739,$D$5:$D$1504,$D739,$B$5:$B$1504,$B739)&gt;1,"Takror",""))</f>
        <v/>
      </c>
    </row>
    <row r="740" customFormat="false" ht="15" hidden="false" customHeight="false" outlineLevel="0" collapsed="false">
      <c r="A740" s="8" t="n">
        <v>736</v>
      </c>
      <c r="B740" s="13"/>
      <c r="C740" s="12"/>
      <c r="D740" s="13"/>
      <c r="E740" s="24"/>
      <c r="F740" s="12"/>
      <c r="G740" s="25"/>
      <c r="H740" s="14" t="str">
        <f aca="false">IF(OR($D740="",$B740=""),"",INT(($B740-$D740)/365.25))</f>
        <v/>
      </c>
      <c r="I740" s="25"/>
      <c r="J740" s="12"/>
      <c r="K740" s="12"/>
      <c r="L740" s="14" t="str">
        <f aca="false">IF(OR($C740="",$D740="",$B740=""),"",IF(COUNTIFS($C$5:$C$1504,$C740,$D$5:$D$1504,$D740,$B$5:$B$1504,$B740)&gt;1,"Takror",""))</f>
        <v/>
      </c>
    </row>
    <row r="741" customFormat="false" ht="15" hidden="false" customHeight="false" outlineLevel="0" collapsed="false">
      <c r="A741" s="8" t="n">
        <v>737</v>
      </c>
      <c r="B741" s="13"/>
      <c r="C741" s="12"/>
      <c r="D741" s="13"/>
      <c r="E741" s="24"/>
      <c r="F741" s="12"/>
      <c r="G741" s="25"/>
      <c r="H741" s="14" t="str">
        <f aca="false">IF(OR($D741="",$B741=""),"",INT(($B741-$D741)/365.25))</f>
        <v/>
      </c>
      <c r="I741" s="25"/>
      <c r="J741" s="12"/>
      <c r="K741" s="12"/>
      <c r="L741" s="14" t="str">
        <f aca="false">IF(OR($C741="",$D741="",$B741=""),"",IF(COUNTIFS($C$5:$C$1504,$C741,$D$5:$D$1504,$D741,$B$5:$B$1504,$B741)&gt;1,"Takror",""))</f>
        <v/>
      </c>
    </row>
    <row r="742" customFormat="false" ht="15" hidden="false" customHeight="false" outlineLevel="0" collapsed="false">
      <c r="A742" s="8" t="n">
        <v>738</v>
      </c>
      <c r="B742" s="13"/>
      <c r="C742" s="12"/>
      <c r="D742" s="13"/>
      <c r="E742" s="24"/>
      <c r="F742" s="12"/>
      <c r="G742" s="25"/>
      <c r="H742" s="14" t="str">
        <f aca="false">IF(OR($D742="",$B742=""),"",INT(($B742-$D742)/365.25))</f>
        <v/>
      </c>
      <c r="I742" s="25"/>
      <c r="J742" s="12"/>
      <c r="K742" s="12"/>
      <c r="L742" s="14" t="str">
        <f aca="false">IF(OR($C742="",$D742="",$B742=""),"",IF(COUNTIFS($C$5:$C$1504,$C742,$D$5:$D$1504,$D742,$B$5:$B$1504,$B742)&gt;1,"Takror",""))</f>
        <v/>
      </c>
    </row>
    <row r="743" customFormat="false" ht="15" hidden="false" customHeight="false" outlineLevel="0" collapsed="false">
      <c r="A743" s="8" t="n">
        <v>739</v>
      </c>
      <c r="B743" s="13"/>
      <c r="C743" s="12"/>
      <c r="D743" s="13"/>
      <c r="E743" s="24"/>
      <c r="F743" s="12"/>
      <c r="G743" s="25"/>
      <c r="H743" s="14" t="str">
        <f aca="false">IF(OR($D743="",$B743=""),"",INT(($B743-$D743)/365.25))</f>
        <v/>
      </c>
      <c r="I743" s="25"/>
      <c r="J743" s="12"/>
      <c r="K743" s="12"/>
      <c r="L743" s="14" t="str">
        <f aca="false">IF(OR($C743="",$D743="",$B743=""),"",IF(COUNTIFS($C$5:$C$1504,$C743,$D$5:$D$1504,$D743,$B$5:$B$1504,$B743)&gt;1,"Takror",""))</f>
        <v/>
      </c>
    </row>
    <row r="744" customFormat="false" ht="15" hidden="false" customHeight="false" outlineLevel="0" collapsed="false">
      <c r="A744" s="8" t="n">
        <v>740</v>
      </c>
      <c r="B744" s="13"/>
      <c r="C744" s="12"/>
      <c r="D744" s="13"/>
      <c r="E744" s="24"/>
      <c r="F744" s="12"/>
      <c r="G744" s="25"/>
      <c r="H744" s="14" t="str">
        <f aca="false">IF(OR($D744="",$B744=""),"",INT(($B744-$D744)/365.25))</f>
        <v/>
      </c>
      <c r="I744" s="25"/>
      <c r="J744" s="12"/>
      <c r="K744" s="12"/>
      <c r="L744" s="14" t="str">
        <f aca="false">IF(OR($C744="",$D744="",$B744=""),"",IF(COUNTIFS($C$5:$C$1504,$C744,$D$5:$D$1504,$D744,$B$5:$B$1504,$B744)&gt;1,"Takror",""))</f>
        <v/>
      </c>
    </row>
    <row r="745" customFormat="false" ht="15" hidden="false" customHeight="false" outlineLevel="0" collapsed="false">
      <c r="A745" s="8" t="n">
        <v>741</v>
      </c>
      <c r="B745" s="13"/>
      <c r="C745" s="12"/>
      <c r="D745" s="13"/>
      <c r="E745" s="24"/>
      <c r="F745" s="12"/>
      <c r="G745" s="25"/>
      <c r="H745" s="14" t="str">
        <f aca="false">IF(OR($D745="",$B745=""),"",INT(($B745-$D745)/365.25))</f>
        <v/>
      </c>
      <c r="I745" s="25"/>
      <c r="J745" s="12"/>
      <c r="K745" s="12"/>
      <c r="L745" s="14" t="str">
        <f aca="false">IF(OR($C745="",$D745="",$B745=""),"",IF(COUNTIFS($C$5:$C$1504,$C745,$D$5:$D$1504,$D745,$B$5:$B$1504,$B745)&gt;1,"Takror",""))</f>
        <v/>
      </c>
    </row>
    <row r="746" customFormat="false" ht="15" hidden="false" customHeight="false" outlineLevel="0" collapsed="false">
      <c r="A746" s="8" t="n">
        <v>742</v>
      </c>
      <c r="B746" s="13"/>
      <c r="C746" s="12"/>
      <c r="D746" s="13"/>
      <c r="E746" s="24"/>
      <c r="F746" s="12"/>
      <c r="G746" s="25"/>
      <c r="H746" s="14" t="str">
        <f aca="false">IF(OR($D746="",$B746=""),"",INT(($B746-$D746)/365.25))</f>
        <v/>
      </c>
      <c r="I746" s="25"/>
      <c r="J746" s="12"/>
      <c r="K746" s="12"/>
      <c r="L746" s="14" t="str">
        <f aca="false">IF(OR($C746="",$D746="",$B746=""),"",IF(COUNTIFS($C$5:$C$1504,$C746,$D$5:$D$1504,$D746,$B$5:$B$1504,$B746)&gt;1,"Takror",""))</f>
        <v/>
      </c>
    </row>
    <row r="747" customFormat="false" ht="15" hidden="false" customHeight="false" outlineLevel="0" collapsed="false">
      <c r="A747" s="8" t="n">
        <v>743</v>
      </c>
      <c r="B747" s="13"/>
      <c r="C747" s="12"/>
      <c r="D747" s="13"/>
      <c r="E747" s="24"/>
      <c r="F747" s="12"/>
      <c r="G747" s="25"/>
      <c r="H747" s="14" t="str">
        <f aca="false">IF(OR($D747="",$B747=""),"",INT(($B747-$D747)/365.25))</f>
        <v/>
      </c>
      <c r="I747" s="25"/>
      <c r="J747" s="12"/>
      <c r="K747" s="12"/>
      <c r="L747" s="14" t="str">
        <f aca="false">IF(OR($C747="",$D747="",$B747=""),"",IF(COUNTIFS($C$5:$C$1504,$C747,$D$5:$D$1504,$D747,$B$5:$B$1504,$B747)&gt;1,"Takror",""))</f>
        <v/>
      </c>
    </row>
    <row r="748" customFormat="false" ht="15" hidden="false" customHeight="false" outlineLevel="0" collapsed="false">
      <c r="A748" s="8" t="n">
        <v>744</v>
      </c>
      <c r="B748" s="13"/>
      <c r="C748" s="12"/>
      <c r="D748" s="13"/>
      <c r="E748" s="24"/>
      <c r="F748" s="12"/>
      <c r="G748" s="25"/>
      <c r="H748" s="14" t="str">
        <f aca="false">IF(OR($D748="",$B748=""),"",INT(($B748-$D748)/365.25))</f>
        <v/>
      </c>
      <c r="I748" s="25"/>
      <c r="J748" s="12"/>
      <c r="K748" s="12"/>
      <c r="L748" s="14" t="str">
        <f aca="false">IF(OR($C748="",$D748="",$B748=""),"",IF(COUNTIFS($C$5:$C$1504,$C748,$D$5:$D$1504,$D748,$B$5:$B$1504,$B748)&gt;1,"Takror",""))</f>
        <v/>
      </c>
    </row>
    <row r="749" customFormat="false" ht="15" hidden="false" customHeight="false" outlineLevel="0" collapsed="false">
      <c r="A749" s="8" t="n">
        <v>745</v>
      </c>
      <c r="B749" s="13"/>
      <c r="C749" s="12"/>
      <c r="D749" s="13"/>
      <c r="E749" s="24"/>
      <c r="F749" s="12"/>
      <c r="G749" s="25"/>
      <c r="H749" s="14" t="str">
        <f aca="false">IF(OR($D749="",$B749=""),"",INT(($B749-$D749)/365.25))</f>
        <v/>
      </c>
      <c r="I749" s="25"/>
      <c r="J749" s="12"/>
      <c r="K749" s="12"/>
      <c r="L749" s="14" t="str">
        <f aca="false">IF(OR($C749="",$D749="",$B749=""),"",IF(COUNTIFS($C$5:$C$1504,$C749,$D$5:$D$1504,$D749,$B$5:$B$1504,$B749)&gt;1,"Takror",""))</f>
        <v/>
      </c>
    </row>
    <row r="750" customFormat="false" ht="15" hidden="false" customHeight="false" outlineLevel="0" collapsed="false">
      <c r="A750" s="8" t="n">
        <v>746</v>
      </c>
      <c r="B750" s="13"/>
      <c r="C750" s="12"/>
      <c r="D750" s="13"/>
      <c r="E750" s="24"/>
      <c r="F750" s="12"/>
      <c r="G750" s="25"/>
      <c r="H750" s="14" t="str">
        <f aca="false">IF(OR($D750="",$B750=""),"",INT(($B750-$D750)/365.25))</f>
        <v/>
      </c>
      <c r="I750" s="25"/>
      <c r="J750" s="12"/>
      <c r="K750" s="12"/>
      <c r="L750" s="14" t="str">
        <f aca="false">IF(OR($C750="",$D750="",$B750=""),"",IF(COUNTIFS($C$5:$C$1504,$C750,$D$5:$D$1504,$D750,$B$5:$B$1504,$B750)&gt;1,"Takror",""))</f>
        <v/>
      </c>
    </row>
    <row r="751" customFormat="false" ht="15" hidden="false" customHeight="false" outlineLevel="0" collapsed="false">
      <c r="A751" s="8" t="n">
        <v>747</v>
      </c>
      <c r="B751" s="13"/>
      <c r="C751" s="12"/>
      <c r="D751" s="13"/>
      <c r="E751" s="24"/>
      <c r="F751" s="12"/>
      <c r="G751" s="25"/>
      <c r="H751" s="14" t="str">
        <f aca="false">IF(OR($D751="",$B751=""),"",INT(($B751-$D751)/365.25))</f>
        <v/>
      </c>
      <c r="I751" s="25"/>
      <c r="J751" s="12"/>
      <c r="K751" s="12"/>
      <c r="L751" s="14" t="str">
        <f aca="false">IF(OR($C751="",$D751="",$B751=""),"",IF(COUNTIFS($C$5:$C$1504,$C751,$D$5:$D$1504,$D751,$B$5:$B$1504,$B751)&gt;1,"Takror",""))</f>
        <v/>
      </c>
    </row>
    <row r="752" customFormat="false" ht="15" hidden="false" customHeight="false" outlineLevel="0" collapsed="false">
      <c r="A752" s="8" t="n">
        <v>748</v>
      </c>
      <c r="B752" s="13"/>
      <c r="C752" s="12"/>
      <c r="D752" s="13"/>
      <c r="E752" s="24"/>
      <c r="F752" s="12"/>
      <c r="G752" s="25"/>
      <c r="H752" s="14" t="str">
        <f aca="false">IF(OR($D752="",$B752=""),"",INT(($B752-$D752)/365.25))</f>
        <v/>
      </c>
      <c r="I752" s="25"/>
      <c r="J752" s="12"/>
      <c r="K752" s="12"/>
      <c r="L752" s="14" t="str">
        <f aca="false">IF(OR($C752="",$D752="",$B752=""),"",IF(COUNTIFS($C$5:$C$1504,$C752,$D$5:$D$1504,$D752,$B$5:$B$1504,$B752)&gt;1,"Takror",""))</f>
        <v/>
      </c>
    </row>
    <row r="753" customFormat="false" ht="15" hidden="false" customHeight="false" outlineLevel="0" collapsed="false">
      <c r="A753" s="8" t="n">
        <v>749</v>
      </c>
      <c r="B753" s="13"/>
      <c r="C753" s="12"/>
      <c r="D753" s="13"/>
      <c r="E753" s="24"/>
      <c r="F753" s="12"/>
      <c r="G753" s="25"/>
      <c r="H753" s="14" t="str">
        <f aca="false">IF(OR($D753="",$B753=""),"",INT(($B753-$D753)/365.25))</f>
        <v/>
      </c>
      <c r="I753" s="25"/>
      <c r="J753" s="12"/>
      <c r="K753" s="12"/>
      <c r="L753" s="14" t="str">
        <f aca="false">IF(OR($C753="",$D753="",$B753=""),"",IF(COUNTIFS($C$5:$C$1504,$C753,$D$5:$D$1504,$D753,$B$5:$B$1504,$B753)&gt;1,"Takror",""))</f>
        <v/>
      </c>
    </row>
    <row r="754" customFormat="false" ht="15" hidden="false" customHeight="false" outlineLevel="0" collapsed="false">
      <c r="A754" s="8" t="n">
        <v>750</v>
      </c>
      <c r="B754" s="13"/>
      <c r="C754" s="12"/>
      <c r="D754" s="13"/>
      <c r="E754" s="24"/>
      <c r="F754" s="12"/>
      <c r="G754" s="25"/>
      <c r="H754" s="14" t="str">
        <f aca="false">IF(OR($D754="",$B754=""),"",INT(($B754-$D754)/365.25))</f>
        <v/>
      </c>
      <c r="I754" s="25"/>
      <c r="J754" s="12"/>
      <c r="K754" s="12"/>
      <c r="L754" s="14" t="str">
        <f aca="false">IF(OR($C754="",$D754="",$B754=""),"",IF(COUNTIFS($C$5:$C$1504,$C754,$D$5:$D$1504,$D754,$B$5:$B$1504,$B754)&gt;1,"Takror",""))</f>
        <v/>
      </c>
    </row>
    <row r="755" customFormat="false" ht="15" hidden="false" customHeight="false" outlineLevel="0" collapsed="false">
      <c r="A755" s="8" t="n">
        <v>751</v>
      </c>
      <c r="B755" s="13"/>
      <c r="C755" s="12"/>
      <c r="D755" s="13"/>
      <c r="E755" s="24"/>
      <c r="F755" s="12"/>
      <c r="G755" s="25"/>
      <c r="H755" s="14" t="str">
        <f aca="false">IF(OR($D755="",$B755=""),"",INT(($B755-$D755)/365.25))</f>
        <v/>
      </c>
      <c r="I755" s="25"/>
      <c r="J755" s="12"/>
      <c r="K755" s="12"/>
      <c r="L755" s="14" t="str">
        <f aca="false">IF(OR($C755="",$D755="",$B755=""),"",IF(COUNTIFS($C$5:$C$1504,$C755,$D$5:$D$1504,$D755,$B$5:$B$1504,$B755)&gt;1,"Takror",""))</f>
        <v/>
      </c>
    </row>
    <row r="756" customFormat="false" ht="15" hidden="false" customHeight="false" outlineLevel="0" collapsed="false">
      <c r="A756" s="8" t="n">
        <v>752</v>
      </c>
      <c r="B756" s="13"/>
      <c r="C756" s="12"/>
      <c r="D756" s="13"/>
      <c r="E756" s="24"/>
      <c r="F756" s="12"/>
      <c r="G756" s="25"/>
      <c r="H756" s="14" t="str">
        <f aca="false">IF(OR($D756="",$B756=""),"",INT(($B756-$D756)/365.25))</f>
        <v/>
      </c>
      <c r="I756" s="25"/>
      <c r="J756" s="12"/>
      <c r="K756" s="12"/>
      <c r="L756" s="14" t="str">
        <f aca="false">IF(OR($C756="",$D756="",$B756=""),"",IF(COUNTIFS($C$5:$C$1504,$C756,$D$5:$D$1504,$D756,$B$5:$B$1504,$B756)&gt;1,"Takror",""))</f>
        <v/>
      </c>
    </row>
    <row r="757" customFormat="false" ht="15" hidden="false" customHeight="false" outlineLevel="0" collapsed="false">
      <c r="A757" s="8" t="n">
        <v>753</v>
      </c>
      <c r="B757" s="13"/>
      <c r="C757" s="12"/>
      <c r="D757" s="13"/>
      <c r="E757" s="24"/>
      <c r="F757" s="12"/>
      <c r="G757" s="25"/>
      <c r="H757" s="14" t="str">
        <f aca="false">IF(OR($D757="",$B757=""),"",INT(($B757-$D757)/365.25))</f>
        <v/>
      </c>
      <c r="I757" s="25"/>
      <c r="J757" s="12"/>
      <c r="K757" s="12"/>
      <c r="L757" s="14" t="str">
        <f aca="false">IF(OR($C757="",$D757="",$B757=""),"",IF(COUNTIFS($C$5:$C$1504,$C757,$D$5:$D$1504,$D757,$B$5:$B$1504,$B757)&gt;1,"Takror",""))</f>
        <v/>
      </c>
    </row>
    <row r="758" customFormat="false" ht="15" hidden="false" customHeight="false" outlineLevel="0" collapsed="false">
      <c r="A758" s="8" t="n">
        <v>754</v>
      </c>
      <c r="B758" s="13"/>
      <c r="C758" s="12"/>
      <c r="D758" s="13"/>
      <c r="E758" s="24"/>
      <c r="F758" s="12"/>
      <c r="G758" s="25"/>
      <c r="H758" s="14" t="str">
        <f aca="false">IF(OR($D758="",$B758=""),"",INT(($B758-$D758)/365.25))</f>
        <v/>
      </c>
      <c r="I758" s="25"/>
      <c r="J758" s="12"/>
      <c r="K758" s="12"/>
      <c r="L758" s="14" t="str">
        <f aca="false">IF(OR($C758="",$D758="",$B758=""),"",IF(COUNTIFS($C$5:$C$1504,$C758,$D$5:$D$1504,$D758,$B$5:$B$1504,$B758)&gt;1,"Takror",""))</f>
        <v/>
      </c>
    </row>
    <row r="759" customFormat="false" ht="15" hidden="false" customHeight="false" outlineLevel="0" collapsed="false">
      <c r="A759" s="8" t="n">
        <v>755</v>
      </c>
      <c r="B759" s="13"/>
      <c r="C759" s="12"/>
      <c r="D759" s="13"/>
      <c r="E759" s="24"/>
      <c r="F759" s="12"/>
      <c r="G759" s="25"/>
      <c r="H759" s="14" t="str">
        <f aca="false">IF(OR($D759="",$B759=""),"",INT(($B759-$D759)/365.25))</f>
        <v/>
      </c>
      <c r="I759" s="25"/>
      <c r="J759" s="12"/>
      <c r="K759" s="12"/>
      <c r="L759" s="14" t="str">
        <f aca="false">IF(OR($C759="",$D759="",$B759=""),"",IF(COUNTIFS($C$5:$C$1504,$C759,$D$5:$D$1504,$D759,$B$5:$B$1504,$B759)&gt;1,"Takror",""))</f>
        <v/>
      </c>
    </row>
    <row r="760" customFormat="false" ht="15" hidden="false" customHeight="false" outlineLevel="0" collapsed="false">
      <c r="A760" s="8" t="n">
        <v>756</v>
      </c>
      <c r="B760" s="13"/>
      <c r="C760" s="12"/>
      <c r="D760" s="13"/>
      <c r="E760" s="24"/>
      <c r="F760" s="12"/>
      <c r="G760" s="25"/>
      <c r="H760" s="14" t="str">
        <f aca="false">IF(OR($D760="",$B760=""),"",INT(($B760-$D760)/365.25))</f>
        <v/>
      </c>
      <c r="I760" s="25"/>
      <c r="J760" s="12"/>
      <c r="K760" s="12"/>
      <c r="L760" s="14" t="str">
        <f aca="false">IF(OR($C760="",$D760="",$B760=""),"",IF(COUNTIFS($C$5:$C$1504,$C760,$D$5:$D$1504,$D760,$B$5:$B$1504,$B760)&gt;1,"Takror",""))</f>
        <v/>
      </c>
    </row>
    <row r="761" customFormat="false" ht="15" hidden="false" customHeight="false" outlineLevel="0" collapsed="false">
      <c r="A761" s="8" t="n">
        <v>757</v>
      </c>
      <c r="B761" s="13"/>
      <c r="C761" s="12"/>
      <c r="D761" s="13"/>
      <c r="E761" s="24"/>
      <c r="F761" s="12"/>
      <c r="G761" s="25"/>
      <c r="H761" s="14" t="str">
        <f aca="false">IF(OR($D761="",$B761=""),"",INT(($B761-$D761)/365.25))</f>
        <v/>
      </c>
      <c r="I761" s="25"/>
      <c r="J761" s="12"/>
      <c r="K761" s="12"/>
      <c r="L761" s="14" t="str">
        <f aca="false">IF(OR($C761="",$D761="",$B761=""),"",IF(COUNTIFS($C$5:$C$1504,$C761,$D$5:$D$1504,$D761,$B$5:$B$1504,$B761)&gt;1,"Takror",""))</f>
        <v/>
      </c>
    </row>
    <row r="762" customFormat="false" ht="15" hidden="false" customHeight="false" outlineLevel="0" collapsed="false">
      <c r="A762" s="8" t="n">
        <v>758</v>
      </c>
      <c r="B762" s="13"/>
      <c r="C762" s="12"/>
      <c r="D762" s="13"/>
      <c r="E762" s="24"/>
      <c r="F762" s="12"/>
      <c r="G762" s="25"/>
      <c r="H762" s="14" t="str">
        <f aca="false">IF(OR($D762="",$B762=""),"",INT(($B762-$D762)/365.25))</f>
        <v/>
      </c>
      <c r="I762" s="25"/>
      <c r="J762" s="12"/>
      <c r="K762" s="12"/>
      <c r="L762" s="14" t="str">
        <f aca="false">IF(OR($C762="",$D762="",$B762=""),"",IF(COUNTIFS($C$5:$C$1504,$C762,$D$5:$D$1504,$D762,$B$5:$B$1504,$B762)&gt;1,"Takror",""))</f>
        <v/>
      </c>
    </row>
    <row r="763" customFormat="false" ht="15" hidden="false" customHeight="false" outlineLevel="0" collapsed="false">
      <c r="A763" s="8" t="n">
        <v>759</v>
      </c>
      <c r="B763" s="13"/>
      <c r="C763" s="12"/>
      <c r="D763" s="13"/>
      <c r="E763" s="24"/>
      <c r="F763" s="12"/>
      <c r="G763" s="25"/>
      <c r="H763" s="14" t="str">
        <f aca="false">IF(OR($D763="",$B763=""),"",INT(($B763-$D763)/365.25))</f>
        <v/>
      </c>
      <c r="I763" s="25"/>
      <c r="J763" s="12"/>
      <c r="K763" s="12"/>
      <c r="L763" s="14" t="str">
        <f aca="false">IF(OR($C763="",$D763="",$B763=""),"",IF(COUNTIFS($C$5:$C$1504,$C763,$D$5:$D$1504,$D763,$B$5:$B$1504,$B763)&gt;1,"Takror",""))</f>
        <v/>
      </c>
    </row>
    <row r="764" customFormat="false" ht="15" hidden="false" customHeight="false" outlineLevel="0" collapsed="false">
      <c r="A764" s="8" t="n">
        <v>760</v>
      </c>
      <c r="B764" s="13"/>
      <c r="C764" s="12"/>
      <c r="D764" s="13"/>
      <c r="E764" s="24"/>
      <c r="F764" s="12"/>
      <c r="G764" s="25"/>
      <c r="H764" s="14" t="str">
        <f aca="false">IF(OR($D764="",$B764=""),"",INT(($B764-$D764)/365.25))</f>
        <v/>
      </c>
      <c r="I764" s="25"/>
      <c r="J764" s="12"/>
      <c r="K764" s="12"/>
      <c r="L764" s="14" t="str">
        <f aca="false">IF(OR($C764="",$D764="",$B764=""),"",IF(COUNTIFS($C$5:$C$1504,$C764,$D$5:$D$1504,$D764,$B$5:$B$1504,$B764)&gt;1,"Takror",""))</f>
        <v/>
      </c>
    </row>
    <row r="765" customFormat="false" ht="15" hidden="false" customHeight="false" outlineLevel="0" collapsed="false">
      <c r="A765" s="8" t="n">
        <v>761</v>
      </c>
      <c r="B765" s="13"/>
      <c r="C765" s="12"/>
      <c r="D765" s="13"/>
      <c r="E765" s="24"/>
      <c r="F765" s="12"/>
      <c r="G765" s="25"/>
      <c r="H765" s="14" t="str">
        <f aca="false">IF(OR($D765="",$B765=""),"",INT(($B765-$D765)/365.25))</f>
        <v/>
      </c>
      <c r="I765" s="25"/>
      <c r="J765" s="12"/>
      <c r="K765" s="12"/>
      <c r="L765" s="14" t="str">
        <f aca="false">IF(OR($C765="",$D765="",$B765=""),"",IF(COUNTIFS($C$5:$C$1504,$C765,$D$5:$D$1504,$D765,$B$5:$B$1504,$B765)&gt;1,"Takror",""))</f>
        <v/>
      </c>
    </row>
    <row r="766" customFormat="false" ht="15" hidden="false" customHeight="false" outlineLevel="0" collapsed="false">
      <c r="A766" s="8" t="n">
        <v>762</v>
      </c>
      <c r="B766" s="13"/>
      <c r="C766" s="12"/>
      <c r="D766" s="13"/>
      <c r="E766" s="24"/>
      <c r="F766" s="12"/>
      <c r="G766" s="25"/>
      <c r="H766" s="14" t="str">
        <f aca="false">IF(OR($D766="",$B766=""),"",INT(($B766-$D766)/365.25))</f>
        <v/>
      </c>
      <c r="I766" s="25"/>
      <c r="J766" s="12"/>
      <c r="K766" s="12"/>
      <c r="L766" s="14" t="str">
        <f aca="false">IF(OR($C766="",$D766="",$B766=""),"",IF(COUNTIFS($C$5:$C$1504,$C766,$D$5:$D$1504,$D766,$B$5:$B$1504,$B766)&gt;1,"Takror",""))</f>
        <v/>
      </c>
    </row>
    <row r="767" customFormat="false" ht="15" hidden="false" customHeight="false" outlineLevel="0" collapsed="false">
      <c r="A767" s="8" t="n">
        <v>763</v>
      </c>
      <c r="B767" s="13"/>
      <c r="C767" s="12"/>
      <c r="D767" s="13"/>
      <c r="E767" s="24"/>
      <c r="F767" s="12"/>
      <c r="G767" s="25"/>
      <c r="H767" s="14" t="str">
        <f aca="false">IF(OR($D767="",$B767=""),"",INT(($B767-$D767)/365.25))</f>
        <v/>
      </c>
      <c r="I767" s="25"/>
      <c r="J767" s="12"/>
      <c r="K767" s="12"/>
      <c r="L767" s="14" t="str">
        <f aca="false">IF(OR($C767="",$D767="",$B767=""),"",IF(COUNTIFS($C$5:$C$1504,$C767,$D$5:$D$1504,$D767,$B$5:$B$1504,$B767)&gt;1,"Takror",""))</f>
        <v/>
      </c>
    </row>
    <row r="768" customFormat="false" ht="15" hidden="false" customHeight="false" outlineLevel="0" collapsed="false">
      <c r="A768" s="8" t="n">
        <v>764</v>
      </c>
      <c r="B768" s="13"/>
      <c r="C768" s="12"/>
      <c r="D768" s="13"/>
      <c r="E768" s="24"/>
      <c r="F768" s="12"/>
      <c r="G768" s="25"/>
      <c r="H768" s="14" t="str">
        <f aca="false">IF(OR($D768="",$B768=""),"",INT(($B768-$D768)/365.25))</f>
        <v/>
      </c>
      <c r="I768" s="25"/>
      <c r="J768" s="12"/>
      <c r="K768" s="12"/>
      <c r="L768" s="14" t="str">
        <f aca="false">IF(OR($C768="",$D768="",$B768=""),"",IF(COUNTIFS($C$5:$C$1504,$C768,$D$5:$D$1504,$D768,$B$5:$B$1504,$B768)&gt;1,"Takror",""))</f>
        <v/>
      </c>
    </row>
    <row r="769" customFormat="false" ht="15" hidden="false" customHeight="false" outlineLevel="0" collapsed="false">
      <c r="A769" s="8" t="n">
        <v>765</v>
      </c>
      <c r="B769" s="13"/>
      <c r="C769" s="12"/>
      <c r="D769" s="13"/>
      <c r="E769" s="24"/>
      <c r="F769" s="12"/>
      <c r="G769" s="25"/>
      <c r="H769" s="14" t="str">
        <f aca="false">IF(OR($D769="",$B769=""),"",INT(($B769-$D769)/365.25))</f>
        <v/>
      </c>
      <c r="I769" s="25"/>
      <c r="J769" s="12"/>
      <c r="K769" s="12"/>
      <c r="L769" s="14" t="str">
        <f aca="false">IF(OR($C769="",$D769="",$B769=""),"",IF(COUNTIFS($C$5:$C$1504,$C769,$D$5:$D$1504,$D769,$B$5:$B$1504,$B769)&gt;1,"Takror",""))</f>
        <v/>
      </c>
    </row>
    <row r="770" customFormat="false" ht="15" hidden="false" customHeight="false" outlineLevel="0" collapsed="false">
      <c r="A770" s="8" t="n">
        <v>766</v>
      </c>
      <c r="B770" s="13"/>
      <c r="C770" s="12"/>
      <c r="D770" s="13"/>
      <c r="E770" s="24"/>
      <c r="F770" s="12"/>
      <c r="G770" s="25"/>
      <c r="H770" s="14" t="str">
        <f aca="false">IF(OR($D770="",$B770=""),"",INT(($B770-$D770)/365.25))</f>
        <v/>
      </c>
      <c r="I770" s="25"/>
      <c r="J770" s="12"/>
      <c r="K770" s="12"/>
      <c r="L770" s="14" t="str">
        <f aca="false">IF(OR($C770="",$D770="",$B770=""),"",IF(COUNTIFS($C$5:$C$1504,$C770,$D$5:$D$1504,$D770,$B$5:$B$1504,$B770)&gt;1,"Takror",""))</f>
        <v/>
      </c>
    </row>
    <row r="771" customFormat="false" ht="15" hidden="false" customHeight="false" outlineLevel="0" collapsed="false">
      <c r="A771" s="8" t="n">
        <v>767</v>
      </c>
      <c r="B771" s="13"/>
      <c r="C771" s="12"/>
      <c r="D771" s="13"/>
      <c r="E771" s="24"/>
      <c r="F771" s="12"/>
      <c r="G771" s="25"/>
      <c r="H771" s="14" t="str">
        <f aca="false">IF(OR($D771="",$B771=""),"",INT(($B771-$D771)/365.25))</f>
        <v/>
      </c>
      <c r="I771" s="25"/>
      <c r="J771" s="12"/>
      <c r="K771" s="12"/>
      <c r="L771" s="14" t="str">
        <f aca="false">IF(OR($C771="",$D771="",$B771=""),"",IF(COUNTIFS($C$5:$C$1504,$C771,$D$5:$D$1504,$D771,$B$5:$B$1504,$B771)&gt;1,"Takror",""))</f>
        <v/>
      </c>
    </row>
    <row r="772" customFormat="false" ht="15" hidden="false" customHeight="false" outlineLevel="0" collapsed="false">
      <c r="A772" s="8" t="n">
        <v>768</v>
      </c>
      <c r="B772" s="13"/>
      <c r="C772" s="12"/>
      <c r="D772" s="13"/>
      <c r="E772" s="24"/>
      <c r="F772" s="12"/>
      <c r="G772" s="25"/>
      <c r="H772" s="14" t="str">
        <f aca="false">IF(OR($D772="",$B772=""),"",INT(($B772-$D772)/365.25))</f>
        <v/>
      </c>
      <c r="I772" s="25"/>
      <c r="J772" s="12"/>
      <c r="K772" s="12"/>
      <c r="L772" s="14" t="str">
        <f aca="false">IF(OR($C772="",$D772="",$B772=""),"",IF(COUNTIFS($C$5:$C$1504,$C772,$D$5:$D$1504,$D772,$B$5:$B$1504,$B772)&gt;1,"Takror",""))</f>
        <v/>
      </c>
    </row>
    <row r="773" customFormat="false" ht="15" hidden="false" customHeight="false" outlineLevel="0" collapsed="false">
      <c r="A773" s="8" t="n">
        <v>769</v>
      </c>
      <c r="B773" s="13"/>
      <c r="C773" s="12"/>
      <c r="D773" s="13"/>
      <c r="E773" s="24"/>
      <c r="F773" s="12"/>
      <c r="G773" s="25"/>
      <c r="H773" s="14" t="str">
        <f aca="false">IF(OR($D773="",$B773=""),"",INT(($B773-$D773)/365.25))</f>
        <v/>
      </c>
      <c r="I773" s="25"/>
      <c r="J773" s="12"/>
      <c r="K773" s="12"/>
      <c r="L773" s="14" t="str">
        <f aca="false">IF(OR($C773="",$D773="",$B773=""),"",IF(COUNTIFS($C$5:$C$1504,$C773,$D$5:$D$1504,$D773,$B$5:$B$1504,$B773)&gt;1,"Takror",""))</f>
        <v/>
      </c>
    </row>
    <row r="774" customFormat="false" ht="15" hidden="false" customHeight="false" outlineLevel="0" collapsed="false">
      <c r="A774" s="8" t="n">
        <v>770</v>
      </c>
      <c r="B774" s="13"/>
      <c r="C774" s="12"/>
      <c r="D774" s="13"/>
      <c r="E774" s="24"/>
      <c r="F774" s="12"/>
      <c r="G774" s="25"/>
      <c r="H774" s="14" t="str">
        <f aca="false">IF(OR($D774="",$B774=""),"",INT(($B774-$D774)/365.25))</f>
        <v/>
      </c>
      <c r="I774" s="25"/>
      <c r="J774" s="12"/>
      <c r="K774" s="12"/>
      <c r="L774" s="14" t="str">
        <f aca="false">IF(OR($C774="",$D774="",$B774=""),"",IF(COUNTIFS($C$5:$C$1504,$C774,$D$5:$D$1504,$D774,$B$5:$B$1504,$B774)&gt;1,"Takror",""))</f>
        <v/>
      </c>
    </row>
    <row r="775" customFormat="false" ht="15" hidden="false" customHeight="false" outlineLevel="0" collapsed="false">
      <c r="A775" s="8" t="n">
        <v>771</v>
      </c>
      <c r="B775" s="13"/>
      <c r="C775" s="12"/>
      <c r="D775" s="13"/>
      <c r="E775" s="24"/>
      <c r="F775" s="12"/>
      <c r="G775" s="25"/>
      <c r="H775" s="14" t="str">
        <f aca="false">IF(OR($D775="",$B775=""),"",INT(($B775-$D775)/365.25))</f>
        <v/>
      </c>
      <c r="I775" s="25"/>
      <c r="J775" s="12"/>
      <c r="K775" s="12"/>
      <c r="L775" s="14" t="str">
        <f aca="false">IF(OR($C775="",$D775="",$B775=""),"",IF(COUNTIFS($C$5:$C$1504,$C775,$D$5:$D$1504,$D775,$B$5:$B$1504,$B775)&gt;1,"Takror",""))</f>
        <v/>
      </c>
    </row>
    <row r="776" customFormat="false" ht="15" hidden="false" customHeight="false" outlineLevel="0" collapsed="false">
      <c r="A776" s="8" t="n">
        <v>772</v>
      </c>
      <c r="B776" s="13"/>
      <c r="C776" s="12"/>
      <c r="D776" s="13"/>
      <c r="E776" s="24"/>
      <c r="F776" s="12"/>
      <c r="G776" s="25"/>
      <c r="H776" s="14" t="str">
        <f aca="false">IF(OR($D776="",$B776=""),"",INT(($B776-$D776)/365.25))</f>
        <v/>
      </c>
      <c r="I776" s="25"/>
      <c r="J776" s="12"/>
      <c r="K776" s="12"/>
      <c r="L776" s="14" t="str">
        <f aca="false">IF(OR($C776="",$D776="",$B776=""),"",IF(COUNTIFS($C$5:$C$1504,$C776,$D$5:$D$1504,$D776,$B$5:$B$1504,$B776)&gt;1,"Takror",""))</f>
        <v/>
      </c>
    </row>
    <row r="777" customFormat="false" ht="15" hidden="false" customHeight="false" outlineLevel="0" collapsed="false">
      <c r="A777" s="8" t="n">
        <v>773</v>
      </c>
      <c r="B777" s="13"/>
      <c r="C777" s="12"/>
      <c r="D777" s="13"/>
      <c r="E777" s="24"/>
      <c r="F777" s="12"/>
      <c r="G777" s="25"/>
      <c r="H777" s="14" t="str">
        <f aca="false">IF(OR($D777="",$B777=""),"",INT(($B777-$D777)/365.25))</f>
        <v/>
      </c>
      <c r="I777" s="25"/>
      <c r="J777" s="12"/>
      <c r="K777" s="12"/>
      <c r="L777" s="14" t="str">
        <f aca="false">IF(OR($C777="",$D777="",$B777=""),"",IF(COUNTIFS($C$5:$C$1504,$C777,$D$5:$D$1504,$D777,$B$5:$B$1504,$B777)&gt;1,"Takror",""))</f>
        <v/>
      </c>
    </row>
    <row r="778" customFormat="false" ht="15" hidden="false" customHeight="false" outlineLevel="0" collapsed="false">
      <c r="A778" s="8" t="n">
        <v>774</v>
      </c>
      <c r="B778" s="13"/>
      <c r="C778" s="12"/>
      <c r="D778" s="13"/>
      <c r="E778" s="24"/>
      <c r="F778" s="12"/>
      <c r="G778" s="25"/>
      <c r="H778" s="14" t="str">
        <f aca="false">IF(OR($D778="",$B778=""),"",INT(($B778-$D778)/365.25))</f>
        <v/>
      </c>
      <c r="I778" s="25"/>
      <c r="J778" s="12"/>
      <c r="K778" s="12"/>
      <c r="L778" s="14" t="str">
        <f aca="false">IF(OR($C778="",$D778="",$B778=""),"",IF(COUNTIFS($C$5:$C$1504,$C778,$D$5:$D$1504,$D778,$B$5:$B$1504,$B778)&gt;1,"Takror",""))</f>
        <v/>
      </c>
    </row>
    <row r="779" customFormat="false" ht="15" hidden="false" customHeight="false" outlineLevel="0" collapsed="false">
      <c r="A779" s="8" t="n">
        <v>775</v>
      </c>
      <c r="B779" s="13"/>
      <c r="C779" s="12"/>
      <c r="D779" s="13"/>
      <c r="E779" s="24"/>
      <c r="F779" s="12"/>
      <c r="G779" s="25"/>
      <c r="H779" s="14" t="str">
        <f aca="false">IF(OR($D779="",$B779=""),"",INT(($B779-$D779)/365.25))</f>
        <v/>
      </c>
      <c r="I779" s="25"/>
      <c r="J779" s="12"/>
      <c r="K779" s="12"/>
      <c r="L779" s="14" t="str">
        <f aca="false">IF(OR($C779="",$D779="",$B779=""),"",IF(COUNTIFS($C$5:$C$1504,$C779,$D$5:$D$1504,$D779,$B$5:$B$1504,$B779)&gt;1,"Takror",""))</f>
        <v/>
      </c>
    </row>
    <row r="780" customFormat="false" ht="15" hidden="false" customHeight="false" outlineLevel="0" collapsed="false">
      <c r="A780" s="8" t="n">
        <v>776</v>
      </c>
      <c r="B780" s="13"/>
      <c r="C780" s="12"/>
      <c r="D780" s="13"/>
      <c r="E780" s="24"/>
      <c r="F780" s="12"/>
      <c r="G780" s="25"/>
      <c r="H780" s="14" t="str">
        <f aca="false">IF(OR($D780="",$B780=""),"",INT(($B780-$D780)/365.25))</f>
        <v/>
      </c>
      <c r="I780" s="25"/>
      <c r="J780" s="12"/>
      <c r="K780" s="12"/>
      <c r="L780" s="14" t="str">
        <f aca="false">IF(OR($C780="",$D780="",$B780=""),"",IF(COUNTIFS($C$5:$C$1504,$C780,$D$5:$D$1504,$D780,$B$5:$B$1504,$B780)&gt;1,"Takror",""))</f>
        <v/>
      </c>
    </row>
    <row r="781" customFormat="false" ht="15" hidden="false" customHeight="false" outlineLevel="0" collapsed="false">
      <c r="A781" s="8" t="n">
        <v>777</v>
      </c>
      <c r="B781" s="13"/>
      <c r="C781" s="12"/>
      <c r="D781" s="13"/>
      <c r="E781" s="24"/>
      <c r="F781" s="12"/>
      <c r="G781" s="25"/>
      <c r="H781" s="14" t="str">
        <f aca="false">IF(OR($D781="",$B781=""),"",INT(($B781-$D781)/365.25))</f>
        <v/>
      </c>
      <c r="I781" s="25"/>
      <c r="J781" s="12"/>
      <c r="K781" s="12"/>
      <c r="L781" s="14" t="str">
        <f aca="false">IF(OR($C781="",$D781="",$B781=""),"",IF(COUNTIFS($C$5:$C$1504,$C781,$D$5:$D$1504,$D781,$B$5:$B$1504,$B781)&gt;1,"Takror",""))</f>
        <v/>
      </c>
    </row>
    <row r="782" customFormat="false" ht="15" hidden="false" customHeight="false" outlineLevel="0" collapsed="false">
      <c r="A782" s="8" t="n">
        <v>778</v>
      </c>
      <c r="B782" s="13"/>
      <c r="C782" s="12"/>
      <c r="D782" s="13"/>
      <c r="E782" s="24"/>
      <c r="F782" s="12"/>
      <c r="G782" s="25"/>
      <c r="H782" s="14" t="str">
        <f aca="false">IF(OR($D782="",$B782=""),"",INT(($B782-$D782)/365.25))</f>
        <v/>
      </c>
      <c r="I782" s="25"/>
      <c r="J782" s="12"/>
      <c r="K782" s="12"/>
      <c r="L782" s="14" t="str">
        <f aca="false">IF(OR($C782="",$D782="",$B782=""),"",IF(COUNTIFS($C$5:$C$1504,$C782,$D$5:$D$1504,$D782,$B$5:$B$1504,$B782)&gt;1,"Takror",""))</f>
        <v/>
      </c>
    </row>
    <row r="783" customFormat="false" ht="15" hidden="false" customHeight="false" outlineLevel="0" collapsed="false">
      <c r="A783" s="8" t="n">
        <v>779</v>
      </c>
      <c r="B783" s="13"/>
      <c r="C783" s="12"/>
      <c r="D783" s="13"/>
      <c r="E783" s="24"/>
      <c r="F783" s="12"/>
      <c r="G783" s="25"/>
      <c r="H783" s="14" t="str">
        <f aca="false">IF(OR($D783="",$B783=""),"",INT(($B783-$D783)/365.25))</f>
        <v/>
      </c>
      <c r="I783" s="25"/>
      <c r="J783" s="12"/>
      <c r="K783" s="12"/>
      <c r="L783" s="14" t="str">
        <f aca="false">IF(OR($C783="",$D783="",$B783=""),"",IF(COUNTIFS($C$5:$C$1504,$C783,$D$5:$D$1504,$D783,$B$5:$B$1504,$B783)&gt;1,"Takror",""))</f>
        <v/>
      </c>
    </row>
    <row r="784" customFormat="false" ht="15" hidden="false" customHeight="false" outlineLevel="0" collapsed="false">
      <c r="A784" s="8" t="n">
        <v>780</v>
      </c>
      <c r="B784" s="13"/>
      <c r="C784" s="12"/>
      <c r="D784" s="13"/>
      <c r="E784" s="24"/>
      <c r="F784" s="12"/>
      <c r="G784" s="25"/>
      <c r="H784" s="14" t="str">
        <f aca="false">IF(OR($D784="",$B784=""),"",INT(($B784-$D784)/365.25))</f>
        <v/>
      </c>
      <c r="I784" s="25"/>
      <c r="J784" s="12"/>
      <c r="K784" s="12"/>
      <c r="L784" s="14" t="str">
        <f aca="false">IF(OR($C784="",$D784="",$B784=""),"",IF(COUNTIFS($C$5:$C$1504,$C784,$D$5:$D$1504,$D784,$B$5:$B$1504,$B784)&gt;1,"Takror",""))</f>
        <v/>
      </c>
    </row>
    <row r="785" customFormat="false" ht="15" hidden="false" customHeight="false" outlineLevel="0" collapsed="false">
      <c r="A785" s="8" t="n">
        <v>781</v>
      </c>
      <c r="B785" s="13"/>
      <c r="C785" s="12"/>
      <c r="D785" s="13"/>
      <c r="E785" s="24"/>
      <c r="F785" s="12"/>
      <c r="G785" s="25"/>
      <c r="H785" s="14" t="str">
        <f aca="false">IF(OR($D785="",$B785=""),"",INT(($B785-$D785)/365.25))</f>
        <v/>
      </c>
      <c r="I785" s="25"/>
      <c r="J785" s="12"/>
      <c r="K785" s="12"/>
      <c r="L785" s="14" t="str">
        <f aca="false">IF(OR($C785="",$D785="",$B785=""),"",IF(COUNTIFS($C$5:$C$1504,$C785,$D$5:$D$1504,$D785,$B$5:$B$1504,$B785)&gt;1,"Takror",""))</f>
        <v/>
      </c>
    </row>
    <row r="786" customFormat="false" ht="15" hidden="false" customHeight="false" outlineLevel="0" collapsed="false">
      <c r="A786" s="8" t="n">
        <v>782</v>
      </c>
      <c r="B786" s="13"/>
      <c r="C786" s="12"/>
      <c r="D786" s="13"/>
      <c r="E786" s="24"/>
      <c r="F786" s="12"/>
      <c r="G786" s="25"/>
      <c r="H786" s="14" t="str">
        <f aca="false">IF(OR($D786="",$B786=""),"",INT(($B786-$D786)/365.25))</f>
        <v/>
      </c>
      <c r="I786" s="25"/>
      <c r="J786" s="12"/>
      <c r="K786" s="12"/>
      <c r="L786" s="14" t="str">
        <f aca="false">IF(OR($C786="",$D786="",$B786=""),"",IF(COUNTIFS($C$5:$C$1504,$C786,$D$5:$D$1504,$D786,$B$5:$B$1504,$B786)&gt;1,"Takror",""))</f>
        <v/>
      </c>
    </row>
    <row r="787" customFormat="false" ht="15" hidden="false" customHeight="false" outlineLevel="0" collapsed="false">
      <c r="A787" s="8" t="n">
        <v>783</v>
      </c>
      <c r="B787" s="13"/>
      <c r="C787" s="12"/>
      <c r="D787" s="13"/>
      <c r="E787" s="24"/>
      <c r="F787" s="12"/>
      <c r="G787" s="25"/>
      <c r="H787" s="14" t="str">
        <f aca="false">IF(OR($D787="",$B787=""),"",INT(($B787-$D787)/365.25))</f>
        <v/>
      </c>
      <c r="I787" s="25"/>
      <c r="J787" s="12"/>
      <c r="K787" s="12"/>
      <c r="L787" s="14" t="str">
        <f aca="false">IF(OR($C787="",$D787="",$B787=""),"",IF(COUNTIFS($C$5:$C$1504,$C787,$D$5:$D$1504,$D787,$B$5:$B$1504,$B787)&gt;1,"Takror",""))</f>
        <v/>
      </c>
    </row>
    <row r="788" customFormat="false" ht="15" hidden="false" customHeight="false" outlineLevel="0" collapsed="false">
      <c r="A788" s="8" t="n">
        <v>784</v>
      </c>
      <c r="B788" s="13"/>
      <c r="C788" s="12"/>
      <c r="D788" s="13"/>
      <c r="E788" s="24"/>
      <c r="F788" s="12"/>
      <c r="G788" s="25"/>
      <c r="H788" s="14" t="str">
        <f aca="false">IF(OR($D788="",$B788=""),"",INT(($B788-$D788)/365.25))</f>
        <v/>
      </c>
      <c r="I788" s="25"/>
      <c r="J788" s="12"/>
      <c r="K788" s="12"/>
      <c r="L788" s="14" t="str">
        <f aca="false">IF(OR($C788="",$D788="",$B788=""),"",IF(COUNTIFS($C$5:$C$1504,$C788,$D$5:$D$1504,$D788,$B$5:$B$1504,$B788)&gt;1,"Takror",""))</f>
        <v/>
      </c>
    </row>
    <row r="789" customFormat="false" ht="15" hidden="false" customHeight="false" outlineLevel="0" collapsed="false">
      <c r="A789" s="8" t="n">
        <v>785</v>
      </c>
      <c r="B789" s="13"/>
      <c r="C789" s="12"/>
      <c r="D789" s="13"/>
      <c r="E789" s="24"/>
      <c r="F789" s="12"/>
      <c r="G789" s="25"/>
      <c r="H789" s="14" t="str">
        <f aca="false">IF(OR($D789="",$B789=""),"",INT(($B789-$D789)/365.25))</f>
        <v/>
      </c>
      <c r="I789" s="25"/>
      <c r="J789" s="12"/>
      <c r="K789" s="12"/>
      <c r="L789" s="14" t="str">
        <f aca="false">IF(OR($C789="",$D789="",$B789=""),"",IF(COUNTIFS($C$5:$C$1504,$C789,$D$5:$D$1504,$D789,$B$5:$B$1504,$B789)&gt;1,"Takror",""))</f>
        <v/>
      </c>
    </row>
    <row r="790" customFormat="false" ht="15" hidden="false" customHeight="false" outlineLevel="0" collapsed="false">
      <c r="A790" s="8" t="n">
        <v>786</v>
      </c>
      <c r="B790" s="13"/>
      <c r="C790" s="12"/>
      <c r="D790" s="13"/>
      <c r="E790" s="24"/>
      <c r="F790" s="12"/>
      <c r="G790" s="25"/>
      <c r="H790" s="14" t="str">
        <f aca="false">IF(OR($D790="",$B790=""),"",INT(($B790-$D790)/365.25))</f>
        <v/>
      </c>
      <c r="I790" s="25"/>
      <c r="J790" s="12"/>
      <c r="K790" s="12"/>
      <c r="L790" s="14" t="str">
        <f aca="false">IF(OR($C790="",$D790="",$B790=""),"",IF(COUNTIFS($C$5:$C$1504,$C790,$D$5:$D$1504,$D790,$B$5:$B$1504,$B790)&gt;1,"Takror",""))</f>
        <v/>
      </c>
    </row>
    <row r="791" customFormat="false" ht="15" hidden="false" customHeight="false" outlineLevel="0" collapsed="false">
      <c r="A791" s="8" t="n">
        <v>787</v>
      </c>
      <c r="B791" s="13"/>
      <c r="C791" s="12"/>
      <c r="D791" s="13"/>
      <c r="E791" s="24"/>
      <c r="F791" s="12"/>
      <c r="G791" s="25"/>
      <c r="H791" s="14" t="str">
        <f aca="false">IF(OR($D791="",$B791=""),"",INT(($B791-$D791)/365.25))</f>
        <v/>
      </c>
      <c r="I791" s="25"/>
      <c r="J791" s="12"/>
      <c r="K791" s="12"/>
      <c r="L791" s="14" t="str">
        <f aca="false">IF(OR($C791="",$D791="",$B791=""),"",IF(COUNTIFS($C$5:$C$1504,$C791,$D$5:$D$1504,$D791,$B$5:$B$1504,$B791)&gt;1,"Takror",""))</f>
        <v/>
      </c>
    </row>
    <row r="792" customFormat="false" ht="15" hidden="false" customHeight="false" outlineLevel="0" collapsed="false">
      <c r="A792" s="8" t="n">
        <v>788</v>
      </c>
      <c r="B792" s="13"/>
      <c r="C792" s="12"/>
      <c r="D792" s="13"/>
      <c r="E792" s="24"/>
      <c r="F792" s="12"/>
      <c r="G792" s="25"/>
      <c r="H792" s="14" t="str">
        <f aca="false">IF(OR($D792="",$B792=""),"",INT(($B792-$D792)/365.25))</f>
        <v/>
      </c>
      <c r="I792" s="25"/>
      <c r="J792" s="12"/>
      <c r="K792" s="12"/>
      <c r="L792" s="14" t="str">
        <f aca="false">IF(OR($C792="",$D792="",$B792=""),"",IF(COUNTIFS($C$5:$C$1504,$C792,$D$5:$D$1504,$D792,$B$5:$B$1504,$B792)&gt;1,"Takror",""))</f>
        <v/>
      </c>
    </row>
    <row r="793" customFormat="false" ht="15" hidden="false" customHeight="false" outlineLevel="0" collapsed="false">
      <c r="A793" s="8" t="n">
        <v>789</v>
      </c>
      <c r="B793" s="13"/>
      <c r="C793" s="12"/>
      <c r="D793" s="13"/>
      <c r="E793" s="24"/>
      <c r="F793" s="12"/>
      <c r="G793" s="25"/>
      <c r="H793" s="14" t="str">
        <f aca="false">IF(OR($D793="",$B793=""),"",INT(($B793-$D793)/365.25))</f>
        <v/>
      </c>
      <c r="I793" s="25"/>
      <c r="J793" s="12"/>
      <c r="K793" s="12"/>
      <c r="L793" s="14" t="str">
        <f aca="false">IF(OR($C793="",$D793="",$B793=""),"",IF(COUNTIFS($C$5:$C$1504,$C793,$D$5:$D$1504,$D793,$B$5:$B$1504,$B793)&gt;1,"Takror",""))</f>
        <v/>
      </c>
    </row>
    <row r="794" customFormat="false" ht="15" hidden="false" customHeight="false" outlineLevel="0" collapsed="false">
      <c r="A794" s="8" t="n">
        <v>790</v>
      </c>
      <c r="B794" s="13"/>
      <c r="C794" s="12"/>
      <c r="D794" s="13"/>
      <c r="E794" s="24"/>
      <c r="F794" s="12"/>
      <c r="G794" s="25"/>
      <c r="H794" s="14" t="str">
        <f aca="false">IF(OR($D794="",$B794=""),"",INT(($B794-$D794)/365.25))</f>
        <v/>
      </c>
      <c r="I794" s="25"/>
      <c r="J794" s="12"/>
      <c r="K794" s="12"/>
      <c r="L794" s="14" t="str">
        <f aca="false">IF(OR($C794="",$D794="",$B794=""),"",IF(COUNTIFS($C$5:$C$1504,$C794,$D$5:$D$1504,$D794,$B$5:$B$1504,$B794)&gt;1,"Takror",""))</f>
        <v/>
      </c>
    </row>
    <row r="795" customFormat="false" ht="15" hidden="false" customHeight="false" outlineLevel="0" collapsed="false">
      <c r="A795" s="8" t="n">
        <v>791</v>
      </c>
      <c r="B795" s="13"/>
      <c r="C795" s="12"/>
      <c r="D795" s="13"/>
      <c r="E795" s="24"/>
      <c r="F795" s="12"/>
      <c r="G795" s="25"/>
      <c r="H795" s="14" t="str">
        <f aca="false">IF(OR($D795="",$B795=""),"",INT(($B795-$D795)/365.25))</f>
        <v/>
      </c>
      <c r="I795" s="25"/>
      <c r="J795" s="12"/>
      <c r="K795" s="12"/>
      <c r="L795" s="14" t="str">
        <f aca="false">IF(OR($C795="",$D795="",$B795=""),"",IF(COUNTIFS($C$5:$C$1504,$C795,$D$5:$D$1504,$D795,$B$5:$B$1504,$B795)&gt;1,"Takror",""))</f>
        <v/>
      </c>
    </row>
    <row r="796" customFormat="false" ht="15" hidden="false" customHeight="false" outlineLevel="0" collapsed="false">
      <c r="A796" s="8" t="n">
        <v>792</v>
      </c>
      <c r="B796" s="13"/>
      <c r="C796" s="12"/>
      <c r="D796" s="13"/>
      <c r="E796" s="24"/>
      <c r="F796" s="12"/>
      <c r="G796" s="25"/>
      <c r="H796" s="14" t="str">
        <f aca="false">IF(OR($D796="",$B796=""),"",INT(($B796-$D796)/365.25))</f>
        <v/>
      </c>
      <c r="I796" s="25"/>
      <c r="J796" s="12"/>
      <c r="K796" s="12"/>
      <c r="L796" s="14" t="str">
        <f aca="false">IF(OR($C796="",$D796="",$B796=""),"",IF(COUNTIFS($C$5:$C$1504,$C796,$D$5:$D$1504,$D796,$B$5:$B$1504,$B796)&gt;1,"Takror",""))</f>
        <v/>
      </c>
    </row>
    <row r="797" customFormat="false" ht="15" hidden="false" customHeight="false" outlineLevel="0" collapsed="false">
      <c r="A797" s="8" t="n">
        <v>793</v>
      </c>
      <c r="B797" s="13"/>
      <c r="C797" s="12"/>
      <c r="D797" s="13"/>
      <c r="E797" s="24"/>
      <c r="F797" s="12"/>
      <c r="G797" s="25"/>
      <c r="H797" s="14" t="str">
        <f aca="false">IF(OR($D797="",$B797=""),"",INT(($B797-$D797)/365.25))</f>
        <v/>
      </c>
      <c r="I797" s="25"/>
      <c r="J797" s="12"/>
      <c r="K797" s="12"/>
      <c r="L797" s="14" t="str">
        <f aca="false">IF(OR($C797="",$D797="",$B797=""),"",IF(COUNTIFS($C$5:$C$1504,$C797,$D$5:$D$1504,$D797,$B$5:$B$1504,$B797)&gt;1,"Takror",""))</f>
        <v/>
      </c>
    </row>
    <row r="798" customFormat="false" ht="15" hidden="false" customHeight="false" outlineLevel="0" collapsed="false">
      <c r="A798" s="8" t="n">
        <v>794</v>
      </c>
      <c r="B798" s="13"/>
      <c r="C798" s="12"/>
      <c r="D798" s="13"/>
      <c r="E798" s="24"/>
      <c r="F798" s="12"/>
      <c r="G798" s="25"/>
      <c r="H798" s="14" t="str">
        <f aca="false">IF(OR($D798="",$B798=""),"",INT(($B798-$D798)/365.25))</f>
        <v/>
      </c>
      <c r="I798" s="25"/>
      <c r="J798" s="12"/>
      <c r="K798" s="12"/>
      <c r="L798" s="14" t="str">
        <f aca="false">IF(OR($C798="",$D798="",$B798=""),"",IF(COUNTIFS($C$5:$C$1504,$C798,$D$5:$D$1504,$D798,$B$5:$B$1504,$B798)&gt;1,"Takror",""))</f>
        <v/>
      </c>
    </row>
    <row r="799" customFormat="false" ht="15" hidden="false" customHeight="false" outlineLevel="0" collapsed="false">
      <c r="A799" s="8" t="n">
        <v>795</v>
      </c>
      <c r="B799" s="13"/>
      <c r="C799" s="12"/>
      <c r="D799" s="13"/>
      <c r="E799" s="24"/>
      <c r="F799" s="12"/>
      <c r="G799" s="25"/>
      <c r="H799" s="14" t="str">
        <f aca="false">IF(OR($D799="",$B799=""),"",INT(($B799-$D799)/365.25))</f>
        <v/>
      </c>
      <c r="I799" s="25"/>
      <c r="J799" s="12"/>
      <c r="K799" s="12"/>
      <c r="L799" s="14" t="str">
        <f aca="false">IF(OR($C799="",$D799="",$B799=""),"",IF(COUNTIFS($C$5:$C$1504,$C799,$D$5:$D$1504,$D799,$B$5:$B$1504,$B799)&gt;1,"Takror",""))</f>
        <v/>
      </c>
    </row>
    <row r="800" customFormat="false" ht="15" hidden="false" customHeight="false" outlineLevel="0" collapsed="false">
      <c r="A800" s="8" t="n">
        <v>796</v>
      </c>
      <c r="B800" s="13"/>
      <c r="C800" s="12"/>
      <c r="D800" s="13"/>
      <c r="E800" s="24"/>
      <c r="F800" s="12"/>
      <c r="G800" s="25"/>
      <c r="H800" s="14" t="str">
        <f aca="false">IF(OR($D800="",$B800=""),"",INT(($B800-$D800)/365.25))</f>
        <v/>
      </c>
      <c r="I800" s="25"/>
      <c r="J800" s="12"/>
      <c r="K800" s="12"/>
      <c r="L800" s="14" t="str">
        <f aca="false">IF(OR($C800="",$D800="",$B800=""),"",IF(COUNTIFS($C$5:$C$1504,$C800,$D$5:$D$1504,$D800,$B$5:$B$1504,$B800)&gt;1,"Takror",""))</f>
        <v/>
      </c>
    </row>
    <row r="801" customFormat="false" ht="15" hidden="false" customHeight="false" outlineLevel="0" collapsed="false">
      <c r="A801" s="8" t="n">
        <v>797</v>
      </c>
      <c r="B801" s="13"/>
      <c r="C801" s="12"/>
      <c r="D801" s="13"/>
      <c r="E801" s="24"/>
      <c r="F801" s="12"/>
      <c r="G801" s="25"/>
      <c r="H801" s="14" t="str">
        <f aca="false">IF(OR($D801="",$B801=""),"",INT(($B801-$D801)/365.25))</f>
        <v/>
      </c>
      <c r="I801" s="25"/>
      <c r="J801" s="12"/>
      <c r="K801" s="12"/>
      <c r="L801" s="14" t="str">
        <f aca="false">IF(OR($C801="",$D801="",$B801=""),"",IF(COUNTIFS($C$5:$C$1504,$C801,$D$5:$D$1504,$D801,$B$5:$B$1504,$B801)&gt;1,"Takror",""))</f>
        <v/>
      </c>
    </row>
    <row r="802" customFormat="false" ht="15" hidden="false" customHeight="false" outlineLevel="0" collapsed="false">
      <c r="A802" s="8" t="n">
        <v>798</v>
      </c>
      <c r="B802" s="13"/>
      <c r="C802" s="12"/>
      <c r="D802" s="13"/>
      <c r="E802" s="24"/>
      <c r="F802" s="12"/>
      <c r="G802" s="25"/>
      <c r="H802" s="14" t="str">
        <f aca="false">IF(OR($D802="",$B802=""),"",INT(($B802-$D802)/365.25))</f>
        <v/>
      </c>
      <c r="I802" s="25"/>
      <c r="J802" s="12"/>
      <c r="K802" s="12"/>
      <c r="L802" s="14" t="str">
        <f aca="false">IF(OR($C802="",$D802="",$B802=""),"",IF(COUNTIFS($C$5:$C$1504,$C802,$D$5:$D$1504,$D802,$B$5:$B$1504,$B802)&gt;1,"Takror",""))</f>
        <v/>
      </c>
    </row>
    <row r="803" customFormat="false" ht="15" hidden="false" customHeight="false" outlineLevel="0" collapsed="false">
      <c r="A803" s="8" t="n">
        <v>799</v>
      </c>
      <c r="B803" s="13"/>
      <c r="C803" s="12"/>
      <c r="D803" s="13"/>
      <c r="E803" s="24"/>
      <c r="F803" s="12"/>
      <c r="G803" s="25"/>
      <c r="H803" s="14" t="str">
        <f aca="false">IF(OR($D803="",$B803=""),"",INT(($B803-$D803)/365.25))</f>
        <v/>
      </c>
      <c r="I803" s="25"/>
      <c r="J803" s="12"/>
      <c r="K803" s="12"/>
      <c r="L803" s="14" t="str">
        <f aca="false">IF(OR($C803="",$D803="",$B803=""),"",IF(COUNTIFS($C$5:$C$1504,$C803,$D$5:$D$1504,$D803,$B$5:$B$1504,$B803)&gt;1,"Takror",""))</f>
        <v/>
      </c>
    </row>
    <row r="804" customFormat="false" ht="15" hidden="false" customHeight="false" outlineLevel="0" collapsed="false">
      <c r="A804" s="8" t="n">
        <v>800</v>
      </c>
      <c r="B804" s="13"/>
      <c r="C804" s="12"/>
      <c r="D804" s="13"/>
      <c r="E804" s="24"/>
      <c r="F804" s="12"/>
      <c r="G804" s="25"/>
      <c r="H804" s="14" t="str">
        <f aca="false">IF(OR($D804="",$B804=""),"",INT(($B804-$D804)/365.25))</f>
        <v/>
      </c>
      <c r="I804" s="25"/>
      <c r="J804" s="12"/>
      <c r="K804" s="12"/>
      <c r="L804" s="14" t="str">
        <f aca="false">IF(OR($C804="",$D804="",$B804=""),"",IF(COUNTIFS($C$5:$C$1504,$C804,$D$5:$D$1504,$D804,$B$5:$B$1504,$B804)&gt;1,"Takror",""))</f>
        <v/>
      </c>
    </row>
    <row r="805" customFormat="false" ht="15" hidden="false" customHeight="false" outlineLevel="0" collapsed="false">
      <c r="A805" s="8" t="n">
        <v>801</v>
      </c>
      <c r="B805" s="13"/>
      <c r="C805" s="12"/>
      <c r="D805" s="13"/>
      <c r="E805" s="24"/>
      <c r="F805" s="12"/>
      <c r="G805" s="25"/>
      <c r="H805" s="14" t="str">
        <f aca="false">IF(OR($D805="",$B805=""),"",INT(($B805-$D805)/365.25))</f>
        <v/>
      </c>
      <c r="I805" s="25"/>
      <c r="J805" s="12"/>
      <c r="K805" s="12"/>
      <c r="L805" s="14" t="str">
        <f aca="false">IF(OR($C805="",$D805="",$B805=""),"",IF(COUNTIFS($C$5:$C$1504,$C805,$D$5:$D$1504,$D805,$B$5:$B$1504,$B805)&gt;1,"Takror",""))</f>
        <v/>
      </c>
    </row>
    <row r="806" customFormat="false" ht="15" hidden="false" customHeight="false" outlineLevel="0" collapsed="false">
      <c r="A806" s="8" t="n">
        <v>802</v>
      </c>
      <c r="B806" s="13"/>
      <c r="C806" s="12"/>
      <c r="D806" s="13"/>
      <c r="E806" s="24"/>
      <c r="F806" s="12"/>
      <c r="G806" s="25"/>
      <c r="H806" s="14" t="str">
        <f aca="false">IF(OR($D806="",$B806=""),"",INT(($B806-$D806)/365.25))</f>
        <v/>
      </c>
      <c r="I806" s="25"/>
      <c r="J806" s="12"/>
      <c r="K806" s="12"/>
      <c r="L806" s="14" t="str">
        <f aca="false">IF(OR($C806="",$D806="",$B806=""),"",IF(COUNTIFS($C$5:$C$1504,$C806,$D$5:$D$1504,$D806,$B$5:$B$1504,$B806)&gt;1,"Takror",""))</f>
        <v/>
      </c>
    </row>
    <row r="807" customFormat="false" ht="15" hidden="false" customHeight="false" outlineLevel="0" collapsed="false">
      <c r="A807" s="8" t="n">
        <v>803</v>
      </c>
      <c r="B807" s="13"/>
      <c r="C807" s="12"/>
      <c r="D807" s="13"/>
      <c r="E807" s="24"/>
      <c r="F807" s="12"/>
      <c r="G807" s="25"/>
      <c r="H807" s="14" t="str">
        <f aca="false">IF(OR($D807="",$B807=""),"",INT(($B807-$D807)/365.25))</f>
        <v/>
      </c>
      <c r="I807" s="25"/>
      <c r="J807" s="12"/>
      <c r="K807" s="12"/>
      <c r="L807" s="14" t="str">
        <f aca="false">IF(OR($C807="",$D807="",$B807=""),"",IF(COUNTIFS($C$5:$C$1504,$C807,$D$5:$D$1504,$D807,$B$5:$B$1504,$B807)&gt;1,"Takror",""))</f>
        <v/>
      </c>
    </row>
    <row r="808" customFormat="false" ht="15" hidden="false" customHeight="false" outlineLevel="0" collapsed="false">
      <c r="A808" s="8" t="n">
        <v>804</v>
      </c>
      <c r="B808" s="13"/>
      <c r="C808" s="12"/>
      <c r="D808" s="13"/>
      <c r="E808" s="24"/>
      <c r="F808" s="12"/>
      <c r="G808" s="25"/>
      <c r="H808" s="14" t="str">
        <f aca="false">IF(OR($D808="",$B808=""),"",INT(($B808-$D808)/365.25))</f>
        <v/>
      </c>
      <c r="I808" s="25"/>
      <c r="J808" s="12"/>
      <c r="K808" s="12"/>
      <c r="L808" s="14" t="str">
        <f aca="false">IF(OR($C808="",$D808="",$B808=""),"",IF(COUNTIFS($C$5:$C$1504,$C808,$D$5:$D$1504,$D808,$B$5:$B$1504,$B808)&gt;1,"Takror",""))</f>
        <v/>
      </c>
    </row>
    <row r="809" customFormat="false" ht="15" hidden="false" customHeight="false" outlineLevel="0" collapsed="false">
      <c r="A809" s="8" t="n">
        <v>805</v>
      </c>
      <c r="B809" s="13"/>
      <c r="C809" s="12"/>
      <c r="D809" s="13"/>
      <c r="E809" s="24"/>
      <c r="F809" s="12"/>
      <c r="G809" s="25"/>
      <c r="H809" s="14" t="str">
        <f aca="false">IF(OR($D809="",$B809=""),"",INT(($B809-$D809)/365.25))</f>
        <v/>
      </c>
      <c r="I809" s="25"/>
      <c r="J809" s="12"/>
      <c r="K809" s="12"/>
      <c r="L809" s="14" t="str">
        <f aca="false">IF(OR($C809="",$D809="",$B809=""),"",IF(COUNTIFS($C$5:$C$1504,$C809,$D$5:$D$1504,$D809,$B$5:$B$1504,$B809)&gt;1,"Takror",""))</f>
        <v/>
      </c>
    </row>
    <row r="810" customFormat="false" ht="15" hidden="false" customHeight="false" outlineLevel="0" collapsed="false">
      <c r="A810" s="8" t="n">
        <v>806</v>
      </c>
      <c r="B810" s="13"/>
      <c r="C810" s="12"/>
      <c r="D810" s="13"/>
      <c r="E810" s="24"/>
      <c r="F810" s="12"/>
      <c r="G810" s="25"/>
      <c r="H810" s="14" t="str">
        <f aca="false">IF(OR($D810="",$B810=""),"",INT(($B810-$D810)/365.25))</f>
        <v/>
      </c>
      <c r="I810" s="25"/>
      <c r="J810" s="12"/>
      <c r="K810" s="12"/>
      <c r="L810" s="14" t="str">
        <f aca="false">IF(OR($C810="",$D810="",$B810=""),"",IF(COUNTIFS($C$5:$C$1504,$C810,$D$5:$D$1504,$D810,$B$5:$B$1504,$B810)&gt;1,"Takror",""))</f>
        <v/>
      </c>
    </row>
    <row r="811" customFormat="false" ht="15" hidden="false" customHeight="false" outlineLevel="0" collapsed="false">
      <c r="A811" s="8" t="n">
        <v>807</v>
      </c>
      <c r="B811" s="13"/>
      <c r="C811" s="12"/>
      <c r="D811" s="13"/>
      <c r="E811" s="24"/>
      <c r="F811" s="12"/>
      <c r="G811" s="25"/>
      <c r="H811" s="14" t="str">
        <f aca="false">IF(OR($D811="",$B811=""),"",INT(($B811-$D811)/365.25))</f>
        <v/>
      </c>
      <c r="I811" s="25"/>
      <c r="J811" s="12"/>
      <c r="K811" s="12"/>
      <c r="L811" s="14" t="str">
        <f aca="false">IF(OR($C811="",$D811="",$B811=""),"",IF(COUNTIFS($C$5:$C$1504,$C811,$D$5:$D$1504,$D811,$B$5:$B$1504,$B811)&gt;1,"Takror",""))</f>
        <v/>
      </c>
    </row>
    <row r="812" customFormat="false" ht="15" hidden="false" customHeight="false" outlineLevel="0" collapsed="false">
      <c r="A812" s="8" t="n">
        <v>808</v>
      </c>
      <c r="B812" s="13"/>
      <c r="C812" s="12"/>
      <c r="D812" s="13"/>
      <c r="E812" s="24"/>
      <c r="F812" s="12"/>
      <c r="G812" s="25"/>
      <c r="H812" s="14" t="str">
        <f aca="false">IF(OR($D812="",$B812=""),"",INT(($B812-$D812)/365.25))</f>
        <v/>
      </c>
      <c r="I812" s="25"/>
      <c r="J812" s="12"/>
      <c r="K812" s="12"/>
      <c r="L812" s="14" t="str">
        <f aca="false">IF(OR($C812="",$D812="",$B812=""),"",IF(COUNTIFS($C$5:$C$1504,$C812,$D$5:$D$1504,$D812,$B$5:$B$1504,$B812)&gt;1,"Takror",""))</f>
        <v/>
      </c>
    </row>
    <row r="813" customFormat="false" ht="15" hidden="false" customHeight="false" outlineLevel="0" collapsed="false">
      <c r="A813" s="8" t="n">
        <v>809</v>
      </c>
      <c r="B813" s="13"/>
      <c r="C813" s="12"/>
      <c r="D813" s="13"/>
      <c r="E813" s="24"/>
      <c r="F813" s="12"/>
      <c r="G813" s="25"/>
      <c r="H813" s="14" t="str">
        <f aca="false">IF(OR($D813="",$B813=""),"",INT(($B813-$D813)/365.25))</f>
        <v/>
      </c>
      <c r="I813" s="25"/>
      <c r="J813" s="12"/>
      <c r="K813" s="12"/>
      <c r="L813" s="14" t="str">
        <f aca="false">IF(OR($C813="",$D813="",$B813=""),"",IF(COUNTIFS($C$5:$C$1504,$C813,$D$5:$D$1504,$D813,$B$5:$B$1504,$B813)&gt;1,"Takror",""))</f>
        <v/>
      </c>
    </row>
    <row r="814" customFormat="false" ht="15" hidden="false" customHeight="false" outlineLevel="0" collapsed="false">
      <c r="A814" s="8" t="n">
        <v>810</v>
      </c>
      <c r="B814" s="13"/>
      <c r="C814" s="12"/>
      <c r="D814" s="13"/>
      <c r="E814" s="24"/>
      <c r="F814" s="12"/>
      <c r="G814" s="25"/>
      <c r="H814" s="14" t="str">
        <f aca="false">IF(OR($D814="",$B814=""),"",INT(($B814-$D814)/365.25))</f>
        <v/>
      </c>
      <c r="I814" s="25"/>
      <c r="J814" s="12"/>
      <c r="K814" s="12"/>
      <c r="L814" s="14" t="str">
        <f aca="false">IF(OR($C814="",$D814="",$B814=""),"",IF(COUNTIFS($C$5:$C$1504,$C814,$D$5:$D$1504,$D814,$B$5:$B$1504,$B814)&gt;1,"Takror",""))</f>
        <v/>
      </c>
    </row>
    <row r="815" customFormat="false" ht="15" hidden="false" customHeight="false" outlineLevel="0" collapsed="false">
      <c r="A815" s="8" t="n">
        <v>811</v>
      </c>
      <c r="B815" s="13"/>
      <c r="C815" s="12"/>
      <c r="D815" s="13"/>
      <c r="E815" s="24"/>
      <c r="F815" s="12"/>
      <c r="G815" s="25"/>
      <c r="H815" s="14" t="str">
        <f aca="false">IF(OR($D815="",$B815=""),"",INT(($B815-$D815)/365.25))</f>
        <v/>
      </c>
      <c r="I815" s="25"/>
      <c r="J815" s="12"/>
      <c r="K815" s="12"/>
      <c r="L815" s="14" t="str">
        <f aca="false">IF(OR($C815="",$D815="",$B815=""),"",IF(COUNTIFS($C$5:$C$1504,$C815,$D$5:$D$1504,$D815,$B$5:$B$1504,$B815)&gt;1,"Takror",""))</f>
        <v/>
      </c>
    </row>
    <row r="816" customFormat="false" ht="15" hidden="false" customHeight="false" outlineLevel="0" collapsed="false">
      <c r="A816" s="8" t="n">
        <v>812</v>
      </c>
      <c r="B816" s="13"/>
      <c r="C816" s="12"/>
      <c r="D816" s="13"/>
      <c r="E816" s="24"/>
      <c r="F816" s="12"/>
      <c r="G816" s="25"/>
      <c r="H816" s="14" t="str">
        <f aca="false">IF(OR($D816="",$B816=""),"",INT(($B816-$D816)/365.25))</f>
        <v/>
      </c>
      <c r="I816" s="25"/>
      <c r="J816" s="12"/>
      <c r="K816" s="12"/>
      <c r="L816" s="14" t="str">
        <f aca="false">IF(OR($C816="",$D816="",$B816=""),"",IF(COUNTIFS($C$5:$C$1504,$C816,$D$5:$D$1504,$D816,$B$5:$B$1504,$B816)&gt;1,"Takror",""))</f>
        <v/>
      </c>
    </row>
    <row r="817" customFormat="false" ht="15" hidden="false" customHeight="false" outlineLevel="0" collapsed="false">
      <c r="A817" s="8" t="n">
        <v>813</v>
      </c>
      <c r="B817" s="13"/>
      <c r="C817" s="12"/>
      <c r="D817" s="13"/>
      <c r="E817" s="24"/>
      <c r="F817" s="12"/>
      <c r="G817" s="25"/>
      <c r="H817" s="14" t="str">
        <f aca="false">IF(OR($D817="",$B817=""),"",INT(($B817-$D817)/365.25))</f>
        <v/>
      </c>
      <c r="I817" s="25"/>
      <c r="J817" s="12"/>
      <c r="K817" s="12"/>
      <c r="L817" s="14" t="str">
        <f aca="false">IF(OR($C817="",$D817="",$B817=""),"",IF(COUNTIFS($C$5:$C$1504,$C817,$D$5:$D$1504,$D817,$B$5:$B$1504,$B817)&gt;1,"Takror",""))</f>
        <v/>
      </c>
    </row>
    <row r="818" customFormat="false" ht="15" hidden="false" customHeight="false" outlineLevel="0" collapsed="false">
      <c r="A818" s="8" t="n">
        <v>814</v>
      </c>
      <c r="B818" s="13"/>
      <c r="C818" s="12"/>
      <c r="D818" s="13"/>
      <c r="E818" s="24"/>
      <c r="F818" s="12"/>
      <c r="G818" s="25"/>
      <c r="H818" s="14" t="str">
        <f aca="false">IF(OR($D818="",$B818=""),"",INT(($B818-$D818)/365.25))</f>
        <v/>
      </c>
      <c r="I818" s="25"/>
      <c r="J818" s="12"/>
      <c r="K818" s="12"/>
      <c r="L818" s="14" t="str">
        <f aca="false">IF(OR($C818="",$D818="",$B818=""),"",IF(COUNTIFS($C$5:$C$1504,$C818,$D$5:$D$1504,$D818,$B$5:$B$1504,$B818)&gt;1,"Takror",""))</f>
        <v/>
      </c>
    </row>
    <row r="819" customFormat="false" ht="15" hidden="false" customHeight="false" outlineLevel="0" collapsed="false">
      <c r="A819" s="8" t="n">
        <v>815</v>
      </c>
      <c r="B819" s="13"/>
      <c r="C819" s="12"/>
      <c r="D819" s="13"/>
      <c r="E819" s="24"/>
      <c r="F819" s="12"/>
      <c r="G819" s="25"/>
      <c r="H819" s="14" t="str">
        <f aca="false">IF(OR($D819="",$B819=""),"",INT(($B819-$D819)/365.25))</f>
        <v/>
      </c>
      <c r="I819" s="25"/>
      <c r="J819" s="12"/>
      <c r="K819" s="12"/>
      <c r="L819" s="14" t="str">
        <f aca="false">IF(OR($C819="",$D819="",$B819=""),"",IF(COUNTIFS($C$5:$C$1504,$C819,$D$5:$D$1504,$D819,$B$5:$B$1504,$B819)&gt;1,"Takror",""))</f>
        <v/>
      </c>
    </row>
    <row r="820" customFormat="false" ht="15" hidden="false" customHeight="false" outlineLevel="0" collapsed="false">
      <c r="A820" s="8" t="n">
        <v>816</v>
      </c>
      <c r="B820" s="13"/>
      <c r="C820" s="12"/>
      <c r="D820" s="13"/>
      <c r="E820" s="24"/>
      <c r="F820" s="12"/>
      <c r="G820" s="25"/>
      <c r="H820" s="14" t="str">
        <f aca="false">IF(OR($D820="",$B820=""),"",INT(($B820-$D820)/365.25))</f>
        <v/>
      </c>
      <c r="I820" s="25"/>
      <c r="J820" s="12"/>
      <c r="K820" s="12"/>
      <c r="L820" s="14" t="str">
        <f aca="false">IF(OR($C820="",$D820="",$B820=""),"",IF(COUNTIFS($C$5:$C$1504,$C820,$D$5:$D$1504,$D820,$B$5:$B$1504,$B820)&gt;1,"Takror",""))</f>
        <v/>
      </c>
    </row>
    <row r="821" customFormat="false" ht="15" hidden="false" customHeight="false" outlineLevel="0" collapsed="false">
      <c r="A821" s="8" t="n">
        <v>817</v>
      </c>
      <c r="B821" s="13"/>
      <c r="C821" s="12"/>
      <c r="D821" s="13"/>
      <c r="E821" s="24"/>
      <c r="F821" s="12"/>
      <c r="G821" s="25"/>
      <c r="H821" s="14" t="str">
        <f aca="false">IF(OR($D821="",$B821=""),"",INT(($B821-$D821)/365.25))</f>
        <v/>
      </c>
      <c r="I821" s="25"/>
      <c r="J821" s="12"/>
      <c r="K821" s="12"/>
      <c r="L821" s="14" t="str">
        <f aca="false">IF(OR($C821="",$D821="",$B821=""),"",IF(COUNTIFS($C$5:$C$1504,$C821,$D$5:$D$1504,$D821,$B$5:$B$1504,$B821)&gt;1,"Takror",""))</f>
        <v/>
      </c>
    </row>
    <row r="822" customFormat="false" ht="15" hidden="false" customHeight="false" outlineLevel="0" collapsed="false">
      <c r="A822" s="8" t="n">
        <v>818</v>
      </c>
      <c r="B822" s="13"/>
      <c r="C822" s="12"/>
      <c r="D822" s="13"/>
      <c r="E822" s="24"/>
      <c r="F822" s="12"/>
      <c r="G822" s="25"/>
      <c r="H822" s="14" t="str">
        <f aca="false">IF(OR($D822="",$B822=""),"",INT(($B822-$D822)/365.25))</f>
        <v/>
      </c>
      <c r="I822" s="25"/>
      <c r="J822" s="12"/>
      <c r="K822" s="12"/>
      <c r="L822" s="14" t="str">
        <f aca="false">IF(OR($C822="",$D822="",$B822=""),"",IF(COUNTIFS($C$5:$C$1504,$C822,$D$5:$D$1504,$D822,$B$5:$B$1504,$B822)&gt;1,"Takror",""))</f>
        <v/>
      </c>
    </row>
    <row r="823" customFormat="false" ht="15" hidden="false" customHeight="false" outlineLevel="0" collapsed="false">
      <c r="A823" s="8" t="n">
        <v>819</v>
      </c>
      <c r="B823" s="13"/>
      <c r="C823" s="12"/>
      <c r="D823" s="13"/>
      <c r="E823" s="24"/>
      <c r="F823" s="12"/>
      <c r="G823" s="25"/>
      <c r="H823" s="14" t="str">
        <f aca="false">IF(OR($D823="",$B823=""),"",INT(($B823-$D823)/365.25))</f>
        <v/>
      </c>
      <c r="I823" s="25"/>
      <c r="J823" s="12"/>
      <c r="K823" s="12"/>
      <c r="L823" s="14" t="str">
        <f aca="false">IF(OR($C823="",$D823="",$B823=""),"",IF(COUNTIFS($C$5:$C$1504,$C823,$D$5:$D$1504,$D823,$B$5:$B$1504,$B823)&gt;1,"Takror",""))</f>
        <v/>
      </c>
    </row>
    <row r="824" customFormat="false" ht="15" hidden="false" customHeight="false" outlineLevel="0" collapsed="false">
      <c r="A824" s="8" t="n">
        <v>820</v>
      </c>
      <c r="B824" s="13"/>
      <c r="C824" s="12"/>
      <c r="D824" s="13"/>
      <c r="E824" s="24"/>
      <c r="F824" s="12"/>
      <c r="G824" s="25"/>
      <c r="H824" s="14" t="str">
        <f aca="false">IF(OR($D824="",$B824=""),"",INT(($B824-$D824)/365.25))</f>
        <v/>
      </c>
      <c r="I824" s="25"/>
      <c r="J824" s="12"/>
      <c r="K824" s="12"/>
      <c r="L824" s="14" t="str">
        <f aca="false">IF(OR($C824="",$D824="",$B824=""),"",IF(COUNTIFS($C$5:$C$1504,$C824,$D$5:$D$1504,$D824,$B$5:$B$1504,$B824)&gt;1,"Takror",""))</f>
        <v/>
      </c>
    </row>
    <row r="825" customFormat="false" ht="15" hidden="false" customHeight="false" outlineLevel="0" collapsed="false">
      <c r="A825" s="8" t="n">
        <v>821</v>
      </c>
      <c r="B825" s="13"/>
      <c r="C825" s="12"/>
      <c r="D825" s="13"/>
      <c r="E825" s="24"/>
      <c r="F825" s="12"/>
      <c r="G825" s="25"/>
      <c r="H825" s="14" t="str">
        <f aca="false">IF(OR($D825="",$B825=""),"",INT(($B825-$D825)/365.25))</f>
        <v/>
      </c>
      <c r="I825" s="25"/>
      <c r="J825" s="12"/>
      <c r="K825" s="12"/>
      <c r="L825" s="14" t="str">
        <f aca="false">IF(OR($C825="",$D825="",$B825=""),"",IF(COUNTIFS($C$5:$C$1504,$C825,$D$5:$D$1504,$D825,$B$5:$B$1504,$B825)&gt;1,"Takror",""))</f>
        <v/>
      </c>
    </row>
    <row r="826" customFormat="false" ht="15" hidden="false" customHeight="false" outlineLevel="0" collapsed="false">
      <c r="A826" s="8" t="n">
        <v>822</v>
      </c>
      <c r="B826" s="13"/>
      <c r="C826" s="12"/>
      <c r="D826" s="13"/>
      <c r="E826" s="24"/>
      <c r="F826" s="12"/>
      <c r="G826" s="25"/>
      <c r="H826" s="14" t="str">
        <f aca="false">IF(OR($D826="",$B826=""),"",INT(($B826-$D826)/365.25))</f>
        <v/>
      </c>
      <c r="I826" s="25"/>
      <c r="J826" s="12"/>
      <c r="K826" s="12"/>
      <c r="L826" s="14" t="str">
        <f aca="false">IF(OR($C826="",$D826="",$B826=""),"",IF(COUNTIFS($C$5:$C$1504,$C826,$D$5:$D$1504,$D826,$B$5:$B$1504,$B826)&gt;1,"Takror",""))</f>
        <v/>
      </c>
    </row>
    <row r="827" customFormat="false" ht="15" hidden="false" customHeight="false" outlineLevel="0" collapsed="false">
      <c r="A827" s="8" t="n">
        <v>823</v>
      </c>
      <c r="B827" s="13"/>
      <c r="C827" s="12"/>
      <c r="D827" s="13"/>
      <c r="E827" s="24"/>
      <c r="F827" s="12"/>
      <c r="G827" s="25"/>
      <c r="H827" s="14" t="str">
        <f aca="false">IF(OR($D827="",$B827=""),"",INT(($B827-$D827)/365.25))</f>
        <v/>
      </c>
      <c r="I827" s="25"/>
      <c r="J827" s="12"/>
      <c r="K827" s="12"/>
      <c r="L827" s="14" t="str">
        <f aca="false">IF(OR($C827="",$D827="",$B827=""),"",IF(COUNTIFS($C$5:$C$1504,$C827,$D$5:$D$1504,$D827,$B$5:$B$1504,$B827)&gt;1,"Takror",""))</f>
        <v/>
      </c>
    </row>
    <row r="828" customFormat="false" ht="15" hidden="false" customHeight="false" outlineLevel="0" collapsed="false">
      <c r="A828" s="8" t="n">
        <v>824</v>
      </c>
      <c r="B828" s="13"/>
      <c r="C828" s="12"/>
      <c r="D828" s="13"/>
      <c r="E828" s="24"/>
      <c r="F828" s="12"/>
      <c r="G828" s="25"/>
      <c r="H828" s="14" t="str">
        <f aca="false">IF(OR($D828="",$B828=""),"",INT(($B828-$D828)/365.25))</f>
        <v/>
      </c>
      <c r="I828" s="25"/>
      <c r="J828" s="12"/>
      <c r="K828" s="12"/>
      <c r="L828" s="14" t="str">
        <f aca="false">IF(OR($C828="",$D828="",$B828=""),"",IF(COUNTIFS($C$5:$C$1504,$C828,$D$5:$D$1504,$D828,$B$5:$B$1504,$B828)&gt;1,"Takror",""))</f>
        <v/>
      </c>
    </row>
    <row r="829" customFormat="false" ht="15" hidden="false" customHeight="false" outlineLevel="0" collapsed="false">
      <c r="A829" s="8" t="n">
        <v>825</v>
      </c>
      <c r="B829" s="13"/>
      <c r="C829" s="12"/>
      <c r="D829" s="13"/>
      <c r="E829" s="24"/>
      <c r="F829" s="12"/>
      <c r="G829" s="25"/>
      <c r="H829" s="14" t="str">
        <f aca="false">IF(OR($D829="",$B829=""),"",INT(($B829-$D829)/365.25))</f>
        <v/>
      </c>
      <c r="I829" s="25"/>
      <c r="J829" s="12"/>
      <c r="K829" s="12"/>
      <c r="L829" s="14" t="str">
        <f aca="false">IF(OR($C829="",$D829="",$B829=""),"",IF(COUNTIFS($C$5:$C$1504,$C829,$D$5:$D$1504,$D829,$B$5:$B$1504,$B829)&gt;1,"Takror",""))</f>
        <v/>
      </c>
    </row>
    <row r="830" customFormat="false" ht="15" hidden="false" customHeight="false" outlineLevel="0" collapsed="false">
      <c r="A830" s="8" t="n">
        <v>826</v>
      </c>
      <c r="B830" s="13"/>
      <c r="C830" s="12"/>
      <c r="D830" s="13"/>
      <c r="E830" s="24"/>
      <c r="F830" s="12"/>
      <c r="G830" s="25"/>
      <c r="H830" s="14" t="str">
        <f aca="false">IF(OR($D830="",$B830=""),"",INT(($B830-$D830)/365.25))</f>
        <v/>
      </c>
      <c r="I830" s="25"/>
      <c r="J830" s="12"/>
      <c r="K830" s="12"/>
      <c r="L830" s="14" t="str">
        <f aca="false">IF(OR($C830="",$D830="",$B830=""),"",IF(COUNTIFS($C$5:$C$1504,$C830,$D$5:$D$1504,$D830,$B$5:$B$1504,$B830)&gt;1,"Takror",""))</f>
        <v/>
      </c>
    </row>
    <row r="831" customFormat="false" ht="15" hidden="false" customHeight="false" outlineLevel="0" collapsed="false">
      <c r="A831" s="8" t="n">
        <v>827</v>
      </c>
      <c r="B831" s="13"/>
      <c r="C831" s="12"/>
      <c r="D831" s="13"/>
      <c r="E831" s="24"/>
      <c r="F831" s="12"/>
      <c r="G831" s="25"/>
      <c r="H831" s="14" t="str">
        <f aca="false">IF(OR($D831="",$B831=""),"",INT(($B831-$D831)/365.25))</f>
        <v/>
      </c>
      <c r="I831" s="25"/>
      <c r="J831" s="12"/>
      <c r="K831" s="12"/>
      <c r="L831" s="14" t="str">
        <f aca="false">IF(OR($C831="",$D831="",$B831=""),"",IF(COUNTIFS($C$5:$C$1504,$C831,$D$5:$D$1504,$D831,$B$5:$B$1504,$B831)&gt;1,"Takror",""))</f>
        <v/>
      </c>
    </row>
    <row r="832" customFormat="false" ht="15" hidden="false" customHeight="false" outlineLevel="0" collapsed="false">
      <c r="A832" s="8" t="n">
        <v>828</v>
      </c>
      <c r="B832" s="13"/>
      <c r="C832" s="12"/>
      <c r="D832" s="13"/>
      <c r="E832" s="24"/>
      <c r="F832" s="12"/>
      <c r="G832" s="25"/>
      <c r="H832" s="14" t="str">
        <f aca="false">IF(OR($D832="",$B832=""),"",INT(($B832-$D832)/365.25))</f>
        <v/>
      </c>
      <c r="I832" s="25"/>
      <c r="J832" s="12"/>
      <c r="K832" s="12"/>
      <c r="L832" s="14" t="str">
        <f aca="false">IF(OR($C832="",$D832="",$B832=""),"",IF(COUNTIFS($C$5:$C$1504,$C832,$D$5:$D$1504,$D832,$B$5:$B$1504,$B832)&gt;1,"Takror",""))</f>
        <v/>
      </c>
    </row>
    <row r="833" customFormat="false" ht="15" hidden="false" customHeight="false" outlineLevel="0" collapsed="false">
      <c r="A833" s="8" t="n">
        <v>829</v>
      </c>
      <c r="B833" s="13"/>
      <c r="C833" s="12"/>
      <c r="D833" s="13"/>
      <c r="E833" s="24"/>
      <c r="F833" s="12"/>
      <c r="G833" s="25"/>
      <c r="H833" s="14" t="str">
        <f aca="false">IF(OR($D833="",$B833=""),"",INT(($B833-$D833)/365.25))</f>
        <v/>
      </c>
      <c r="I833" s="25"/>
      <c r="J833" s="12"/>
      <c r="K833" s="12"/>
      <c r="L833" s="14" t="str">
        <f aca="false">IF(OR($C833="",$D833="",$B833=""),"",IF(COUNTIFS($C$5:$C$1504,$C833,$D$5:$D$1504,$D833,$B$5:$B$1504,$B833)&gt;1,"Takror",""))</f>
        <v/>
      </c>
    </row>
    <row r="834" customFormat="false" ht="15" hidden="false" customHeight="false" outlineLevel="0" collapsed="false">
      <c r="A834" s="8" t="n">
        <v>830</v>
      </c>
      <c r="B834" s="13"/>
      <c r="C834" s="12"/>
      <c r="D834" s="13"/>
      <c r="E834" s="24"/>
      <c r="F834" s="12"/>
      <c r="G834" s="25"/>
      <c r="H834" s="14" t="str">
        <f aca="false">IF(OR($D834="",$B834=""),"",INT(($B834-$D834)/365.25))</f>
        <v/>
      </c>
      <c r="I834" s="25"/>
      <c r="J834" s="12"/>
      <c r="K834" s="12"/>
      <c r="L834" s="14" t="str">
        <f aca="false">IF(OR($C834="",$D834="",$B834=""),"",IF(COUNTIFS($C$5:$C$1504,$C834,$D$5:$D$1504,$D834,$B$5:$B$1504,$B834)&gt;1,"Takror",""))</f>
        <v/>
      </c>
    </row>
    <row r="835" customFormat="false" ht="15" hidden="false" customHeight="false" outlineLevel="0" collapsed="false">
      <c r="A835" s="8" t="n">
        <v>831</v>
      </c>
      <c r="B835" s="13"/>
      <c r="C835" s="12"/>
      <c r="D835" s="13"/>
      <c r="E835" s="24"/>
      <c r="F835" s="12"/>
      <c r="G835" s="25"/>
      <c r="H835" s="14" t="str">
        <f aca="false">IF(OR($D835="",$B835=""),"",INT(($B835-$D835)/365.25))</f>
        <v/>
      </c>
      <c r="I835" s="25"/>
      <c r="J835" s="12"/>
      <c r="K835" s="12"/>
      <c r="L835" s="14" t="str">
        <f aca="false">IF(OR($C835="",$D835="",$B835=""),"",IF(COUNTIFS($C$5:$C$1504,$C835,$D$5:$D$1504,$D835,$B$5:$B$1504,$B835)&gt;1,"Takror",""))</f>
        <v/>
      </c>
    </row>
    <row r="836" customFormat="false" ht="15" hidden="false" customHeight="false" outlineLevel="0" collapsed="false">
      <c r="A836" s="8" t="n">
        <v>832</v>
      </c>
      <c r="B836" s="13"/>
      <c r="C836" s="12"/>
      <c r="D836" s="13"/>
      <c r="E836" s="24"/>
      <c r="F836" s="12"/>
      <c r="G836" s="25"/>
      <c r="H836" s="14" t="str">
        <f aca="false">IF(OR($D836="",$B836=""),"",INT(($B836-$D836)/365.25))</f>
        <v/>
      </c>
      <c r="I836" s="25"/>
      <c r="J836" s="12"/>
      <c r="K836" s="12"/>
      <c r="L836" s="14" t="str">
        <f aca="false">IF(OR($C836="",$D836="",$B836=""),"",IF(COUNTIFS($C$5:$C$1504,$C836,$D$5:$D$1504,$D836,$B$5:$B$1504,$B836)&gt;1,"Takror",""))</f>
        <v/>
      </c>
    </row>
    <row r="837" customFormat="false" ht="15" hidden="false" customHeight="false" outlineLevel="0" collapsed="false">
      <c r="A837" s="8" t="n">
        <v>833</v>
      </c>
      <c r="B837" s="13"/>
      <c r="C837" s="12"/>
      <c r="D837" s="13"/>
      <c r="E837" s="24"/>
      <c r="F837" s="12"/>
      <c r="G837" s="25"/>
      <c r="H837" s="14" t="str">
        <f aca="false">IF(OR($D837="",$B837=""),"",INT(($B837-$D837)/365.25))</f>
        <v/>
      </c>
      <c r="I837" s="25"/>
      <c r="J837" s="12"/>
      <c r="K837" s="12"/>
      <c r="L837" s="14" t="str">
        <f aca="false">IF(OR($C837="",$D837="",$B837=""),"",IF(COUNTIFS($C$5:$C$1504,$C837,$D$5:$D$1504,$D837,$B$5:$B$1504,$B837)&gt;1,"Takror",""))</f>
        <v/>
      </c>
    </row>
    <row r="838" customFormat="false" ht="15" hidden="false" customHeight="false" outlineLevel="0" collapsed="false">
      <c r="A838" s="8" t="n">
        <v>834</v>
      </c>
      <c r="B838" s="13"/>
      <c r="C838" s="12"/>
      <c r="D838" s="13"/>
      <c r="E838" s="24"/>
      <c r="F838" s="12"/>
      <c r="G838" s="25"/>
      <c r="H838" s="14" t="str">
        <f aca="false">IF(OR($D838="",$B838=""),"",INT(($B838-$D838)/365.25))</f>
        <v/>
      </c>
      <c r="I838" s="25"/>
      <c r="J838" s="12"/>
      <c r="K838" s="12"/>
      <c r="L838" s="14" t="str">
        <f aca="false">IF(OR($C838="",$D838="",$B838=""),"",IF(COUNTIFS($C$5:$C$1504,$C838,$D$5:$D$1504,$D838,$B$5:$B$1504,$B838)&gt;1,"Takror",""))</f>
        <v/>
      </c>
    </row>
    <row r="839" customFormat="false" ht="15" hidden="false" customHeight="false" outlineLevel="0" collapsed="false">
      <c r="A839" s="8" t="n">
        <v>835</v>
      </c>
      <c r="B839" s="13"/>
      <c r="C839" s="12"/>
      <c r="D839" s="13"/>
      <c r="E839" s="24"/>
      <c r="F839" s="12"/>
      <c r="G839" s="25"/>
      <c r="H839" s="14" t="str">
        <f aca="false">IF(OR($D839="",$B839=""),"",INT(($B839-$D839)/365.25))</f>
        <v/>
      </c>
      <c r="I839" s="25"/>
      <c r="J839" s="12"/>
      <c r="K839" s="12"/>
      <c r="L839" s="14" t="str">
        <f aca="false">IF(OR($C839="",$D839="",$B839=""),"",IF(COUNTIFS($C$5:$C$1504,$C839,$D$5:$D$1504,$D839,$B$5:$B$1504,$B839)&gt;1,"Takror",""))</f>
        <v/>
      </c>
    </row>
    <row r="840" customFormat="false" ht="15" hidden="false" customHeight="false" outlineLevel="0" collapsed="false">
      <c r="A840" s="8" t="n">
        <v>836</v>
      </c>
      <c r="B840" s="13"/>
      <c r="C840" s="12"/>
      <c r="D840" s="13"/>
      <c r="E840" s="24"/>
      <c r="F840" s="12"/>
      <c r="G840" s="25"/>
      <c r="H840" s="14" t="str">
        <f aca="false">IF(OR($D840="",$B840=""),"",INT(($B840-$D840)/365.25))</f>
        <v/>
      </c>
      <c r="I840" s="25"/>
      <c r="J840" s="12"/>
      <c r="K840" s="12"/>
      <c r="L840" s="14" t="str">
        <f aca="false">IF(OR($C840="",$D840="",$B840=""),"",IF(COUNTIFS($C$5:$C$1504,$C840,$D$5:$D$1504,$D840,$B$5:$B$1504,$B840)&gt;1,"Takror",""))</f>
        <v/>
      </c>
    </row>
    <row r="841" customFormat="false" ht="15" hidden="false" customHeight="false" outlineLevel="0" collapsed="false">
      <c r="A841" s="8" t="n">
        <v>837</v>
      </c>
      <c r="B841" s="13"/>
      <c r="C841" s="12"/>
      <c r="D841" s="13"/>
      <c r="E841" s="24"/>
      <c r="F841" s="12"/>
      <c r="G841" s="25"/>
      <c r="H841" s="14" t="str">
        <f aca="false">IF(OR($D841="",$B841=""),"",INT(($B841-$D841)/365.25))</f>
        <v/>
      </c>
      <c r="I841" s="25"/>
      <c r="J841" s="12"/>
      <c r="K841" s="12"/>
      <c r="L841" s="14" t="str">
        <f aca="false">IF(OR($C841="",$D841="",$B841=""),"",IF(COUNTIFS($C$5:$C$1504,$C841,$D$5:$D$1504,$D841,$B$5:$B$1504,$B841)&gt;1,"Takror",""))</f>
        <v/>
      </c>
    </row>
    <row r="842" customFormat="false" ht="15" hidden="false" customHeight="false" outlineLevel="0" collapsed="false">
      <c r="A842" s="8" t="n">
        <v>838</v>
      </c>
      <c r="B842" s="13"/>
      <c r="C842" s="12"/>
      <c r="D842" s="13"/>
      <c r="E842" s="24"/>
      <c r="F842" s="12"/>
      <c r="G842" s="25"/>
      <c r="H842" s="14" t="str">
        <f aca="false">IF(OR($D842="",$B842=""),"",INT(($B842-$D842)/365.25))</f>
        <v/>
      </c>
      <c r="I842" s="25"/>
      <c r="J842" s="12"/>
      <c r="K842" s="12"/>
      <c r="L842" s="14" t="str">
        <f aca="false">IF(OR($C842="",$D842="",$B842=""),"",IF(COUNTIFS($C$5:$C$1504,$C842,$D$5:$D$1504,$D842,$B$5:$B$1504,$B842)&gt;1,"Takror",""))</f>
        <v/>
      </c>
    </row>
    <row r="843" customFormat="false" ht="15" hidden="false" customHeight="false" outlineLevel="0" collapsed="false">
      <c r="A843" s="8" t="n">
        <v>839</v>
      </c>
      <c r="B843" s="13"/>
      <c r="C843" s="12"/>
      <c r="D843" s="13"/>
      <c r="E843" s="24"/>
      <c r="F843" s="12"/>
      <c r="G843" s="25"/>
      <c r="H843" s="14" t="str">
        <f aca="false">IF(OR($D843="",$B843=""),"",INT(($B843-$D843)/365.25))</f>
        <v/>
      </c>
      <c r="I843" s="25"/>
      <c r="J843" s="12"/>
      <c r="K843" s="12"/>
      <c r="L843" s="14" t="str">
        <f aca="false">IF(OR($C843="",$D843="",$B843=""),"",IF(COUNTIFS($C$5:$C$1504,$C843,$D$5:$D$1504,$D843,$B$5:$B$1504,$B843)&gt;1,"Takror",""))</f>
        <v/>
      </c>
    </row>
    <row r="844" customFormat="false" ht="15" hidden="false" customHeight="false" outlineLevel="0" collapsed="false">
      <c r="A844" s="8" t="n">
        <v>840</v>
      </c>
      <c r="B844" s="13"/>
      <c r="C844" s="12"/>
      <c r="D844" s="13"/>
      <c r="E844" s="24"/>
      <c r="F844" s="12"/>
      <c r="G844" s="25"/>
      <c r="H844" s="14" t="str">
        <f aca="false">IF(OR($D844="",$B844=""),"",INT(($B844-$D844)/365.25))</f>
        <v/>
      </c>
      <c r="I844" s="25"/>
      <c r="J844" s="12"/>
      <c r="K844" s="12"/>
      <c r="L844" s="14" t="str">
        <f aca="false">IF(OR($C844="",$D844="",$B844=""),"",IF(COUNTIFS($C$5:$C$1504,$C844,$D$5:$D$1504,$D844,$B$5:$B$1504,$B844)&gt;1,"Takror",""))</f>
        <v/>
      </c>
    </row>
    <row r="845" customFormat="false" ht="15" hidden="false" customHeight="false" outlineLevel="0" collapsed="false">
      <c r="A845" s="8" t="n">
        <v>841</v>
      </c>
      <c r="B845" s="13"/>
      <c r="C845" s="12"/>
      <c r="D845" s="13"/>
      <c r="E845" s="24"/>
      <c r="F845" s="12"/>
      <c r="G845" s="25"/>
      <c r="H845" s="14" t="str">
        <f aca="false">IF(OR($D845="",$B845=""),"",INT(($B845-$D845)/365.25))</f>
        <v/>
      </c>
      <c r="I845" s="25"/>
      <c r="J845" s="12"/>
      <c r="K845" s="12"/>
      <c r="L845" s="14" t="str">
        <f aca="false">IF(OR($C845="",$D845="",$B845=""),"",IF(COUNTIFS($C$5:$C$1504,$C845,$D$5:$D$1504,$D845,$B$5:$B$1504,$B845)&gt;1,"Takror",""))</f>
        <v/>
      </c>
    </row>
    <row r="846" customFormat="false" ht="15" hidden="false" customHeight="false" outlineLevel="0" collapsed="false">
      <c r="A846" s="8" t="n">
        <v>842</v>
      </c>
      <c r="B846" s="13"/>
      <c r="C846" s="12"/>
      <c r="D846" s="13"/>
      <c r="E846" s="24"/>
      <c r="F846" s="12"/>
      <c r="G846" s="25"/>
      <c r="H846" s="14" t="str">
        <f aca="false">IF(OR($D846="",$B846=""),"",INT(($B846-$D846)/365.25))</f>
        <v/>
      </c>
      <c r="I846" s="25"/>
      <c r="J846" s="12"/>
      <c r="K846" s="12"/>
      <c r="L846" s="14" t="str">
        <f aca="false">IF(OR($C846="",$D846="",$B846=""),"",IF(COUNTIFS($C$5:$C$1504,$C846,$D$5:$D$1504,$D846,$B$5:$B$1504,$B846)&gt;1,"Takror",""))</f>
        <v/>
      </c>
    </row>
    <row r="847" customFormat="false" ht="15" hidden="false" customHeight="false" outlineLevel="0" collapsed="false">
      <c r="A847" s="8" t="n">
        <v>843</v>
      </c>
      <c r="B847" s="13"/>
      <c r="C847" s="12"/>
      <c r="D847" s="13"/>
      <c r="E847" s="24"/>
      <c r="F847" s="12"/>
      <c r="G847" s="25"/>
      <c r="H847" s="14" t="str">
        <f aca="false">IF(OR($D847="",$B847=""),"",INT(($B847-$D847)/365.25))</f>
        <v/>
      </c>
      <c r="I847" s="25"/>
      <c r="J847" s="12"/>
      <c r="K847" s="12"/>
      <c r="L847" s="14" t="str">
        <f aca="false">IF(OR($C847="",$D847="",$B847=""),"",IF(COUNTIFS($C$5:$C$1504,$C847,$D$5:$D$1504,$D847,$B$5:$B$1504,$B847)&gt;1,"Takror",""))</f>
        <v/>
      </c>
    </row>
    <row r="848" customFormat="false" ht="15" hidden="false" customHeight="false" outlineLevel="0" collapsed="false">
      <c r="A848" s="8" t="n">
        <v>844</v>
      </c>
      <c r="B848" s="13"/>
      <c r="C848" s="12"/>
      <c r="D848" s="13"/>
      <c r="E848" s="24"/>
      <c r="F848" s="12"/>
      <c r="G848" s="25"/>
      <c r="H848" s="14" t="str">
        <f aca="false">IF(OR($D848="",$B848=""),"",INT(($B848-$D848)/365.25))</f>
        <v/>
      </c>
      <c r="I848" s="25"/>
      <c r="J848" s="12"/>
      <c r="K848" s="12"/>
      <c r="L848" s="14" t="str">
        <f aca="false">IF(OR($C848="",$D848="",$B848=""),"",IF(COUNTIFS($C$5:$C$1504,$C848,$D$5:$D$1504,$D848,$B$5:$B$1504,$B848)&gt;1,"Takror",""))</f>
        <v/>
      </c>
    </row>
    <row r="849" customFormat="false" ht="15" hidden="false" customHeight="false" outlineLevel="0" collapsed="false">
      <c r="A849" s="8" t="n">
        <v>845</v>
      </c>
      <c r="B849" s="13"/>
      <c r="C849" s="12"/>
      <c r="D849" s="13"/>
      <c r="E849" s="24"/>
      <c r="F849" s="12"/>
      <c r="G849" s="25"/>
      <c r="H849" s="14" t="str">
        <f aca="false">IF(OR($D849="",$B849=""),"",INT(($B849-$D849)/365.25))</f>
        <v/>
      </c>
      <c r="I849" s="25"/>
      <c r="J849" s="12"/>
      <c r="K849" s="12"/>
      <c r="L849" s="14" t="str">
        <f aca="false">IF(OR($C849="",$D849="",$B849=""),"",IF(COUNTIFS($C$5:$C$1504,$C849,$D$5:$D$1504,$D849,$B$5:$B$1504,$B849)&gt;1,"Takror",""))</f>
        <v/>
      </c>
    </row>
    <row r="850" customFormat="false" ht="15" hidden="false" customHeight="false" outlineLevel="0" collapsed="false">
      <c r="A850" s="8" t="n">
        <v>846</v>
      </c>
      <c r="B850" s="13"/>
      <c r="C850" s="12"/>
      <c r="D850" s="13"/>
      <c r="E850" s="24"/>
      <c r="F850" s="12"/>
      <c r="G850" s="25"/>
      <c r="H850" s="14" t="str">
        <f aca="false">IF(OR($D850="",$B850=""),"",INT(($B850-$D850)/365.25))</f>
        <v/>
      </c>
      <c r="I850" s="25"/>
      <c r="J850" s="12"/>
      <c r="K850" s="12"/>
      <c r="L850" s="14" t="str">
        <f aca="false">IF(OR($C850="",$D850="",$B850=""),"",IF(COUNTIFS($C$5:$C$1504,$C850,$D$5:$D$1504,$D850,$B$5:$B$1504,$B850)&gt;1,"Takror",""))</f>
        <v/>
      </c>
    </row>
    <row r="851" customFormat="false" ht="15" hidden="false" customHeight="false" outlineLevel="0" collapsed="false">
      <c r="A851" s="8" t="n">
        <v>847</v>
      </c>
      <c r="B851" s="13"/>
      <c r="C851" s="12"/>
      <c r="D851" s="13"/>
      <c r="E851" s="24"/>
      <c r="F851" s="12"/>
      <c r="G851" s="25"/>
      <c r="H851" s="14" t="str">
        <f aca="false">IF(OR($D851="",$B851=""),"",INT(($B851-$D851)/365.25))</f>
        <v/>
      </c>
      <c r="I851" s="25"/>
      <c r="J851" s="12"/>
      <c r="K851" s="12"/>
      <c r="L851" s="14" t="str">
        <f aca="false">IF(OR($C851="",$D851="",$B851=""),"",IF(COUNTIFS($C$5:$C$1504,$C851,$D$5:$D$1504,$D851,$B$5:$B$1504,$B851)&gt;1,"Takror",""))</f>
        <v/>
      </c>
    </row>
    <row r="852" customFormat="false" ht="15" hidden="false" customHeight="false" outlineLevel="0" collapsed="false">
      <c r="A852" s="8" t="n">
        <v>848</v>
      </c>
      <c r="B852" s="13"/>
      <c r="C852" s="12"/>
      <c r="D852" s="13"/>
      <c r="E852" s="24"/>
      <c r="F852" s="12"/>
      <c r="G852" s="25"/>
      <c r="H852" s="14" t="str">
        <f aca="false">IF(OR($D852="",$B852=""),"",INT(($B852-$D852)/365.25))</f>
        <v/>
      </c>
      <c r="I852" s="25"/>
      <c r="J852" s="12"/>
      <c r="K852" s="12"/>
      <c r="L852" s="14" t="str">
        <f aca="false">IF(OR($C852="",$D852="",$B852=""),"",IF(COUNTIFS($C$5:$C$1504,$C852,$D$5:$D$1504,$D852,$B$5:$B$1504,$B852)&gt;1,"Takror",""))</f>
        <v/>
      </c>
    </row>
    <row r="853" customFormat="false" ht="15" hidden="false" customHeight="false" outlineLevel="0" collapsed="false">
      <c r="A853" s="8" t="n">
        <v>849</v>
      </c>
      <c r="B853" s="13"/>
      <c r="C853" s="12"/>
      <c r="D853" s="13"/>
      <c r="E853" s="24"/>
      <c r="F853" s="12"/>
      <c r="G853" s="25"/>
      <c r="H853" s="14" t="str">
        <f aca="false">IF(OR($D853="",$B853=""),"",INT(($B853-$D853)/365.25))</f>
        <v/>
      </c>
      <c r="I853" s="25"/>
      <c r="J853" s="12"/>
      <c r="K853" s="12"/>
      <c r="L853" s="14" t="str">
        <f aca="false">IF(OR($C853="",$D853="",$B853=""),"",IF(COUNTIFS($C$5:$C$1504,$C853,$D$5:$D$1504,$D853,$B$5:$B$1504,$B853)&gt;1,"Takror",""))</f>
        <v/>
      </c>
    </row>
    <row r="854" customFormat="false" ht="15" hidden="false" customHeight="false" outlineLevel="0" collapsed="false">
      <c r="A854" s="8" t="n">
        <v>850</v>
      </c>
      <c r="B854" s="13"/>
      <c r="C854" s="12"/>
      <c r="D854" s="13"/>
      <c r="E854" s="24"/>
      <c r="F854" s="12"/>
      <c r="G854" s="25"/>
      <c r="H854" s="14" t="str">
        <f aca="false">IF(OR($D854="",$B854=""),"",INT(($B854-$D854)/365.25))</f>
        <v/>
      </c>
      <c r="I854" s="25"/>
      <c r="J854" s="12"/>
      <c r="K854" s="12"/>
      <c r="L854" s="14" t="str">
        <f aca="false">IF(OR($C854="",$D854="",$B854=""),"",IF(COUNTIFS($C$5:$C$1504,$C854,$D$5:$D$1504,$D854,$B$5:$B$1504,$B854)&gt;1,"Takror",""))</f>
        <v/>
      </c>
    </row>
    <row r="855" customFormat="false" ht="15" hidden="false" customHeight="false" outlineLevel="0" collapsed="false">
      <c r="A855" s="8" t="n">
        <v>851</v>
      </c>
      <c r="B855" s="13"/>
      <c r="C855" s="12"/>
      <c r="D855" s="13"/>
      <c r="E855" s="24"/>
      <c r="F855" s="12"/>
      <c r="G855" s="25"/>
      <c r="H855" s="14" t="str">
        <f aca="false">IF(OR($D855="",$B855=""),"",INT(($B855-$D855)/365.25))</f>
        <v/>
      </c>
      <c r="I855" s="25"/>
      <c r="J855" s="12"/>
      <c r="K855" s="12"/>
      <c r="L855" s="14" t="str">
        <f aca="false">IF(OR($C855="",$D855="",$B855=""),"",IF(COUNTIFS($C$5:$C$1504,$C855,$D$5:$D$1504,$D855,$B$5:$B$1504,$B855)&gt;1,"Takror",""))</f>
        <v/>
      </c>
    </row>
    <row r="856" customFormat="false" ht="15" hidden="false" customHeight="false" outlineLevel="0" collapsed="false">
      <c r="A856" s="8" t="n">
        <v>852</v>
      </c>
      <c r="B856" s="13"/>
      <c r="C856" s="12"/>
      <c r="D856" s="13"/>
      <c r="E856" s="24"/>
      <c r="F856" s="12"/>
      <c r="G856" s="25"/>
      <c r="H856" s="14" t="str">
        <f aca="false">IF(OR($D856="",$B856=""),"",INT(($B856-$D856)/365.25))</f>
        <v/>
      </c>
      <c r="I856" s="25"/>
      <c r="J856" s="12"/>
      <c r="K856" s="12"/>
      <c r="L856" s="14" t="str">
        <f aca="false">IF(OR($C856="",$D856="",$B856=""),"",IF(COUNTIFS($C$5:$C$1504,$C856,$D$5:$D$1504,$D856,$B$5:$B$1504,$B856)&gt;1,"Takror",""))</f>
        <v/>
      </c>
    </row>
    <row r="857" customFormat="false" ht="15" hidden="false" customHeight="false" outlineLevel="0" collapsed="false">
      <c r="A857" s="8" t="n">
        <v>853</v>
      </c>
      <c r="B857" s="13"/>
      <c r="C857" s="12"/>
      <c r="D857" s="13"/>
      <c r="E857" s="24"/>
      <c r="F857" s="12"/>
      <c r="G857" s="25"/>
      <c r="H857" s="14" t="str">
        <f aca="false">IF(OR($D857="",$B857=""),"",INT(($B857-$D857)/365.25))</f>
        <v/>
      </c>
      <c r="I857" s="25"/>
      <c r="J857" s="12"/>
      <c r="K857" s="12"/>
      <c r="L857" s="14" t="str">
        <f aca="false">IF(OR($C857="",$D857="",$B857=""),"",IF(COUNTIFS($C$5:$C$1504,$C857,$D$5:$D$1504,$D857,$B$5:$B$1504,$B857)&gt;1,"Takror",""))</f>
        <v/>
      </c>
    </row>
    <row r="858" customFormat="false" ht="15" hidden="false" customHeight="false" outlineLevel="0" collapsed="false">
      <c r="A858" s="8" t="n">
        <v>854</v>
      </c>
      <c r="B858" s="13"/>
      <c r="C858" s="12"/>
      <c r="D858" s="13"/>
      <c r="E858" s="24"/>
      <c r="F858" s="12"/>
      <c r="G858" s="25"/>
      <c r="H858" s="14" t="str">
        <f aca="false">IF(OR($D858="",$B858=""),"",INT(($B858-$D858)/365.25))</f>
        <v/>
      </c>
      <c r="I858" s="25"/>
      <c r="J858" s="12"/>
      <c r="K858" s="12"/>
      <c r="L858" s="14" t="str">
        <f aca="false">IF(OR($C858="",$D858="",$B858=""),"",IF(COUNTIFS($C$5:$C$1504,$C858,$D$5:$D$1504,$D858,$B$5:$B$1504,$B858)&gt;1,"Takror",""))</f>
        <v/>
      </c>
    </row>
    <row r="859" customFormat="false" ht="15" hidden="false" customHeight="false" outlineLevel="0" collapsed="false">
      <c r="A859" s="8" t="n">
        <v>855</v>
      </c>
      <c r="B859" s="13"/>
      <c r="C859" s="12"/>
      <c r="D859" s="13"/>
      <c r="E859" s="24"/>
      <c r="F859" s="12"/>
      <c r="G859" s="25"/>
      <c r="H859" s="14" t="str">
        <f aca="false">IF(OR($D859="",$B859=""),"",INT(($B859-$D859)/365.25))</f>
        <v/>
      </c>
      <c r="I859" s="25"/>
      <c r="J859" s="12"/>
      <c r="K859" s="12"/>
      <c r="L859" s="14" t="str">
        <f aca="false">IF(OR($C859="",$D859="",$B859=""),"",IF(COUNTIFS($C$5:$C$1504,$C859,$D$5:$D$1504,$D859,$B$5:$B$1504,$B859)&gt;1,"Takror",""))</f>
        <v/>
      </c>
    </row>
    <row r="860" customFormat="false" ht="15" hidden="false" customHeight="false" outlineLevel="0" collapsed="false">
      <c r="A860" s="8" t="n">
        <v>856</v>
      </c>
      <c r="B860" s="13"/>
      <c r="C860" s="12"/>
      <c r="D860" s="13"/>
      <c r="E860" s="24"/>
      <c r="F860" s="12"/>
      <c r="G860" s="25"/>
      <c r="H860" s="14" t="str">
        <f aca="false">IF(OR($D860="",$B860=""),"",INT(($B860-$D860)/365.25))</f>
        <v/>
      </c>
      <c r="I860" s="25"/>
      <c r="J860" s="12"/>
      <c r="K860" s="12"/>
      <c r="L860" s="14" t="str">
        <f aca="false">IF(OR($C860="",$D860="",$B860=""),"",IF(COUNTIFS($C$5:$C$1504,$C860,$D$5:$D$1504,$D860,$B$5:$B$1504,$B860)&gt;1,"Takror",""))</f>
        <v/>
      </c>
    </row>
    <row r="861" customFormat="false" ht="15" hidden="false" customHeight="false" outlineLevel="0" collapsed="false">
      <c r="A861" s="8" t="n">
        <v>857</v>
      </c>
      <c r="B861" s="13"/>
      <c r="C861" s="12"/>
      <c r="D861" s="13"/>
      <c r="E861" s="24"/>
      <c r="F861" s="12"/>
      <c r="G861" s="25"/>
      <c r="H861" s="14" t="str">
        <f aca="false">IF(OR($D861="",$B861=""),"",INT(($B861-$D861)/365.25))</f>
        <v/>
      </c>
      <c r="I861" s="25"/>
      <c r="J861" s="12"/>
      <c r="K861" s="12"/>
      <c r="L861" s="14" t="str">
        <f aca="false">IF(OR($C861="",$D861="",$B861=""),"",IF(COUNTIFS($C$5:$C$1504,$C861,$D$5:$D$1504,$D861,$B$5:$B$1504,$B861)&gt;1,"Takror",""))</f>
        <v/>
      </c>
    </row>
    <row r="862" customFormat="false" ht="15" hidden="false" customHeight="false" outlineLevel="0" collapsed="false">
      <c r="A862" s="8" t="n">
        <v>858</v>
      </c>
      <c r="B862" s="13"/>
      <c r="C862" s="12"/>
      <c r="D862" s="13"/>
      <c r="E862" s="24"/>
      <c r="F862" s="12"/>
      <c r="G862" s="25"/>
      <c r="H862" s="14" t="str">
        <f aca="false">IF(OR($D862="",$B862=""),"",INT(($B862-$D862)/365.25))</f>
        <v/>
      </c>
      <c r="I862" s="25"/>
      <c r="J862" s="12"/>
      <c r="K862" s="12"/>
      <c r="L862" s="14" t="str">
        <f aca="false">IF(OR($C862="",$D862="",$B862=""),"",IF(COUNTIFS($C$5:$C$1504,$C862,$D$5:$D$1504,$D862,$B$5:$B$1504,$B862)&gt;1,"Takror",""))</f>
        <v/>
      </c>
    </row>
    <row r="863" customFormat="false" ht="15" hidden="false" customHeight="false" outlineLevel="0" collapsed="false">
      <c r="A863" s="8" t="n">
        <v>859</v>
      </c>
      <c r="B863" s="13"/>
      <c r="C863" s="12"/>
      <c r="D863" s="13"/>
      <c r="E863" s="24"/>
      <c r="F863" s="12"/>
      <c r="G863" s="25"/>
      <c r="H863" s="14" t="str">
        <f aca="false">IF(OR($D863="",$B863=""),"",INT(($B863-$D863)/365.25))</f>
        <v/>
      </c>
      <c r="I863" s="25"/>
      <c r="J863" s="12"/>
      <c r="K863" s="12"/>
      <c r="L863" s="14" t="str">
        <f aca="false">IF(OR($C863="",$D863="",$B863=""),"",IF(COUNTIFS($C$5:$C$1504,$C863,$D$5:$D$1504,$D863,$B$5:$B$1504,$B863)&gt;1,"Takror",""))</f>
        <v/>
      </c>
    </row>
    <row r="864" customFormat="false" ht="15" hidden="false" customHeight="false" outlineLevel="0" collapsed="false">
      <c r="A864" s="8" t="n">
        <v>860</v>
      </c>
      <c r="B864" s="13"/>
      <c r="C864" s="12"/>
      <c r="D864" s="13"/>
      <c r="E864" s="24"/>
      <c r="F864" s="12"/>
      <c r="G864" s="25"/>
      <c r="H864" s="14" t="str">
        <f aca="false">IF(OR($D864="",$B864=""),"",INT(($B864-$D864)/365.25))</f>
        <v/>
      </c>
      <c r="I864" s="25"/>
      <c r="J864" s="12"/>
      <c r="K864" s="12"/>
      <c r="L864" s="14" t="str">
        <f aca="false">IF(OR($C864="",$D864="",$B864=""),"",IF(COUNTIFS($C$5:$C$1504,$C864,$D$5:$D$1504,$D864,$B$5:$B$1504,$B864)&gt;1,"Takror",""))</f>
        <v/>
      </c>
    </row>
    <row r="865" customFormat="false" ht="15" hidden="false" customHeight="false" outlineLevel="0" collapsed="false">
      <c r="A865" s="8" t="n">
        <v>861</v>
      </c>
      <c r="B865" s="13"/>
      <c r="C865" s="12"/>
      <c r="D865" s="13"/>
      <c r="E865" s="24"/>
      <c r="F865" s="12"/>
      <c r="G865" s="25"/>
      <c r="H865" s="14" t="str">
        <f aca="false">IF(OR($D865="",$B865=""),"",INT(($B865-$D865)/365.25))</f>
        <v/>
      </c>
      <c r="I865" s="25"/>
      <c r="J865" s="12"/>
      <c r="K865" s="12"/>
      <c r="L865" s="14" t="str">
        <f aca="false">IF(OR($C865="",$D865="",$B865=""),"",IF(COUNTIFS($C$5:$C$1504,$C865,$D$5:$D$1504,$D865,$B$5:$B$1504,$B865)&gt;1,"Takror",""))</f>
        <v/>
      </c>
    </row>
    <row r="866" customFormat="false" ht="15" hidden="false" customHeight="false" outlineLevel="0" collapsed="false">
      <c r="A866" s="8" t="n">
        <v>862</v>
      </c>
      <c r="B866" s="13"/>
      <c r="C866" s="12"/>
      <c r="D866" s="13"/>
      <c r="E866" s="24"/>
      <c r="F866" s="12"/>
      <c r="G866" s="25"/>
      <c r="H866" s="14" t="str">
        <f aca="false">IF(OR($D866="",$B866=""),"",INT(($B866-$D866)/365.25))</f>
        <v/>
      </c>
      <c r="I866" s="25"/>
      <c r="J866" s="12"/>
      <c r="K866" s="12"/>
      <c r="L866" s="14" t="str">
        <f aca="false">IF(OR($C866="",$D866="",$B866=""),"",IF(COUNTIFS($C$5:$C$1504,$C866,$D$5:$D$1504,$D866,$B$5:$B$1504,$B866)&gt;1,"Takror",""))</f>
        <v/>
      </c>
    </row>
    <row r="867" customFormat="false" ht="15" hidden="false" customHeight="false" outlineLevel="0" collapsed="false">
      <c r="A867" s="8" t="n">
        <v>863</v>
      </c>
      <c r="B867" s="13"/>
      <c r="C867" s="12"/>
      <c r="D867" s="13"/>
      <c r="E867" s="24"/>
      <c r="F867" s="12"/>
      <c r="G867" s="25"/>
      <c r="H867" s="14" t="str">
        <f aca="false">IF(OR($D867="",$B867=""),"",INT(($B867-$D867)/365.25))</f>
        <v/>
      </c>
      <c r="I867" s="25"/>
      <c r="J867" s="12"/>
      <c r="K867" s="12"/>
      <c r="L867" s="14" t="str">
        <f aca="false">IF(OR($C867="",$D867="",$B867=""),"",IF(COUNTIFS($C$5:$C$1504,$C867,$D$5:$D$1504,$D867,$B$5:$B$1504,$B867)&gt;1,"Takror",""))</f>
        <v/>
      </c>
    </row>
    <row r="868" customFormat="false" ht="15" hidden="false" customHeight="false" outlineLevel="0" collapsed="false">
      <c r="A868" s="8" t="n">
        <v>864</v>
      </c>
      <c r="B868" s="13"/>
      <c r="C868" s="12"/>
      <c r="D868" s="13"/>
      <c r="E868" s="24"/>
      <c r="F868" s="12"/>
      <c r="G868" s="25"/>
      <c r="H868" s="14" t="str">
        <f aca="false">IF(OR($D868="",$B868=""),"",INT(($B868-$D868)/365.25))</f>
        <v/>
      </c>
      <c r="I868" s="25"/>
      <c r="J868" s="12"/>
      <c r="K868" s="12"/>
      <c r="L868" s="14" t="str">
        <f aca="false">IF(OR($C868="",$D868="",$B868=""),"",IF(COUNTIFS($C$5:$C$1504,$C868,$D$5:$D$1504,$D868,$B$5:$B$1504,$B868)&gt;1,"Takror",""))</f>
        <v/>
      </c>
    </row>
    <row r="869" customFormat="false" ht="15" hidden="false" customHeight="false" outlineLevel="0" collapsed="false">
      <c r="A869" s="8" t="n">
        <v>865</v>
      </c>
      <c r="B869" s="13"/>
      <c r="C869" s="12"/>
      <c r="D869" s="13"/>
      <c r="E869" s="24"/>
      <c r="F869" s="12"/>
      <c r="G869" s="25"/>
      <c r="H869" s="14" t="str">
        <f aca="false">IF(OR($D869="",$B869=""),"",INT(($B869-$D869)/365.25))</f>
        <v/>
      </c>
      <c r="I869" s="25"/>
      <c r="J869" s="12"/>
      <c r="K869" s="12"/>
      <c r="L869" s="14" t="str">
        <f aca="false">IF(OR($C869="",$D869="",$B869=""),"",IF(COUNTIFS($C$5:$C$1504,$C869,$D$5:$D$1504,$D869,$B$5:$B$1504,$B869)&gt;1,"Takror",""))</f>
        <v/>
      </c>
    </row>
    <row r="870" customFormat="false" ht="15" hidden="false" customHeight="false" outlineLevel="0" collapsed="false">
      <c r="A870" s="8" t="n">
        <v>866</v>
      </c>
      <c r="B870" s="13"/>
      <c r="C870" s="12"/>
      <c r="D870" s="13"/>
      <c r="E870" s="24"/>
      <c r="F870" s="12"/>
      <c r="G870" s="25"/>
      <c r="H870" s="14" t="str">
        <f aca="false">IF(OR($D870="",$B870=""),"",INT(($B870-$D870)/365.25))</f>
        <v/>
      </c>
      <c r="I870" s="25"/>
      <c r="J870" s="12"/>
      <c r="K870" s="12"/>
      <c r="L870" s="14" t="str">
        <f aca="false">IF(OR($C870="",$D870="",$B870=""),"",IF(COUNTIFS($C$5:$C$1504,$C870,$D$5:$D$1504,$D870,$B$5:$B$1504,$B870)&gt;1,"Takror",""))</f>
        <v/>
      </c>
    </row>
    <row r="871" customFormat="false" ht="15" hidden="false" customHeight="false" outlineLevel="0" collapsed="false">
      <c r="A871" s="8" t="n">
        <v>867</v>
      </c>
      <c r="B871" s="13"/>
      <c r="C871" s="12"/>
      <c r="D871" s="13"/>
      <c r="E871" s="24"/>
      <c r="F871" s="12"/>
      <c r="G871" s="25"/>
      <c r="H871" s="14" t="str">
        <f aca="false">IF(OR($D871="",$B871=""),"",INT(($B871-$D871)/365.25))</f>
        <v/>
      </c>
      <c r="I871" s="25"/>
      <c r="J871" s="12"/>
      <c r="K871" s="12"/>
      <c r="L871" s="14" t="str">
        <f aca="false">IF(OR($C871="",$D871="",$B871=""),"",IF(COUNTIFS($C$5:$C$1504,$C871,$D$5:$D$1504,$D871,$B$5:$B$1504,$B871)&gt;1,"Takror",""))</f>
        <v/>
      </c>
    </row>
    <row r="872" customFormat="false" ht="15" hidden="false" customHeight="false" outlineLevel="0" collapsed="false">
      <c r="A872" s="8" t="n">
        <v>868</v>
      </c>
      <c r="B872" s="13"/>
      <c r="C872" s="12"/>
      <c r="D872" s="13"/>
      <c r="E872" s="24"/>
      <c r="F872" s="12"/>
      <c r="G872" s="25"/>
      <c r="H872" s="14" t="str">
        <f aca="false">IF(OR($D872="",$B872=""),"",INT(($B872-$D872)/365.25))</f>
        <v/>
      </c>
      <c r="I872" s="25"/>
      <c r="J872" s="12"/>
      <c r="K872" s="12"/>
      <c r="L872" s="14" t="str">
        <f aca="false">IF(OR($C872="",$D872="",$B872=""),"",IF(COUNTIFS($C$5:$C$1504,$C872,$D$5:$D$1504,$D872,$B$5:$B$1504,$B872)&gt;1,"Takror",""))</f>
        <v/>
      </c>
    </row>
    <row r="873" customFormat="false" ht="15" hidden="false" customHeight="false" outlineLevel="0" collapsed="false">
      <c r="A873" s="8" t="n">
        <v>869</v>
      </c>
      <c r="B873" s="13"/>
      <c r="C873" s="12"/>
      <c r="D873" s="13"/>
      <c r="E873" s="24"/>
      <c r="F873" s="12"/>
      <c r="G873" s="25"/>
      <c r="H873" s="14" t="str">
        <f aca="false">IF(OR($D873="",$B873=""),"",INT(($B873-$D873)/365.25))</f>
        <v/>
      </c>
      <c r="I873" s="25"/>
      <c r="J873" s="12"/>
      <c r="K873" s="12"/>
      <c r="L873" s="14" t="str">
        <f aca="false">IF(OR($C873="",$D873="",$B873=""),"",IF(COUNTIFS($C$5:$C$1504,$C873,$D$5:$D$1504,$D873,$B$5:$B$1504,$B873)&gt;1,"Takror",""))</f>
        <v/>
      </c>
    </row>
    <row r="874" customFormat="false" ht="15" hidden="false" customHeight="false" outlineLevel="0" collapsed="false">
      <c r="A874" s="8" t="n">
        <v>870</v>
      </c>
      <c r="B874" s="13"/>
      <c r="C874" s="12"/>
      <c r="D874" s="13"/>
      <c r="E874" s="24"/>
      <c r="F874" s="12"/>
      <c r="G874" s="25"/>
      <c r="H874" s="14" t="str">
        <f aca="false">IF(OR($D874="",$B874=""),"",INT(($B874-$D874)/365.25))</f>
        <v/>
      </c>
      <c r="I874" s="25"/>
      <c r="J874" s="12"/>
      <c r="K874" s="12"/>
      <c r="L874" s="14" t="str">
        <f aca="false">IF(OR($C874="",$D874="",$B874=""),"",IF(COUNTIFS($C$5:$C$1504,$C874,$D$5:$D$1504,$D874,$B$5:$B$1504,$B874)&gt;1,"Takror",""))</f>
        <v/>
      </c>
    </row>
    <row r="875" customFormat="false" ht="15" hidden="false" customHeight="false" outlineLevel="0" collapsed="false">
      <c r="A875" s="8" t="n">
        <v>871</v>
      </c>
      <c r="B875" s="13"/>
      <c r="C875" s="12"/>
      <c r="D875" s="13"/>
      <c r="E875" s="24"/>
      <c r="F875" s="12"/>
      <c r="G875" s="25"/>
      <c r="H875" s="14" t="str">
        <f aca="false">IF(OR($D875="",$B875=""),"",INT(($B875-$D875)/365.25))</f>
        <v/>
      </c>
      <c r="I875" s="25"/>
      <c r="J875" s="12"/>
      <c r="K875" s="12"/>
      <c r="L875" s="14" t="str">
        <f aca="false">IF(OR($C875="",$D875="",$B875=""),"",IF(COUNTIFS($C$5:$C$1504,$C875,$D$5:$D$1504,$D875,$B$5:$B$1504,$B875)&gt;1,"Takror",""))</f>
        <v/>
      </c>
    </row>
    <row r="876" customFormat="false" ht="15" hidden="false" customHeight="false" outlineLevel="0" collapsed="false">
      <c r="A876" s="8" t="n">
        <v>872</v>
      </c>
      <c r="B876" s="13"/>
      <c r="C876" s="12"/>
      <c r="D876" s="13"/>
      <c r="E876" s="24"/>
      <c r="F876" s="12"/>
      <c r="G876" s="25"/>
      <c r="H876" s="14" t="str">
        <f aca="false">IF(OR($D876="",$B876=""),"",INT(($B876-$D876)/365.25))</f>
        <v/>
      </c>
      <c r="I876" s="25"/>
      <c r="J876" s="12"/>
      <c r="K876" s="12"/>
      <c r="L876" s="14" t="str">
        <f aca="false">IF(OR($C876="",$D876="",$B876=""),"",IF(COUNTIFS($C$5:$C$1504,$C876,$D$5:$D$1504,$D876,$B$5:$B$1504,$B876)&gt;1,"Takror",""))</f>
        <v/>
      </c>
    </row>
    <row r="877" customFormat="false" ht="15" hidden="false" customHeight="false" outlineLevel="0" collapsed="false">
      <c r="A877" s="8" t="n">
        <v>873</v>
      </c>
      <c r="B877" s="13"/>
      <c r="C877" s="12"/>
      <c r="D877" s="13"/>
      <c r="E877" s="24"/>
      <c r="F877" s="12"/>
      <c r="G877" s="25"/>
      <c r="H877" s="14" t="str">
        <f aca="false">IF(OR($D877="",$B877=""),"",INT(($B877-$D877)/365.25))</f>
        <v/>
      </c>
      <c r="I877" s="25"/>
      <c r="J877" s="12"/>
      <c r="K877" s="12"/>
      <c r="L877" s="14" t="str">
        <f aca="false">IF(OR($C877="",$D877="",$B877=""),"",IF(COUNTIFS($C$5:$C$1504,$C877,$D$5:$D$1504,$D877,$B$5:$B$1504,$B877)&gt;1,"Takror",""))</f>
        <v/>
      </c>
    </row>
    <row r="878" customFormat="false" ht="15" hidden="false" customHeight="false" outlineLevel="0" collapsed="false">
      <c r="A878" s="8" t="n">
        <v>874</v>
      </c>
      <c r="B878" s="13"/>
      <c r="C878" s="12"/>
      <c r="D878" s="13"/>
      <c r="E878" s="24"/>
      <c r="F878" s="12"/>
      <c r="G878" s="25"/>
      <c r="H878" s="14" t="str">
        <f aca="false">IF(OR($D878="",$B878=""),"",INT(($B878-$D878)/365.25))</f>
        <v/>
      </c>
      <c r="I878" s="25"/>
      <c r="J878" s="12"/>
      <c r="K878" s="12"/>
      <c r="L878" s="14" t="str">
        <f aca="false">IF(OR($C878="",$D878="",$B878=""),"",IF(COUNTIFS($C$5:$C$1504,$C878,$D$5:$D$1504,$D878,$B$5:$B$1504,$B878)&gt;1,"Takror",""))</f>
        <v/>
      </c>
    </row>
    <row r="879" customFormat="false" ht="15" hidden="false" customHeight="false" outlineLevel="0" collapsed="false">
      <c r="A879" s="8" t="n">
        <v>875</v>
      </c>
      <c r="B879" s="13"/>
      <c r="C879" s="12"/>
      <c r="D879" s="13"/>
      <c r="E879" s="24"/>
      <c r="F879" s="12"/>
      <c r="G879" s="25"/>
      <c r="H879" s="14" t="str">
        <f aca="false">IF(OR($D879="",$B879=""),"",INT(($B879-$D879)/365.25))</f>
        <v/>
      </c>
      <c r="I879" s="25"/>
      <c r="J879" s="12"/>
      <c r="K879" s="12"/>
      <c r="L879" s="14" t="str">
        <f aca="false">IF(OR($C879="",$D879="",$B879=""),"",IF(COUNTIFS($C$5:$C$1504,$C879,$D$5:$D$1504,$D879,$B$5:$B$1504,$B879)&gt;1,"Takror",""))</f>
        <v/>
      </c>
    </row>
    <row r="880" customFormat="false" ht="15" hidden="false" customHeight="false" outlineLevel="0" collapsed="false">
      <c r="A880" s="8" t="n">
        <v>876</v>
      </c>
      <c r="B880" s="13"/>
      <c r="C880" s="12"/>
      <c r="D880" s="13"/>
      <c r="E880" s="24"/>
      <c r="F880" s="12"/>
      <c r="G880" s="25"/>
      <c r="H880" s="14" t="str">
        <f aca="false">IF(OR($D880="",$B880=""),"",INT(($B880-$D880)/365.25))</f>
        <v/>
      </c>
      <c r="I880" s="25"/>
      <c r="J880" s="12"/>
      <c r="K880" s="12"/>
      <c r="L880" s="14" t="str">
        <f aca="false">IF(OR($C880="",$D880="",$B880=""),"",IF(COUNTIFS($C$5:$C$1504,$C880,$D$5:$D$1504,$D880,$B$5:$B$1504,$B880)&gt;1,"Takror",""))</f>
        <v/>
      </c>
    </row>
    <row r="881" customFormat="false" ht="15" hidden="false" customHeight="false" outlineLevel="0" collapsed="false">
      <c r="A881" s="8" t="n">
        <v>877</v>
      </c>
      <c r="B881" s="13"/>
      <c r="C881" s="12"/>
      <c r="D881" s="13"/>
      <c r="E881" s="24"/>
      <c r="F881" s="12"/>
      <c r="G881" s="25"/>
      <c r="H881" s="14" t="str">
        <f aca="false">IF(OR($D881="",$B881=""),"",INT(($B881-$D881)/365.25))</f>
        <v/>
      </c>
      <c r="I881" s="25"/>
      <c r="J881" s="12"/>
      <c r="K881" s="12"/>
      <c r="L881" s="14" t="str">
        <f aca="false">IF(OR($C881="",$D881="",$B881=""),"",IF(COUNTIFS($C$5:$C$1504,$C881,$D$5:$D$1504,$D881,$B$5:$B$1504,$B881)&gt;1,"Takror",""))</f>
        <v/>
      </c>
    </row>
    <row r="882" customFormat="false" ht="15" hidden="false" customHeight="false" outlineLevel="0" collapsed="false">
      <c r="A882" s="8" t="n">
        <v>878</v>
      </c>
      <c r="B882" s="13"/>
      <c r="C882" s="12"/>
      <c r="D882" s="13"/>
      <c r="E882" s="24"/>
      <c r="F882" s="12"/>
      <c r="G882" s="25"/>
      <c r="H882" s="14" t="str">
        <f aca="false">IF(OR($D882="",$B882=""),"",INT(($B882-$D882)/365.25))</f>
        <v/>
      </c>
      <c r="I882" s="25"/>
      <c r="J882" s="12"/>
      <c r="K882" s="12"/>
      <c r="L882" s="14" t="str">
        <f aca="false">IF(OR($C882="",$D882="",$B882=""),"",IF(COUNTIFS($C$5:$C$1504,$C882,$D$5:$D$1504,$D882,$B$5:$B$1504,$B882)&gt;1,"Takror",""))</f>
        <v/>
      </c>
    </row>
    <row r="883" customFormat="false" ht="15" hidden="false" customHeight="false" outlineLevel="0" collapsed="false">
      <c r="A883" s="8" t="n">
        <v>879</v>
      </c>
      <c r="B883" s="13"/>
      <c r="C883" s="12"/>
      <c r="D883" s="13"/>
      <c r="E883" s="24"/>
      <c r="F883" s="12"/>
      <c r="G883" s="25"/>
      <c r="H883" s="14" t="str">
        <f aca="false">IF(OR($D883="",$B883=""),"",INT(($B883-$D883)/365.25))</f>
        <v/>
      </c>
      <c r="I883" s="25"/>
      <c r="J883" s="12"/>
      <c r="K883" s="12"/>
      <c r="L883" s="14" t="str">
        <f aca="false">IF(OR($C883="",$D883="",$B883=""),"",IF(COUNTIFS($C$5:$C$1504,$C883,$D$5:$D$1504,$D883,$B$5:$B$1504,$B883)&gt;1,"Takror",""))</f>
        <v/>
      </c>
    </row>
    <row r="884" customFormat="false" ht="15" hidden="false" customHeight="false" outlineLevel="0" collapsed="false">
      <c r="A884" s="8" t="n">
        <v>880</v>
      </c>
      <c r="B884" s="13"/>
      <c r="C884" s="12"/>
      <c r="D884" s="13"/>
      <c r="E884" s="24"/>
      <c r="F884" s="12"/>
      <c r="G884" s="25"/>
      <c r="H884" s="14" t="str">
        <f aca="false">IF(OR($D884="",$B884=""),"",INT(($B884-$D884)/365.25))</f>
        <v/>
      </c>
      <c r="I884" s="25"/>
      <c r="J884" s="12"/>
      <c r="K884" s="12"/>
      <c r="L884" s="14" t="str">
        <f aca="false">IF(OR($C884="",$D884="",$B884=""),"",IF(COUNTIFS($C$5:$C$1504,$C884,$D$5:$D$1504,$D884,$B$5:$B$1504,$B884)&gt;1,"Takror",""))</f>
        <v/>
      </c>
    </row>
    <row r="885" customFormat="false" ht="15" hidden="false" customHeight="false" outlineLevel="0" collapsed="false">
      <c r="A885" s="8" t="n">
        <v>881</v>
      </c>
      <c r="B885" s="13"/>
      <c r="C885" s="12"/>
      <c r="D885" s="13"/>
      <c r="E885" s="24"/>
      <c r="F885" s="12"/>
      <c r="G885" s="25"/>
      <c r="H885" s="14" t="str">
        <f aca="false">IF(OR($D885="",$B885=""),"",INT(($B885-$D885)/365.25))</f>
        <v/>
      </c>
      <c r="I885" s="25"/>
      <c r="J885" s="12"/>
      <c r="K885" s="12"/>
      <c r="L885" s="14" t="str">
        <f aca="false">IF(OR($C885="",$D885="",$B885=""),"",IF(COUNTIFS($C$5:$C$1504,$C885,$D$5:$D$1504,$D885,$B$5:$B$1504,$B885)&gt;1,"Takror",""))</f>
        <v/>
      </c>
    </row>
    <row r="886" customFormat="false" ht="15" hidden="false" customHeight="false" outlineLevel="0" collapsed="false">
      <c r="A886" s="8" t="n">
        <v>882</v>
      </c>
      <c r="B886" s="13"/>
      <c r="C886" s="12"/>
      <c r="D886" s="13"/>
      <c r="E886" s="24"/>
      <c r="F886" s="12"/>
      <c r="G886" s="25"/>
      <c r="H886" s="14" t="str">
        <f aca="false">IF(OR($D886="",$B886=""),"",INT(($B886-$D886)/365.25))</f>
        <v/>
      </c>
      <c r="I886" s="25"/>
      <c r="J886" s="12"/>
      <c r="K886" s="12"/>
      <c r="L886" s="14" t="str">
        <f aca="false">IF(OR($C886="",$D886="",$B886=""),"",IF(COUNTIFS($C$5:$C$1504,$C886,$D$5:$D$1504,$D886,$B$5:$B$1504,$B886)&gt;1,"Takror",""))</f>
        <v/>
      </c>
    </row>
    <row r="887" customFormat="false" ht="15" hidden="false" customHeight="false" outlineLevel="0" collapsed="false">
      <c r="A887" s="8" t="n">
        <v>883</v>
      </c>
      <c r="B887" s="13"/>
      <c r="C887" s="12"/>
      <c r="D887" s="13"/>
      <c r="E887" s="24"/>
      <c r="F887" s="12"/>
      <c r="G887" s="25"/>
      <c r="H887" s="14" t="str">
        <f aca="false">IF(OR($D887="",$B887=""),"",INT(($B887-$D887)/365.25))</f>
        <v/>
      </c>
      <c r="I887" s="25"/>
      <c r="J887" s="12"/>
      <c r="K887" s="12"/>
      <c r="L887" s="14" t="str">
        <f aca="false">IF(OR($C887="",$D887="",$B887=""),"",IF(COUNTIFS($C$5:$C$1504,$C887,$D$5:$D$1504,$D887,$B$5:$B$1504,$B887)&gt;1,"Takror",""))</f>
        <v/>
      </c>
    </row>
    <row r="888" customFormat="false" ht="15" hidden="false" customHeight="false" outlineLevel="0" collapsed="false">
      <c r="A888" s="8" t="n">
        <v>884</v>
      </c>
      <c r="B888" s="13"/>
      <c r="C888" s="12"/>
      <c r="D888" s="13"/>
      <c r="E888" s="24"/>
      <c r="F888" s="12"/>
      <c r="G888" s="25"/>
      <c r="H888" s="14" t="str">
        <f aca="false">IF(OR($D888="",$B888=""),"",INT(($B888-$D888)/365.25))</f>
        <v/>
      </c>
      <c r="I888" s="25"/>
      <c r="J888" s="12"/>
      <c r="K888" s="12"/>
      <c r="L888" s="14" t="str">
        <f aca="false">IF(OR($C888="",$D888="",$B888=""),"",IF(COUNTIFS($C$5:$C$1504,$C888,$D$5:$D$1504,$D888,$B$5:$B$1504,$B888)&gt;1,"Takror",""))</f>
        <v/>
      </c>
    </row>
    <row r="889" customFormat="false" ht="15" hidden="false" customHeight="false" outlineLevel="0" collapsed="false">
      <c r="A889" s="8" t="n">
        <v>885</v>
      </c>
      <c r="B889" s="13"/>
      <c r="C889" s="12"/>
      <c r="D889" s="13"/>
      <c r="E889" s="24"/>
      <c r="F889" s="12"/>
      <c r="G889" s="25"/>
      <c r="H889" s="14" t="str">
        <f aca="false">IF(OR($D889="",$B889=""),"",INT(($B889-$D889)/365.25))</f>
        <v/>
      </c>
      <c r="I889" s="25"/>
      <c r="J889" s="12"/>
      <c r="K889" s="12"/>
      <c r="L889" s="14" t="str">
        <f aca="false">IF(OR($C889="",$D889="",$B889=""),"",IF(COUNTIFS($C$5:$C$1504,$C889,$D$5:$D$1504,$D889,$B$5:$B$1504,$B889)&gt;1,"Takror",""))</f>
        <v/>
      </c>
    </row>
    <row r="890" customFormat="false" ht="15" hidden="false" customHeight="false" outlineLevel="0" collapsed="false">
      <c r="A890" s="8" t="n">
        <v>886</v>
      </c>
      <c r="B890" s="13"/>
      <c r="C890" s="12"/>
      <c r="D890" s="13"/>
      <c r="E890" s="24"/>
      <c r="F890" s="12"/>
      <c r="G890" s="25"/>
      <c r="H890" s="14" t="str">
        <f aca="false">IF(OR($D890="",$B890=""),"",INT(($B890-$D890)/365.25))</f>
        <v/>
      </c>
      <c r="I890" s="25"/>
      <c r="J890" s="12"/>
      <c r="K890" s="12"/>
      <c r="L890" s="14" t="str">
        <f aca="false">IF(OR($C890="",$D890="",$B890=""),"",IF(COUNTIFS($C$5:$C$1504,$C890,$D$5:$D$1504,$D890,$B$5:$B$1504,$B890)&gt;1,"Takror",""))</f>
        <v/>
      </c>
    </row>
    <row r="891" customFormat="false" ht="15" hidden="false" customHeight="false" outlineLevel="0" collapsed="false">
      <c r="A891" s="8" t="n">
        <v>887</v>
      </c>
      <c r="B891" s="13"/>
      <c r="C891" s="12"/>
      <c r="D891" s="13"/>
      <c r="E891" s="24"/>
      <c r="F891" s="12"/>
      <c r="G891" s="25"/>
      <c r="H891" s="14" t="str">
        <f aca="false">IF(OR($D891="",$B891=""),"",INT(($B891-$D891)/365.25))</f>
        <v/>
      </c>
      <c r="I891" s="25"/>
      <c r="J891" s="12"/>
      <c r="K891" s="12"/>
      <c r="L891" s="14" t="str">
        <f aca="false">IF(OR($C891="",$D891="",$B891=""),"",IF(COUNTIFS($C$5:$C$1504,$C891,$D$5:$D$1504,$D891,$B$5:$B$1504,$B891)&gt;1,"Takror",""))</f>
        <v/>
      </c>
    </row>
    <row r="892" customFormat="false" ht="15" hidden="false" customHeight="false" outlineLevel="0" collapsed="false">
      <c r="A892" s="8" t="n">
        <v>888</v>
      </c>
      <c r="B892" s="13"/>
      <c r="C892" s="12"/>
      <c r="D892" s="13"/>
      <c r="E892" s="24"/>
      <c r="F892" s="12"/>
      <c r="G892" s="25"/>
      <c r="H892" s="14" t="str">
        <f aca="false">IF(OR($D892="",$B892=""),"",INT(($B892-$D892)/365.25))</f>
        <v/>
      </c>
      <c r="I892" s="25"/>
      <c r="J892" s="12"/>
      <c r="K892" s="12"/>
      <c r="L892" s="14" t="str">
        <f aca="false">IF(OR($C892="",$D892="",$B892=""),"",IF(COUNTIFS($C$5:$C$1504,$C892,$D$5:$D$1504,$D892,$B$5:$B$1504,$B892)&gt;1,"Takror",""))</f>
        <v/>
      </c>
    </row>
    <row r="893" customFormat="false" ht="15" hidden="false" customHeight="false" outlineLevel="0" collapsed="false">
      <c r="A893" s="8" t="n">
        <v>889</v>
      </c>
      <c r="B893" s="13"/>
      <c r="C893" s="12"/>
      <c r="D893" s="13"/>
      <c r="E893" s="24"/>
      <c r="F893" s="12"/>
      <c r="G893" s="25"/>
      <c r="H893" s="14" t="str">
        <f aca="false">IF(OR($D893="",$B893=""),"",INT(($B893-$D893)/365.25))</f>
        <v/>
      </c>
      <c r="I893" s="25"/>
      <c r="J893" s="12"/>
      <c r="K893" s="12"/>
      <c r="L893" s="14" t="str">
        <f aca="false">IF(OR($C893="",$D893="",$B893=""),"",IF(COUNTIFS($C$5:$C$1504,$C893,$D$5:$D$1504,$D893,$B$5:$B$1504,$B893)&gt;1,"Takror",""))</f>
        <v/>
      </c>
    </row>
    <row r="894" customFormat="false" ht="15" hidden="false" customHeight="false" outlineLevel="0" collapsed="false">
      <c r="A894" s="8" t="n">
        <v>890</v>
      </c>
      <c r="B894" s="13"/>
      <c r="C894" s="12"/>
      <c r="D894" s="13"/>
      <c r="E894" s="24"/>
      <c r="F894" s="12"/>
      <c r="G894" s="25"/>
      <c r="H894" s="14" t="str">
        <f aca="false">IF(OR($D894="",$B894=""),"",INT(($B894-$D894)/365.25))</f>
        <v/>
      </c>
      <c r="I894" s="25"/>
      <c r="J894" s="12"/>
      <c r="K894" s="12"/>
      <c r="L894" s="14" t="str">
        <f aca="false">IF(OR($C894="",$D894="",$B894=""),"",IF(COUNTIFS($C$5:$C$1504,$C894,$D$5:$D$1504,$D894,$B$5:$B$1504,$B894)&gt;1,"Takror",""))</f>
        <v/>
      </c>
    </row>
    <row r="895" customFormat="false" ht="15" hidden="false" customHeight="false" outlineLevel="0" collapsed="false">
      <c r="A895" s="8" t="n">
        <v>891</v>
      </c>
      <c r="B895" s="13"/>
      <c r="C895" s="12"/>
      <c r="D895" s="13"/>
      <c r="E895" s="24"/>
      <c r="F895" s="12"/>
      <c r="G895" s="25"/>
      <c r="H895" s="14" t="str">
        <f aca="false">IF(OR($D895="",$B895=""),"",INT(($B895-$D895)/365.25))</f>
        <v/>
      </c>
      <c r="I895" s="25"/>
      <c r="J895" s="12"/>
      <c r="K895" s="12"/>
      <c r="L895" s="14" t="str">
        <f aca="false">IF(OR($C895="",$D895="",$B895=""),"",IF(COUNTIFS($C$5:$C$1504,$C895,$D$5:$D$1504,$D895,$B$5:$B$1504,$B895)&gt;1,"Takror",""))</f>
        <v/>
      </c>
    </row>
    <row r="896" customFormat="false" ht="15" hidden="false" customHeight="false" outlineLevel="0" collapsed="false">
      <c r="A896" s="8" t="n">
        <v>892</v>
      </c>
      <c r="B896" s="13"/>
      <c r="C896" s="12"/>
      <c r="D896" s="13"/>
      <c r="E896" s="24"/>
      <c r="F896" s="12"/>
      <c r="G896" s="25"/>
      <c r="H896" s="14" t="str">
        <f aca="false">IF(OR($D896="",$B896=""),"",INT(($B896-$D896)/365.25))</f>
        <v/>
      </c>
      <c r="I896" s="25"/>
      <c r="J896" s="12"/>
      <c r="K896" s="12"/>
      <c r="L896" s="14" t="str">
        <f aca="false">IF(OR($C896="",$D896="",$B896=""),"",IF(COUNTIFS($C$5:$C$1504,$C896,$D$5:$D$1504,$D896,$B$5:$B$1504,$B896)&gt;1,"Takror",""))</f>
        <v/>
      </c>
    </row>
    <row r="897" customFormat="false" ht="15" hidden="false" customHeight="false" outlineLevel="0" collapsed="false">
      <c r="A897" s="8" t="n">
        <v>893</v>
      </c>
      <c r="B897" s="13"/>
      <c r="C897" s="12"/>
      <c r="D897" s="13"/>
      <c r="E897" s="24"/>
      <c r="F897" s="12"/>
      <c r="G897" s="25"/>
      <c r="H897" s="14" t="str">
        <f aca="false">IF(OR($D897="",$B897=""),"",INT(($B897-$D897)/365.25))</f>
        <v/>
      </c>
      <c r="I897" s="25"/>
      <c r="J897" s="12"/>
      <c r="K897" s="12"/>
      <c r="L897" s="14" t="str">
        <f aca="false">IF(OR($C897="",$D897="",$B897=""),"",IF(COUNTIFS($C$5:$C$1504,$C897,$D$5:$D$1504,$D897,$B$5:$B$1504,$B897)&gt;1,"Takror",""))</f>
        <v/>
      </c>
    </row>
    <row r="898" customFormat="false" ht="15" hidden="false" customHeight="false" outlineLevel="0" collapsed="false">
      <c r="A898" s="8" t="n">
        <v>894</v>
      </c>
      <c r="B898" s="13"/>
      <c r="C898" s="12"/>
      <c r="D898" s="13"/>
      <c r="E898" s="24"/>
      <c r="F898" s="12"/>
      <c r="G898" s="25"/>
      <c r="H898" s="14" t="str">
        <f aca="false">IF(OR($D898="",$B898=""),"",INT(($B898-$D898)/365.25))</f>
        <v/>
      </c>
      <c r="I898" s="25"/>
      <c r="J898" s="12"/>
      <c r="K898" s="12"/>
      <c r="L898" s="14" t="str">
        <f aca="false">IF(OR($C898="",$D898="",$B898=""),"",IF(COUNTIFS($C$5:$C$1504,$C898,$D$5:$D$1504,$D898,$B$5:$B$1504,$B898)&gt;1,"Takror",""))</f>
        <v/>
      </c>
    </row>
    <row r="899" customFormat="false" ht="15" hidden="false" customHeight="false" outlineLevel="0" collapsed="false">
      <c r="A899" s="8" t="n">
        <v>895</v>
      </c>
      <c r="B899" s="13"/>
      <c r="C899" s="12"/>
      <c r="D899" s="13"/>
      <c r="E899" s="24"/>
      <c r="F899" s="12"/>
      <c r="G899" s="25"/>
      <c r="H899" s="14" t="str">
        <f aca="false">IF(OR($D899="",$B899=""),"",INT(($B899-$D899)/365.25))</f>
        <v/>
      </c>
      <c r="I899" s="25"/>
      <c r="J899" s="12"/>
      <c r="K899" s="12"/>
      <c r="L899" s="14" t="str">
        <f aca="false">IF(OR($C899="",$D899="",$B899=""),"",IF(COUNTIFS($C$5:$C$1504,$C899,$D$5:$D$1504,$D899,$B$5:$B$1504,$B899)&gt;1,"Takror",""))</f>
        <v/>
      </c>
    </row>
    <row r="900" customFormat="false" ht="15" hidden="false" customHeight="false" outlineLevel="0" collapsed="false">
      <c r="A900" s="8" t="n">
        <v>896</v>
      </c>
      <c r="B900" s="13"/>
      <c r="C900" s="12"/>
      <c r="D900" s="13"/>
      <c r="E900" s="24"/>
      <c r="F900" s="12"/>
      <c r="G900" s="25"/>
      <c r="H900" s="14" t="str">
        <f aca="false">IF(OR($D900="",$B900=""),"",INT(($B900-$D900)/365.25))</f>
        <v/>
      </c>
      <c r="I900" s="25"/>
      <c r="J900" s="12"/>
      <c r="K900" s="12"/>
      <c r="L900" s="14" t="str">
        <f aca="false">IF(OR($C900="",$D900="",$B900=""),"",IF(COUNTIFS($C$5:$C$1504,$C900,$D$5:$D$1504,$D900,$B$5:$B$1504,$B900)&gt;1,"Takror",""))</f>
        <v/>
      </c>
    </row>
    <row r="901" customFormat="false" ht="15" hidden="false" customHeight="false" outlineLevel="0" collapsed="false">
      <c r="A901" s="8" t="n">
        <v>897</v>
      </c>
      <c r="B901" s="13"/>
      <c r="C901" s="12"/>
      <c r="D901" s="13"/>
      <c r="E901" s="24"/>
      <c r="F901" s="12"/>
      <c r="G901" s="25"/>
      <c r="H901" s="14" t="str">
        <f aca="false">IF(OR($D901="",$B901=""),"",INT(($B901-$D901)/365.25))</f>
        <v/>
      </c>
      <c r="I901" s="25"/>
      <c r="J901" s="12"/>
      <c r="K901" s="12"/>
      <c r="L901" s="14" t="str">
        <f aca="false">IF(OR($C901="",$D901="",$B901=""),"",IF(COUNTIFS($C$5:$C$1504,$C901,$D$5:$D$1504,$D901,$B$5:$B$1504,$B901)&gt;1,"Takror",""))</f>
        <v/>
      </c>
    </row>
    <row r="902" customFormat="false" ht="15" hidden="false" customHeight="false" outlineLevel="0" collapsed="false">
      <c r="A902" s="8" t="n">
        <v>898</v>
      </c>
      <c r="B902" s="13"/>
      <c r="C902" s="12"/>
      <c r="D902" s="13"/>
      <c r="E902" s="24"/>
      <c r="F902" s="12"/>
      <c r="G902" s="25"/>
      <c r="H902" s="14" t="str">
        <f aca="false">IF(OR($D902="",$B902=""),"",INT(($B902-$D902)/365.25))</f>
        <v/>
      </c>
      <c r="I902" s="25"/>
      <c r="J902" s="12"/>
      <c r="K902" s="12"/>
      <c r="L902" s="14" t="str">
        <f aca="false">IF(OR($C902="",$D902="",$B902=""),"",IF(COUNTIFS($C$5:$C$1504,$C902,$D$5:$D$1504,$D902,$B$5:$B$1504,$B902)&gt;1,"Takror",""))</f>
        <v/>
      </c>
    </row>
    <row r="903" customFormat="false" ht="15" hidden="false" customHeight="false" outlineLevel="0" collapsed="false">
      <c r="A903" s="8" t="n">
        <v>899</v>
      </c>
      <c r="B903" s="13"/>
      <c r="C903" s="12"/>
      <c r="D903" s="13"/>
      <c r="E903" s="24"/>
      <c r="F903" s="12"/>
      <c r="G903" s="25"/>
      <c r="H903" s="14" t="str">
        <f aca="false">IF(OR($D903="",$B903=""),"",INT(($B903-$D903)/365.25))</f>
        <v/>
      </c>
      <c r="I903" s="25"/>
      <c r="J903" s="12"/>
      <c r="K903" s="12"/>
      <c r="L903" s="14" t="str">
        <f aca="false">IF(OR($C903="",$D903="",$B903=""),"",IF(COUNTIFS($C$5:$C$1504,$C903,$D$5:$D$1504,$D903,$B$5:$B$1504,$B903)&gt;1,"Takror",""))</f>
        <v/>
      </c>
    </row>
    <row r="904" customFormat="false" ht="15" hidden="false" customHeight="false" outlineLevel="0" collapsed="false">
      <c r="A904" s="8" t="n">
        <v>900</v>
      </c>
      <c r="B904" s="13"/>
      <c r="C904" s="12"/>
      <c r="D904" s="13"/>
      <c r="E904" s="24"/>
      <c r="F904" s="12"/>
      <c r="G904" s="25"/>
      <c r="H904" s="14" t="str">
        <f aca="false">IF(OR($D904="",$B904=""),"",INT(($B904-$D904)/365.25))</f>
        <v/>
      </c>
      <c r="I904" s="25"/>
      <c r="J904" s="12"/>
      <c r="K904" s="12"/>
      <c r="L904" s="14" t="str">
        <f aca="false">IF(OR($C904="",$D904="",$B904=""),"",IF(COUNTIFS($C$5:$C$1504,$C904,$D$5:$D$1504,$D904,$B$5:$B$1504,$B904)&gt;1,"Takror",""))</f>
        <v/>
      </c>
    </row>
    <row r="905" customFormat="false" ht="15" hidden="false" customHeight="false" outlineLevel="0" collapsed="false">
      <c r="A905" s="8" t="n">
        <v>901</v>
      </c>
      <c r="B905" s="13"/>
      <c r="C905" s="12"/>
      <c r="D905" s="13"/>
      <c r="E905" s="24"/>
      <c r="F905" s="12"/>
      <c r="G905" s="25"/>
      <c r="H905" s="14" t="str">
        <f aca="false">IF(OR($D905="",$B905=""),"",INT(($B905-$D905)/365.25))</f>
        <v/>
      </c>
      <c r="I905" s="25"/>
      <c r="J905" s="12"/>
      <c r="K905" s="12"/>
      <c r="L905" s="14" t="str">
        <f aca="false">IF(OR($C905="",$D905="",$B905=""),"",IF(COUNTIFS($C$5:$C$1504,$C905,$D$5:$D$1504,$D905,$B$5:$B$1504,$B905)&gt;1,"Takror",""))</f>
        <v/>
      </c>
    </row>
    <row r="906" customFormat="false" ht="15" hidden="false" customHeight="false" outlineLevel="0" collapsed="false">
      <c r="A906" s="8" t="n">
        <v>902</v>
      </c>
      <c r="B906" s="13"/>
      <c r="C906" s="12"/>
      <c r="D906" s="13"/>
      <c r="E906" s="24"/>
      <c r="F906" s="12"/>
      <c r="G906" s="25"/>
      <c r="H906" s="14" t="str">
        <f aca="false">IF(OR($D906="",$B906=""),"",INT(($B906-$D906)/365.25))</f>
        <v/>
      </c>
      <c r="I906" s="25"/>
      <c r="J906" s="12"/>
      <c r="K906" s="12"/>
      <c r="L906" s="14" t="str">
        <f aca="false">IF(OR($C906="",$D906="",$B906=""),"",IF(COUNTIFS($C$5:$C$1504,$C906,$D$5:$D$1504,$D906,$B$5:$B$1504,$B906)&gt;1,"Takror",""))</f>
        <v/>
      </c>
    </row>
    <row r="907" customFormat="false" ht="15" hidden="false" customHeight="false" outlineLevel="0" collapsed="false">
      <c r="A907" s="8" t="n">
        <v>903</v>
      </c>
      <c r="B907" s="13"/>
      <c r="C907" s="12"/>
      <c r="D907" s="13"/>
      <c r="E907" s="24"/>
      <c r="F907" s="12"/>
      <c r="G907" s="25"/>
      <c r="H907" s="14" t="str">
        <f aca="false">IF(OR($D907="",$B907=""),"",INT(($B907-$D907)/365.25))</f>
        <v/>
      </c>
      <c r="I907" s="25"/>
      <c r="J907" s="12"/>
      <c r="K907" s="12"/>
      <c r="L907" s="14" t="str">
        <f aca="false">IF(OR($C907="",$D907="",$B907=""),"",IF(COUNTIFS($C$5:$C$1504,$C907,$D$5:$D$1504,$D907,$B$5:$B$1504,$B907)&gt;1,"Takror",""))</f>
        <v/>
      </c>
    </row>
    <row r="908" customFormat="false" ht="15" hidden="false" customHeight="false" outlineLevel="0" collapsed="false">
      <c r="A908" s="8" t="n">
        <v>904</v>
      </c>
      <c r="B908" s="13"/>
      <c r="C908" s="12"/>
      <c r="D908" s="13"/>
      <c r="E908" s="24"/>
      <c r="F908" s="12"/>
      <c r="G908" s="25"/>
      <c r="H908" s="14" t="str">
        <f aca="false">IF(OR($D908="",$B908=""),"",INT(($B908-$D908)/365.25))</f>
        <v/>
      </c>
      <c r="I908" s="25"/>
      <c r="J908" s="12"/>
      <c r="K908" s="12"/>
      <c r="L908" s="14" t="str">
        <f aca="false">IF(OR($C908="",$D908="",$B908=""),"",IF(COUNTIFS($C$5:$C$1504,$C908,$D$5:$D$1504,$D908,$B$5:$B$1504,$B908)&gt;1,"Takror",""))</f>
        <v/>
      </c>
    </row>
    <row r="909" customFormat="false" ht="15" hidden="false" customHeight="false" outlineLevel="0" collapsed="false">
      <c r="A909" s="8" t="n">
        <v>905</v>
      </c>
      <c r="B909" s="13"/>
      <c r="C909" s="12"/>
      <c r="D909" s="13"/>
      <c r="E909" s="24"/>
      <c r="F909" s="12"/>
      <c r="G909" s="25"/>
      <c r="H909" s="14" t="str">
        <f aca="false">IF(OR($D909="",$B909=""),"",INT(($B909-$D909)/365.25))</f>
        <v/>
      </c>
      <c r="I909" s="25"/>
      <c r="J909" s="12"/>
      <c r="K909" s="12"/>
      <c r="L909" s="14" t="str">
        <f aca="false">IF(OR($C909="",$D909="",$B909=""),"",IF(COUNTIFS($C$5:$C$1504,$C909,$D$5:$D$1504,$D909,$B$5:$B$1504,$B909)&gt;1,"Takror",""))</f>
        <v/>
      </c>
    </row>
    <row r="910" customFormat="false" ht="15" hidden="false" customHeight="false" outlineLevel="0" collapsed="false">
      <c r="A910" s="8" t="n">
        <v>906</v>
      </c>
      <c r="B910" s="13"/>
      <c r="C910" s="12"/>
      <c r="D910" s="13"/>
      <c r="E910" s="24"/>
      <c r="F910" s="12"/>
      <c r="G910" s="25"/>
      <c r="H910" s="14" t="str">
        <f aca="false">IF(OR($D910="",$B910=""),"",INT(($B910-$D910)/365.25))</f>
        <v/>
      </c>
      <c r="I910" s="25"/>
      <c r="J910" s="12"/>
      <c r="K910" s="12"/>
      <c r="L910" s="14" t="str">
        <f aca="false">IF(OR($C910="",$D910="",$B910=""),"",IF(COUNTIFS($C$5:$C$1504,$C910,$D$5:$D$1504,$D910,$B$5:$B$1504,$B910)&gt;1,"Takror",""))</f>
        <v/>
      </c>
    </row>
    <row r="911" customFormat="false" ht="15" hidden="false" customHeight="false" outlineLevel="0" collapsed="false">
      <c r="A911" s="8" t="n">
        <v>907</v>
      </c>
      <c r="B911" s="13"/>
      <c r="C911" s="12"/>
      <c r="D911" s="13"/>
      <c r="E911" s="24"/>
      <c r="F911" s="12"/>
      <c r="G911" s="25"/>
      <c r="H911" s="14" t="str">
        <f aca="false">IF(OR($D911="",$B911=""),"",INT(($B911-$D911)/365.25))</f>
        <v/>
      </c>
      <c r="I911" s="25"/>
      <c r="J911" s="12"/>
      <c r="K911" s="12"/>
      <c r="L911" s="14" t="str">
        <f aca="false">IF(OR($C911="",$D911="",$B911=""),"",IF(COUNTIFS($C$5:$C$1504,$C911,$D$5:$D$1504,$D911,$B$5:$B$1504,$B911)&gt;1,"Takror",""))</f>
        <v/>
      </c>
    </row>
    <row r="912" customFormat="false" ht="15" hidden="false" customHeight="false" outlineLevel="0" collapsed="false">
      <c r="A912" s="8" t="n">
        <v>908</v>
      </c>
      <c r="B912" s="13"/>
      <c r="C912" s="12"/>
      <c r="D912" s="13"/>
      <c r="E912" s="24"/>
      <c r="F912" s="12"/>
      <c r="G912" s="25"/>
      <c r="H912" s="14" t="str">
        <f aca="false">IF(OR($D912="",$B912=""),"",INT(($B912-$D912)/365.25))</f>
        <v/>
      </c>
      <c r="I912" s="25"/>
      <c r="J912" s="12"/>
      <c r="K912" s="12"/>
      <c r="L912" s="14" t="str">
        <f aca="false">IF(OR($C912="",$D912="",$B912=""),"",IF(COUNTIFS($C$5:$C$1504,$C912,$D$5:$D$1504,$D912,$B$5:$B$1504,$B912)&gt;1,"Takror",""))</f>
        <v/>
      </c>
    </row>
    <row r="913" customFormat="false" ht="15" hidden="false" customHeight="false" outlineLevel="0" collapsed="false">
      <c r="A913" s="8" t="n">
        <v>909</v>
      </c>
      <c r="B913" s="13"/>
      <c r="C913" s="12"/>
      <c r="D913" s="13"/>
      <c r="E913" s="24"/>
      <c r="F913" s="12"/>
      <c r="G913" s="25"/>
      <c r="H913" s="14" t="str">
        <f aca="false">IF(OR($D913="",$B913=""),"",INT(($B913-$D913)/365.25))</f>
        <v/>
      </c>
      <c r="I913" s="25"/>
      <c r="J913" s="12"/>
      <c r="K913" s="12"/>
      <c r="L913" s="14" t="str">
        <f aca="false">IF(OR($C913="",$D913="",$B913=""),"",IF(COUNTIFS($C$5:$C$1504,$C913,$D$5:$D$1504,$D913,$B$5:$B$1504,$B913)&gt;1,"Takror",""))</f>
        <v/>
      </c>
    </row>
    <row r="914" customFormat="false" ht="15" hidden="false" customHeight="false" outlineLevel="0" collapsed="false">
      <c r="A914" s="8" t="n">
        <v>910</v>
      </c>
      <c r="B914" s="13"/>
      <c r="C914" s="12"/>
      <c r="D914" s="13"/>
      <c r="E914" s="24"/>
      <c r="F914" s="12"/>
      <c r="G914" s="25"/>
      <c r="H914" s="14" t="str">
        <f aca="false">IF(OR($D914="",$B914=""),"",INT(($B914-$D914)/365.25))</f>
        <v/>
      </c>
      <c r="I914" s="25"/>
      <c r="J914" s="12"/>
      <c r="K914" s="12"/>
      <c r="L914" s="14" t="str">
        <f aca="false">IF(OR($C914="",$D914="",$B914=""),"",IF(COUNTIFS($C$5:$C$1504,$C914,$D$5:$D$1504,$D914,$B$5:$B$1504,$B914)&gt;1,"Takror",""))</f>
        <v/>
      </c>
    </row>
    <row r="915" customFormat="false" ht="15" hidden="false" customHeight="false" outlineLevel="0" collapsed="false">
      <c r="A915" s="8" t="n">
        <v>911</v>
      </c>
      <c r="B915" s="13"/>
      <c r="C915" s="12"/>
      <c r="D915" s="13"/>
      <c r="E915" s="24"/>
      <c r="F915" s="12"/>
      <c r="G915" s="25"/>
      <c r="H915" s="14" t="str">
        <f aca="false">IF(OR($D915="",$B915=""),"",INT(($B915-$D915)/365.25))</f>
        <v/>
      </c>
      <c r="I915" s="25"/>
      <c r="J915" s="12"/>
      <c r="K915" s="12"/>
      <c r="L915" s="14" t="str">
        <f aca="false">IF(OR($C915="",$D915="",$B915=""),"",IF(COUNTIFS($C$5:$C$1504,$C915,$D$5:$D$1504,$D915,$B$5:$B$1504,$B915)&gt;1,"Takror",""))</f>
        <v/>
      </c>
    </row>
    <row r="916" customFormat="false" ht="15" hidden="false" customHeight="false" outlineLevel="0" collapsed="false">
      <c r="A916" s="8" t="n">
        <v>912</v>
      </c>
      <c r="B916" s="13"/>
      <c r="C916" s="12"/>
      <c r="D916" s="13"/>
      <c r="E916" s="24"/>
      <c r="F916" s="12"/>
      <c r="G916" s="25"/>
      <c r="H916" s="14" t="str">
        <f aca="false">IF(OR($D916="",$B916=""),"",INT(($B916-$D916)/365.25))</f>
        <v/>
      </c>
      <c r="I916" s="25"/>
      <c r="J916" s="12"/>
      <c r="K916" s="12"/>
      <c r="L916" s="14" t="str">
        <f aca="false">IF(OR($C916="",$D916="",$B916=""),"",IF(COUNTIFS($C$5:$C$1504,$C916,$D$5:$D$1504,$D916,$B$5:$B$1504,$B916)&gt;1,"Takror",""))</f>
        <v/>
      </c>
    </row>
    <row r="917" customFormat="false" ht="15" hidden="false" customHeight="false" outlineLevel="0" collapsed="false">
      <c r="A917" s="8" t="n">
        <v>913</v>
      </c>
      <c r="B917" s="13"/>
      <c r="C917" s="12"/>
      <c r="D917" s="13"/>
      <c r="E917" s="24"/>
      <c r="F917" s="12"/>
      <c r="G917" s="25"/>
      <c r="H917" s="14" t="str">
        <f aca="false">IF(OR($D917="",$B917=""),"",INT(($B917-$D917)/365.25))</f>
        <v/>
      </c>
      <c r="I917" s="25"/>
      <c r="J917" s="12"/>
      <c r="K917" s="12"/>
      <c r="L917" s="14" t="str">
        <f aca="false">IF(OR($C917="",$D917="",$B917=""),"",IF(COUNTIFS($C$5:$C$1504,$C917,$D$5:$D$1504,$D917,$B$5:$B$1504,$B917)&gt;1,"Takror",""))</f>
        <v/>
      </c>
    </row>
    <row r="918" customFormat="false" ht="15" hidden="false" customHeight="false" outlineLevel="0" collapsed="false">
      <c r="A918" s="8" t="n">
        <v>914</v>
      </c>
      <c r="B918" s="13"/>
      <c r="C918" s="12"/>
      <c r="D918" s="13"/>
      <c r="E918" s="24"/>
      <c r="F918" s="12"/>
      <c r="G918" s="25"/>
      <c r="H918" s="14" t="str">
        <f aca="false">IF(OR($D918="",$B918=""),"",INT(($B918-$D918)/365.25))</f>
        <v/>
      </c>
      <c r="I918" s="25"/>
      <c r="J918" s="12"/>
      <c r="K918" s="12"/>
      <c r="L918" s="14" t="str">
        <f aca="false">IF(OR($C918="",$D918="",$B918=""),"",IF(COUNTIFS($C$5:$C$1504,$C918,$D$5:$D$1504,$D918,$B$5:$B$1504,$B918)&gt;1,"Takror",""))</f>
        <v/>
      </c>
    </row>
    <row r="919" customFormat="false" ht="15" hidden="false" customHeight="false" outlineLevel="0" collapsed="false">
      <c r="A919" s="8" t="n">
        <v>915</v>
      </c>
      <c r="B919" s="13"/>
      <c r="C919" s="12"/>
      <c r="D919" s="13"/>
      <c r="E919" s="24"/>
      <c r="F919" s="12"/>
      <c r="G919" s="25"/>
      <c r="H919" s="14" t="str">
        <f aca="false">IF(OR($D919="",$B919=""),"",INT(($B919-$D919)/365.25))</f>
        <v/>
      </c>
      <c r="I919" s="25"/>
      <c r="J919" s="12"/>
      <c r="K919" s="12"/>
      <c r="L919" s="14" t="str">
        <f aca="false">IF(OR($C919="",$D919="",$B919=""),"",IF(COUNTIFS($C$5:$C$1504,$C919,$D$5:$D$1504,$D919,$B$5:$B$1504,$B919)&gt;1,"Takror",""))</f>
        <v/>
      </c>
    </row>
    <row r="920" customFormat="false" ht="15" hidden="false" customHeight="false" outlineLevel="0" collapsed="false">
      <c r="A920" s="8" t="n">
        <v>916</v>
      </c>
      <c r="B920" s="13"/>
      <c r="C920" s="12"/>
      <c r="D920" s="13"/>
      <c r="E920" s="24"/>
      <c r="F920" s="12"/>
      <c r="G920" s="25"/>
      <c r="H920" s="14" t="str">
        <f aca="false">IF(OR($D920="",$B920=""),"",INT(($B920-$D920)/365.25))</f>
        <v/>
      </c>
      <c r="I920" s="25"/>
      <c r="J920" s="12"/>
      <c r="K920" s="12"/>
      <c r="L920" s="14" t="str">
        <f aca="false">IF(OR($C920="",$D920="",$B920=""),"",IF(COUNTIFS($C$5:$C$1504,$C920,$D$5:$D$1504,$D920,$B$5:$B$1504,$B920)&gt;1,"Takror",""))</f>
        <v/>
      </c>
    </row>
    <row r="921" customFormat="false" ht="15" hidden="false" customHeight="false" outlineLevel="0" collapsed="false">
      <c r="A921" s="8" t="n">
        <v>917</v>
      </c>
      <c r="B921" s="13"/>
      <c r="C921" s="12"/>
      <c r="D921" s="13"/>
      <c r="E921" s="24"/>
      <c r="F921" s="12"/>
      <c r="G921" s="25"/>
      <c r="H921" s="14" t="str">
        <f aca="false">IF(OR($D921="",$B921=""),"",INT(($B921-$D921)/365.25))</f>
        <v/>
      </c>
      <c r="I921" s="25"/>
      <c r="J921" s="12"/>
      <c r="K921" s="12"/>
      <c r="L921" s="14" t="str">
        <f aca="false">IF(OR($C921="",$D921="",$B921=""),"",IF(COUNTIFS($C$5:$C$1504,$C921,$D$5:$D$1504,$D921,$B$5:$B$1504,$B921)&gt;1,"Takror",""))</f>
        <v/>
      </c>
    </row>
    <row r="922" customFormat="false" ht="15" hidden="false" customHeight="false" outlineLevel="0" collapsed="false">
      <c r="A922" s="8" t="n">
        <v>918</v>
      </c>
      <c r="B922" s="13"/>
      <c r="C922" s="12"/>
      <c r="D922" s="13"/>
      <c r="E922" s="24"/>
      <c r="F922" s="12"/>
      <c r="G922" s="25"/>
      <c r="H922" s="14" t="str">
        <f aca="false">IF(OR($D922="",$B922=""),"",INT(($B922-$D922)/365.25))</f>
        <v/>
      </c>
      <c r="I922" s="25"/>
      <c r="J922" s="12"/>
      <c r="K922" s="12"/>
      <c r="L922" s="14" t="str">
        <f aca="false">IF(OR($C922="",$D922="",$B922=""),"",IF(COUNTIFS($C$5:$C$1504,$C922,$D$5:$D$1504,$D922,$B$5:$B$1504,$B922)&gt;1,"Takror",""))</f>
        <v/>
      </c>
    </row>
    <row r="923" customFormat="false" ht="15" hidden="false" customHeight="false" outlineLevel="0" collapsed="false">
      <c r="A923" s="8" t="n">
        <v>919</v>
      </c>
      <c r="B923" s="13"/>
      <c r="C923" s="12"/>
      <c r="D923" s="13"/>
      <c r="E923" s="24"/>
      <c r="F923" s="12"/>
      <c r="G923" s="25"/>
      <c r="H923" s="14" t="str">
        <f aca="false">IF(OR($D923="",$B923=""),"",INT(($B923-$D923)/365.25))</f>
        <v/>
      </c>
      <c r="I923" s="25"/>
      <c r="J923" s="12"/>
      <c r="K923" s="12"/>
      <c r="L923" s="14" t="str">
        <f aca="false">IF(OR($C923="",$D923="",$B923=""),"",IF(COUNTIFS($C$5:$C$1504,$C923,$D$5:$D$1504,$D923,$B$5:$B$1504,$B923)&gt;1,"Takror",""))</f>
        <v/>
      </c>
    </row>
    <row r="924" customFormat="false" ht="15" hidden="false" customHeight="false" outlineLevel="0" collapsed="false">
      <c r="A924" s="8" t="n">
        <v>920</v>
      </c>
      <c r="B924" s="13"/>
      <c r="C924" s="12"/>
      <c r="D924" s="13"/>
      <c r="E924" s="24"/>
      <c r="F924" s="12"/>
      <c r="G924" s="25"/>
      <c r="H924" s="14" t="str">
        <f aca="false">IF(OR($D924="",$B924=""),"",INT(($B924-$D924)/365.25))</f>
        <v/>
      </c>
      <c r="I924" s="25"/>
      <c r="J924" s="12"/>
      <c r="K924" s="12"/>
      <c r="L924" s="14" t="str">
        <f aca="false">IF(OR($C924="",$D924="",$B924=""),"",IF(COUNTIFS($C$5:$C$1504,$C924,$D$5:$D$1504,$D924,$B$5:$B$1504,$B924)&gt;1,"Takror",""))</f>
        <v/>
      </c>
    </row>
    <row r="925" customFormat="false" ht="15" hidden="false" customHeight="false" outlineLevel="0" collapsed="false">
      <c r="A925" s="8" t="n">
        <v>921</v>
      </c>
      <c r="B925" s="13"/>
      <c r="C925" s="12"/>
      <c r="D925" s="13"/>
      <c r="E925" s="24"/>
      <c r="F925" s="12"/>
      <c r="G925" s="25"/>
      <c r="H925" s="14" t="str">
        <f aca="false">IF(OR($D925="",$B925=""),"",INT(($B925-$D925)/365.25))</f>
        <v/>
      </c>
      <c r="I925" s="25"/>
      <c r="J925" s="12"/>
      <c r="K925" s="12"/>
      <c r="L925" s="14" t="str">
        <f aca="false">IF(OR($C925="",$D925="",$B925=""),"",IF(COUNTIFS($C$5:$C$1504,$C925,$D$5:$D$1504,$D925,$B$5:$B$1504,$B925)&gt;1,"Takror",""))</f>
        <v/>
      </c>
    </row>
    <row r="926" customFormat="false" ht="15" hidden="false" customHeight="false" outlineLevel="0" collapsed="false">
      <c r="A926" s="8" t="n">
        <v>922</v>
      </c>
      <c r="B926" s="13"/>
      <c r="C926" s="12"/>
      <c r="D926" s="13"/>
      <c r="E926" s="24"/>
      <c r="F926" s="12"/>
      <c r="G926" s="25"/>
      <c r="H926" s="14" t="str">
        <f aca="false">IF(OR($D926="",$B926=""),"",INT(($B926-$D926)/365.25))</f>
        <v/>
      </c>
      <c r="I926" s="25"/>
      <c r="J926" s="12"/>
      <c r="K926" s="12"/>
      <c r="L926" s="14" t="str">
        <f aca="false">IF(OR($C926="",$D926="",$B926=""),"",IF(COUNTIFS($C$5:$C$1504,$C926,$D$5:$D$1504,$D926,$B$5:$B$1504,$B926)&gt;1,"Takror",""))</f>
        <v/>
      </c>
    </row>
    <row r="927" customFormat="false" ht="15" hidden="false" customHeight="false" outlineLevel="0" collapsed="false">
      <c r="A927" s="8" t="n">
        <v>923</v>
      </c>
      <c r="B927" s="13"/>
      <c r="C927" s="12"/>
      <c r="D927" s="13"/>
      <c r="E927" s="24"/>
      <c r="F927" s="12"/>
      <c r="G927" s="25"/>
      <c r="H927" s="14" t="str">
        <f aca="false">IF(OR($D927="",$B927=""),"",INT(($B927-$D927)/365.25))</f>
        <v/>
      </c>
      <c r="I927" s="25"/>
      <c r="J927" s="12"/>
      <c r="K927" s="12"/>
      <c r="L927" s="14" t="str">
        <f aca="false">IF(OR($C927="",$D927="",$B927=""),"",IF(COUNTIFS($C$5:$C$1504,$C927,$D$5:$D$1504,$D927,$B$5:$B$1504,$B927)&gt;1,"Takror",""))</f>
        <v/>
      </c>
    </row>
    <row r="928" customFormat="false" ht="15" hidden="false" customHeight="false" outlineLevel="0" collapsed="false">
      <c r="A928" s="8" t="n">
        <v>924</v>
      </c>
      <c r="B928" s="13"/>
      <c r="C928" s="12"/>
      <c r="D928" s="13"/>
      <c r="E928" s="24"/>
      <c r="F928" s="12"/>
      <c r="G928" s="25"/>
      <c r="H928" s="14" t="str">
        <f aca="false">IF(OR($D928="",$B928=""),"",INT(($B928-$D928)/365.25))</f>
        <v/>
      </c>
      <c r="I928" s="25"/>
      <c r="J928" s="12"/>
      <c r="K928" s="12"/>
      <c r="L928" s="14" t="str">
        <f aca="false">IF(OR($C928="",$D928="",$B928=""),"",IF(COUNTIFS($C$5:$C$1504,$C928,$D$5:$D$1504,$D928,$B$5:$B$1504,$B928)&gt;1,"Takror",""))</f>
        <v/>
      </c>
    </row>
    <row r="929" customFormat="false" ht="15" hidden="false" customHeight="false" outlineLevel="0" collapsed="false">
      <c r="A929" s="8" t="n">
        <v>925</v>
      </c>
      <c r="B929" s="13"/>
      <c r="C929" s="12"/>
      <c r="D929" s="13"/>
      <c r="E929" s="24"/>
      <c r="F929" s="12"/>
      <c r="G929" s="25"/>
      <c r="H929" s="14" t="str">
        <f aca="false">IF(OR($D929="",$B929=""),"",INT(($B929-$D929)/365.25))</f>
        <v/>
      </c>
      <c r="I929" s="25"/>
      <c r="J929" s="12"/>
      <c r="K929" s="12"/>
      <c r="L929" s="14" t="str">
        <f aca="false">IF(OR($C929="",$D929="",$B929=""),"",IF(COUNTIFS($C$5:$C$1504,$C929,$D$5:$D$1504,$D929,$B$5:$B$1504,$B929)&gt;1,"Takror",""))</f>
        <v/>
      </c>
    </row>
    <row r="930" customFormat="false" ht="15" hidden="false" customHeight="false" outlineLevel="0" collapsed="false">
      <c r="A930" s="8" t="n">
        <v>926</v>
      </c>
      <c r="B930" s="13"/>
      <c r="C930" s="12"/>
      <c r="D930" s="13"/>
      <c r="E930" s="24"/>
      <c r="F930" s="12"/>
      <c r="G930" s="25"/>
      <c r="H930" s="14" t="str">
        <f aca="false">IF(OR($D930="",$B930=""),"",INT(($B930-$D930)/365.25))</f>
        <v/>
      </c>
      <c r="I930" s="25"/>
      <c r="J930" s="12"/>
      <c r="K930" s="12"/>
      <c r="L930" s="14" t="str">
        <f aca="false">IF(OR($C930="",$D930="",$B930=""),"",IF(COUNTIFS($C$5:$C$1504,$C930,$D$5:$D$1504,$D930,$B$5:$B$1504,$B930)&gt;1,"Takror",""))</f>
        <v/>
      </c>
    </row>
    <row r="931" customFormat="false" ht="15" hidden="false" customHeight="false" outlineLevel="0" collapsed="false">
      <c r="A931" s="8" t="n">
        <v>927</v>
      </c>
      <c r="B931" s="13"/>
      <c r="C931" s="12"/>
      <c r="D931" s="13"/>
      <c r="E931" s="24"/>
      <c r="F931" s="12"/>
      <c r="G931" s="25"/>
      <c r="H931" s="14" t="str">
        <f aca="false">IF(OR($D931="",$B931=""),"",INT(($B931-$D931)/365.25))</f>
        <v/>
      </c>
      <c r="I931" s="25"/>
      <c r="J931" s="12"/>
      <c r="K931" s="12"/>
      <c r="L931" s="14" t="str">
        <f aca="false">IF(OR($C931="",$D931="",$B931=""),"",IF(COUNTIFS($C$5:$C$1504,$C931,$D$5:$D$1504,$D931,$B$5:$B$1504,$B931)&gt;1,"Takror",""))</f>
        <v/>
      </c>
    </row>
    <row r="932" customFormat="false" ht="15" hidden="false" customHeight="false" outlineLevel="0" collapsed="false">
      <c r="A932" s="8" t="n">
        <v>928</v>
      </c>
      <c r="B932" s="13"/>
      <c r="C932" s="12"/>
      <c r="D932" s="13"/>
      <c r="E932" s="24"/>
      <c r="F932" s="12"/>
      <c r="G932" s="25"/>
      <c r="H932" s="14" t="str">
        <f aca="false">IF(OR($D932="",$B932=""),"",INT(($B932-$D932)/365.25))</f>
        <v/>
      </c>
      <c r="I932" s="25"/>
      <c r="J932" s="12"/>
      <c r="K932" s="12"/>
      <c r="L932" s="14" t="str">
        <f aca="false">IF(OR($C932="",$D932="",$B932=""),"",IF(COUNTIFS($C$5:$C$1504,$C932,$D$5:$D$1504,$D932,$B$5:$B$1504,$B932)&gt;1,"Takror",""))</f>
        <v/>
      </c>
    </row>
    <row r="933" customFormat="false" ht="15" hidden="false" customHeight="false" outlineLevel="0" collapsed="false">
      <c r="A933" s="8" t="n">
        <v>929</v>
      </c>
      <c r="B933" s="13"/>
      <c r="C933" s="12"/>
      <c r="D933" s="13"/>
      <c r="E933" s="24"/>
      <c r="F933" s="12"/>
      <c r="G933" s="25"/>
      <c r="H933" s="14" t="str">
        <f aca="false">IF(OR($D933="",$B933=""),"",INT(($B933-$D933)/365.25))</f>
        <v/>
      </c>
      <c r="I933" s="25"/>
      <c r="J933" s="12"/>
      <c r="K933" s="12"/>
      <c r="L933" s="14" t="str">
        <f aca="false">IF(OR($C933="",$D933="",$B933=""),"",IF(COUNTIFS($C$5:$C$1504,$C933,$D$5:$D$1504,$D933,$B$5:$B$1504,$B933)&gt;1,"Takror",""))</f>
        <v/>
      </c>
    </row>
    <row r="934" customFormat="false" ht="15" hidden="false" customHeight="false" outlineLevel="0" collapsed="false">
      <c r="A934" s="8" t="n">
        <v>930</v>
      </c>
      <c r="B934" s="13"/>
      <c r="C934" s="12"/>
      <c r="D934" s="13"/>
      <c r="E934" s="24"/>
      <c r="F934" s="12"/>
      <c r="G934" s="25"/>
      <c r="H934" s="14" t="str">
        <f aca="false">IF(OR($D934="",$B934=""),"",INT(($B934-$D934)/365.25))</f>
        <v/>
      </c>
      <c r="I934" s="25"/>
      <c r="J934" s="12"/>
      <c r="K934" s="12"/>
      <c r="L934" s="14" t="str">
        <f aca="false">IF(OR($C934="",$D934="",$B934=""),"",IF(COUNTIFS($C$5:$C$1504,$C934,$D$5:$D$1504,$D934,$B$5:$B$1504,$B934)&gt;1,"Takror",""))</f>
        <v/>
      </c>
    </row>
    <row r="935" customFormat="false" ht="15" hidden="false" customHeight="false" outlineLevel="0" collapsed="false">
      <c r="A935" s="8" t="n">
        <v>931</v>
      </c>
      <c r="B935" s="13"/>
      <c r="C935" s="12"/>
      <c r="D935" s="13"/>
      <c r="E935" s="24"/>
      <c r="F935" s="12"/>
      <c r="G935" s="25"/>
      <c r="H935" s="14" t="str">
        <f aca="false">IF(OR($D935="",$B935=""),"",INT(($B935-$D935)/365.25))</f>
        <v/>
      </c>
      <c r="I935" s="25"/>
      <c r="J935" s="12"/>
      <c r="K935" s="12"/>
      <c r="L935" s="14" t="str">
        <f aca="false">IF(OR($C935="",$D935="",$B935=""),"",IF(COUNTIFS($C$5:$C$1504,$C935,$D$5:$D$1504,$D935,$B$5:$B$1504,$B935)&gt;1,"Takror",""))</f>
        <v/>
      </c>
    </row>
    <row r="936" customFormat="false" ht="15" hidden="false" customHeight="false" outlineLevel="0" collapsed="false">
      <c r="A936" s="8" t="n">
        <v>932</v>
      </c>
      <c r="B936" s="13"/>
      <c r="C936" s="12"/>
      <c r="D936" s="13"/>
      <c r="E936" s="24"/>
      <c r="F936" s="12"/>
      <c r="G936" s="25"/>
      <c r="H936" s="14" t="str">
        <f aca="false">IF(OR($D936="",$B936=""),"",INT(($B936-$D936)/365.25))</f>
        <v/>
      </c>
      <c r="I936" s="25"/>
      <c r="J936" s="12"/>
      <c r="K936" s="12"/>
      <c r="L936" s="14" t="str">
        <f aca="false">IF(OR($C936="",$D936="",$B936=""),"",IF(COUNTIFS($C$5:$C$1504,$C936,$D$5:$D$1504,$D936,$B$5:$B$1504,$B936)&gt;1,"Takror",""))</f>
        <v/>
      </c>
    </row>
    <row r="937" customFormat="false" ht="15" hidden="false" customHeight="false" outlineLevel="0" collapsed="false">
      <c r="A937" s="8" t="n">
        <v>933</v>
      </c>
      <c r="B937" s="13"/>
      <c r="C937" s="12"/>
      <c r="D937" s="13"/>
      <c r="E937" s="24"/>
      <c r="F937" s="12"/>
      <c r="G937" s="25"/>
      <c r="H937" s="14" t="str">
        <f aca="false">IF(OR($D937="",$B937=""),"",INT(($B937-$D937)/365.25))</f>
        <v/>
      </c>
      <c r="I937" s="25"/>
      <c r="J937" s="12"/>
      <c r="K937" s="12"/>
      <c r="L937" s="14" t="str">
        <f aca="false">IF(OR($C937="",$D937="",$B937=""),"",IF(COUNTIFS($C$5:$C$1504,$C937,$D$5:$D$1504,$D937,$B$5:$B$1504,$B937)&gt;1,"Takror",""))</f>
        <v/>
      </c>
    </row>
    <row r="938" customFormat="false" ht="15" hidden="false" customHeight="false" outlineLevel="0" collapsed="false">
      <c r="A938" s="8" t="n">
        <v>934</v>
      </c>
      <c r="B938" s="13"/>
      <c r="C938" s="12"/>
      <c r="D938" s="13"/>
      <c r="E938" s="24"/>
      <c r="F938" s="12"/>
      <c r="G938" s="25"/>
      <c r="H938" s="14" t="str">
        <f aca="false">IF(OR($D938="",$B938=""),"",INT(($B938-$D938)/365.25))</f>
        <v/>
      </c>
      <c r="I938" s="25"/>
      <c r="J938" s="12"/>
      <c r="K938" s="12"/>
      <c r="L938" s="14" t="str">
        <f aca="false">IF(OR($C938="",$D938="",$B938=""),"",IF(COUNTIFS($C$5:$C$1504,$C938,$D$5:$D$1504,$D938,$B$5:$B$1504,$B938)&gt;1,"Takror",""))</f>
        <v/>
      </c>
    </row>
    <row r="939" customFormat="false" ht="15" hidden="false" customHeight="false" outlineLevel="0" collapsed="false">
      <c r="A939" s="8" t="n">
        <v>935</v>
      </c>
      <c r="B939" s="13"/>
      <c r="C939" s="12"/>
      <c r="D939" s="13"/>
      <c r="E939" s="24"/>
      <c r="F939" s="12"/>
      <c r="G939" s="25"/>
      <c r="H939" s="14" t="str">
        <f aca="false">IF(OR($D939="",$B939=""),"",INT(($B939-$D939)/365.25))</f>
        <v/>
      </c>
      <c r="I939" s="25"/>
      <c r="J939" s="12"/>
      <c r="K939" s="12"/>
      <c r="L939" s="14" t="str">
        <f aca="false">IF(OR($C939="",$D939="",$B939=""),"",IF(COUNTIFS($C$5:$C$1504,$C939,$D$5:$D$1504,$D939,$B$5:$B$1504,$B939)&gt;1,"Takror",""))</f>
        <v/>
      </c>
    </row>
    <row r="940" customFormat="false" ht="15" hidden="false" customHeight="false" outlineLevel="0" collapsed="false">
      <c r="A940" s="8" t="n">
        <v>936</v>
      </c>
      <c r="B940" s="13"/>
      <c r="C940" s="12"/>
      <c r="D940" s="13"/>
      <c r="E940" s="24"/>
      <c r="F940" s="12"/>
      <c r="G940" s="25"/>
      <c r="H940" s="14" t="str">
        <f aca="false">IF(OR($D940="",$B940=""),"",INT(($B940-$D940)/365.25))</f>
        <v/>
      </c>
      <c r="I940" s="25"/>
      <c r="J940" s="12"/>
      <c r="K940" s="12"/>
      <c r="L940" s="14" t="str">
        <f aca="false">IF(OR($C940="",$D940="",$B940=""),"",IF(COUNTIFS($C$5:$C$1504,$C940,$D$5:$D$1504,$D940,$B$5:$B$1504,$B940)&gt;1,"Takror",""))</f>
        <v/>
      </c>
    </row>
    <row r="941" customFormat="false" ht="15" hidden="false" customHeight="false" outlineLevel="0" collapsed="false">
      <c r="A941" s="8" t="n">
        <v>937</v>
      </c>
      <c r="B941" s="13"/>
      <c r="C941" s="12"/>
      <c r="D941" s="13"/>
      <c r="E941" s="24"/>
      <c r="F941" s="12"/>
      <c r="G941" s="25"/>
      <c r="H941" s="14" t="str">
        <f aca="false">IF(OR($D941="",$B941=""),"",INT(($B941-$D941)/365.25))</f>
        <v/>
      </c>
      <c r="I941" s="25"/>
      <c r="J941" s="12"/>
      <c r="K941" s="12"/>
      <c r="L941" s="14" t="str">
        <f aca="false">IF(OR($C941="",$D941="",$B941=""),"",IF(COUNTIFS($C$5:$C$1504,$C941,$D$5:$D$1504,$D941,$B$5:$B$1504,$B941)&gt;1,"Takror",""))</f>
        <v/>
      </c>
    </row>
    <row r="942" customFormat="false" ht="15" hidden="false" customHeight="false" outlineLevel="0" collapsed="false">
      <c r="A942" s="8" t="n">
        <v>938</v>
      </c>
      <c r="B942" s="13"/>
      <c r="C942" s="12"/>
      <c r="D942" s="13"/>
      <c r="E942" s="24"/>
      <c r="F942" s="12"/>
      <c r="G942" s="25"/>
      <c r="H942" s="14" t="str">
        <f aca="false">IF(OR($D942="",$B942=""),"",INT(($B942-$D942)/365.25))</f>
        <v/>
      </c>
      <c r="I942" s="25"/>
      <c r="J942" s="12"/>
      <c r="K942" s="12"/>
      <c r="L942" s="14" t="str">
        <f aca="false">IF(OR($C942="",$D942="",$B942=""),"",IF(COUNTIFS($C$5:$C$1504,$C942,$D$5:$D$1504,$D942,$B$5:$B$1504,$B942)&gt;1,"Takror",""))</f>
        <v/>
      </c>
    </row>
    <row r="943" customFormat="false" ht="15" hidden="false" customHeight="false" outlineLevel="0" collapsed="false">
      <c r="A943" s="8" t="n">
        <v>939</v>
      </c>
      <c r="B943" s="13"/>
      <c r="C943" s="12"/>
      <c r="D943" s="13"/>
      <c r="E943" s="24"/>
      <c r="F943" s="12"/>
      <c r="G943" s="25"/>
      <c r="H943" s="14" t="str">
        <f aca="false">IF(OR($D943="",$B943=""),"",INT(($B943-$D943)/365.25))</f>
        <v/>
      </c>
      <c r="I943" s="25"/>
      <c r="J943" s="12"/>
      <c r="K943" s="12"/>
      <c r="L943" s="14" t="str">
        <f aca="false">IF(OR($C943="",$D943="",$B943=""),"",IF(COUNTIFS($C$5:$C$1504,$C943,$D$5:$D$1504,$D943,$B$5:$B$1504,$B943)&gt;1,"Takror",""))</f>
        <v/>
      </c>
    </row>
    <row r="944" customFormat="false" ht="15" hidden="false" customHeight="false" outlineLevel="0" collapsed="false">
      <c r="A944" s="8" t="n">
        <v>940</v>
      </c>
      <c r="B944" s="13"/>
      <c r="C944" s="12"/>
      <c r="D944" s="13"/>
      <c r="E944" s="24"/>
      <c r="F944" s="12"/>
      <c r="G944" s="25"/>
      <c r="H944" s="14" t="str">
        <f aca="false">IF(OR($D944="",$B944=""),"",INT(($B944-$D944)/365.25))</f>
        <v/>
      </c>
      <c r="I944" s="25"/>
      <c r="J944" s="12"/>
      <c r="K944" s="12"/>
      <c r="L944" s="14" t="str">
        <f aca="false">IF(OR($C944="",$D944="",$B944=""),"",IF(COUNTIFS($C$5:$C$1504,$C944,$D$5:$D$1504,$D944,$B$5:$B$1504,$B944)&gt;1,"Takror",""))</f>
        <v/>
      </c>
    </row>
    <row r="945" customFormat="false" ht="15" hidden="false" customHeight="false" outlineLevel="0" collapsed="false">
      <c r="A945" s="8" t="n">
        <v>941</v>
      </c>
      <c r="B945" s="13"/>
      <c r="C945" s="12"/>
      <c r="D945" s="13"/>
      <c r="E945" s="24"/>
      <c r="F945" s="12"/>
      <c r="G945" s="25"/>
      <c r="H945" s="14" t="str">
        <f aca="false">IF(OR($D945="",$B945=""),"",INT(($B945-$D945)/365.25))</f>
        <v/>
      </c>
      <c r="I945" s="25"/>
      <c r="J945" s="12"/>
      <c r="K945" s="12"/>
      <c r="L945" s="14" t="str">
        <f aca="false">IF(OR($C945="",$D945="",$B945=""),"",IF(COUNTIFS($C$5:$C$1504,$C945,$D$5:$D$1504,$D945,$B$5:$B$1504,$B945)&gt;1,"Takror",""))</f>
        <v/>
      </c>
    </row>
    <row r="946" customFormat="false" ht="15" hidden="false" customHeight="false" outlineLevel="0" collapsed="false">
      <c r="A946" s="8" t="n">
        <v>942</v>
      </c>
      <c r="B946" s="13"/>
      <c r="C946" s="12"/>
      <c r="D946" s="13"/>
      <c r="E946" s="24"/>
      <c r="F946" s="12"/>
      <c r="G946" s="25"/>
      <c r="H946" s="14" t="str">
        <f aca="false">IF(OR($D946="",$B946=""),"",INT(($B946-$D946)/365.25))</f>
        <v/>
      </c>
      <c r="I946" s="25"/>
      <c r="J946" s="12"/>
      <c r="K946" s="12"/>
      <c r="L946" s="14" t="str">
        <f aca="false">IF(OR($C946="",$D946="",$B946=""),"",IF(COUNTIFS($C$5:$C$1504,$C946,$D$5:$D$1504,$D946,$B$5:$B$1504,$B946)&gt;1,"Takror",""))</f>
        <v/>
      </c>
    </row>
    <row r="947" customFormat="false" ht="15" hidden="false" customHeight="false" outlineLevel="0" collapsed="false">
      <c r="A947" s="8" t="n">
        <v>943</v>
      </c>
      <c r="B947" s="13"/>
      <c r="C947" s="12"/>
      <c r="D947" s="13"/>
      <c r="E947" s="24"/>
      <c r="F947" s="12"/>
      <c r="G947" s="25"/>
      <c r="H947" s="14" t="str">
        <f aca="false">IF(OR($D947="",$B947=""),"",INT(($B947-$D947)/365.25))</f>
        <v/>
      </c>
      <c r="I947" s="25"/>
      <c r="J947" s="12"/>
      <c r="K947" s="12"/>
      <c r="L947" s="14" t="str">
        <f aca="false">IF(OR($C947="",$D947="",$B947=""),"",IF(COUNTIFS($C$5:$C$1504,$C947,$D$5:$D$1504,$D947,$B$5:$B$1504,$B947)&gt;1,"Takror",""))</f>
        <v/>
      </c>
    </row>
    <row r="948" customFormat="false" ht="15" hidden="false" customHeight="false" outlineLevel="0" collapsed="false">
      <c r="A948" s="8" t="n">
        <v>944</v>
      </c>
      <c r="B948" s="13"/>
      <c r="C948" s="12"/>
      <c r="D948" s="13"/>
      <c r="E948" s="24"/>
      <c r="F948" s="12"/>
      <c r="G948" s="25"/>
      <c r="H948" s="14" t="str">
        <f aca="false">IF(OR($D948="",$B948=""),"",INT(($B948-$D948)/365.25))</f>
        <v/>
      </c>
      <c r="I948" s="25"/>
      <c r="J948" s="12"/>
      <c r="K948" s="12"/>
      <c r="L948" s="14" t="str">
        <f aca="false">IF(OR($C948="",$D948="",$B948=""),"",IF(COUNTIFS($C$5:$C$1504,$C948,$D$5:$D$1504,$D948,$B$5:$B$1504,$B948)&gt;1,"Takror",""))</f>
        <v/>
      </c>
    </row>
    <row r="949" customFormat="false" ht="15" hidden="false" customHeight="false" outlineLevel="0" collapsed="false">
      <c r="A949" s="8" t="n">
        <v>945</v>
      </c>
      <c r="B949" s="13"/>
      <c r="C949" s="12"/>
      <c r="D949" s="13"/>
      <c r="E949" s="24"/>
      <c r="F949" s="12"/>
      <c r="G949" s="25"/>
      <c r="H949" s="14" t="str">
        <f aca="false">IF(OR($D949="",$B949=""),"",INT(($B949-$D949)/365.25))</f>
        <v/>
      </c>
      <c r="I949" s="25"/>
      <c r="J949" s="12"/>
      <c r="K949" s="12"/>
      <c r="L949" s="14" t="str">
        <f aca="false">IF(OR($C949="",$D949="",$B949=""),"",IF(COUNTIFS($C$5:$C$1504,$C949,$D$5:$D$1504,$D949,$B$5:$B$1504,$B949)&gt;1,"Takror",""))</f>
        <v/>
      </c>
    </row>
    <row r="950" customFormat="false" ht="15" hidden="false" customHeight="false" outlineLevel="0" collapsed="false">
      <c r="A950" s="8" t="n">
        <v>946</v>
      </c>
      <c r="B950" s="13"/>
      <c r="C950" s="12"/>
      <c r="D950" s="13"/>
      <c r="E950" s="24"/>
      <c r="F950" s="12"/>
      <c r="G950" s="25"/>
      <c r="H950" s="14" t="str">
        <f aca="false">IF(OR($D950="",$B950=""),"",INT(($B950-$D950)/365.25))</f>
        <v/>
      </c>
      <c r="I950" s="25"/>
      <c r="J950" s="12"/>
      <c r="K950" s="12"/>
      <c r="L950" s="14" t="str">
        <f aca="false">IF(OR($C950="",$D950="",$B950=""),"",IF(COUNTIFS($C$5:$C$1504,$C950,$D$5:$D$1504,$D950,$B$5:$B$1504,$B950)&gt;1,"Takror",""))</f>
        <v/>
      </c>
    </row>
    <row r="951" customFormat="false" ht="15" hidden="false" customHeight="false" outlineLevel="0" collapsed="false">
      <c r="A951" s="8" t="n">
        <v>947</v>
      </c>
      <c r="B951" s="13"/>
      <c r="C951" s="12"/>
      <c r="D951" s="13"/>
      <c r="E951" s="24"/>
      <c r="F951" s="12"/>
      <c r="G951" s="25"/>
      <c r="H951" s="14" t="str">
        <f aca="false">IF(OR($D951="",$B951=""),"",INT(($B951-$D951)/365.25))</f>
        <v/>
      </c>
      <c r="I951" s="25"/>
      <c r="J951" s="12"/>
      <c r="K951" s="12"/>
      <c r="L951" s="14" t="str">
        <f aca="false">IF(OR($C951="",$D951="",$B951=""),"",IF(COUNTIFS($C$5:$C$1504,$C951,$D$5:$D$1504,$D951,$B$5:$B$1504,$B951)&gt;1,"Takror",""))</f>
        <v/>
      </c>
    </row>
    <row r="952" customFormat="false" ht="15" hidden="false" customHeight="false" outlineLevel="0" collapsed="false">
      <c r="A952" s="8" t="n">
        <v>948</v>
      </c>
      <c r="B952" s="13"/>
      <c r="C952" s="12"/>
      <c r="D952" s="13"/>
      <c r="E952" s="24"/>
      <c r="F952" s="12"/>
      <c r="G952" s="25"/>
      <c r="H952" s="14" t="str">
        <f aca="false">IF(OR($D952="",$B952=""),"",INT(($B952-$D952)/365.25))</f>
        <v/>
      </c>
      <c r="I952" s="25"/>
      <c r="J952" s="12"/>
      <c r="K952" s="12"/>
      <c r="L952" s="14" t="str">
        <f aca="false">IF(OR($C952="",$D952="",$B952=""),"",IF(COUNTIFS($C$5:$C$1504,$C952,$D$5:$D$1504,$D952,$B$5:$B$1504,$B952)&gt;1,"Takror",""))</f>
        <v/>
      </c>
    </row>
    <row r="953" customFormat="false" ht="15" hidden="false" customHeight="false" outlineLevel="0" collapsed="false">
      <c r="A953" s="8" t="n">
        <v>949</v>
      </c>
      <c r="B953" s="13"/>
      <c r="C953" s="12"/>
      <c r="D953" s="13"/>
      <c r="E953" s="24"/>
      <c r="F953" s="12"/>
      <c r="G953" s="25"/>
      <c r="H953" s="14" t="str">
        <f aca="false">IF(OR($D953="",$B953=""),"",INT(($B953-$D953)/365.25))</f>
        <v/>
      </c>
      <c r="I953" s="25"/>
      <c r="J953" s="12"/>
      <c r="K953" s="12"/>
      <c r="L953" s="14" t="str">
        <f aca="false">IF(OR($C953="",$D953="",$B953=""),"",IF(COUNTIFS($C$5:$C$1504,$C953,$D$5:$D$1504,$D953,$B$5:$B$1504,$B953)&gt;1,"Takror",""))</f>
        <v/>
      </c>
    </row>
    <row r="954" customFormat="false" ht="15" hidden="false" customHeight="false" outlineLevel="0" collapsed="false">
      <c r="A954" s="8" t="n">
        <v>950</v>
      </c>
      <c r="B954" s="13"/>
      <c r="C954" s="12"/>
      <c r="D954" s="13"/>
      <c r="E954" s="24"/>
      <c r="F954" s="12"/>
      <c r="G954" s="25"/>
      <c r="H954" s="14" t="str">
        <f aca="false">IF(OR($D954="",$B954=""),"",INT(($B954-$D954)/365.25))</f>
        <v/>
      </c>
      <c r="I954" s="25"/>
      <c r="J954" s="12"/>
      <c r="K954" s="12"/>
      <c r="L954" s="14" t="str">
        <f aca="false">IF(OR($C954="",$D954="",$B954=""),"",IF(COUNTIFS($C$5:$C$1504,$C954,$D$5:$D$1504,$D954,$B$5:$B$1504,$B954)&gt;1,"Takror",""))</f>
        <v/>
      </c>
    </row>
    <row r="955" customFormat="false" ht="15" hidden="false" customHeight="false" outlineLevel="0" collapsed="false">
      <c r="A955" s="8" t="n">
        <v>951</v>
      </c>
      <c r="B955" s="13"/>
      <c r="C955" s="12"/>
      <c r="D955" s="13"/>
      <c r="E955" s="24"/>
      <c r="F955" s="12"/>
      <c r="G955" s="25"/>
      <c r="H955" s="14" t="str">
        <f aca="false">IF(OR($D955="",$B955=""),"",INT(($B955-$D955)/365.25))</f>
        <v/>
      </c>
      <c r="I955" s="25"/>
      <c r="J955" s="12"/>
      <c r="K955" s="12"/>
      <c r="L955" s="14" t="str">
        <f aca="false">IF(OR($C955="",$D955="",$B955=""),"",IF(COUNTIFS($C$5:$C$1504,$C955,$D$5:$D$1504,$D955,$B$5:$B$1504,$B955)&gt;1,"Takror",""))</f>
        <v/>
      </c>
    </row>
    <row r="956" customFormat="false" ht="15" hidden="false" customHeight="false" outlineLevel="0" collapsed="false">
      <c r="A956" s="8" t="n">
        <v>952</v>
      </c>
      <c r="B956" s="13"/>
      <c r="C956" s="12"/>
      <c r="D956" s="13"/>
      <c r="E956" s="24"/>
      <c r="F956" s="12"/>
      <c r="G956" s="25"/>
      <c r="H956" s="14" t="str">
        <f aca="false">IF(OR($D956="",$B956=""),"",INT(($B956-$D956)/365.25))</f>
        <v/>
      </c>
      <c r="I956" s="25"/>
      <c r="J956" s="12"/>
      <c r="K956" s="12"/>
      <c r="L956" s="14" t="str">
        <f aca="false">IF(OR($C956="",$D956="",$B956=""),"",IF(COUNTIFS($C$5:$C$1504,$C956,$D$5:$D$1504,$D956,$B$5:$B$1504,$B956)&gt;1,"Takror",""))</f>
        <v/>
      </c>
    </row>
    <row r="957" customFormat="false" ht="15" hidden="false" customHeight="false" outlineLevel="0" collapsed="false">
      <c r="A957" s="8" t="n">
        <v>953</v>
      </c>
      <c r="B957" s="13"/>
      <c r="C957" s="12"/>
      <c r="D957" s="13"/>
      <c r="E957" s="24"/>
      <c r="F957" s="12"/>
      <c r="G957" s="25"/>
      <c r="H957" s="14" t="str">
        <f aca="false">IF(OR($D957="",$B957=""),"",INT(($B957-$D957)/365.25))</f>
        <v/>
      </c>
      <c r="I957" s="25"/>
      <c r="J957" s="12"/>
      <c r="K957" s="12"/>
      <c r="L957" s="14" t="str">
        <f aca="false">IF(OR($C957="",$D957="",$B957=""),"",IF(COUNTIFS($C$5:$C$1504,$C957,$D$5:$D$1504,$D957,$B$5:$B$1504,$B957)&gt;1,"Takror",""))</f>
        <v/>
      </c>
    </row>
    <row r="958" customFormat="false" ht="15" hidden="false" customHeight="false" outlineLevel="0" collapsed="false">
      <c r="A958" s="8" t="n">
        <v>954</v>
      </c>
      <c r="B958" s="13"/>
      <c r="C958" s="12"/>
      <c r="D958" s="13"/>
      <c r="E958" s="24"/>
      <c r="F958" s="12"/>
      <c r="G958" s="25"/>
      <c r="H958" s="14" t="str">
        <f aca="false">IF(OR($D958="",$B958=""),"",INT(($B958-$D958)/365.25))</f>
        <v/>
      </c>
      <c r="I958" s="25"/>
      <c r="J958" s="12"/>
      <c r="K958" s="12"/>
      <c r="L958" s="14" t="str">
        <f aca="false">IF(OR($C958="",$D958="",$B958=""),"",IF(COUNTIFS($C$5:$C$1504,$C958,$D$5:$D$1504,$D958,$B$5:$B$1504,$B958)&gt;1,"Takror",""))</f>
        <v/>
      </c>
    </row>
    <row r="959" customFormat="false" ht="15" hidden="false" customHeight="false" outlineLevel="0" collapsed="false">
      <c r="A959" s="8" t="n">
        <v>955</v>
      </c>
      <c r="B959" s="13"/>
      <c r="C959" s="12"/>
      <c r="D959" s="13"/>
      <c r="E959" s="24"/>
      <c r="F959" s="12"/>
      <c r="G959" s="25"/>
      <c r="H959" s="14" t="str">
        <f aca="false">IF(OR($D959="",$B959=""),"",INT(($B959-$D959)/365.25))</f>
        <v/>
      </c>
      <c r="I959" s="25"/>
      <c r="J959" s="12"/>
      <c r="K959" s="12"/>
      <c r="L959" s="14" t="str">
        <f aca="false">IF(OR($C959="",$D959="",$B959=""),"",IF(COUNTIFS($C$5:$C$1504,$C959,$D$5:$D$1504,$D959,$B$5:$B$1504,$B959)&gt;1,"Takror",""))</f>
        <v/>
      </c>
    </row>
    <row r="960" customFormat="false" ht="15" hidden="false" customHeight="false" outlineLevel="0" collapsed="false">
      <c r="A960" s="8" t="n">
        <v>956</v>
      </c>
      <c r="B960" s="13"/>
      <c r="C960" s="12"/>
      <c r="D960" s="13"/>
      <c r="E960" s="24"/>
      <c r="F960" s="12"/>
      <c r="G960" s="25"/>
      <c r="H960" s="14" t="str">
        <f aca="false">IF(OR($D960="",$B960=""),"",INT(($B960-$D960)/365.25))</f>
        <v/>
      </c>
      <c r="I960" s="25"/>
      <c r="J960" s="12"/>
      <c r="K960" s="12"/>
      <c r="L960" s="14" t="str">
        <f aca="false">IF(OR($C960="",$D960="",$B960=""),"",IF(COUNTIFS($C$5:$C$1504,$C960,$D$5:$D$1504,$D960,$B$5:$B$1504,$B960)&gt;1,"Takror",""))</f>
        <v/>
      </c>
    </row>
    <row r="961" customFormat="false" ht="15" hidden="false" customHeight="false" outlineLevel="0" collapsed="false">
      <c r="A961" s="8" t="n">
        <v>957</v>
      </c>
      <c r="B961" s="13"/>
      <c r="C961" s="12"/>
      <c r="D961" s="13"/>
      <c r="E961" s="24"/>
      <c r="F961" s="12"/>
      <c r="G961" s="25"/>
      <c r="H961" s="14" t="str">
        <f aca="false">IF(OR($D961="",$B961=""),"",INT(($B961-$D961)/365.25))</f>
        <v/>
      </c>
      <c r="I961" s="25"/>
      <c r="J961" s="12"/>
      <c r="K961" s="12"/>
      <c r="L961" s="14" t="str">
        <f aca="false">IF(OR($C961="",$D961="",$B961=""),"",IF(COUNTIFS($C$5:$C$1504,$C961,$D$5:$D$1504,$D961,$B$5:$B$1504,$B961)&gt;1,"Takror",""))</f>
        <v/>
      </c>
    </row>
    <row r="962" customFormat="false" ht="15" hidden="false" customHeight="false" outlineLevel="0" collapsed="false">
      <c r="A962" s="8" t="n">
        <v>958</v>
      </c>
      <c r="B962" s="13"/>
      <c r="C962" s="12"/>
      <c r="D962" s="13"/>
      <c r="E962" s="24"/>
      <c r="F962" s="12"/>
      <c r="G962" s="25"/>
      <c r="H962" s="14" t="str">
        <f aca="false">IF(OR($D962="",$B962=""),"",INT(($B962-$D962)/365.25))</f>
        <v/>
      </c>
      <c r="I962" s="25"/>
      <c r="J962" s="12"/>
      <c r="K962" s="12"/>
      <c r="L962" s="14" t="str">
        <f aca="false">IF(OR($C962="",$D962="",$B962=""),"",IF(COUNTIFS($C$5:$C$1504,$C962,$D$5:$D$1504,$D962,$B$5:$B$1504,$B962)&gt;1,"Takror",""))</f>
        <v/>
      </c>
    </row>
    <row r="963" customFormat="false" ht="15" hidden="false" customHeight="false" outlineLevel="0" collapsed="false">
      <c r="A963" s="8" t="n">
        <v>959</v>
      </c>
      <c r="B963" s="13"/>
      <c r="C963" s="12"/>
      <c r="D963" s="13"/>
      <c r="E963" s="24"/>
      <c r="F963" s="12"/>
      <c r="G963" s="25"/>
      <c r="H963" s="14" t="str">
        <f aca="false">IF(OR($D963="",$B963=""),"",INT(($B963-$D963)/365.25))</f>
        <v/>
      </c>
      <c r="I963" s="25"/>
      <c r="J963" s="12"/>
      <c r="K963" s="12"/>
      <c r="L963" s="14" t="str">
        <f aca="false">IF(OR($C963="",$D963="",$B963=""),"",IF(COUNTIFS($C$5:$C$1504,$C963,$D$5:$D$1504,$D963,$B$5:$B$1504,$B963)&gt;1,"Takror",""))</f>
        <v/>
      </c>
    </row>
    <row r="964" customFormat="false" ht="15" hidden="false" customHeight="false" outlineLevel="0" collapsed="false">
      <c r="A964" s="8" t="n">
        <v>960</v>
      </c>
      <c r="B964" s="13"/>
      <c r="C964" s="12"/>
      <c r="D964" s="13"/>
      <c r="E964" s="24"/>
      <c r="F964" s="12"/>
      <c r="G964" s="25"/>
      <c r="H964" s="14" t="str">
        <f aca="false">IF(OR($D964="",$B964=""),"",INT(($B964-$D964)/365.25))</f>
        <v/>
      </c>
      <c r="I964" s="25"/>
      <c r="J964" s="12"/>
      <c r="K964" s="12"/>
      <c r="L964" s="14" t="str">
        <f aca="false">IF(OR($C964="",$D964="",$B964=""),"",IF(COUNTIFS($C$5:$C$1504,$C964,$D$5:$D$1504,$D964,$B$5:$B$1504,$B964)&gt;1,"Takror",""))</f>
        <v/>
      </c>
    </row>
    <row r="965" customFormat="false" ht="15" hidden="false" customHeight="false" outlineLevel="0" collapsed="false">
      <c r="A965" s="8" t="n">
        <v>961</v>
      </c>
      <c r="B965" s="13"/>
      <c r="C965" s="12"/>
      <c r="D965" s="13"/>
      <c r="E965" s="24"/>
      <c r="F965" s="12"/>
      <c r="G965" s="25"/>
      <c r="H965" s="14" t="str">
        <f aca="false">IF(OR($D965="",$B965=""),"",INT(($B965-$D965)/365.25))</f>
        <v/>
      </c>
      <c r="I965" s="25"/>
      <c r="J965" s="12"/>
      <c r="K965" s="12"/>
      <c r="L965" s="14" t="str">
        <f aca="false">IF(OR($C965="",$D965="",$B965=""),"",IF(COUNTIFS($C$5:$C$1504,$C965,$D$5:$D$1504,$D965,$B$5:$B$1504,$B965)&gt;1,"Takror",""))</f>
        <v/>
      </c>
    </row>
    <row r="966" customFormat="false" ht="15" hidden="false" customHeight="false" outlineLevel="0" collapsed="false">
      <c r="A966" s="8" t="n">
        <v>962</v>
      </c>
      <c r="B966" s="13"/>
      <c r="C966" s="12"/>
      <c r="D966" s="13"/>
      <c r="E966" s="24"/>
      <c r="F966" s="12"/>
      <c r="G966" s="25"/>
      <c r="H966" s="14" t="str">
        <f aca="false">IF(OR($D966="",$B966=""),"",INT(($B966-$D966)/365.25))</f>
        <v/>
      </c>
      <c r="I966" s="25"/>
      <c r="J966" s="12"/>
      <c r="K966" s="12"/>
      <c r="L966" s="14" t="str">
        <f aca="false">IF(OR($C966="",$D966="",$B966=""),"",IF(COUNTIFS($C$5:$C$1504,$C966,$D$5:$D$1504,$D966,$B$5:$B$1504,$B966)&gt;1,"Takror",""))</f>
        <v/>
      </c>
    </row>
    <row r="967" customFormat="false" ht="15" hidden="false" customHeight="false" outlineLevel="0" collapsed="false">
      <c r="A967" s="8" t="n">
        <v>963</v>
      </c>
      <c r="B967" s="13"/>
      <c r="C967" s="12"/>
      <c r="D967" s="13"/>
      <c r="E967" s="24"/>
      <c r="F967" s="12"/>
      <c r="G967" s="25"/>
      <c r="H967" s="14" t="str">
        <f aca="false">IF(OR($D967="",$B967=""),"",INT(($B967-$D967)/365.25))</f>
        <v/>
      </c>
      <c r="I967" s="25"/>
      <c r="J967" s="12"/>
      <c r="K967" s="12"/>
      <c r="L967" s="14" t="str">
        <f aca="false">IF(OR($C967="",$D967="",$B967=""),"",IF(COUNTIFS($C$5:$C$1504,$C967,$D$5:$D$1504,$D967,$B$5:$B$1504,$B967)&gt;1,"Takror",""))</f>
        <v/>
      </c>
    </row>
    <row r="968" customFormat="false" ht="15" hidden="false" customHeight="false" outlineLevel="0" collapsed="false">
      <c r="A968" s="8" t="n">
        <v>964</v>
      </c>
      <c r="B968" s="13"/>
      <c r="C968" s="12"/>
      <c r="D968" s="13"/>
      <c r="E968" s="24"/>
      <c r="F968" s="12"/>
      <c r="G968" s="25"/>
      <c r="H968" s="14" t="str">
        <f aca="false">IF(OR($D968="",$B968=""),"",INT(($B968-$D968)/365.25))</f>
        <v/>
      </c>
      <c r="I968" s="25"/>
      <c r="J968" s="12"/>
      <c r="K968" s="12"/>
      <c r="L968" s="14" t="str">
        <f aca="false">IF(OR($C968="",$D968="",$B968=""),"",IF(COUNTIFS($C$5:$C$1504,$C968,$D$5:$D$1504,$D968,$B$5:$B$1504,$B968)&gt;1,"Takror",""))</f>
        <v/>
      </c>
    </row>
    <row r="969" customFormat="false" ht="15" hidden="false" customHeight="false" outlineLevel="0" collapsed="false">
      <c r="A969" s="8" t="n">
        <v>965</v>
      </c>
      <c r="B969" s="13"/>
      <c r="C969" s="12"/>
      <c r="D969" s="13"/>
      <c r="E969" s="24"/>
      <c r="F969" s="12"/>
      <c r="G969" s="25"/>
      <c r="H969" s="14" t="str">
        <f aca="false">IF(OR($D969="",$B969=""),"",INT(($B969-$D969)/365.25))</f>
        <v/>
      </c>
      <c r="I969" s="25"/>
      <c r="J969" s="12"/>
      <c r="K969" s="12"/>
      <c r="L969" s="14" t="str">
        <f aca="false">IF(OR($C969="",$D969="",$B969=""),"",IF(COUNTIFS($C$5:$C$1504,$C969,$D$5:$D$1504,$D969,$B$5:$B$1504,$B969)&gt;1,"Takror",""))</f>
        <v/>
      </c>
    </row>
    <row r="970" customFormat="false" ht="15" hidden="false" customHeight="false" outlineLevel="0" collapsed="false">
      <c r="A970" s="8" t="n">
        <v>966</v>
      </c>
      <c r="B970" s="13"/>
      <c r="C970" s="12"/>
      <c r="D970" s="13"/>
      <c r="E970" s="24"/>
      <c r="F970" s="12"/>
      <c r="G970" s="25"/>
      <c r="H970" s="14" t="str">
        <f aca="false">IF(OR($D970="",$B970=""),"",INT(($B970-$D970)/365.25))</f>
        <v/>
      </c>
      <c r="I970" s="25"/>
      <c r="J970" s="12"/>
      <c r="K970" s="12"/>
      <c r="L970" s="14" t="str">
        <f aca="false">IF(OR($C970="",$D970="",$B970=""),"",IF(COUNTIFS($C$5:$C$1504,$C970,$D$5:$D$1504,$D970,$B$5:$B$1504,$B970)&gt;1,"Takror",""))</f>
        <v/>
      </c>
    </row>
    <row r="971" customFormat="false" ht="15" hidden="false" customHeight="false" outlineLevel="0" collapsed="false">
      <c r="A971" s="8" t="n">
        <v>967</v>
      </c>
      <c r="B971" s="13"/>
      <c r="C971" s="12"/>
      <c r="D971" s="13"/>
      <c r="E971" s="24"/>
      <c r="F971" s="12"/>
      <c r="G971" s="25"/>
      <c r="H971" s="14" t="str">
        <f aca="false">IF(OR($D971="",$B971=""),"",INT(($B971-$D971)/365.25))</f>
        <v/>
      </c>
      <c r="I971" s="25"/>
      <c r="J971" s="12"/>
      <c r="K971" s="12"/>
      <c r="L971" s="14" t="str">
        <f aca="false">IF(OR($C971="",$D971="",$B971=""),"",IF(COUNTIFS($C$5:$C$1504,$C971,$D$5:$D$1504,$D971,$B$5:$B$1504,$B971)&gt;1,"Takror",""))</f>
        <v/>
      </c>
    </row>
    <row r="972" customFormat="false" ht="15" hidden="false" customHeight="false" outlineLevel="0" collapsed="false">
      <c r="A972" s="8" t="n">
        <v>968</v>
      </c>
      <c r="B972" s="13"/>
      <c r="C972" s="12"/>
      <c r="D972" s="13"/>
      <c r="E972" s="24"/>
      <c r="F972" s="12"/>
      <c r="G972" s="25"/>
      <c r="H972" s="14" t="str">
        <f aca="false">IF(OR($D972="",$B972=""),"",INT(($B972-$D972)/365.25))</f>
        <v/>
      </c>
      <c r="I972" s="25"/>
      <c r="J972" s="12"/>
      <c r="K972" s="12"/>
      <c r="L972" s="14" t="str">
        <f aca="false">IF(OR($C972="",$D972="",$B972=""),"",IF(COUNTIFS($C$5:$C$1504,$C972,$D$5:$D$1504,$D972,$B$5:$B$1504,$B972)&gt;1,"Takror",""))</f>
        <v/>
      </c>
    </row>
    <row r="973" customFormat="false" ht="15" hidden="false" customHeight="false" outlineLevel="0" collapsed="false">
      <c r="A973" s="8" t="n">
        <v>969</v>
      </c>
      <c r="B973" s="13"/>
      <c r="C973" s="12"/>
      <c r="D973" s="13"/>
      <c r="E973" s="24"/>
      <c r="F973" s="12"/>
      <c r="G973" s="25"/>
      <c r="H973" s="14" t="str">
        <f aca="false">IF(OR($D973="",$B973=""),"",INT(($B973-$D973)/365.25))</f>
        <v/>
      </c>
      <c r="I973" s="25"/>
      <c r="J973" s="12"/>
      <c r="K973" s="12"/>
      <c r="L973" s="14" t="str">
        <f aca="false">IF(OR($C973="",$D973="",$B973=""),"",IF(COUNTIFS($C$5:$C$1504,$C973,$D$5:$D$1504,$D973,$B$5:$B$1504,$B973)&gt;1,"Takror",""))</f>
        <v/>
      </c>
    </row>
    <row r="974" customFormat="false" ht="15" hidden="false" customHeight="false" outlineLevel="0" collapsed="false">
      <c r="A974" s="8" t="n">
        <v>970</v>
      </c>
      <c r="B974" s="13"/>
      <c r="C974" s="12"/>
      <c r="D974" s="13"/>
      <c r="E974" s="24"/>
      <c r="F974" s="12"/>
      <c r="G974" s="25"/>
      <c r="H974" s="14" t="str">
        <f aca="false">IF(OR($D974="",$B974=""),"",INT(($B974-$D974)/365.25))</f>
        <v/>
      </c>
      <c r="I974" s="25"/>
      <c r="J974" s="12"/>
      <c r="K974" s="12"/>
      <c r="L974" s="14" t="str">
        <f aca="false">IF(OR($C974="",$D974="",$B974=""),"",IF(COUNTIFS($C$5:$C$1504,$C974,$D$5:$D$1504,$D974,$B$5:$B$1504,$B974)&gt;1,"Takror",""))</f>
        <v/>
      </c>
    </row>
    <row r="975" customFormat="false" ht="15" hidden="false" customHeight="false" outlineLevel="0" collapsed="false">
      <c r="A975" s="8" t="n">
        <v>971</v>
      </c>
      <c r="B975" s="13"/>
      <c r="C975" s="12"/>
      <c r="D975" s="13"/>
      <c r="E975" s="24"/>
      <c r="F975" s="12"/>
      <c r="G975" s="25"/>
      <c r="H975" s="14" t="str">
        <f aca="false">IF(OR($D975="",$B975=""),"",INT(($B975-$D975)/365.25))</f>
        <v/>
      </c>
      <c r="I975" s="25"/>
      <c r="J975" s="12"/>
      <c r="K975" s="12"/>
      <c r="L975" s="14" t="str">
        <f aca="false">IF(OR($C975="",$D975="",$B975=""),"",IF(COUNTIFS($C$5:$C$1504,$C975,$D$5:$D$1504,$D975,$B$5:$B$1504,$B975)&gt;1,"Takror",""))</f>
        <v/>
      </c>
    </row>
    <row r="976" customFormat="false" ht="15" hidden="false" customHeight="false" outlineLevel="0" collapsed="false">
      <c r="A976" s="8" t="n">
        <v>972</v>
      </c>
      <c r="B976" s="13"/>
      <c r="C976" s="12"/>
      <c r="D976" s="13"/>
      <c r="E976" s="24"/>
      <c r="F976" s="12"/>
      <c r="G976" s="25"/>
      <c r="H976" s="14" t="str">
        <f aca="false">IF(OR($D976="",$B976=""),"",INT(($B976-$D976)/365.25))</f>
        <v/>
      </c>
      <c r="I976" s="25"/>
      <c r="J976" s="12"/>
      <c r="K976" s="12"/>
      <c r="L976" s="14" t="str">
        <f aca="false">IF(OR($C976="",$D976="",$B976=""),"",IF(COUNTIFS($C$5:$C$1504,$C976,$D$5:$D$1504,$D976,$B$5:$B$1504,$B976)&gt;1,"Takror",""))</f>
        <v/>
      </c>
    </row>
    <row r="977" customFormat="false" ht="15" hidden="false" customHeight="false" outlineLevel="0" collapsed="false">
      <c r="A977" s="8" t="n">
        <v>973</v>
      </c>
      <c r="B977" s="13"/>
      <c r="C977" s="12"/>
      <c r="D977" s="13"/>
      <c r="E977" s="24"/>
      <c r="F977" s="12"/>
      <c r="G977" s="25"/>
      <c r="H977" s="14" t="str">
        <f aca="false">IF(OR($D977="",$B977=""),"",INT(($B977-$D977)/365.25))</f>
        <v/>
      </c>
      <c r="I977" s="25"/>
      <c r="J977" s="12"/>
      <c r="K977" s="12"/>
      <c r="L977" s="14" t="str">
        <f aca="false">IF(OR($C977="",$D977="",$B977=""),"",IF(COUNTIFS($C$5:$C$1504,$C977,$D$5:$D$1504,$D977,$B$5:$B$1504,$B977)&gt;1,"Takror",""))</f>
        <v/>
      </c>
    </row>
    <row r="978" customFormat="false" ht="15" hidden="false" customHeight="false" outlineLevel="0" collapsed="false">
      <c r="A978" s="8" t="n">
        <v>974</v>
      </c>
      <c r="B978" s="13"/>
      <c r="C978" s="12"/>
      <c r="D978" s="13"/>
      <c r="E978" s="24"/>
      <c r="F978" s="12"/>
      <c r="G978" s="25"/>
      <c r="H978" s="14" t="str">
        <f aca="false">IF(OR($D978="",$B978=""),"",INT(($B978-$D978)/365.25))</f>
        <v/>
      </c>
      <c r="I978" s="25"/>
      <c r="J978" s="12"/>
      <c r="K978" s="12"/>
      <c r="L978" s="14" t="str">
        <f aca="false">IF(OR($C978="",$D978="",$B978=""),"",IF(COUNTIFS($C$5:$C$1504,$C978,$D$5:$D$1504,$D978,$B$5:$B$1504,$B978)&gt;1,"Takror",""))</f>
        <v/>
      </c>
    </row>
    <row r="979" customFormat="false" ht="15" hidden="false" customHeight="false" outlineLevel="0" collapsed="false">
      <c r="A979" s="8" t="n">
        <v>975</v>
      </c>
      <c r="B979" s="13"/>
      <c r="C979" s="12"/>
      <c r="D979" s="13"/>
      <c r="E979" s="24"/>
      <c r="F979" s="12"/>
      <c r="G979" s="25"/>
      <c r="H979" s="14" t="str">
        <f aca="false">IF(OR($D979="",$B979=""),"",INT(($B979-$D979)/365.25))</f>
        <v/>
      </c>
      <c r="I979" s="25"/>
      <c r="J979" s="12"/>
      <c r="K979" s="12"/>
      <c r="L979" s="14" t="str">
        <f aca="false">IF(OR($C979="",$D979="",$B979=""),"",IF(COUNTIFS($C$5:$C$1504,$C979,$D$5:$D$1504,$D979,$B$5:$B$1504,$B979)&gt;1,"Takror",""))</f>
        <v/>
      </c>
    </row>
    <row r="980" customFormat="false" ht="15" hidden="false" customHeight="false" outlineLevel="0" collapsed="false">
      <c r="A980" s="8" t="n">
        <v>976</v>
      </c>
      <c r="B980" s="13"/>
      <c r="C980" s="12"/>
      <c r="D980" s="13"/>
      <c r="E980" s="24"/>
      <c r="F980" s="12"/>
      <c r="G980" s="25"/>
      <c r="H980" s="14" t="str">
        <f aca="false">IF(OR($D980="",$B980=""),"",INT(($B980-$D980)/365.25))</f>
        <v/>
      </c>
      <c r="I980" s="25"/>
      <c r="J980" s="12"/>
      <c r="K980" s="12"/>
      <c r="L980" s="14" t="str">
        <f aca="false">IF(OR($C980="",$D980="",$B980=""),"",IF(COUNTIFS($C$5:$C$1504,$C980,$D$5:$D$1504,$D980,$B$5:$B$1504,$B980)&gt;1,"Takror",""))</f>
        <v/>
      </c>
    </row>
    <row r="981" customFormat="false" ht="15" hidden="false" customHeight="false" outlineLevel="0" collapsed="false">
      <c r="A981" s="8" t="n">
        <v>977</v>
      </c>
      <c r="B981" s="13"/>
      <c r="C981" s="12"/>
      <c r="D981" s="13"/>
      <c r="E981" s="24"/>
      <c r="F981" s="12"/>
      <c r="G981" s="25"/>
      <c r="H981" s="14" t="str">
        <f aca="false">IF(OR($D981="",$B981=""),"",INT(($B981-$D981)/365.25))</f>
        <v/>
      </c>
      <c r="I981" s="25"/>
      <c r="J981" s="12"/>
      <c r="K981" s="12"/>
      <c r="L981" s="14" t="str">
        <f aca="false">IF(OR($C981="",$D981="",$B981=""),"",IF(COUNTIFS($C$5:$C$1504,$C981,$D$5:$D$1504,$D981,$B$5:$B$1504,$B981)&gt;1,"Takror",""))</f>
        <v/>
      </c>
    </row>
    <row r="982" customFormat="false" ht="15" hidden="false" customHeight="false" outlineLevel="0" collapsed="false">
      <c r="A982" s="8" t="n">
        <v>978</v>
      </c>
      <c r="B982" s="13"/>
      <c r="C982" s="12"/>
      <c r="D982" s="13"/>
      <c r="E982" s="24"/>
      <c r="F982" s="12"/>
      <c r="G982" s="25"/>
      <c r="H982" s="14" t="str">
        <f aca="false">IF(OR($D982="",$B982=""),"",INT(($B982-$D982)/365.25))</f>
        <v/>
      </c>
      <c r="I982" s="25"/>
      <c r="J982" s="12"/>
      <c r="K982" s="12"/>
      <c r="L982" s="14" t="str">
        <f aca="false">IF(OR($C982="",$D982="",$B982=""),"",IF(COUNTIFS($C$5:$C$1504,$C982,$D$5:$D$1504,$D982,$B$5:$B$1504,$B982)&gt;1,"Takror",""))</f>
        <v/>
      </c>
    </row>
    <row r="983" customFormat="false" ht="15" hidden="false" customHeight="false" outlineLevel="0" collapsed="false">
      <c r="A983" s="8" t="n">
        <v>979</v>
      </c>
      <c r="B983" s="13"/>
      <c r="C983" s="12"/>
      <c r="D983" s="13"/>
      <c r="E983" s="24"/>
      <c r="F983" s="12"/>
      <c r="G983" s="25"/>
      <c r="H983" s="14" t="str">
        <f aca="false">IF(OR($D983="",$B983=""),"",INT(($B983-$D983)/365.25))</f>
        <v/>
      </c>
      <c r="I983" s="25"/>
      <c r="J983" s="12"/>
      <c r="K983" s="12"/>
      <c r="L983" s="14" t="str">
        <f aca="false">IF(OR($C983="",$D983="",$B983=""),"",IF(COUNTIFS($C$5:$C$1504,$C983,$D$5:$D$1504,$D983,$B$5:$B$1504,$B983)&gt;1,"Takror",""))</f>
        <v/>
      </c>
    </row>
    <row r="984" customFormat="false" ht="15" hidden="false" customHeight="false" outlineLevel="0" collapsed="false">
      <c r="A984" s="8" t="n">
        <v>980</v>
      </c>
      <c r="B984" s="13"/>
      <c r="C984" s="12"/>
      <c r="D984" s="13"/>
      <c r="E984" s="24"/>
      <c r="F984" s="12"/>
      <c r="G984" s="25"/>
      <c r="H984" s="14" t="str">
        <f aca="false">IF(OR($D984="",$B984=""),"",INT(($B984-$D984)/365.25))</f>
        <v/>
      </c>
      <c r="I984" s="25"/>
      <c r="J984" s="12"/>
      <c r="K984" s="12"/>
      <c r="L984" s="14" t="str">
        <f aca="false">IF(OR($C984="",$D984="",$B984=""),"",IF(COUNTIFS($C$5:$C$1504,$C984,$D$5:$D$1504,$D984,$B$5:$B$1504,$B984)&gt;1,"Takror",""))</f>
        <v/>
      </c>
    </row>
    <row r="985" customFormat="false" ht="15" hidden="false" customHeight="false" outlineLevel="0" collapsed="false">
      <c r="A985" s="8" t="n">
        <v>981</v>
      </c>
      <c r="B985" s="13"/>
      <c r="C985" s="12"/>
      <c r="D985" s="13"/>
      <c r="E985" s="24"/>
      <c r="F985" s="12"/>
      <c r="G985" s="25"/>
      <c r="H985" s="14" t="str">
        <f aca="false">IF(OR($D985="",$B985=""),"",INT(($B985-$D985)/365.25))</f>
        <v/>
      </c>
      <c r="I985" s="25"/>
      <c r="J985" s="12"/>
      <c r="K985" s="12"/>
      <c r="L985" s="14" t="str">
        <f aca="false">IF(OR($C985="",$D985="",$B985=""),"",IF(COUNTIFS($C$5:$C$1504,$C985,$D$5:$D$1504,$D985,$B$5:$B$1504,$B985)&gt;1,"Takror",""))</f>
        <v/>
      </c>
    </row>
    <row r="986" customFormat="false" ht="15" hidden="false" customHeight="false" outlineLevel="0" collapsed="false">
      <c r="A986" s="8" t="n">
        <v>982</v>
      </c>
      <c r="B986" s="13"/>
      <c r="C986" s="12"/>
      <c r="D986" s="13"/>
      <c r="E986" s="24"/>
      <c r="F986" s="12"/>
      <c r="G986" s="25"/>
      <c r="H986" s="14" t="str">
        <f aca="false">IF(OR($D986="",$B986=""),"",INT(($B986-$D986)/365.25))</f>
        <v/>
      </c>
      <c r="I986" s="25"/>
      <c r="J986" s="12"/>
      <c r="K986" s="12"/>
      <c r="L986" s="14" t="str">
        <f aca="false">IF(OR($C986="",$D986="",$B986=""),"",IF(COUNTIFS($C$5:$C$1504,$C986,$D$5:$D$1504,$D986,$B$5:$B$1504,$B986)&gt;1,"Takror",""))</f>
        <v/>
      </c>
    </row>
    <row r="987" customFormat="false" ht="15" hidden="false" customHeight="false" outlineLevel="0" collapsed="false">
      <c r="A987" s="8" t="n">
        <v>983</v>
      </c>
      <c r="B987" s="13"/>
      <c r="C987" s="12"/>
      <c r="D987" s="13"/>
      <c r="E987" s="24"/>
      <c r="F987" s="12"/>
      <c r="G987" s="25"/>
      <c r="H987" s="14" t="str">
        <f aca="false">IF(OR($D987="",$B987=""),"",INT(($B987-$D987)/365.25))</f>
        <v/>
      </c>
      <c r="I987" s="25"/>
      <c r="J987" s="12"/>
      <c r="K987" s="12"/>
      <c r="L987" s="14" t="str">
        <f aca="false">IF(OR($C987="",$D987="",$B987=""),"",IF(COUNTIFS($C$5:$C$1504,$C987,$D$5:$D$1504,$D987,$B$5:$B$1504,$B987)&gt;1,"Takror",""))</f>
        <v/>
      </c>
    </row>
    <row r="988" customFormat="false" ht="15" hidden="false" customHeight="false" outlineLevel="0" collapsed="false">
      <c r="A988" s="8" t="n">
        <v>984</v>
      </c>
      <c r="B988" s="13"/>
      <c r="C988" s="12"/>
      <c r="D988" s="13"/>
      <c r="E988" s="24"/>
      <c r="F988" s="12"/>
      <c r="G988" s="25"/>
      <c r="H988" s="14" t="str">
        <f aca="false">IF(OR($D988="",$B988=""),"",INT(($B988-$D988)/365.25))</f>
        <v/>
      </c>
      <c r="I988" s="25"/>
      <c r="J988" s="12"/>
      <c r="K988" s="12"/>
      <c r="L988" s="14" t="str">
        <f aca="false">IF(OR($C988="",$D988="",$B988=""),"",IF(COUNTIFS($C$5:$C$1504,$C988,$D$5:$D$1504,$D988,$B$5:$B$1504,$B988)&gt;1,"Takror",""))</f>
        <v/>
      </c>
    </row>
    <row r="989" customFormat="false" ht="15" hidden="false" customHeight="false" outlineLevel="0" collapsed="false">
      <c r="A989" s="8" t="n">
        <v>985</v>
      </c>
      <c r="B989" s="13"/>
      <c r="C989" s="12"/>
      <c r="D989" s="13"/>
      <c r="E989" s="24"/>
      <c r="F989" s="12"/>
      <c r="G989" s="25"/>
      <c r="H989" s="14" t="str">
        <f aca="false">IF(OR($D989="",$B989=""),"",INT(($B989-$D989)/365.25))</f>
        <v/>
      </c>
      <c r="I989" s="25"/>
      <c r="J989" s="12"/>
      <c r="K989" s="12"/>
      <c r="L989" s="14" t="str">
        <f aca="false">IF(OR($C989="",$D989="",$B989=""),"",IF(COUNTIFS($C$5:$C$1504,$C989,$D$5:$D$1504,$D989,$B$5:$B$1504,$B989)&gt;1,"Takror",""))</f>
        <v/>
      </c>
    </row>
    <row r="990" customFormat="false" ht="15" hidden="false" customHeight="false" outlineLevel="0" collapsed="false">
      <c r="A990" s="8" t="n">
        <v>986</v>
      </c>
      <c r="B990" s="13"/>
      <c r="C990" s="12"/>
      <c r="D990" s="13"/>
      <c r="E990" s="24"/>
      <c r="F990" s="12"/>
      <c r="G990" s="25"/>
      <c r="H990" s="14" t="str">
        <f aca="false">IF(OR($D990="",$B990=""),"",INT(($B990-$D990)/365.25))</f>
        <v/>
      </c>
      <c r="I990" s="25"/>
      <c r="J990" s="12"/>
      <c r="K990" s="12"/>
      <c r="L990" s="14" t="str">
        <f aca="false">IF(OR($C990="",$D990="",$B990=""),"",IF(COUNTIFS($C$5:$C$1504,$C990,$D$5:$D$1504,$D990,$B$5:$B$1504,$B990)&gt;1,"Takror",""))</f>
        <v/>
      </c>
    </row>
    <row r="991" customFormat="false" ht="15" hidden="false" customHeight="false" outlineLevel="0" collapsed="false">
      <c r="A991" s="8" t="n">
        <v>987</v>
      </c>
      <c r="B991" s="13"/>
      <c r="C991" s="12"/>
      <c r="D991" s="13"/>
      <c r="E991" s="24"/>
      <c r="F991" s="12"/>
      <c r="G991" s="25"/>
      <c r="H991" s="14" t="str">
        <f aca="false">IF(OR($D991="",$B991=""),"",INT(($B991-$D991)/365.25))</f>
        <v/>
      </c>
      <c r="I991" s="25"/>
      <c r="J991" s="12"/>
      <c r="K991" s="12"/>
      <c r="L991" s="14" t="str">
        <f aca="false">IF(OR($C991="",$D991="",$B991=""),"",IF(COUNTIFS($C$5:$C$1504,$C991,$D$5:$D$1504,$D991,$B$5:$B$1504,$B991)&gt;1,"Takror",""))</f>
        <v/>
      </c>
    </row>
    <row r="992" customFormat="false" ht="15" hidden="false" customHeight="false" outlineLevel="0" collapsed="false">
      <c r="A992" s="8" t="n">
        <v>988</v>
      </c>
      <c r="B992" s="13"/>
      <c r="C992" s="12"/>
      <c r="D992" s="13"/>
      <c r="E992" s="24"/>
      <c r="F992" s="12"/>
      <c r="G992" s="25"/>
      <c r="H992" s="14" t="str">
        <f aca="false">IF(OR($D992="",$B992=""),"",INT(($B992-$D992)/365.25))</f>
        <v/>
      </c>
      <c r="I992" s="25"/>
      <c r="J992" s="12"/>
      <c r="K992" s="12"/>
      <c r="L992" s="14" t="str">
        <f aca="false">IF(OR($C992="",$D992="",$B992=""),"",IF(COUNTIFS($C$5:$C$1504,$C992,$D$5:$D$1504,$D992,$B$5:$B$1504,$B992)&gt;1,"Takror",""))</f>
        <v/>
      </c>
    </row>
    <row r="993" customFormat="false" ht="15" hidden="false" customHeight="false" outlineLevel="0" collapsed="false">
      <c r="A993" s="8" t="n">
        <v>989</v>
      </c>
      <c r="B993" s="13"/>
      <c r="C993" s="12"/>
      <c r="D993" s="13"/>
      <c r="E993" s="24"/>
      <c r="F993" s="12"/>
      <c r="G993" s="25"/>
      <c r="H993" s="14" t="str">
        <f aca="false">IF(OR($D993="",$B993=""),"",INT(($B993-$D993)/365.25))</f>
        <v/>
      </c>
      <c r="I993" s="25"/>
      <c r="J993" s="12"/>
      <c r="K993" s="12"/>
      <c r="L993" s="14" t="str">
        <f aca="false">IF(OR($C993="",$D993="",$B993=""),"",IF(COUNTIFS($C$5:$C$1504,$C993,$D$5:$D$1504,$D993,$B$5:$B$1504,$B993)&gt;1,"Takror",""))</f>
        <v/>
      </c>
    </row>
    <row r="994" customFormat="false" ht="15" hidden="false" customHeight="false" outlineLevel="0" collapsed="false">
      <c r="A994" s="8" t="n">
        <v>990</v>
      </c>
      <c r="B994" s="13"/>
      <c r="C994" s="12"/>
      <c r="D994" s="13"/>
      <c r="E994" s="24"/>
      <c r="F994" s="12"/>
      <c r="G994" s="25"/>
      <c r="H994" s="14" t="str">
        <f aca="false">IF(OR($D994="",$B994=""),"",INT(($B994-$D994)/365.25))</f>
        <v/>
      </c>
      <c r="I994" s="25"/>
      <c r="J994" s="12"/>
      <c r="K994" s="12"/>
      <c r="L994" s="14" t="str">
        <f aca="false">IF(OR($C994="",$D994="",$B994=""),"",IF(COUNTIFS($C$5:$C$1504,$C994,$D$5:$D$1504,$D994,$B$5:$B$1504,$B994)&gt;1,"Takror",""))</f>
        <v/>
      </c>
    </row>
    <row r="995" customFormat="false" ht="15" hidden="false" customHeight="false" outlineLevel="0" collapsed="false">
      <c r="A995" s="8" t="n">
        <v>991</v>
      </c>
      <c r="B995" s="13"/>
      <c r="C995" s="12"/>
      <c r="D995" s="13"/>
      <c r="E995" s="24"/>
      <c r="F995" s="12"/>
      <c r="G995" s="25"/>
      <c r="H995" s="14" t="str">
        <f aca="false">IF(OR($D995="",$B995=""),"",INT(($B995-$D995)/365.25))</f>
        <v/>
      </c>
      <c r="I995" s="25"/>
      <c r="J995" s="12"/>
      <c r="K995" s="12"/>
      <c r="L995" s="14" t="str">
        <f aca="false">IF(OR($C995="",$D995="",$B995=""),"",IF(COUNTIFS($C$5:$C$1504,$C995,$D$5:$D$1504,$D995,$B$5:$B$1504,$B995)&gt;1,"Takror",""))</f>
        <v/>
      </c>
    </row>
    <row r="996" customFormat="false" ht="15" hidden="false" customHeight="false" outlineLevel="0" collapsed="false">
      <c r="A996" s="8" t="n">
        <v>992</v>
      </c>
      <c r="B996" s="13"/>
      <c r="C996" s="12"/>
      <c r="D996" s="13"/>
      <c r="E996" s="24"/>
      <c r="F996" s="12"/>
      <c r="G996" s="25"/>
      <c r="H996" s="14" t="str">
        <f aca="false">IF(OR($D996="",$B996=""),"",INT(($B996-$D996)/365.25))</f>
        <v/>
      </c>
      <c r="I996" s="25"/>
      <c r="J996" s="12"/>
      <c r="K996" s="12"/>
      <c r="L996" s="14" t="str">
        <f aca="false">IF(OR($C996="",$D996="",$B996=""),"",IF(COUNTIFS($C$5:$C$1504,$C996,$D$5:$D$1504,$D996,$B$5:$B$1504,$B996)&gt;1,"Takror",""))</f>
        <v/>
      </c>
    </row>
    <row r="997" customFormat="false" ht="15" hidden="false" customHeight="false" outlineLevel="0" collapsed="false">
      <c r="A997" s="8" t="n">
        <v>993</v>
      </c>
      <c r="B997" s="13"/>
      <c r="C997" s="12"/>
      <c r="D997" s="13"/>
      <c r="E997" s="24"/>
      <c r="F997" s="12"/>
      <c r="G997" s="25"/>
      <c r="H997" s="14" t="str">
        <f aca="false">IF(OR($D997="",$B997=""),"",INT(($B997-$D997)/365.25))</f>
        <v/>
      </c>
      <c r="I997" s="25"/>
      <c r="J997" s="12"/>
      <c r="K997" s="12"/>
      <c r="L997" s="14" t="str">
        <f aca="false">IF(OR($C997="",$D997="",$B997=""),"",IF(COUNTIFS($C$5:$C$1504,$C997,$D$5:$D$1504,$D997,$B$5:$B$1504,$B997)&gt;1,"Takror",""))</f>
        <v/>
      </c>
    </row>
    <row r="998" customFormat="false" ht="15" hidden="false" customHeight="false" outlineLevel="0" collapsed="false">
      <c r="A998" s="8" t="n">
        <v>994</v>
      </c>
      <c r="B998" s="13"/>
      <c r="C998" s="12"/>
      <c r="D998" s="13"/>
      <c r="E998" s="24"/>
      <c r="F998" s="12"/>
      <c r="G998" s="25"/>
      <c r="H998" s="14" t="str">
        <f aca="false">IF(OR($D998="",$B998=""),"",INT(($B998-$D998)/365.25))</f>
        <v/>
      </c>
      <c r="I998" s="25"/>
      <c r="J998" s="12"/>
      <c r="K998" s="12"/>
      <c r="L998" s="14" t="str">
        <f aca="false">IF(OR($C998="",$D998="",$B998=""),"",IF(COUNTIFS($C$5:$C$1504,$C998,$D$5:$D$1504,$D998,$B$5:$B$1504,$B998)&gt;1,"Takror",""))</f>
        <v/>
      </c>
    </row>
    <row r="999" customFormat="false" ht="15" hidden="false" customHeight="false" outlineLevel="0" collapsed="false">
      <c r="A999" s="8" t="n">
        <v>995</v>
      </c>
      <c r="B999" s="13"/>
      <c r="C999" s="12"/>
      <c r="D999" s="13"/>
      <c r="E999" s="24"/>
      <c r="F999" s="12"/>
      <c r="G999" s="25"/>
      <c r="H999" s="14" t="str">
        <f aca="false">IF(OR($D999="",$B999=""),"",INT(($B999-$D999)/365.25))</f>
        <v/>
      </c>
      <c r="I999" s="25"/>
      <c r="J999" s="12"/>
      <c r="K999" s="12"/>
      <c r="L999" s="14" t="str">
        <f aca="false">IF(OR($C999="",$D999="",$B999=""),"",IF(COUNTIFS($C$5:$C$1504,$C999,$D$5:$D$1504,$D999,$B$5:$B$1504,$B999)&gt;1,"Takror",""))</f>
        <v/>
      </c>
    </row>
    <row r="1000" customFormat="false" ht="15" hidden="false" customHeight="false" outlineLevel="0" collapsed="false">
      <c r="A1000" s="8" t="n">
        <v>996</v>
      </c>
      <c r="B1000" s="13"/>
      <c r="C1000" s="12"/>
      <c r="D1000" s="13"/>
      <c r="E1000" s="24"/>
      <c r="F1000" s="12"/>
      <c r="G1000" s="25"/>
      <c r="H1000" s="14" t="str">
        <f aca="false">IF(OR($D1000="",$B1000=""),"",INT(($B1000-$D1000)/365.25))</f>
        <v/>
      </c>
      <c r="I1000" s="25"/>
      <c r="J1000" s="12"/>
      <c r="K1000" s="12"/>
      <c r="L1000" s="14" t="str">
        <f aca="false">IF(OR($C1000="",$D1000="",$B1000=""),"",IF(COUNTIFS($C$5:$C$1504,$C1000,$D$5:$D$1504,$D1000,$B$5:$B$1504,$B1000)&gt;1,"Takror",""))</f>
        <v/>
      </c>
    </row>
    <row r="1001" customFormat="false" ht="15" hidden="false" customHeight="false" outlineLevel="0" collapsed="false">
      <c r="A1001" s="8" t="n">
        <v>997</v>
      </c>
      <c r="B1001" s="13"/>
      <c r="C1001" s="12"/>
      <c r="D1001" s="13"/>
      <c r="E1001" s="24"/>
      <c r="F1001" s="12"/>
      <c r="G1001" s="25"/>
      <c r="H1001" s="14" t="str">
        <f aca="false">IF(OR($D1001="",$B1001=""),"",INT(($B1001-$D1001)/365.25))</f>
        <v/>
      </c>
      <c r="I1001" s="25"/>
      <c r="J1001" s="12"/>
      <c r="K1001" s="12"/>
      <c r="L1001" s="14" t="str">
        <f aca="false">IF(OR($C1001="",$D1001="",$B1001=""),"",IF(COUNTIFS($C$5:$C$1504,$C1001,$D$5:$D$1504,$D1001,$B$5:$B$1504,$B1001)&gt;1,"Takror",""))</f>
        <v/>
      </c>
    </row>
    <row r="1002" customFormat="false" ht="15" hidden="false" customHeight="false" outlineLevel="0" collapsed="false">
      <c r="A1002" s="8" t="n">
        <v>998</v>
      </c>
      <c r="B1002" s="13"/>
      <c r="C1002" s="12"/>
      <c r="D1002" s="13"/>
      <c r="E1002" s="24"/>
      <c r="F1002" s="12"/>
      <c r="G1002" s="25"/>
      <c r="H1002" s="14" t="str">
        <f aca="false">IF(OR($D1002="",$B1002=""),"",INT(($B1002-$D1002)/365.25))</f>
        <v/>
      </c>
      <c r="I1002" s="25"/>
      <c r="J1002" s="12"/>
      <c r="K1002" s="12"/>
      <c r="L1002" s="14" t="str">
        <f aca="false">IF(OR($C1002="",$D1002="",$B1002=""),"",IF(COUNTIFS($C$5:$C$1504,$C1002,$D$5:$D$1504,$D1002,$B$5:$B$1504,$B1002)&gt;1,"Takror",""))</f>
        <v/>
      </c>
    </row>
    <row r="1003" customFormat="false" ht="15" hidden="false" customHeight="false" outlineLevel="0" collapsed="false">
      <c r="A1003" s="8" t="n">
        <v>999</v>
      </c>
      <c r="B1003" s="13"/>
      <c r="C1003" s="12"/>
      <c r="D1003" s="13"/>
      <c r="E1003" s="24"/>
      <c r="F1003" s="12"/>
      <c r="G1003" s="25"/>
      <c r="H1003" s="14" t="str">
        <f aca="false">IF(OR($D1003="",$B1003=""),"",INT(($B1003-$D1003)/365.25))</f>
        <v/>
      </c>
      <c r="I1003" s="25"/>
      <c r="J1003" s="12"/>
      <c r="K1003" s="12"/>
      <c r="L1003" s="14" t="str">
        <f aca="false">IF(OR($C1003="",$D1003="",$B1003=""),"",IF(COUNTIFS($C$5:$C$1504,$C1003,$D$5:$D$1504,$D1003,$B$5:$B$1504,$B1003)&gt;1,"Takror",""))</f>
        <v/>
      </c>
    </row>
    <row r="1004" customFormat="false" ht="15" hidden="false" customHeight="false" outlineLevel="0" collapsed="false">
      <c r="A1004" s="8" t="n">
        <v>1000</v>
      </c>
      <c r="B1004" s="13"/>
      <c r="C1004" s="12"/>
      <c r="D1004" s="13"/>
      <c r="E1004" s="24"/>
      <c r="F1004" s="12"/>
      <c r="G1004" s="25"/>
      <c r="H1004" s="14" t="str">
        <f aca="false">IF(OR($D1004="",$B1004=""),"",INT(($B1004-$D1004)/365.25))</f>
        <v/>
      </c>
      <c r="I1004" s="25"/>
      <c r="J1004" s="12"/>
      <c r="K1004" s="12"/>
      <c r="L1004" s="14" t="str">
        <f aca="false">IF(OR($C1004="",$D1004="",$B1004=""),"",IF(COUNTIFS($C$5:$C$1504,$C1004,$D$5:$D$1504,$D1004,$B$5:$B$1504,$B1004)&gt;1,"Takror",""))</f>
        <v/>
      </c>
    </row>
    <row r="1005" customFormat="false" ht="15" hidden="false" customHeight="false" outlineLevel="0" collapsed="false">
      <c r="A1005" s="8" t="n">
        <v>1001</v>
      </c>
      <c r="B1005" s="13"/>
      <c r="C1005" s="12"/>
      <c r="D1005" s="13"/>
      <c r="E1005" s="24"/>
      <c r="F1005" s="12"/>
      <c r="G1005" s="25"/>
      <c r="H1005" s="14" t="str">
        <f aca="false">IF(OR($D1005="",$B1005=""),"",INT(($B1005-$D1005)/365.25))</f>
        <v/>
      </c>
      <c r="I1005" s="25"/>
      <c r="J1005" s="12"/>
      <c r="K1005" s="12"/>
      <c r="L1005" s="14" t="str">
        <f aca="false">IF(OR($C1005="",$D1005="",$B1005=""),"",IF(COUNTIFS($C$5:$C$1504,$C1005,$D$5:$D$1504,$D1005,$B$5:$B$1504,$B1005)&gt;1,"Takror",""))</f>
        <v/>
      </c>
    </row>
    <row r="1006" customFormat="false" ht="15" hidden="false" customHeight="false" outlineLevel="0" collapsed="false">
      <c r="A1006" s="8" t="n">
        <v>1002</v>
      </c>
      <c r="B1006" s="13"/>
      <c r="C1006" s="12"/>
      <c r="D1006" s="13"/>
      <c r="E1006" s="24"/>
      <c r="F1006" s="12"/>
      <c r="G1006" s="25"/>
      <c r="H1006" s="14" t="str">
        <f aca="false">IF(OR($D1006="",$B1006=""),"",INT(($B1006-$D1006)/365.25))</f>
        <v/>
      </c>
      <c r="I1006" s="25"/>
      <c r="J1006" s="12"/>
      <c r="K1006" s="12"/>
      <c r="L1006" s="14" t="str">
        <f aca="false">IF(OR($C1006="",$D1006="",$B1006=""),"",IF(COUNTIFS($C$5:$C$1504,$C1006,$D$5:$D$1504,$D1006,$B$5:$B$1504,$B1006)&gt;1,"Takror",""))</f>
        <v/>
      </c>
    </row>
    <row r="1007" customFormat="false" ht="15" hidden="false" customHeight="false" outlineLevel="0" collapsed="false">
      <c r="A1007" s="8" t="n">
        <v>1003</v>
      </c>
      <c r="B1007" s="13"/>
      <c r="C1007" s="12"/>
      <c r="D1007" s="13"/>
      <c r="E1007" s="24"/>
      <c r="F1007" s="12"/>
      <c r="G1007" s="25"/>
      <c r="H1007" s="14" t="str">
        <f aca="false">IF(OR($D1007="",$B1007=""),"",INT(($B1007-$D1007)/365.25))</f>
        <v/>
      </c>
      <c r="I1007" s="25"/>
      <c r="J1007" s="12"/>
      <c r="K1007" s="12"/>
      <c r="L1007" s="14" t="str">
        <f aca="false">IF(OR($C1007="",$D1007="",$B1007=""),"",IF(COUNTIFS($C$5:$C$1504,$C1007,$D$5:$D$1504,$D1007,$B$5:$B$1504,$B1007)&gt;1,"Takror",""))</f>
        <v/>
      </c>
    </row>
    <row r="1008" customFormat="false" ht="15" hidden="false" customHeight="false" outlineLevel="0" collapsed="false">
      <c r="A1008" s="8" t="n">
        <v>1004</v>
      </c>
      <c r="B1008" s="13"/>
      <c r="C1008" s="12"/>
      <c r="D1008" s="13"/>
      <c r="E1008" s="24"/>
      <c r="F1008" s="12"/>
      <c r="G1008" s="25"/>
      <c r="H1008" s="14" t="str">
        <f aca="false">IF(OR($D1008="",$B1008=""),"",INT(($B1008-$D1008)/365.25))</f>
        <v/>
      </c>
      <c r="I1008" s="25"/>
      <c r="J1008" s="12"/>
      <c r="K1008" s="12"/>
      <c r="L1008" s="14" t="str">
        <f aca="false">IF(OR($C1008="",$D1008="",$B1008=""),"",IF(COUNTIFS($C$5:$C$1504,$C1008,$D$5:$D$1504,$D1008,$B$5:$B$1504,$B1008)&gt;1,"Takror",""))</f>
        <v/>
      </c>
    </row>
    <row r="1009" customFormat="false" ht="15" hidden="false" customHeight="false" outlineLevel="0" collapsed="false">
      <c r="A1009" s="8" t="n">
        <v>1005</v>
      </c>
      <c r="B1009" s="13"/>
      <c r="C1009" s="12"/>
      <c r="D1009" s="13"/>
      <c r="E1009" s="24"/>
      <c r="F1009" s="12"/>
      <c r="G1009" s="25"/>
      <c r="H1009" s="14" t="str">
        <f aca="false">IF(OR($D1009="",$B1009=""),"",INT(($B1009-$D1009)/365.25))</f>
        <v/>
      </c>
      <c r="I1009" s="25"/>
      <c r="J1009" s="12"/>
      <c r="K1009" s="12"/>
      <c r="L1009" s="14" t="str">
        <f aca="false">IF(OR($C1009="",$D1009="",$B1009=""),"",IF(COUNTIFS($C$5:$C$1504,$C1009,$D$5:$D$1504,$D1009,$B$5:$B$1504,$B1009)&gt;1,"Takror",""))</f>
        <v/>
      </c>
    </row>
    <row r="1010" customFormat="false" ht="15" hidden="false" customHeight="false" outlineLevel="0" collapsed="false">
      <c r="A1010" s="8" t="n">
        <v>1006</v>
      </c>
      <c r="B1010" s="13"/>
      <c r="C1010" s="12"/>
      <c r="D1010" s="13"/>
      <c r="E1010" s="24"/>
      <c r="F1010" s="12"/>
      <c r="G1010" s="25"/>
      <c r="H1010" s="14" t="str">
        <f aca="false">IF(OR($D1010="",$B1010=""),"",INT(($B1010-$D1010)/365.25))</f>
        <v/>
      </c>
      <c r="I1010" s="25"/>
      <c r="J1010" s="12"/>
      <c r="K1010" s="12"/>
      <c r="L1010" s="14" t="str">
        <f aca="false">IF(OR($C1010="",$D1010="",$B1010=""),"",IF(COUNTIFS($C$5:$C$1504,$C1010,$D$5:$D$1504,$D1010,$B$5:$B$1504,$B1010)&gt;1,"Takror",""))</f>
        <v/>
      </c>
    </row>
    <row r="1011" customFormat="false" ht="15" hidden="false" customHeight="false" outlineLevel="0" collapsed="false">
      <c r="A1011" s="8" t="n">
        <v>1007</v>
      </c>
      <c r="B1011" s="13"/>
      <c r="C1011" s="12"/>
      <c r="D1011" s="13"/>
      <c r="E1011" s="24"/>
      <c r="F1011" s="12"/>
      <c r="G1011" s="25"/>
      <c r="H1011" s="14" t="str">
        <f aca="false">IF(OR($D1011="",$B1011=""),"",INT(($B1011-$D1011)/365.25))</f>
        <v/>
      </c>
      <c r="I1011" s="25"/>
      <c r="J1011" s="12"/>
      <c r="K1011" s="12"/>
      <c r="L1011" s="14" t="str">
        <f aca="false">IF(OR($C1011="",$D1011="",$B1011=""),"",IF(COUNTIFS($C$5:$C$1504,$C1011,$D$5:$D$1504,$D1011,$B$5:$B$1504,$B1011)&gt;1,"Takror",""))</f>
        <v/>
      </c>
    </row>
    <row r="1012" customFormat="false" ht="15" hidden="false" customHeight="false" outlineLevel="0" collapsed="false">
      <c r="A1012" s="8" t="n">
        <v>1008</v>
      </c>
      <c r="B1012" s="13"/>
      <c r="C1012" s="12"/>
      <c r="D1012" s="13"/>
      <c r="E1012" s="24"/>
      <c r="F1012" s="12"/>
      <c r="G1012" s="25"/>
      <c r="H1012" s="14" t="str">
        <f aca="false">IF(OR($D1012="",$B1012=""),"",INT(($B1012-$D1012)/365.25))</f>
        <v/>
      </c>
      <c r="I1012" s="25"/>
      <c r="J1012" s="12"/>
      <c r="K1012" s="12"/>
      <c r="L1012" s="14" t="str">
        <f aca="false">IF(OR($C1012="",$D1012="",$B1012=""),"",IF(COUNTIFS($C$5:$C$1504,$C1012,$D$5:$D$1504,$D1012,$B$5:$B$1504,$B1012)&gt;1,"Takror",""))</f>
        <v/>
      </c>
    </row>
    <row r="1013" customFormat="false" ht="15" hidden="false" customHeight="false" outlineLevel="0" collapsed="false">
      <c r="A1013" s="8" t="n">
        <v>1009</v>
      </c>
      <c r="B1013" s="13"/>
      <c r="C1013" s="12"/>
      <c r="D1013" s="13"/>
      <c r="E1013" s="24"/>
      <c r="F1013" s="12"/>
      <c r="G1013" s="25"/>
      <c r="H1013" s="14" t="str">
        <f aca="false">IF(OR($D1013="",$B1013=""),"",INT(($B1013-$D1013)/365.25))</f>
        <v/>
      </c>
      <c r="I1013" s="25"/>
      <c r="J1013" s="12"/>
      <c r="K1013" s="12"/>
      <c r="L1013" s="14" t="str">
        <f aca="false">IF(OR($C1013="",$D1013="",$B1013=""),"",IF(COUNTIFS($C$5:$C$1504,$C1013,$D$5:$D$1504,$D1013,$B$5:$B$1504,$B1013)&gt;1,"Takror",""))</f>
        <v/>
      </c>
    </row>
    <row r="1014" customFormat="false" ht="15" hidden="false" customHeight="false" outlineLevel="0" collapsed="false">
      <c r="A1014" s="8" t="n">
        <v>1010</v>
      </c>
      <c r="B1014" s="13"/>
      <c r="C1014" s="12"/>
      <c r="D1014" s="13"/>
      <c r="E1014" s="24"/>
      <c r="F1014" s="12"/>
      <c r="G1014" s="25"/>
      <c r="H1014" s="14" t="str">
        <f aca="false">IF(OR($D1014="",$B1014=""),"",INT(($B1014-$D1014)/365.25))</f>
        <v/>
      </c>
      <c r="I1014" s="25"/>
      <c r="J1014" s="12"/>
      <c r="K1014" s="12"/>
      <c r="L1014" s="14" t="str">
        <f aca="false">IF(OR($C1014="",$D1014="",$B1014=""),"",IF(COUNTIFS($C$5:$C$1504,$C1014,$D$5:$D$1504,$D1014,$B$5:$B$1504,$B1014)&gt;1,"Takror",""))</f>
        <v/>
      </c>
    </row>
    <row r="1015" customFormat="false" ht="15" hidden="false" customHeight="false" outlineLevel="0" collapsed="false">
      <c r="A1015" s="8" t="n">
        <v>1011</v>
      </c>
      <c r="B1015" s="13"/>
      <c r="C1015" s="12"/>
      <c r="D1015" s="13"/>
      <c r="E1015" s="24"/>
      <c r="F1015" s="12"/>
      <c r="G1015" s="25"/>
      <c r="H1015" s="14" t="str">
        <f aca="false">IF(OR($D1015="",$B1015=""),"",INT(($B1015-$D1015)/365.25))</f>
        <v/>
      </c>
      <c r="I1015" s="25"/>
      <c r="J1015" s="12"/>
      <c r="K1015" s="12"/>
      <c r="L1015" s="14" t="str">
        <f aca="false">IF(OR($C1015="",$D1015="",$B1015=""),"",IF(COUNTIFS($C$5:$C$1504,$C1015,$D$5:$D$1504,$D1015,$B$5:$B$1504,$B1015)&gt;1,"Takror",""))</f>
        <v/>
      </c>
    </row>
    <row r="1016" customFormat="false" ht="15" hidden="false" customHeight="false" outlineLevel="0" collapsed="false">
      <c r="A1016" s="8" t="n">
        <v>1012</v>
      </c>
      <c r="B1016" s="13"/>
      <c r="C1016" s="12"/>
      <c r="D1016" s="13"/>
      <c r="E1016" s="24"/>
      <c r="F1016" s="12"/>
      <c r="G1016" s="25"/>
      <c r="H1016" s="14" t="str">
        <f aca="false">IF(OR($D1016="",$B1016=""),"",INT(($B1016-$D1016)/365.25))</f>
        <v/>
      </c>
      <c r="I1016" s="25"/>
      <c r="J1016" s="12"/>
      <c r="K1016" s="12"/>
      <c r="L1016" s="14" t="str">
        <f aca="false">IF(OR($C1016="",$D1016="",$B1016=""),"",IF(COUNTIFS($C$5:$C$1504,$C1016,$D$5:$D$1504,$D1016,$B$5:$B$1504,$B1016)&gt;1,"Takror",""))</f>
        <v/>
      </c>
    </row>
    <row r="1017" customFormat="false" ht="15" hidden="false" customHeight="false" outlineLevel="0" collapsed="false">
      <c r="A1017" s="8" t="n">
        <v>1013</v>
      </c>
      <c r="B1017" s="13"/>
      <c r="C1017" s="12"/>
      <c r="D1017" s="13"/>
      <c r="E1017" s="24"/>
      <c r="F1017" s="12"/>
      <c r="G1017" s="25"/>
      <c r="H1017" s="14" t="str">
        <f aca="false">IF(OR($D1017="",$B1017=""),"",INT(($B1017-$D1017)/365.25))</f>
        <v/>
      </c>
      <c r="I1017" s="25"/>
      <c r="J1017" s="12"/>
      <c r="K1017" s="12"/>
      <c r="L1017" s="14" t="str">
        <f aca="false">IF(OR($C1017="",$D1017="",$B1017=""),"",IF(COUNTIFS($C$5:$C$1504,$C1017,$D$5:$D$1504,$D1017,$B$5:$B$1504,$B1017)&gt;1,"Takror",""))</f>
        <v/>
      </c>
    </row>
    <row r="1018" customFormat="false" ht="15" hidden="false" customHeight="false" outlineLevel="0" collapsed="false">
      <c r="A1018" s="8" t="n">
        <v>1014</v>
      </c>
      <c r="B1018" s="13"/>
      <c r="C1018" s="12"/>
      <c r="D1018" s="13"/>
      <c r="E1018" s="24"/>
      <c r="F1018" s="12"/>
      <c r="G1018" s="25"/>
      <c r="H1018" s="14" t="str">
        <f aca="false">IF(OR($D1018="",$B1018=""),"",INT(($B1018-$D1018)/365.25))</f>
        <v/>
      </c>
      <c r="I1018" s="25"/>
      <c r="J1018" s="12"/>
      <c r="K1018" s="12"/>
      <c r="L1018" s="14" t="str">
        <f aca="false">IF(OR($C1018="",$D1018="",$B1018=""),"",IF(COUNTIFS($C$5:$C$1504,$C1018,$D$5:$D$1504,$D1018,$B$5:$B$1504,$B1018)&gt;1,"Takror",""))</f>
        <v/>
      </c>
    </row>
    <row r="1019" customFormat="false" ht="15" hidden="false" customHeight="false" outlineLevel="0" collapsed="false">
      <c r="A1019" s="8" t="n">
        <v>1015</v>
      </c>
      <c r="B1019" s="13"/>
      <c r="C1019" s="12"/>
      <c r="D1019" s="13"/>
      <c r="E1019" s="24"/>
      <c r="F1019" s="12"/>
      <c r="G1019" s="25"/>
      <c r="H1019" s="14" t="str">
        <f aca="false">IF(OR($D1019="",$B1019=""),"",INT(($B1019-$D1019)/365.25))</f>
        <v/>
      </c>
      <c r="I1019" s="25"/>
      <c r="J1019" s="12"/>
      <c r="K1019" s="12"/>
      <c r="L1019" s="14" t="str">
        <f aca="false">IF(OR($C1019="",$D1019="",$B1019=""),"",IF(COUNTIFS($C$5:$C$1504,$C1019,$D$5:$D$1504,$D1019,$B$5:$B$1504,$B1019)&gt;1,"Takror",""))</f>
        <v/>
      </c>
    </row>
    <row r="1020" customFormat="false" ht="15" hidden="false" customHeight="false" outlineLevel="0" collapsed="false">
      <c r="A1020" s="8" t="n">
        <v>1016</v>
      </c>
      <c r="B1020" s="13"/>
      <c r="C1020" s="12"/>
      <c r="D1020" s="13"/>
      <c r="E1020" s="24"/>
      <c r="F1020" s="12"/>
      <c r="G1020" s="25"/>
      <c r="H1020" s="14" t="str">
        <f aca="false">IF(OR($D1020="",$B1020=""),"",INT(($B1020-$D1020)/365.25))</f>
        <v/>
      </c>
      <c r="I1020" s="25"/>
      <c r="J1020" s="12"/>
      <c r="K1020" s="12"/>
      <c r="L1020" s="14" t="str">
        <f aca="false">IF(OR($C1020="",$D1020="",$B1020=""),"",IF(COUNTIFS($C$5:$C$1504,$C1020,$D$5:$D$1504,$D1020,$B$5:$B$1504,$B1020)&gt;1,"Takror",""))</f>
        <v/>
      </c>
    </row>
    <row r="1021" customFormat="false" ht="15" hidden="false" customHeight="false" outlineLevel="0" collapsed="false">
      <c r="A1021" s="8" t="n">
        <v>1017</v>
      </c>
      <c r="B1021" s="13"/>
      <c r="C1021" s="12"/>
      <c r="D1021" s="13"/>
      <c r="E1021" s="24"/>
      <c r="F1021" s="12"/>
      <c r="G1021" s="25"/>
      <c r="H1021" s="14" t="str">
        <f aca="false">IF(OR($D1021="",$B1021=""),"",INT(($B1021-$D1021)/365.25))</f>
        <v/>
      </c>
      <c r="I1021" s="25"/>
      <c r="J1021" s="12"/>
      <c r="K1021" s="12"/>
      <c r="L1021" s="14" t="str">
        <f aca="false">IF(OR($C1021="",$D1021="",$B1021=""),"",IF(COUNTIFS($C$5:$C$1504,$C1021,$D$5:$D$1504,$D1021,$B$5:$B$1504,$B1021)&gt;1,"Takror",""))</f>
        <v/>
      </c>
    </row>
    <row r="1022" customFormat="false" ht="15" hidden="false" customHeight="false" outlineLevel="0" collapsed="false">
      <c r="A1022" s="8" t="n">
        <v>1018</v>
      </c>
      <c r="B1022" s="13"/>
      <c r="C1022" s="12"/>
      <c r="D1022" s="13"/>
      <c r="E1022" s="24"/>
      <c r="F1022" s="12"/>
      <c r="G1022" s="25"/>
      <c r="H1022" s="14" t="str">
        <f aca="false">IF(OR($D1022="",$B1022=""),"",INT(($B1022-$D1022)/365.25))</f>
        <v/>
      </c>
      <c r="I1022" s="25"/>
      <c r="J1022" s="12"/>
      <c r="K1022" s="12"/>
      <c r="L1022" s="14" t="str">
        <f aca="false">IF(OR($C1022="",$D1022="",$B1022=""),"",IF(COUNTIFS($C$5:$C$1504,$C1022,$D$5:$D$1504,$D1022,$B$5:$B$1504,$B1022)&gt;1,"Takror",""))</f>
        <v/>
      </c>
    </row>
    <row r="1023" customFormat="false" ht="15" hidden="false" customHeight="false" outlineLevel="0" collapsed="false">
      <c r="A1023" s="8" t="n">
        <v>1019</v>
      </c>
      <c r="B1023" s="13"/>
      <c r="C1023" s="12"/>
      <c r="D1023" s="13"/>
      <c r="E1023" s="24"/>
      <c r="F1023" s="12"/>
      <c r="G1023" s="25"/>
      <c r="H1023" s="14" t="str">
        <f aca="false">IF(OR($D1023="",$B1023=""),"",INT(($B1023-$D1023)/365.25))</f>
        <v/>
      </c>
      <c r="I1023" s="25"/>
      <c r="J1023" s="12"/>
      <c r="K1023" s="12"/>
      <c r="L1023" s="14" t="str">
        <f aca="false">IF(OR($C1023="",$D1023="",$B1023=""),"",IF(COUNTIFS($C$5:$C$1504,$C1023,$D$5:$D$1504,$D1023,$B$5:$B$1504,$B1023)&gt;1,"Takror",""))</f>
        <v/>
      </c>
    </row>
    <row r="1024" customFormat="false" ht="15" hidden="false" customHeight="false" outlineLevel="0" collapsed="false">
      <c r="A1024" s="8" t="n">
        <v>1020</v>
      </c>
      <c r="B1024" s="13"/>
      <c r="C1024" s="12"/>
      <c r="D1024" s="13"/>
      <c r="E1024" s="24"/>
      <c r="F1024" s="12"/>
      <c r="G1024" s="25"/>
      <c r="H1024" s="14" t="str">
        <f aca="false">IF(OR($D1024="",$B1024=""),"",INT(($B1024-$D1024)/365.25))</f>
        <v/>
      </c>
      <c r="I1024" s="25"/>
      <c r="J1024" s="12"/>
      <c r="K1024" s="12"/>
      <c r="L1024" s="14" t="str">
        <f aca="false">IF(OR($C1024="",$D1024="",$B1024=""),"",IF(COUNTIFS($C$5:$C$1504,$C1024,$D$5:$D$1504,$D1024,$B$5:$B$1504,$B1024)&gt;1,"Takror",""))</f>
        <v/>
      </c>
    </row>
    <row r="1025" customFormat="false" ht="15" hidden="false" customHeight="false" outlineLevel="0" collapsed="false">
      <c r="A1025" s="8" t="n">
        <v>1021</v>
      </c>
      <c r="B1025" s="13"/>
      <c r="C1025" s="12"/>
      <c r="D1025" s="13"/>
      <c r="E1025" s="24"/>
      <c r="F1025" s="12"/>
      <c r="G1025" s="25"/>
      <c r="H1025" s="14" t="str">
        <f aca="false">IF(OR($D1025="",$B1025=""),"",INT(($B1025-$D1025)/365.25))</f>
        <v/>
      </c>
      <c r="I1025" s="25"/>
      <c r="J1025" s="12"/>
      <c r="K1025" s="12"/>
      <c r="L1025" s="14" t="str">
        <f aca="false">IF(OR($C1025="",$D1025="",$B1025=""),"",IF(COUNTIFS($C$5:$C$1504,$C1025,$D$5:$D$1504,$D1025,$B$5:$B$1504,$B1025)&gt;1,"Takror",""))</f>
        <v/>
      </c>
    </row>
    <row r="1026" customFormat="false" ht="15" hidden="false" customHeight="false" outlineLevel="0" collapsed="false">
      <c r="A1026" s="8" t="n">
        <v>1022</v>
      </c>
      <c r="B1026" s="13"/>
      <c r="C1026" s="12"/>
      <c r="D1026" s="13"/>
      <c r="E1026" s="24"/>
      <c r="F1026" s="12"/>
      <c r="G1026" s="25"/>
      <c r="H1026" s="14" t="str">
        <f aca="false">IF(OR($D1026="",$B1026=""),"",INT(($B1026-$D1026)/365.25))</f>
        <v/>
      </c>
      <c r="I1026" s="25"/>
      <c r="J1026" s="12"/>
      <c r="K1026" s="12"/>
      <c r="L1026" s="14" t="str">
        <f aca="false">IF(OR($C1026="",$D1026="",$B1026=""),"",IF(COUNTIFS($C$5:$C$1504,$C1026,$D$5:$D$1504,$D1026,$B$5:$B$1504,$B1026)&gt;1,"Takror",""))</f>
        <v/>
      </c>
    </row>
    <row r="1027" customFormat="false" ht="15" hidden="false" customHeight="false" outlineLevel="0" collapsed="false">
      <c r="A1027" s="8" t="n">
        <v>1023</v>
      </c>
      <c r="B1027" s="13"/>
      <c r="C1027" s="12"/>
      <c r="D1027" s="13"/>
      <c r="E1027" s="24"/>
      <c r="F1027" s="12"/>
      <c r="G1027" s="25"/>
      <c r="H1027" s="14" t="str">
        <f aca="false">IF(OR($D1027="",$B1027=""),"",INT(($B1027-$D1027)/365.25))</f>
        <v/>
      </c>
      <c r="I1027" s="25"/>
      <c r="J1027" s="12"/>
      <c r="K1027" s="12"/>
      <c r="L1027" s="14" t="str">
        <f aca="false">IF(OR($C1027="",$D1027="",$B1027=""),"",IF(COUNTIFS($C$5:$C$1504,$C1027,$D$5:$D$1504,$D1027,$B$5:$B$1504,$B1027)&gt;1,"Takror",""))</f>
        <v/>
      </c>
    </row>
    <row r="1028" customFormat="false" ht="15" hidden="false" customHeight="false" outlineLevel="0" collapsed="false">
      <c r="A1028" s="8" t="n">
        <v>1024</v>
      </c>
      <c r="B1028" s="13"/>
      <c r="C1028" s="12"/>
      <c r="D1028" s="13"/>
      <c r="E1028" s="24"/>
      <c r="F1028" s="12"/>
      <c r="G1028" s="25"/>
      <c r="H1028" s="14" t="str">
        <f aca="false">IF(OR($D1028="",$B1028=""),"",INT(($B1028-$D1028)/365.25))</f>
        <v/>
      </c>
      <c r="I1028" s="25"/>
      <c r="J1028" s="12"/>
      <c r="K1028" s="12"/>
      <c r="L1028" s="14" t="str">
        <f aca="false">IF(OR($C1028="",$D1028="",$B1028=""),"",IF(COUNTIFS($C$5:$C$1504,$C1028,$D$5:$D$1504,$D1028,$B$5:$B$1504,$B1028)&gt;1,"Takror",""))</f>
        <v/>
      </c>
    </row>
    <row r="1029" customFormat="false" ht="15" hidden="false" customHeight="false" outlineLevel="0" collapsed="false">
      <c r="A1029" s="8" t="n">
        <v>1025</v>
      </c>
      <c r="B1029" s="13"/>
      <c r="C1029" s="12"/>
      <c r="D1029" s="13"/>
      <c r="E1029" s="24"/>
      <c r="F1029" s="12"/>
      <c r="G1029" s="25"/>
      <c r="H1029" s="14" t="str">
        <f aca="false">IF(OR($D1029="",$B1029=""),"",INT(($B1029-$D1029)/365.25))</f>
        <v/>
      </c>
      <c r="I1029" s="25"/>
      <c r="J1029" s="12"/>
      <c r="K1029" s="12"/>
      <c r="L1029" s="14" t="str">
        <f aca="false">IF(OR($C1029="",$D1029="",$B1029=""),"",IF(COUNTIFS($C$5:$C$1504,$C1029,$D$5:$D$1504,$D1029,$B$5:$B$1504,$B1029)&gt;1,"Takror",""))</f>
        <v/>
      </c>
    </row>
    <row r="1030" customFormat="false" ht="15" hidden="false" customHeight="false" outlineLevel="0" collapsed="false">
      <c r="A1030" s="8" t="n">
        <v>1026</v>
      </c>
      <c r="B1030" s="13"/>
      <c r="C1030" s="12"/>
      <c r="D1030" s="13"/>
      <c r="E1030" s="24"/>
      <c r="F1030" s="12"/>
      <c r="G1030" s="25"/>
      <c r="H1030" s="14" t="str">
        <f aca="false">IF(OR($D1030="",$B1030=""),"",INT(($B1030-$D1030)/365.25))</f>
        <v/>
      </c>
      <c r="I1030" s="25"/>
      <c r="J1030" s="12"/>
      <c r="K1030" s="12"/>
      <c r="L1030" s="14" t="str">
        <f aca="false">IF(OR($C1030="",$D1030="",$B1030=""),"",IF(COUNTIFS($C$5:$C$1504,$C1030,$D$5:$D$1504,$D1030,$B$5:$B$1504,$B1030)&gt;1,"Takror",""))</f>
        <v/>
      </c>
    </row>
    <row r="1031" customFormat="false" ht="15" hidden="false" customHeight="false" outlineLevel="0" collapsed="false">
      <c r="A1031" s="8" t="n">
        <v>1027</v>
      </c>
      <c r="B1031" s="13"/>
      <c r="C1031" s="12"/>
      <c r="D1031" s="13"/>
      <c r="E1031" s="24"/>
      <c r="F1031" s="12"/>
      <c r="G1031" s="25"/>
      <c r="H1031" s="14" t="str">
        <f aca="false">IF(OR($D1031="",$B1031=""),"",INT(($B1031-$D1031)/365.25))</f>
        <v/>
      </c>
      <c r="I1031" s="25"/>
      <c r="J1031" s="12"/>
      <c r="K1031" s="12"/>
      <c r="L1031" s="14" t="str">
        <f aca="false">IF(OR($C1031="",$D1031="",$B1031=""),"",IF(COUNTIFS($C$5:$C$1504,$C1031,$D$5:$D$1504,$D1031,$B$5:$B$1504,$B1031)&gt;1,"Takror",""))</f>
        <v/>
      </c>
    </row>
    <row r="1032" customFormat="false" ht="15" hidden="false" customHeight="false" outlineLevel="0" collapsed="false">
      <c r="A1032" s="8" t="n">
        <v>1028</v>
      </c>
      <c r="B1032" s="13"/>
      <c r="C1032" s="12"/>
      <c r="D1032" s="13"/>
      <c r="E1032" s="24"/>
      <c r="F1032" s="12"/>
      <c r="G1032" s="25"/>
      <c r="H1032" s="14" t="str">
        <f aca="false">IF(OR($D1032="",$B1032=""),"",INT(($B1032-$D1032)/365.25))</f>
        <v/>
      </c>
      <c r="I1032" s="25"/>
      <c r="J1032" s="12"/>
      <c r="K1032" s="12"/>
      <c r="L1032" s="14" t="str">
        <f aca="false">IF(OR($C1032="",$D1032="",$B1032=""),"",IF(COUNTIFS($C$5:$C$1504,$C1032,$D$5:$D$1504,$D1032,$B$5:$B$1504,$B1032)&gt;1,"Takror",""))</f>
        <v/>
      </c>
    </row>
    <row r="1033" customFormat="false" ht="15" hidden="false" customHeight="false" outlineLevel="0" collapsed="false">
      <c r="A1033" s="8" t="n">
        <v>1029</v>
      </c>
      <c r="B1033" s="13"/>
      <c r="C1033" s="12"/>
      <c r="D1033" s="13"/>
      <c r="E1033" s="24"/>
      <c r="F1033" s="12"/>
      <c r="G1033" s="25"/>
      <c r="H1033" s="14" t="str">
        <f aca="false">IF(OR($D1033="",$B1033=""),"",INT(($B1033-$D1033)/365.25))</f>
        <v/>
      </c>
      <c r="I1033" s="25"/>
      <c r="J1033" s="12"/>
      <c r="K1033" s="12"/>
      <c r="L1033" s="14" t="str">
        <f aca="false">IF(OR($C1033="",$D1033="",$B1033=""),"",IF(COUNTIFS($C$5:$C$1504,$C1033,$D$5:$D$1504,$D1033,$B$5:$B$1504,$B1033)&gt;1,"Takror",""))</f>
        <v/>
      </c>
    </row>
    <row r="1034" customFormat="false" ht="15" hidden="false" customHeight="false" outlineLevel="0" collapsed="false">
      <c r="A1034" s="8" t="n">
        <v>1030</v>
      </c>
      <c r="B1034" s="13"/>
      <c r="C1034" s="12"/>
      <c r="D1034" s="13"/>
      <c r="E1034" s="24"/>
      <c r="F1034" s="12"/>
      <c r="G1034" s="25"/>
      <c r="H1034" s="14" t="str">
        <f aca="false">IF(OR($D1034="",$B1034=""),"",INT(($B1034-$D1034)/365.25))</f>
        <v/>
      </c>
      <c r="I1034" s="25"/>
      <c r="J1034" s="12"/>
      <c r="K1034" s="12"/>
      <c r="L1034" s="14" t="str">
        <f aca="false">IF(OR($C1034="",$D1034="",$B1034=""),"",IF(COUNTIFS($C$5:$C$1504,$C1034,$D$5:$D$1504,$D1034,$B$5:$B$1504,$B1034)&gt;1,"Takror",""))</f>
        <v/>
      </c>
    </row>
    <row r="1035" customFormat="false" ht="15" hidden="false" customHeight="false" outlineLevel="0" collapsed="false">
      <c r="A1035" s="8" t="n">
        <v>1031</v>
      </c>
      <c r="B1035" s="13"/>
      <c r="C1035" s="12"/>
      <c r="D1035" s="13"/>
      <c r="E1035" s="24"/>
      <c r="F1035" s="12"/>
      <c r="G1035" s="25"/>
      <c r="H1035" s="14" t="str">
        <f aca="false">IF(OR($D1035="",$B1035=""),"",INT(($B1035-$D1035)/365.25))</f>
        <v/>
      </c>
      <c r="I1035" s="25"/>
      <c r="J1035" s="12"/>
      <c r="K1035" s="12"/>
      <c r="L1035" s="14" t="str">
        <f aca="false">IF(OR($C1035="",$D1035="",$B1035=""),"",IF(COUNTIFS($C$5:$C$1504,$C1035,$D$5:$D$1504,$D1035,$B$5:$B$1504,$B1035)&gt;1,"Takror",""))</f>
        <v/>
      </c>
    </row>
    <row r="1036" customFormat="false" ht="15" hidden="false" customHeight="false" outlineLevel="0" collapsed="false">
      <c r="A1036" s="8" t="n">
        <v>1032</v>
      </c>
      <c r="B1036" s="13"/>
      <c r="C1036" s="12"/>
      <c r="D1036" s="13"/>
      <c r="E1036" s="24"/>
      <c r="F1036" s="12"/>
      <c r="G1036" s="25"/>
      <c r="H1036" s="14" t="str">
        <f aca="false">IF(OR($D1036="",$B1036=""),"",INT(($B1036-$D1036)/365.25))</f>
        <v/>
      </c>
      <c r="I1036" s="25"/>
      <c r="J1036" s="12"/>
      <c r="K1036" s="12"/>
      <c r="L1036" s="14" t="str">
        <f aca="false">IF(OR($C1036="",$D1036="",$B1036=""),"",IF(COUNTIFS($C$5:$C$1504,$C1036,$D$5:$D$1504,$D1036,$B$5:$B$1504,$B1036)&gt;1,"Takror",""))</f>
        <v/>
      </c>
    </row>
    <row r="1037" customFormat="false" ht="15" hidden="false" customHeight="false" outlineLevel="0" collapsed="false">
      <c r="A1037" s="8" t="n">
        <v>1033</v>
      </c>
      <c r="B1037" s="13"/>
      <c r="C1037" s="12"/>
      <c r="D1037" s="13"/>
      <c r="E1037" s="24"/>
      <c r="F1037" s="12"/>
      <c r="G1037" s="25"/>
      <c r="H1037" s="14" t="str">
        <f aca="false">IF(OR($D1037="",$B1037=""),"",INT(($B1037-$D1037)/365.25))</f>
        <v/>
      </c>
      <c r="I1037" s="25"/>
      <c r="J1037" s="12"/>
      <c r="K1037" s="12"/>
      <c r="L1037" s="14" t="str">
        <f aca="false">IF(OR($C1037="",$D1037="",$B1037=""),"",IF(COUNTIFS($C$5:$C$1504,$C1037,$D$5:$D$1504,$D1037,$B$5:$B$1504,$B1037)&gt;1,"Takror",""))</f>
        <v/>
      </c>
    </row>
    <row r="1038" customFormat="false" ht="15" hidden="false" customHeight="false" outlineLevel="0" collapsed="false">
      <c r="A1038" s="8" t="n">
        <v>1034</v>
      </c>
      <c r="B1038" s="13"/>
      <c r="C1038" s="12"/>
      <c r="D1038" s="13"/>
      <c r="E1038" s="24"/>
      <c r="F1038" s="12"/>
      <c r="G1038" s="25"/>
      <c r="H1038" s="14" t="str">
        <f aca="false">IF(OR($D1038="",$B1038=""),"",INT(($B1038-$D1038)/365.25))</f>
        <v/>
      </c>
      <c r="I1038" s="25"/>
      <c r="J1038" s="12"/>
      <c r="K1038" s="12"/>
      <c r="L1038" s="14" t="str">
        <f aca="false">IF(OR($C1038="",$D1038="",$B1038=""),"",IF(COUNTIFS($C$5:$C$1504,$C1038,$D$5:$D$1504,$D1038,$B$5:$B$1504,$B1038)&gt;1,"Takror",""))</f>
        <v/>
      </c>
    </row>
    <row r="1039" customFormat="false" ht="15" hidden="false" customHeight="false" outlineLevel="0" collapsed="false">
      <c r="A1039" s="8" t="n">
        <v>1035</v>
      </c>
      <c r="B1039" s="13"/>
      <c r="C1039" s="12"/>
      <c r="D1039" s="13"/>
      <c r="E1039" s="24"/>
      <c r="F1039" s="12"/>
      <c r="G1039" s="25"/>
      <c r="H1039" s="14" t="str">
        <f aca="false">IF(OR($D1039="",$B1039=""),"",INT(($B1039-$D1039)/365.25))</f>
        <v/>
      </c>
      <c r="I1039" s="25"/>
      <c r="J1039" s="12"/>
      <c r="K1039" s="12"/>
      <c r="L1039" s="14" t="str">
        <f aca="false">IF(OR($C1039="",$D1039="",$B1039=""),"",IF(COUNTIFS($C$5:$C$1504,$C1039,$D$5:$D$1504,$D1039,$B$5:$B$1504,$B1039)&gt;1,"Takror",""))</f>
        <v/>
      </c>
    </row>
    <row r="1040" customFormat="false" ht="15" hidden="false" customHeight="false" outlineLevel="0" collapsed="false">
      <c r="A1040" s="8" t="n">
        <v>1036</v>
      </c>
      <c r="B1040" s="13"/>
      <c r="C1040" s="12"/>
      <c r="D1040" s="13"/>
      <c r="E1040" s="24"/>
      <c r="F1040" s="12"/>
      <c r="G1040" s="25"/>
      <c r="H1040" s="14" t="str">
        <f aca="false">IF(OR($D1040="",$B1040=""),"",INT(($B1040-$D1040)/365.25))</f>
        <v/>
      </c>
      <c r="I1040" s="25"/>
      <c r="J1040" s="12"/>
      <c r="K1040" s="12"/>
      <c r="L1040" s="14" t="str">
        <f aca="false">IF(OR($C1040="",$D1040="",$B1040=""),"",IF(COUNTIFS($C$5:$C$1504,$C1040,$D$5:$D$1504,$D1040,$B$5:$B$1504,$B1040)&gt;1,"Takror",""))</f>
        <v/>
      </c>
    </row>
    <row r="1041" customFormat="false" ht="15" hidden="false" customHeight="false" outlineLevel="0" collapsed="false">
      <c r="A1041" s="8" t="n">
        <v>1037</v>
      </c>
      <c r="B1041" s="13"/>
      <c r="C1041" s="12"/>
      <c r="D1041" s="13"/>
      <c r="E1041" s="24"/>
      <c r="F1041" s="12"/>
      <c r="G1041" s="25"/>
      <c r="H1041" s="14" t="str">
        <f aca="false">IF(OR($D1041="",$B1041=""),"",INT(($B1041-$D1041)/365.25))</f>
        <v/>
      </c>
      <c r="I1041" s="25"/>
      <c r="J1041" s="12"/>
      <c r="K1041" s="12"/>
      <c r="L1041" s="14" t="str">
        <f aca="false">IF(OR($C1041="",$D1041="",$B1041=""),"",IF(COUNTIFS($C$5:$C$1504,$C1041,$D$5:$D$1504,$D1041,$B$5:$B$1504,$B1041)&gt;1,"Takror",""))</f>
        <v/>
      </c>
    </row>
    <row r="1042" customFormat="false" ht="15" hidden="false" customHeight="false" outlineLevel="0" collapsed="false">
      <c r="A1042" s="8" t="n">
        <v>1038</v>
      </c>
      <c r="B1042" s="13"/>
      <c r="C1042" s="12"/>
      <c r="D1042" s="13"/>
      <c r="E1042" s="24"/>
      <c r="F1042" s="12"/>
      <c r="G1042" s="25"/>
      <c r="H1042" s="14" t="str">
        <f aca="false">IF(OR($D1042="",$B1042=""),"",INT(($B1042-$D1042)/365.25))</f>
        <v/>
      </c>
      <c r="I1042" s="25"/>
      <c r="J1042" s="12"/>
      <c r="K1042" s="12"/>
      <c r="L1042" s="14" t="str">
        <f aca="false">IF(OR($C1042="",$D1042="",$B1042=""),"",IF(COUNTIFS($C$5:$C$1504,$C1042,$D$5:$D$1504,$D1042,$B$5:$B$1504,$B1042)&gt;1,"Takror",""))</f>
        <v/>
      </c>
    </row>
    <row r="1043" customFormat="false" ht="15" hidden="false" customHeight="false" outlineLevel="0" collapsed="false">
      <c r="A1043" s="8" t="n">
        <v>1039</v>
      </c>
      <c r="B1043" s="13"/>
      <c r="C1043" s="12"/>
      <c r="D1043" s="13"/>
      <c r="E1043" s="24"/>
      <c r="F1043" s="12"/>
      <c r="G1043" s="25"/>
      <c r="H1043" s="14" t="str">
        <f aca="false">IF(OR($D1043="",$B1043=""),"",INT(($B1043-$D1043)/365.25))</f>
        <v/>
      </c>
      <c r="I1043" s="25"/>
      <c r="J1043" s="12"/>
      <c r="K1043" s="12"/>
      <c r="L1043" s="14" t="str">
        <f aca="false">IF(OR($C1043="",$D1043="",$B1043=""),"",IF(COUNTIFS($C$5:$C$1504,$C1043,$D$5:$D$1504,$D1043,$B$5:$B$1504,$B1043)&gt;1,"Takror",""))</f>
        <v/>
      </c>
    </row>
    <row r="1044" customFormat="false" ht="15" hidden="false" customHeight="false" outlineLevel="0" collapsed="false">
      <c r="A1044" s="8" t="n">
        <v>1040</v>
      </c>
      <c r="B1044" s="13"/>
      <c r="C1044" s="12"/>
      <c r="D1044" s="13"/>
      <c r="E1044" s="24"/>
      <c r="F1044" s="12"/>
      <c r="G1044" s="25"/>
      <c r="H1044" s="14" t="str">
        <f aca="false">IF(OR($D1044="",$B1044=""),"",INT(($B1044-$D1044)/365.25))</f>
        <v/>
      </c>
      <c r="I1044" s="25"/>
      <c r="J1044" s="12"/>
      <c r="K1044" s="12"/>
      <c r="L1044" s="14" t="str">
        <f aca="false">IF(OR($C1044="",$D1044="",$B1044=""),"",IF(COUNTIFS($C$5:$C$1504,$C1044,$D$5:$D$1504,$D1044,$B$5:$B$1504,$B1044)&gt;1,"Takror",""))</f>
        <v/>
      </c>
    </row>
    <row r="1045" customFormat="false" ht="15" hidden="false" customHeight="false" outlineLevel="0" collapsed="false">
      <c r="A1045" s="8" t="n">
        <v>1041</v>
      </c>
      <c r="B1045" s="13"/>
      <c r="C1045" s="12"/>
      <c r="D1045" s="13"/>
      <c r="E1045" s="24"/>
      <c r="F1045" s="12"/>
      <c r="G1045" s="25"/>
      <c r="H1045" s="14" t="str">
        <f aca="false">IF(OR($D1045="",$B1045=""),"",INT(($B1045-$D1045)/365.25))</f>
        <v/>
      </c>
      <c r="I1045" s="25"/>
      <c r="J1045" s="12"/>
      <c r="K1045" s="12"/>
      <c r="L1045" s="14" t="str">
        <f aca="false">IF(OR($C1045="",$D1045="",$B1045=""),"",IF(COUNTIFS($C$5:$C$1504,$C1045,$D$5:$D$1504,$D1045,$B$5:$B$1504,$B1045)&gt;1,"Takror",""))</f>
        <v/>
      </c>
    </row>
    <row r="1046" customFormat="false" ht="15" hidden="false" customHeight="false" outlineLevel="0" collapsed="false">
      <c r="A1046" s="8" t="n">
        <v>1042</v>
      </c>
      <c r="B1046" s="13"/>
      <c r="C1046" s="12"/>
      <c r="D1046" s="13"/>
      <c r="E1046" s="24"/>
      <c r="F1046" s="12"/>
      <c r="G1046" s="25"/>
      <c r="H1046" s="14" t="str">
        <f aca="false">IF(OR($D1046="",$B1046=""),"",INT(($B1046-$D1046)/365.25))</f>
        <v/>
      </c>
      <c r="I1046" s="25"/>
      <c r="J1046" s="12"/>
      <c r="K1046" s="12"/>
      <c r="L1046" s="14" t="str">
        <f aca="false">IF(OR($C1046="",$D1046="",$B1046=""),"",IF(COUNTIFS($C$5:$C$1504,$C1046,$D$5:$D$1504,$D1046,$B$5:$B$1504,$B1046)&gt;1,"Takror",""))</f>
        <v/>
      </c>
    </row>
    <row r="1047" customFormat="false" ht="15" hidden="false" customHeight="false" outlineLevel="0" collapsed="false">
      <c r="A1047" s="8" t="n">
        <v>1043</v>
      </c>
      <c r="B1047" s="13"/>
      <c r="C1047" s="12"/>
      <c r="D1047" s="13"/>
      <c r="E1047" s="24"/>
      <c r="F1047" s="12"/>
      <c r="G1047" s="25"/>
      <c r="H1047" s="14" t="str">
        <f aca="false">IF(OR($D1047="",$B1047=""),"",INT(($B1047-$D1047)/365.25))</f>
        <v/>
      </c>
      <c r="I1047" s="25"/>
      <c r="J1047" s="12"/>
      <c r="K1047" s="12"/>
      <c r="L1047" s="14" t="str">
        <f aca="false">IF(OR($C1047="",$D1047="",$B1047=""),"",IF(COUNTIFS($C$5:$C$1504,$C1047,$D$5:$D$1504,$D1047,$B$5:$B$1504,$B1047)&gt;1,"Takror",""))</f>
        <v/>
      </c>
    </row>
    <row r="1048" customFormat="false" ht="15" hidden="false" customHeight="false" outlineLevel="0" collapsed="false">
      <c r="A1048" s="8" t="n">
        <v>1044</v>
      </c>
      <c r="B1048" s="13"/>
      <c r="C1048" s="12"/>
      <c r="D1048" s="13"/>
      <c r="E1048" s="24"/>
      <c r="F1048" s="12"/>
      <c r="G1048" s="25"/>
      <c r="H1048" s="14" t="str">
        <f aca="false">IF(OR($D1048="",$B1048=""),"",INT(($B1048-$D1048)/365.25))</f>
        <v/>
      </c>
      <c r="I1048" s="25"/>
      <c r="J1048" s="12"/>
      <c r="K1048" s="12"/>
      <c r="L1048" s="14" t="str">
        <f aca="false">IF(OR($C1048="",$D1048="",$B1048=""),"",IF(COUNTIFS($C$5:$C$1504,$C1048,$D$5:$D$1504,$D1048,$B$5:$B$1504,$B1048)&gt;1,"Takror",""))</f>
        <v/>
      </c>
    </row>
    <row r="1049" customFormat="false" ht="15" hidden="false" customHeight="false" outlineLevel="0" collapsed="false">
      <c r="A1049" s="8" t="n">
        <v>1045</v>
      </c>
      <c r="B1049" s="13"/>
      <c r="C1049" s="12"/>
      <c r="D1049" s="13"/>
      <c r="E1049" s="24"/>
      <c r="F1049" s="12"/>
      <c r="G1049" s="25"/>
      <c r="H1049" s="14" t="str">
        <f aca="false">IF(OR($D1049="",$B1049=""),"",INT(($B1049-$D1049)/365.25))</f>
        <v/>
      </c>
      <c r="I1049" s="25"/>
      <c r="J1049" s="12"/>
      <c r="K1049" s="12"/>
      <c r="L1049" s="14" t="str">
        <f aca="false">IF(OR($C1049="",$D1049="",$B1049=""),"",IF(COUNTIFS($C$5:$C$1504,$C1049,$D$5:$D$1504,$D1049,$B$5:$B$1504,$B1049)&gt;1,"Takror",""))</f>
        <v/>
      </c>
    </row>
    <row r="1050" customFormat="false" ht="15" hidden="false" customHeight="false" outlineLevel="0" collapsed="false">
      <c r="A1050" s="8" t="n">
        <v>1046</v>
      </c>
      <c r="B1050" s="13"/>
      <c r="C1050" s="12"/>
      <c r="D1050" s="13"/>
      <c r="E1050" s="24"/>
      <c r="F1050" s="12"/>
      <c r="G1050" s="25"/>
      <c r="H1050" s="14" t="str">
        <f aca="false">IF(OR($D1050="",$B1050=""),"",INT(($B1050-$D1050)/365.25))</f>
        <v/>
      </c>
      <c r="I1050" s="25"/>
      <c r="J1050" s="12"/>
      <c r="K1050" s="12"/>
      <c r="L1050" s="14" t="str">
        <f aca="false">IF(OR($C1050="",$D1050="",$B1050=""),"",IF(COUNTIFS($C$5:$C$1504,$C1050,$D$5:$D$1504,$D1050,$B$5:$B$1504,$B1050)&gt;1,"Takror",""))</f>
        <v/>
      </c>
    </row>
    <row r="1051" customFormat="false" ht="15" hidden="false" customHeight="false" outlineLevel="0" collapsed="false">
      <c r="A1051" s="8" t="n">
        <v>1047</v>
      </c>
      <c r="B1051" s="13"/>
      <c r="C1051" s="12"/>
      <c r="D1051" s="13"/>
      <c r="E1051" s="24"/>
      <c r="F1051" s="12"/>
      <c r="G1051" s="25"/>
      <c r="H1051" s="14" t="str">
        <f aca="false">IF(OR($D1051="",$B1051=""),"",INT(($B1051-$D1051)/365.25))</f>
        <v/>
      </c>
      <c r="I1051" s="25"/>
      <c r="J1051" s="12"/>
      <c r="K1051" s="12"/>
      <c r="L1051" s="14" t="str">
        <f aca="false">IF(OR($C1051="",$D1051="",$B1051=""),"",IF(COUNTIFS($C$5:$C$1504,$C1051,$D$5:$D$1504,$D1051,$B$5:$B$1504,$B1051)&gt;1,"Takror",""))</f>
        <v/>
      </c>
    </row>
    <row r="1052" customFormat="false" ht="15" hidden="false" customHeight="false" outlineLevel="0" collapsed="false">
      <c r="A1052" s="8" t="n">
        <v>1048</v>
      </c>
      <c r="B1052" s="13"/>
      <c r="C1052" s="12"/>
      <c r="D1052" s="13"/>
      <c r="E1052" s="24"/>
      <c r="F1052" s="12"/>
      <c r="G1052" s="25"/>
      <c r="H1052" s="14" t="str">
        <f aca="false">IF(OR($D1052="",$B1052=""),"",INT(($B1052-$D1052)/365.25))</f>
        <v/>
      </c>
      <c r="I1052" s="25"/>
      <c r="J1052" s="12"/>
      <c r="K1052" s="12"/>
      <c r="L1052" s="14" t="str">
        <f aca="false">IF(OR($C1052="",$D1052="",$B1052=""),"",IF(COUNTIFS($C$5:$C$1504,$C1052,$D$5:$D$1504,$D1052,$B$5:$B$1504,$B1052)&gt;1,"Takror",""))</f>
        <v/>
      </c>
    </row>
    <row r="1053" customFormat="false" ht="15" hidden="false" customHeight="false" outlineLevel="0" collapsed="false">
      <c r="A1053" s="8" t="n">
        <v>1049</v>
      </c>
      <c r="B1053" s="13"/>
      <c r="C1053" s="12"/>
      <c r="D1053" s="13"/>
      <c r="E1053" s="24"/>
      <c r="F1053" s="12"/>
      <c r="G1053" s="25"/>
      <c r="H1053" s="14" t="str">
        <f aca="false">IF(OR($D1053="",$B1053=""),"",INT(($B1053-$D1053)/365.25))</f>
        <v/>
      </c>
      <c r="I1053" s="25"/>
      <c r="J1053" s="12"/>
      <c r="K1053" s="12"/>
      <c r="L1053" s="14" t="str">
        <f aca="false">IF(OR($C1053="",$D1053="",$B1053=""),"",IF(COUNTIFS($C$5:$C$1504,$C1053,$D$5:$D$1504,$D1053,$B$5:$B$1504,$B1053)&gt;1,"Takror",""))</f>
        <v/>
      </c>
    </row>
    <row r="1054" customFormat="false" ht="15" hidden="false" customHeight="false" outlineLevel="0" collapsed="false">
      <c r="A1054" s="8" t="n">
        <v>1050</v>
      </c>
      <c r="B1054" s="13"/>
      <c r="C1054" s="12"/>
      <c r="D1054" s="13"/>
      <c r="E1054" s="24"/>
      <c r="F1054" s="12"/>
      <c r="G1054" s="25"/>
      <c r="H1054" s="14" t="str">
        <f aca="false">IF(OR($D1054="",$B1054=""),"",INT(($B1054-$D1054)/365.25))</f>
        <v/>
      </c>
      <c r="I1054" s="25"/>
      <c r="J1054" s="12"/>
      <c r="K1054" s="12"/>
      <c r="L1054" s="14" t="str">
        <f aca="false">IF(OR($C1054="",$D1054="",$B1054=""),"",IF(COUNTIFS($C$5:$C$1504,$C1054,$D$5:$D$1504,$D1054,$B$5:$B$1504,$B1054)&gt;1,"Takror",""))</f>
        <v/>
      </c>
    </row>
    <row r="1055" customFormat="false" ht="15" hidden="false" customHeight="false" outlineLevel="0" collapsed="false">
      <c r="A1055" s="8" t="n">
        <v>1051</v>
      </c>
      <c r="B1055" s="13"/>
      <c r="C1055" s="12"/>
      <c r="D1055" s="13"/>
      <c r="E1055" s="24"/>
      <c r="F1055" s="12"/>
      <c r="G1055" s="25"/>
      <c r="H1055" s="14" t="str">
        <f aca="false">IF(OR($D1055="",$B1055=""),"",INT(($B1055-$D1055)/365.25))</f>
        <v/>
      </c>
      <c r="I1055" s="25"/>
      <c r="J1055" s="12"/>
      <c r="K1055" s="12"/>
      <c r="L1055" s="14" t="str">
        <f aca="false">IF(OR($C1055="",$D1055="",$B1055=""),"",IF(COUNTIFS($C$5:$C$1504,$C1055,$D$5:$D$1504,$D1055,$B$5:$B$1504,$B1055)&gt;1,"Takror",""))</f>
        <v/>
      </c>
    </row>
    <row r="1056" customFormat="false" ht="15" hidden="false" customHeight="false" outlineLevel="0" collapsed="false">
      <c r="A1056" s="8" t="n">
        <v>1052</v>
      </c>
      <c r="B1056" s="13"/>
      <c r="C1056" s="12"/>
      <c r="D1056" s="13"/>
      <c r="E1056" s="24"/>
      <c r="F1056" s="12"/>
      <c r="G1056" s="25"/>
      <c r="H1056" s="14" t="str">
        <f aca="false">IF(OR($D1056="",$B1056=""),"",INT(($B1056-$D1056)/365.25))</f>
        <v/>
      </c>
      <c r="I1056" s="25"/>
      <c r="J1056" s="12"/>
      <c r="K1056" s="12"/>
      <c r="L1056" s="14" t="str">
        <f aca="false">IF(OR($C1056="",$D1056="",$B1056=""),"",IF(COUNTIFS($C$5:$C$1504,$C1056,$D$5:$D$1504,$D1056,$B$5:$B$1504,$B1056)&gt;1,"Takror",""))</f>
        <v/>
      </c>
    </row>
    <row r="1057" customFormat="false" ht="15" hidden="false" customHeight="false" outlineLevel="0" collapsed="false">
      <c r="A1057" s="8" t="n">
        <v>1053</v>
      </c>
      <c r="B1057" s="13"/>
      <c r="C1057" s="12"/>
      <c r="D1057" s="13"/>
      <c r="E1057" s="24"/>
      <c r="F1057" s="12"/>
      <c r="G1057" s="25"/>
      <c r="H1057" s="14" t="str">
        <f aca="false">IF(OR($D1057="",$B1057=""),"",INT(($B1057-$D1057)/365.25))</f>
        <v/>
      </c>
      <c r="I1057" s="25"/>
      <c r="J1057" s="12"/>
      <c r="K1057" s="12"/>
      <c r="L1057" s="14" t="str">
        <f aca="false">IF(OR($C1057="",$D1057="",$B1057=""),"",IF(COUNTIFS($C$5:$C$1504,$C1057,$D$5:$D$1504,$D1057,$B$5:$B$1504,$B1057)&gt;1,"Takror",""))</f>
        <v/>
      </c>
    </row>
    <row r="1058" customFormat="false" ht="15" hidden="false" customHeight="false" outlineLevel="0" collapsed="false">
      <c r="A1058" s="8" t="n">
        <v>1054</v>
      </c>
      <c r="B1058" s="13"/>
      <c r="C1058" s="12"/>
      <c r="D1058" s="13"/>
      <c r="E1058" s="24"/>
      <c r="F1058" s="12"/>
      <c r="G1058" s="25"/>
      <c r="H1058" s="14" t="str">
        <f aca="false">IF(OR($D1058="",$B1058=""),"",INT(($B1058-$D1058)/365.25))</f>
        <v/>
      </c>
      <c r="I1058" s="25"/>
      <c r="J1058" s="12"/>
      <c r="K1058" s="12"/>
      <c r="L1058" s="14" t="str">
        <f aca="false">IF(OR($C1058="",$D1058="",$B1058=""),"",IF(COUNTIFS($C$5:$C$1504,$C1058,$D$5:$D$1504,$D1058,$B$5:$B$1504,$B1058)&gt;1,"Takror",""))</f>
        <v/>
      </c>
    </row>
    <row r="1059" customFormat="false" ht="15" hidden="false" customHeight="false" outlineLevel="0" collapsed="false">
      <c r="A1059" s="8" t="n">
        <v>1055</v>
      </c>
      <c r="B1059" s="13"/>
      <c r="C1059" s="12"/>
      <c r="D1059" s="13"/>
      <c r="E1059" s="24"/>
      <c r="F1059" s="12"/>
      <c r="G1059" s="25"/>
      <c r="H1059" s="14" t="str">
        <f aca="false">IF(OR($D1059="",$B1059=""),"",INT(($B1059-$D1059)/365.25))</f>
        <v/>
      </c>
      <c r="I1059" s="25"/>
      <c r="J1059" s="12"/>
      <c r="K1059" s="12"/>
      <c r="L1059" s="14" t="str">
        <f aca="false">IF(OR($C1059="",$D1059="",$B1059=""),"",IF(COUNTIFS($C$5:$C$1504,$C1059,$D$5:$D$1504,$D1059,$B$5:$B$1504,$B1059)&gt;1,"Takror",""))</f>
        <v/>
      </c>
    </row>
    <row r="1060" customFormat="false" ht="15" hidden="false" customHeight="false" outlineLevel="0" collapsed="false">
      <c r="A1060" s="8" t="n">
        <v>1056</v>
      </c>
      <c r="B1060" s="13"/>
      <c r="C1060" s="12"/>
      <c r="D1060" s="13"/>
      <c r="E1060" s="24"/>
      <c r="F1060" s="12"/>
      <c r="G1060" s="25"/>
      <c r="H1060" s="14" t="str">
        <f aca="false">IF(OR($D1060="",$B1060=""),"",INT(($B1060-$D1060)/365.25))</f>
        <v/>
      </c>
      <c r="I1060" s="25"/>
      <c r="J1060" s="12"/>
      <c r="K1060" s="12"/>
      <c r="L1060" s="14" t="str">
        <f aca="false">IF(OR($C1060="",$D1060="",$B1060=""),"",IF(COUNTIFS($C$5:$C$1504,$C1060,$D$5:$D$1504,$D1060,$B$5:$B$1504,$B1060)&gt;1,"Takror",""))</f>
        <v/>
      </c>
    </row>
    <row r="1061" customFormat="false" ht="15" hidden="false" customHeight="false" outlineLevel="0" collapsed="false">
      <c r="A1061" s="8" t="n">
        <v>1057</v>
      </c>
      <c r="B1061" s="13"/>
      <c r="C1061" s="12"/>
      <c r="D1061" s="13"/>
      <c r="E1061" s="24"/>
      <c r="F1061" s="12"/>
      <c r="G1061" s="25"/>
      <c r="H1061" s="14" t="str">
        <f aca="false">IF(OR($D1061="",$B1061=""),"",INT(($B1061-$D1061)/365.25))</f>
        <v/>
      </c>
      <c r="I1061" s="25"/>
      <c r="J1061" s="12"/>
      <c r="K1061" s="12"/>
      <c r="L1061" s="14" t="str">
        <f aca="false">IF(OR($C1061="",$D1061="",$B1061=""),"",IF(COUNTIFS($C$5:$C$1504,$C1061,$D$5:$D$1504,$D1061,$B$5:$B$1504,$B1061)&gt;1,"Takror",""))</f>
        <v/>
      </c>
    </row>
    <row r="1062" customFormat="false" ht="15" hidden="false" customHeight="false" outlineLevel="0" collapsed="false">
      <c r="A1062" s="8" t="n">
        <v>1058</v>
      </c>
      <c r="B1062" s="13"/>
      <c r="C1062" s="12"/>
      <c r="D1062" s="13"/>
      <c r="E1062" s="24"/>
      <c r="F1062" s="12"/>
      <c r="G1062" s="25"/>
      <c r="H1062" s="14" t="str">
        <f aca="false">IF(OR($D1062="",$B1062=""),"",INT(($B1062-$D1062)/365.25))</f>
        <v/>
      </c>
      <c r="I1062" s="25"/>
      <c r="J1062" s="12"/>
      <c r="K1062" s="12"/>
      <c r="L1062" s="14" t="str">
        <f aca="false">IF(OR($C1062="",$D1062="",$B1062=""),"",IF(COUNTIFS($C$5:$C$1504,$C1062,$D$5:$D$1504,$D1062,$B$5:$B$1504,$B1062)&gt;1,"Takror",""))</f>
        <v/>
      </c>
    </row>
    <row r="1063" customFormat="false" ht="15" hidden="false" customHeight="false" outlineLevel="0" collapsed="false">
      <c r="A1063" s="8" t="n">
        <v>1059</v>
      </c>
      <c r="B1063" s="13"/>
      <c r="C1063" s="12"/>
      <c r="D1063" s="13"/>
      <c r="E1063" s="24"/>
      <c r="F1063" s="12"/>
      <c r="G1063" s="25"/>
      <c r="H1063" s="14" t="str">
        <f aca="false">IF(OR($D1063="",$B1063=""),"",INT(($B1063-$D1063)/365.25))</f>
        <v/>
      </c>
      <c r="I1063" s="25"/>
      <c r="J1063" s="12"/>
      <c r="K1063" s="12"/>
      <c r="L1063" s="14" t="str">
        <f aca="false">IF(OR($C1063="",$D1063="",$B1063=""),"",IF(COUNTIFS($C$5:$C$1504,$C1063,$D$5:$D$1504,$D1063,$B$5:$B$1504,$B1063)&gt;1,"Takror",""))</f>
        <v/>
      </c>
    </row>
    <row r="1064" customFormat="false" ht="15" hidden="false" customHeight="false" outlineLevel="0" collapsed="false">
      <c r="A1064" s="8" t="n">
        <v>1060</v>
      </c>
      <c r="B1064" s="13"/>
      <c r="C1064" s="12"/>
      <c r="D1064" s="13"/>
      <c r="E1064" s="24"/>
      <c r="F1064" s="12"/>
      <c r="G1064" s="25"/>
      <c r="H1064" s="14" t="str">
        <f aca="false">IF(OR($D1064="",$B1064=""),"",INT(($B1064-$D1064)/365.25))</f>
        <v/>
      </c>
      <c r="I1064" s="25"/>
      <c r="J1064" s="12"/>
      <c r="K1064" s="12"/>
      <c r="L1064" s="14" t="str">
        <f aca="false">IF(OR($C1064="",$D1064="",$B1064=""),"",IF(COUNTIFS($C$5:$C$1504,$C1064,$D$5:$D$1504,$D1064,$B$5:$B$1504,$B1064)&gt;1,"Takror",""))</f>
        <v/>
      </c>
    </row>
    <row r="1065" customFormat="false" ht="15" hidden="false" customHeight="false" outlineLevel="0" collapsed="false">
      <c r="A1065" s="8" t="n">
        <v>1061</v>
      </c>
      <c r="B1065" s="13"/>
      <c r="C1065" s="12"/>
      <c r="D1065" s="13"/>
      <c r="E1065" s="24"/>
      <c r="F1065" s="12"/>
      <c r="G1065" s="25"/>
      <c r="H1065" s="14" t="str">
        <f aca="false">IF(OR($D1065="",$B1065=""),"",INT(($B1065-$D1065)/365.25))</f>
        <v/>
      </c>
      <c r="I1065" s="25"/>
      <c r="J1065" s="12"/>
      <c r="K1065" s="12"/>
      <c r="L1065" s="14" t="str">
        <f aca="false">IF(OR($C1065="",$D1065="",$B1065=""),"",IF(COUNTIFS($C$5:$C$1504,$C1065,$D$5:$D$1504,$D1065,$B$5:$B$1504,$B1065)&gt;1,"Takror",""))</f>
        <v/>
      </c>
    </row>
    <row r="1066" customFormat="false" ht="15" hidden="false" customHeight="false" outlineLevel="0" collapsed="false">
      <c r="A1066" s="8" t="n">
        <v>1062</v>
      </c>
      <c r="B1066" s="13"/>
      <c r="C1066" s="12"/>
      <c r="D1066" s="13"/>
      <c r="E1066" s="24"/>
      <c r="F1066" s="12"/>
      <c r="G1066" s="25"/>
      <c r="H1066" s="14" t="str">
        <f aca="false">IF(OR($D1066="",$B1066=""),"",INT(($B1066-$D1066)/365.25))</f>
        <v/>
      </c>
      <c r="I1066" s="25"/>
      <c r="J1066" s="12"/>
      <c r="K1066" s="12"/>
      <c r="L1066" s="14" t="str">
        <f aca="false">IF(OR($C1066="",$D1066="",$B1066=""),"",IF(COUNTIFS($C$5:$C$1504,$C1066,$D$5:$D$1504,$D1066,$B$5:$B$1504,$B1066)&gt;1,"Takror",""))</f>
        <v/>
      </c>
    </row>
    <row r="1067" customFormat="false" ht="15" hidden="false" customHeight="false" outlineLevel="0" collapsed="false">
      <c r="A1067" s="8" t="n">
        <v>1063</v>
      </c>
      <c r="B1067" s="13"/>
      <c r="C1067" s="12"/>
      <c r="D1067" s="13"/>
      <c r="E1067" s="24"/>
      <c r="F1067" s="12"/>
      <c r="G1067" s="25"/>
      <c r="H1067" s="14" t="str">
        <f aca="false">IF(OR($D1067="",$B1067=""),"",INT(($B1067-$D1067)/365.25))</f>
        <v/>
      </c>
      <c r="I1067" s="25"/>
      <c r="J1067" s="12"/>
      <c r="K1067" s="12"/>
      <c r="L1067" s="14" t="str">
        <f aca="false">IF(OR($C1067="",$D1067="",$B1067=""),"",IF(COUNTIFS($C$5:$C$1504,$C1067,$D$5:$D$1504,$D1067,$B$5:$B$1504,$B1067)&gt;1,"Takror",""))</f>
        <v/>
      </c>
    </row>
    <row r="1068" customFormat="false" ht="15" hidden="false" customHeight="false" outlineLevel="0" collapsed="false">
      <c r="A1068" s="8" t="n">
        <v>1064</v>
      </c>
      <c r="B1068" s="13"/>
      <c r="C1068" s="12"/>
      <c r="D1068" s="13"/>
      <c r="E1068" s="24"/>
      <c r="F1068" s="12"/>
      <c r="G1068" s="25"/>
      <c r="H1068" s="14" t="str">
        <f aca="false">IF(OR($D1068="",$B1068=""),"",INT(($B1068-$D1068)/365.25))</f>
        <v/>
      </c>
      <c r="I1068" s="25"/>
      <c r="J1068" s="12"/>
      <c r="K1068" s="12"/>
      <c r="L1068" s="14" t="str">
        <f aca="false">IF(OR($C1068="",$D1068="",$B1068=""),"",IF(COUNTIFS($C$5:$C$1504,$C1068,$D$5:$D$1504,$D1068,$B$5:$B$1504,$B1068)&gt;1,"Takror",""))</f>
        <v/>
      </c>
    </row>
    <row r="1069" customFormat="false" ht="15" hidden="false" customHeight="false" outlineLevel="0" collapsed="false">
      <c r="A1069" s="8" t="n">
        <v>1065</v>
      </c>
      <c r="B1069" s="13"/>
      <c r="C1069" s="12"/>
      <c r="D1069" s="13"/>
      <c r="E1069" s="24"/>
      <c r="F1069" s="12"/>
      <c r="G1069" s="25"/>
      <c r="H1069" s="14" t="str">
        <f aca="false">IF(OR($D1069="",$B1069=""),"",INT(($B1069-$D1069)/365.25))</f>
        <v/>
      </c>
      <c r="I1069" s="25"/>
      <c r="J1069" s="12"/>
      <c r="K1069" s="12"/>
      <c r="L1069" s="14" t="str">
        <f aca="false">IF(OR($C1069="",$D1069="",$B1069=""),"",IF(COUNTIFS($C$5:$C$1504,$C1069,$D$5:$D$1504,$D1069,$B$5:$B$1504,$B1069)&gt;1,"Takror",""))</f>
        <v/>
      </c>
    </row>
    <row r="1070" customFormat="false" ht="15" hidden="false" customHeight="false" outlineLevel="0" collapsed="false">
      <c r="A1070" s="8" t="n">
        <v>1066</v>
      </c>
      <c r="B1070" s="13"/>
      <c r="C1070" s="12"/>
      <c r="D1070" s="13"/>
      <c r="E1070" s="24"/>
      <c r="F1070" s="12"/>
      <c r="G1070" s="25"/>
      <c r="H1070" s="14" t="str">
        <f aca="false">IF(OR($D1070="",$B1070=""),"",INT(($B1070-$D1070)/365.25))</f>
        <v/>
      </c>
      <c r="I1070" s="25"/>
      <c r="J1070" s="12"/>
      <c r="K1070" s="12"/>
      <c r="L1070" s="14" t="str">
        <f aca="false">IF(OR($C1070="",$D1070="",$B1070=""),"",IF(COUNTIFS($C$5:$C$1504,$C1070,$D$5:$D$1504,$D1070,$B$5:$B$1504,$B1070)&gt;1,"Takror",""))</f>
        <v/>
      </c>
    </row>
    <row r="1071" customFormat="false" ht="15" hidden="false" customHeight="false" outlineLevel="0" collapsed="false">
      <c r="A1071" s="8" t="n">
        <v>1067</v>
      </c>
      <c r="B1071" s="13"/>
      <c r="C1071" s="12"/>
      <c r="D1071" s="13"/>
      <c r="E1071" s="24"/>
      <c r="F1071" s="12"/>
      <c r="G1071" s="25"/>
      <c r="H1071" s="14" t="str">
        <f aca="false">IF(OR($D1071="",$B1071=""),"",INT(($B1071-$D1071)/365.25))</f>
        <v/>
      </c>
      <c r="I1071" s="25"/>
      <c r="J1071" s="12"/>
      <c r="K1071" s="12"/>
      <c r="L1071" s="14" t="str">
        <f aca="false">IF(OR($C1071="",$D1071="",$B1071=""),"",IF(COUNTIFS($C$5:$C$1504,$C1071,$D$5:$D$1504,$D1071,$B$5:$B$1504,$B1071)&gt;1,"Takror",""))</f>
        <v/>
      </c>
    </row>
    <row r="1072" customFormat="false" ht="15" hidden="false" customHeight="false" outlineLevel="0" collapsed="false">
      <c r="A1072" s="8" t="n">
        <v>1068</v>
      </c>
      <c r="B1072" s="13"/>
      <c r="C1072" s="12"/>
      <c r="D1072" s="13"/>
      <c r="E1072" s="24"/>
      <c r="F1072" s="12"/>
      <c r="G1072" s="25"/>
      <c r="H1072" s="14" t="str">
        <f aca="false">IF(OR($D1072="",$B1072=""),"",INT(($B1072-$D1072)/365.25))</f>
        <v/>
      </c>
      <c r="I1072" s="25"/>
      <c r="J1072" s="12"/>
      <c r="K1072" s="12"/>
      <c r="L1072" s="14" t="str">
        <f aca="false">IF(OR($C1072="",$D1072="",$B1072=""),"",IF(COUNTIFS($C$5:$C$1504,$C1072,$D$5:$D$1504,$D1072,$B$5:$B$1504,$B1072)&gt;1,"Takror",""))</f>
        <v/>
      </c>
    </row>
    <row r="1073" customFormat="false" ht="15" hidden="false" customHeight="false" outlineLevel="0" collapsed="false">
      <c r="A1073" s="8" t="n">
        <v>1069</v>
      </c>
      <c r="B1073" s="13"/>
      <c r="C1073" s="12"/>
      <c r="D1073" s="13"/>
      <c r="E1073" s="24"/>
      <c r="F1073" s="12"/>
      <c r="G1073" s="25"/>
      <c r="H1073" s="14" t="str">
        <f aca="false">IF(OR($D1073="",$B1073=""),"",INT(($B1073-$D1073)/365.25))</f>
        <v/>
      </c>
      <c r="I1073" s="25"/>
      <c r="J1073" s="12"/>
      <c r="K1073" s="12"/>
      <c r="L1073" s="14" t="str">
        <f aca="false">IF(OR($C1073="",$D1073="",$B1073=""),"",IF(COUNTIFS($C$5:$C$1504,$C1073,$D$5:$D$1504,$D1073,$B$5:$B$1504,$B1073)&gt;1,"Takror",""))</f>
        <v/>
      </c>
    </row>
    <row r="1074" customFormat="false" ht="15" hidden="false" customHeight="false" outlineLevel="0" collapsed="false">
      <c r="A1074" s="8" t="n">
        <v>1070</v>
      </c>
      <c r="B1074" s="13"/>
      <c r="C1074" s="12"/>
      <c r="D1074" s="13"/>
      <c r="E1074" s="24"/>
      <c r="F1074" s="12"/>
      <c r="G1074" s="25"/>
      <c r="H1074" s="14" t="str">
        <f aca="false">IF(OR($D1074="",$B1074=""),"",INT(($B1074-$D1074)/365.25))</f>
        <v/>
      </c>
      <c r="I1074" s="25"/>
      <c r="J1074" s="12"/>
      <c r="K1074" s="12"/>
      <c r="L1074" s="14" t="str">
        <f aca="false">IF(OR($C1074="",$D1074="",$B1074=""),"",IF(COUNTIFS($C$5:$C$1504,$C1074,$D$5:$D$1504,$D1074,$B$5:$B$1504,$B1074)&gt;1,"Takror",""))</f>
        <v/>
      </c>
    </row>
    <row r="1075" customFormat="false" ht="15" hidden="false" customHeight="false" outlineLevel="0" collapsed="false">
      <c r="A1075" s="8" t="n">
        <v>1071</v>
      </c>
      <c r="B1075" s="13"/>
      <c r="C1075" s="12"/>
      <c r="D1075" s="13"/>
      <c r="E1075" s="24"/>
      <c r="F1075" s="12"/>
      <c r="G1075" s="25"/>
      <c r="H1075" s="14" t="str">
        <f aca="false">IF(OR($D1075="",$B1075=""),"",INT(($B1075-$D1075)/365.25))</f>
        <v/>
      </c>
      <c r="I1075" s="25"/>
      <c r="J1075" s="12"/>
      <c r="K1075" s="12"/>
      <c r="L1075" s="14" t="str">
        <f aca="false">IF(OR($C1075="",$D1075="",$B1075=""),"",IF(COUNTIFS($C$5:$C$1504,$C1075,$D$5:$D$1504,$D1075,$B$5:$B$1504,$B1075)&gt;1,"Takror",""))</f>
        <v/>
      </c>
    </row>
    <row r="1076" customFormat="false" ht="15" hidden="false" customHeight="false" outlineLevel="0" collapsed="false">
      <c r="A1076" s="8" t="n">
        <v>1072</v>
      </c>
      <c r="B1076" s="13"/>
      <c r="C1076" s="12"/>
      <c r="D1076" s="13"/>
      <c r="E1076" s="24"/>
      <c r="F1076" s="12"/>
      <c r="G1076" s="25"/>
      <c r="H1076" s="14" t="str">
        <f aca="false">IF(OR($D1076="",$B1076=""),"",INT(($B1076-$D1076)/365.25))</f>
        <v/>
      </c>
      <c r="I1076" s="25"/>
      <c r="J1076" s="12"/>
      <c r="K1076" s="12"/>
      <c r="L1076" s="14" t="str">
        <f aca="false">IF(OR($C1076="",$D1076="",$B1076=""),"",IF(COUNTIFS($C$5:$C$1504,$C1076,$D$5:$D$1504,$D1076,$B$5:$B$1504,$B1076)&gt;1,"Takror",""))</f>
        <v/>
      </c>
    </row>
    <row r="1077" customFormat="false" ht="15" hidden="false" customHeight="false" outlineLevel="0" collapsed="false">
      <c r="A1077" s="8" t="n">
        <v>1073</v>
      </c>
      <c r="B1077" s="13"/>
      <c r="C1077" s="12"/>
      <c r="D1077" s="13"/>
      <c r="E1077" s="24"/>
      <c r="F1077" s="12"/>
      <c r="G1077" s="25"/>
      <c r="H1077" s="14" t="str">
        <f aca="false">IF(OR($D1077="",$B1077=""),"",INT(($B1077-$D1077)/365.25))</f>
        <v/>
      </c>
      <c r="I1077" s="25"/>
      <c r="J1077" s="12"/>
      <c r="K1077" s="12"/>
      <c r="L1077" s="14" t="str">
        <f aca="false">IF(OR($C1077="",$D1077="",$B1077=""),"",IF(COUNTIFS($C$5:$C$1504,$C1077,$D$5:$D$1504,$D1077,$B$5:$B$1504,$B1077)&gt;1,"Takror",""))</f>
        <v/>
      </c>
    </row>
    <row r="1078" customFormat="false" ht="15" hidden="false" customHeight="false" outlineLevel="0" collapsed="false">
      <c r="A1078" s="8" t="n">
        <v>1074</v>
      </c>
      <c r="B1078" s="13"/>
      <c r="C1078" s="12"/>
      <c r="D1078" s="13"/>
      <c r="E1078" s="24"/>
      <c r="F1078" s="12"/>
      <c r="G1078" s="25"/>
      <c r="H1078" s="14" t="str">
        <f aca="false">IF(OR($D1078="",$B1078=""),"",INT(($B1078-$D1078)/365.25))</f>
        <v/>
      </c>
      <c r="I1078" s="25"/>
      <c r="J1078" s="12"/>
      <c r="K1078" s="12"/>
      <c r="L1078" s="14" t="str">
        <f aca="false">IF(OR($C1078="",$D1078="",$B1078=""),"",IF(COUNTIFS($C$5:$C$1504,$C1078,$D$5:$D$1504,$D1078,$B$5:$B$1504,$B1078)&gt;1,"Takror",""))</f>
        <v/>
      </c>
    </row>
    <row r="1079" customFormat="false" ht="15" hidden="false" customHeight="false" outlineLevel="0" collapsed="false">
      <c r="A1079" s="8" t="n">
        <v>1075</v>
      </c>
      <c r="B1079" s="13"/>
      <c r="C1079" s="12"/>
      <c r="D1079" s="13"/>
      <c r="E1079" s="24"/>
      <c r="F1079" s="12"/>
      <c r="G1079" s="25"/>
      <c r="H1079" s="14" t="str">
        <f aca="false">IF(OR($D1079="",$B1079=""),"",INT(($B1079-$D1079)/365.25))</f>
        <v/>
      </c>
      <c r="I1079" s="25"/>
      <c r="J1079" s="12"/>
      <c r="K1079" s="12"/>
      <c r="L1079" s="14" t="str">
        <f aca="false">IF(OR($C1079="",$D1079="",$B1079=""),"",IF(COUNTIFS($C$5:$C$1504,$C1079,$D$5:$D$1504,$D1079,$B$5:$B$1504,$B1079)&gt;1,"Takror",""))</f>
        <v/>
      </c>
    </row>
    <row r="1080" customFormat="false" ht="15" hidden="false" customHeight="false" outlineLevel="0" collapsed="false">
      <c r="A1080" s="8" t="n">
        <v>1076</v>
      </c>
      <c r="B1080" s="13"/>
      <c r="C1080" s="12"/>
      <c r="D1080" s="13"/>
      <c r="E1080" s="24"/>
      <c r="F1080" s="12"/>
      <c r="G1080" s="25"/>
      <c r="H1080" s="14" t="str">
        <f aca="false">IF(OR($D1080="",$B1080=""),"",INT(($B1080-$D1080)/365.25))</f>
        <v/>
      </c>
      <c r="I1080" s="25"/>
      <c r="J1080" s="12"/>
      <c r="K1080" s="12"/>
      <c r="L1080" s="14" t="str">
        <f aca="false">IF(OR($C1080="",$D1080="",$B1080=""),"",IF(COUNTIFS($C$5:$C$1504,$C1080,$D$5:$D$1504,$D1080,$B$5:$B$1504,$B1080)&gt;1,"Takror",""))</f>
        <v/>
      </c>
    </row>
    <row r="1081" customFormat="false" ht="15" hidden="false" customHeight="false" outlineLevel="0" collapsed="false">
      <c r="A1081" s="8" t="n">
        <v>1077</v>
      </c>
      <c r="B1081" s="13"/>
      <c r="C1081" s="12"/>
      <c r="D1081" s="13"/>
      <c r="E1081" s="24"/>
      <c r="F1081" s="12"/>
      <c r="G1081" s="25"/>
      <c r="H1081" s="14" t="str">
        <f aca="false">IF(OR($D1081="",$B1081=""),"",INT(($B1081-$D1081)/365.25))</f>
        <v/>
      </c>
      <c r="I1081" s="25"/>
      <c r="J1081" s="12"/>
      <c r="K1081" s="12"/>
      <c r="L1081" s="14" t="str">
        <f aca="false">IF(OR($C1081="",$D1081="",$B1081=""),"",IF(COUNTIFS($C$5:$C$1504,$C1081,$D$5:$D$1504,$D1081,$B$5:$B$1504,$B1081)&gt;1,"Takror",""))</f>
        <v/>
      </c>
    </row>
    <row r="1082" customFormat="false" ht="15" hidden="false" customHeight="false" outlineLevel="0" collapsed="false">
      <c r="A1082" s="8" t="n">
        <v>1078</v>
      </c>
      <c r="B1082" s="13"/>
      <c r="C1082" s="12"/>
      <c r="D1082" s="13"/>
      <c r="E1082" s="24"/>
      <c r="F1082" s="12"/>
      <c r="G1082" s="25"/>
      <c r="H1082" s="14" t="str">
        <f aca="false">IF(OR($D1082="",$B1082=""),"",INT(($B1082-$D1082)/365.25))</f>
        <v/>
      </c>
      <c r="I1082" s="25"/>
      <c r="J1082" s="12"/>
      <c r="K1082" s="12"/>
      <c r="L1082" s="14" t="str">
        <f aca="false">IF(OR($C1082="",$D1082="",$B1082=""),"",IF(COUNTIFS($C$5:$C$1504,$C1082,$D$5:$D$1504,$D1082,$B$5:$B$1504,$B1082)&gt;1,"Takror",""))</f>
        <v/>
      </c>
    </row>
    <row r="1083" customFormat="false" ht="15" hidden="false" customHeight="false" outlineLevel="0" collapsed="false">
      <c r="A1083" s="8" t="n">
        <v>1079</v>
      </c>
      <c r="B1083" s="13"/>
      <c r="C1083" s="12"/>
      <c r="D1083" s="13"/>
      <c r="E1083" s="24"/>
      <c r="F1083" s="12"/>
      <c r="G1083" s="25"/>
      <c r="H1083" s="14" t="str">
        <f aca="false">IF(OR($D1083="",$B1083=""),"",INT(($B1083-$D1083)/365.25))</f>
        <v/>
      </c>
      <c r="I1083" s="25"/>
      <c r="J1083" s="12"/>
      <c r="K1083" s="12"/>
      <c r="L1083" s="14" t="str">
        <f aca="false">IF(OR($C1083="",$D1083="",$B1083=""),"",IF(COUNTIFS($C$5:$C$1504,$C1083,$D$5:$D$1504,$D1083,$B$5:$B$1504,$B1083)&gt;1,"Takror",""))</f>
        <v/>
      </c>
    </row>
    <row r="1084" customFormat="false" ht="15" hidden="false" customHeight="false" outlineLevel="0" collapsed="false">
      <c r="A1084" s="8" t="n">
        <v>1080</v>
      </c>
      <c r="B1084" s="13"/>
      <c r="C1084" s="12"/>
      <c r="D1084" s="13"/>
      <c r="E1084" s="24"/>
      <c r="F1084" s="12"/>
      <c r="G1084" s="25"/>
      <c r="H1084" s="14" t="str">
        <f aca="false">IF(OR($D1084="",$B1084=""),"",INT(($B1084-$D1084)/365.25))</f>
        <v/>
      </c>
      <c r="I1084" s="25"/>
      <c r="J1084" s="12"/>
      <c r="K1084" s="12"/>
      <c r="L1084" s="14" t="str">
        <f aca="false">IF(OR($C1084="",$D1084="",$B1084=""),"",IF(COUNTIFS($C$5:$C$1504,$C1084,$D$5:$D$1504,$D1084,$B$5:$B$1504,$B1084)&gt;1,"Takror",""))</f>
        <v/>
      </c>
    </row>
    <row r="1085" customFormat="false" ht="15" hidden="false" customHeight="false" outlineLevel="0" collapsed="false">
      <c r="A1085" s="8" t="n">
        <v>1081</v>
      </c>
      <c r="B1085" s="13"/>
      <c r="C1085" s="12"/>
      <c r="D1085" s="13"/>
      <c r="E1085" s="24"/>
      <c r="F1085" s="12"/>
      <c r="G1085" s="25"/>
      <c r="H1085" s="14" t="str">
        <f aca="false">IF(OR($D1085="",$B1085=""),"",INT(($B1085-$D1085)/365.25))</f>
        <v/>
      </c>
      <c r="I1085" s="25"/>
      <c r="J1085" s="12"/>
      <c r="K1085" s="12"/>
      <c r="L1085" s="14" t="str">
        <f aca="false">IF(OR($C1085="",$D1085="",$B1085=""),"",IF(COUNTIFS($C$5:$C$1504,$C1085,$D$5:$D$1504,$D1085,$B$5:$B$1504,$B1085)&gt;1,"Takror",""))</f>
        <v/>
      </c>
    </row>
    <row r="1086" customFormat="false" ht="15" hidden="false" customHeight="false" outlineLevel="0" collapsed="false">
      <c r="A1086" s="8" t="n">
        <v>1082</v>
      </c>
      <c r="B1086" s="13"/>
      <c r="C1086" s="12"/>
      <c r="D1086" s="13"/>
      <c r="E1086" s="24"/>
      <c r="F1086" s="12"/>
      <c r="G1086" s="25"/>
      <c r="H1086" s="14" t="str">
        <f aca="false">IF(OR($D1086="",$B1086=""),"",INT(($B1086-$D1086)/365.25))</f>
        <v/>
      </c>
      <c r="I1086" s="25"/>
      <c r="J1086" s="12"/>
      <c r="K1086" s="12"/>
      <c r="L1086" s="14" t="str">
        <f aca="false">IF(OR($C1086="",$D1086="",$B1086=""),"",IF(COUNTIFS($C$5:$C$1504,$C1086,$D$5:$D$1504,$D1086,$B$5:$B$1504,$B1086)&gt;1,"Takror",""))</f>
        <v/>
      </c>
    </row>
    <row r="1087" customFormat="false" ht="15" hidden="false" customHeight="false" outlineLevel="0" collapsed="false">
      <c r="A1087" s="8" t="n">
        <v>1083</v>
      </c>
      <c r="B1087" s="13"/>
      <c r="C1087" s="12"/>
      <c r="D1087" s="13"/>
      <c r="E1087" s="24"/>
      <c r="F1087" s="12"/>
      <c r="G1087" s="25"/>
      <c r="H1087" s="14" t="str">
        <f aca="false">IF(OR($D1087="",$B1087=""),"",INT(($B1087-$D1087)/365.25))</f>
        <v/>
      </c>
      <c r="I1087" s="25"/>
      <c r="J1087" s="12"/>
      <c r="K1087" s="12"/>
      <c r="L1087" s="14" t="str">
        <f aca="false">IF(OR($C1087="",$D1087="",$B1087=""),"",IF(COUNTIFS($C$5:$C$1504,$C1087,$D$5:$D$1504,$D1087,$B$5:$B$1504,$B1087)&gt;1,"Takror",""))</f>
        <v/>
      </c>
    </row>
    <row r="1088" customFormat="false" ht="15" hidden="false" customHeight="false" outlineLevel="0" collapsed="false">
      <c r="A1088" s="8" t="n">
        <v>1084</v>
      </c>
      <c r="B1088" s="13"/>
      <c r="C1088" s="12"/>
      <c r="D1088" s="13"/>
      <c r="E1088" s="24"/>
      <c r="F1088" s="12"/>
      <c r="G1088" s="25"/>
      <c r="H1088" s="14" t="str">
        <f aca="false">IF(OR($D1088="",$B1088=""),"",INT(($B1088-$D1088)/365.25))</f>
        <v/>
      </c>
      <c r="I1088" s="25"/>
      <c r="J1088" s="12"/>
      <c r="K1088" s="12"/>
      <c r="L1088" s="14" t="str">
        <f aca="false">IF(OR($C1088="",$D1088="",$B1088=""),"",IF(COUNTIFS($C$5:$C$1504,$C1088,$D$5:$D$1504,$D1088,$B$5:$B$1504,$B1088)&gt;1,"Takror",""))</f>
        <v/>
      </c>
    </row>
    <row r="1089" customFormat="false" ht="15" hidden="false" customHeight="false" outlineLevel="0" collapsed="false">
      <c r="A1089" s="8" t="n">
        <v>1085</v>
      </c>
      <c r="B1089" s="13"/>
      <c r="C1089" s="12"/>
      <c r="D1089" s="13"/>
      <c r="E1089" s="24"/>
      <c r="F1089" s="12"/>
      <c r="G1089" s="25"/>
      <c r="H1089" s="14" t="str">
        <f aca="false">IF(OR($D1089="",$B1089=""),"",INT(($B1089-$D1089)/365.25))</f>
        <v/>
      </c>
      <c r="I1089" s="25"/>
      <c r="J1089" s="12"/>
      <c r="K1089" s="12"/>
      <c r="L1089" s="14" t="str">
        <f aca="false">IF(OR($C1089="",$D1089="",$B1089=""),"",IF(COUNTIFS($C$5:$C$1504,$C1089,$D$5:$D$1504,$D1089,$B$5:$B$1504,$B1089)&gt;1,"Takror",""))</f>
        <v/>
      </c>
    </row>
    <row r="1090" customFormat="false" ht="15" hidden="false" customHeight="false" outlineLevel="0" collapsed="false">
      <c r="A1090" s="8" t="n">
        <v>1086</v>
      </c>
      <c r="B1090" s="13"/>
      <c r="C1090" s="12"/>
      <c r="D1090" s="13"/>
      <c r="E1090" s="24"/>
      <c r="F1090" s="12"/>
      <c r="G1090" s="25"/>
      <c r="H1090" s="14" t="str">
        <f aca="false">IF(OR($D1090="",$B1090=""),"",INT(($B1090-$D1090)/365.25))</f>
        <v/>
      </c>
      <c r="I1090" s="25"/>
      <c r="J1090" s="12"/>
      <c r="K1090" s="12"/>
      <c r="L1090" s="14" t="str">
        <f aca="false">IF(OR($C1090="",$D1090="",$B1090=""),"",IF(COUNTIFS($C$5:$C$1504,$C1090,$D$5:$D$1504,$D1090,$B$5:$B$1504,$B1090)&gt;1,"Takror",""))</f>
        <v/>
      </c>
    </row>
    <row r="1091" customFormat="false" ht="15" hidden="false" customHeight="false" outlineLevel="0" collapsed="false">
      <c r="A1091" s="8" t="n">
        <v>1087</v>
      </c>
      <c r="B1091" s="13"/>
      <c r="C1091" s="12"/>
      <c r="D1091" s="13"/>
      <c r="E1091" s="24"/>
      <c r="F1091" s="12"/>
      <c r="G1091" s="25"/>
      <c r="H1091" s="14" t="str">
        <f aca="false">IF(OR($D1091="",$B1091=""),"",INT(($B1091-$D1091)/365.25))</f>
        <v/>
      </c>
      <c r="I1091" s="25"/>
      <c r="J1091" s="12"/>
      <c r="K1091" s="12"/>
      <c r="L1091" s="14" t="str">
        <f aca="false">IF(OR($C1091="",$D1091="",$B1091=""),"",IF(COUNTIFS($C$5:$C$1504,$C1091,$D$5:$D$1504,$D1091,$B$5:$B$1504,$B1091)&gt;1,"Takror",""))</f>
        <v/>
      </c>
    </row>
    <row r="1092" customFormat="false" ht="15" hidden="false" customHeight="false" outlineLevel="0" collapsed="false">
      <c r="A1092" s="8" t="n">
        <v>1088</v>
      </c>
      <c r="B1092" s="13"/>
      <c r="C1092" s="12"/>
      <c r="D1092" s="13"/>
      <c r="E1092" s="24"/>
      <c r="F1092" s="12"/>
      <c r="G1092" s="25"/>
      <c r="H1092" s="14" t="str">
        <f aca="false">IF(OR($D1092="",$B1092=""),"",INT(($B1092-$D1092)/365.25))</f>
        <v/>
      </c>
      <c r="I1092" s="25"/>
      <c r="J1092" s="12"/>
      <c r="K1092" s="12"/>
      <c r="L1092" s="14" t="str">
        <f aca="false">IF(OR($C1092="",$D1092="",$B1092=""),"",IF(COUNTIFS($C$5:$C$1504,$C1092,$D$5:$D$1504,$D1092,$B$5:$B$1504,$B1092)&gt;1,"Takror",""))</f>
        <v/>
      </c>
    </row>
    <row r="1093" customFormat="false" ht="15" hidden="false" customHeight="false" outlineLevel="0" collapsed="false">
      <c r="A1093" s="8" t="n">
        <v>1089</v>
      </c>
      <c r="B1093" s="13"/>
      <c r="C1093" s="12"/>
      <c r="D1093" s="13"/>
      <c r="E1093" s="24"/>
      <c r="F1093" s="12"/>
      <c r="G1093" s="25"/>
      <c r="H1093" s="14" t="str">
        <f aca="false">IF(OR($D1093="",$B1093=""),"",INT(($B1093-$D1093)/365.25))</f>
        <v/>
      </c>
      <c r="I1093" s="25"/>
      <c r="J1093" s="12"/>
      <c r="K1093" s="12"/>
      <c r="L1093" s="14" t="str">
        <f aca="false">IF(OR($C1093="",$D1093="",$B1093=""),"",IF(COUNTIFS($C$5:$C$1504,$C1093,$D$5:$D$1504,$D1093,$B$5:$B$1504,$B1093)&gt;1,"Takror",""))</f>
        <v/>
      </c>
    </row>
    <row r="1094" customFormat="false" ht="15" hidden="false" customHeight="false" outlineLevel="0" collapsed="false">
      <c r="A1094" s="8" t="n">
        <v>1090</v>
      </c>
      <c r="B1094" s="13"/>
      <c r="C1094" s="12"/>
      <c r="D1094" s="13"/>
      <c r="E1094" s="24"/>
      <c r="F1094" s="12"/>
      <c r="G1094" s="25"/>
      <c r="H1094" s="14" t="str">
        <f aca="false">IF(OR($D1094="",$B1094=""),"",INT(($B1094-$D1094)/365.25))</f>
        <v/>
      </c>
      <c r="I1094" s="25"/>
      <c r="J1094" s="12"/>
      <c r="K1094" s="12"/>
      <c r="L1094" s="14" t="str">
        <f aca="false">IF(OR($C1094="",$D1094="",$B1094=""),"",IF(COUNTIFS($C$5:$C$1504,$C1094,$D$5:$D$1504,$D1094,$B$5:$B$1504,$B1094)&gt;1,"Takror",""))</f>
        <v/>
      </c>
    </row>
    <row r="1095" customFormat="false" ht="15" hidden="false" customHeight="false" outlineLevel="0" collapsed="false">
      <c r="A1095" s="8" t="n">
        <v>1091</v>
      </c>
      <c r="B1095" s="13"/>
      <c r="C1095" s="12"/>
      <c r="D1095" s="13"/>
      <c r="E1095" s="24"/>
      <c r="F1095" s="12"/>
      <c r="G1095" s="25"/>
      <c r="H1095" s="14" t="str">
        <f aca="false">IF(OR($D1095="",$B1095=""),"",INT(($B1095-$D1095)/365.25))</f>
        <v/>
      </c>
      <c r="I1095" s="25"/>
      <c r="J1095" s="12"/>
      <c r="K1095" s="12"/>
      <c r="L1095" s="14" t="str">
        <f aca="false">IF(OR($C1095="",$D1095="",$B1095=""),"",IF(COUNTIFS($C$5:$C$1504,$C1095,$D$5:$D$1504,$D1095,$B$5:$B$1504,$B1095)&gt;1,"Takror",""))</f>
        <v/>
      </c>
    </row>
    <row r="1096" customFormat="false" ht="15" hidden="false" customHeight="false" outlineLevel="0" collapsed="false">
      <c r="A1096" s="8" t="n">
        <v>1092</v>
      </c>
      <c r="B1096" s="13"/>
      <c r="C1096" s="12"/>
      <c r="D1096" s="13"/>
      <c r="E1096" s="24"/>
      <c r="F1096" s="12"/>
      <c r="G1096" s="25"/>
      <c r="H1096" s="14" t="str">
        <f aca="false">IF(OR($D1096="",$B1096=""),"",INT(($B1096-$D1096)/365.25))</f>
        <v/>
      </c>
      <c r="I1096" s="25"/>
      <c r="J1096" s="12"/>
      <c r="K1096" s="12"/>
      <c r="L1096" s="14" t="str">
        <f aca="false">IF(OR($C1096="",$D1096="",$B1096=""),"",IF(COUNTIFS($C$5:$C$1504,$C1096,$D$5:$D$1504,$D1096,$B$5:$B$1504,$B1096)&gt;1,"Takror",""))</f>
        <v/>
      </c>
    </row>
    <row r="1097" customFormat="false" ht="15" hidden="false" customHeight="false" outlineLevel="0" collapsed="false">
      <c r="A1097" s="8" t="n">
        <v>1093</v>
      </c>
      <c r="B1097" s="13"/>
      <c r="C1097" s="12"/>
      <c r="D1097" s="13"/>
      <c r="E1097" s="24"/>
      <c r="F1097" s="12"/>
      <c r="G1097" s="25"/>
      <c r="H1097" s="14" t="str">
        <f aca="false">IF(OR($D1097="",$B1097=""),"",INT(($B1097-$D1097)/365.25))</f>
        <v/>
      </c>
      <c r="I1097" s="25"/>
      <c r="J1097" s="12"/>
      <c r="K1097" s="12"/>
      <c r="L1097" s="14" t="str">
        <f aca="false">IF(OR($C1097="",$D1097="",$B1097=""),"",IF(COUNTIFS($C$5:$C$1504,$C1097,$D$5:$D$1504,$D1097,$B$5:$B$1504,$B1097)&gt;1,"Takror",""))</f>
        <v/>
      </c>
    </row>
    <row r="1098" customFormat="false" ht="15" hidden="false" customHeight="false" outlineLevel="0" collapsed="false">
      <c r="A1098" s="8" t="n">
        <v>1094</v>
      </c>
      <c r="B1098" s="13"/>
      <c r="C1098" s="12"/>
      <c r="D1098" s="13"/>
      <c r="E1098" s="24"/>
      <c r="F1098" s="12"/>
      <c r="G1098" s="25"/>
      <c r="H1098" s="14" t="str">
        <f aca="false">IF(OR($D1098="",$B1098=""),"",INT(($B1098-$D1098)/365.25))</f>
        <v/>
      </c>
      <c r="I1098" s="25"/>
      <c r="J1098" s="12"/>
      <c r="K1098" s="12"/>
      <c r="L1098" s="14" t="str">
        <f aca="false">IF(OR($C1098="",$D1098="",$B1098=""),"",IF(COUNTIFS($C$5:$C$1504,$C1098,$D$5:$D$1504,$D1098,$B$5:$B$1504,$B1098)&gt;1,"Takror",""))</f>
        <v/>
      </c>
    </row>
    <row r="1099" customFormat="false" ht="15" hidden="false" customHeight="false" outlineLevel="0" collapsed="false">
      <c r="A1099" s="8" t="n">
        <v>1095</v>
      </c>
      <c r="B1099" s="13"/>
      <c r="C1099" s="12"/>
      <c r="D1099" s="13"/>
      <c r="E1099" s="24"/>
      <c r="F1099" s="12"/>
      <c r="G1099" s="25"/>
      <c r="H1099" s="14" t="str">
        <f aca="false">IF(OR($D1099="",$B1099=""),"",INT(($B1099-$D1099)/365.25))</f>
        <v/>
      </c>
      <c r="I1099" s="25"/>
      <c r="J1099" s="12"/>
      <c r="K1099" s="12"/>
      <c r="L1099" s="14" t="str">
        <f aca="false">IF(OR($C1099="",$D1099="",$B1099=""),"",IF(COUNTIFS($C$5:$C$1504,$C1099,$D$5:$D$1504,$D1099,$B$5:$B$1504,$B1099)&gt;1,"Takror",""))</f>
        <v/>
      </c>
    </row>
    <row r="1100" customFormat="false" ht="15" hidden="false" customHeight="false" outlineLevel="0" collapsed="false">
      <c r="A1100" s="8" t="n">
        <v>1096</v>
      </c>
      <c r="B1100" s="13"/>
      <c r="C1100" s="12"/>
      <c r="D1100" s="13"/>
      <c r="E1100" s="24"/>
      <c r="F1100" s="12"/>
      <c r="G1100" s="25"/>
      <c r="H1100" s="14" t="str">
        <f aca="false">IF(OR($D1100="",$B1100=""),"",INT(($B1100-$D1100)/365.25))</f>
        <v/>
      </c>
      <c r="I1100" s="25"/>
      <c r="J1100" s="12"/>
      <c r="K1100" s="12"/>
      <c r="L1100" s="14" t="str">
        <f aca="false">IF(OR($C1100="",$D1100="",$B1100=""),"",IF(COUNTIFS($C$5:$C$1504,$C1100,$D$5:$D$1504,$D1100,$B$5:$B$1504,$B1100)&gt;1,"Takror",""))</f>
        <v/>
      </c>
    </row>
    <row r="1101" customFormat="false" ht="15" hidden="false" customHeight="false" outlineLevel="0" collapsed="false">
      <c r="A1101" s="8" t="n">
        <v>1097</v>
      </c>
      <c r="B1101" s="13"/>
      <c r="C1101" s="12"/>
      <c r="D1101" s="13"/>
      <c r="E1101" s="24"/>
      <c r="F1101" s="12"/>
      <c r="G1101" s="25"/>
      <c r="H1101" s="14" t="str">
        <f aca="false">IF(OR($D1101="",$B1101=""),"",INT(($B1101-$D1101)/365.25))</f>
        <v/>
      </c>
      <c r="I1101" s="25"/>
      <c r="J1101" s="12"/>
      <c r="K1101" s="12"/>
      <c r="L1101" s="14" t="str">
        <f aca="false">IF(OR($C1101="",$D1101="",$B1101=""),"",IF(COUNTIFS($C$5:$C$1504,$C1101,$D$5:$D$1504,$D1101,$B$5:$B$1504,$B1101)&gt;1,"Takror",""))</f>
        <v/>
      </c>
    </row>
    <row r="1102" customFormat="false" ht="15" hidden="false" customHeight="false" outlineLevel="0" collapsed="false">
      <c r="A1102" s="8" t="n">
        <v>1098</v>
      </c>
      <c r="B1102" s="13"/>
      <c r="C1102" s="12"/>
      <c r="D1102" s="13"/>
      <c r="E1102" s="24"/>
      <c r="F1102" s="12"/>
      <c r="G1102" s="25"/>
      <c r="H1102" s="14" t="str">
        <f aca="false">IF(OR($D1102="",$B1102=""),"",INT(($B1102-$D1102)/365.25))</f>
        <v/>
      </c>
      <c r="I1102" s="25"/>
      <c r="J1102" s="12"/>
      <c r="K1102" s="12"/>
      <c r="L1102" s="14" t="str">
        <f aca="false">IF(OR($C1102="",$D1102="",$B1102=""),"",IF(COUNTIFS($C$5:$C$1504,$C1102,$D$5:$D$1504,$D1102,$B$5:$B$1504,$B1102)&gt;1,"Takror",""))</f>
        <v/>
      </c>
    </row>
    <row r="1103" customFormat="false" ht="15" hidden="false" customHeight="false" outlineLevel="0" collapsed="false">
      <c r="A1103" s="8" t="n">
        <v>1099</v>
      </c>
      <c r="B1103" s="13"/>
      <c r="C1103" s="12"/>
      <c r="D1103" s="13"/>
      <c r="E1103" s="24"/>
      <c r="F1103" s="12"/>
      <c r="G1103" s="25"/>
      <c r="H1103" s="14" t="str">
        <f aca="false">IF(OR($D1103="",$B1103=""),"",INT(($B1103-$D1103)/365.25))</f>
        <v/>
      </c>
      <c r="I1103" s="25"/>
      <c r="J1103" s="12"/>
      <c r="K1103" s="12"/>
      <c r="L1103" s="14" t="str">
        <f aca="false">IF(OR($C1103="",$D1103="",$B1103=""),"",IF(COUNTIFS($C$5:$C$1504,$C1103,$D$5:$D$1504,$D1103,$B$5:$B$1504,$B1103)&gt;1,"Takror",""))</f>
        <v/>
      </c>
    </row>
    <row r="1104" customFormat="false" ht="15" hidden="false" customHeight="false" outlineLevel="0" collapsed="false">
      <c r="A1104" s="8" t="n">
        <v>1100</v>
      </c>
      <c r="B1104" s="13"/>
      <c r="C1104" s="12"/>
      <c r="D1104" s="13"/>
      <c r="E1104" s="24"/>
      <c r="F1104" s="12"/>
      <c r="G1104" s="25"/>
      <c r="H1104" s="14" t="str">
        <f aca="false">IF(OR($D1104="",$B1104=""),"",INT(($B1104-$D1104)/365.25))</f>
        <v/>
      </c>
      <c r="I1104" s="25"/>
      <c r="J1104" s="12"/>
      <c r="K1104" s="12"/>
      <c r="L1104" s="14" t="str">
        <f aca="false">IF(OR($C1104="",$D1104="",$B1104=""),"",IF(COUNTIFS($C$5:$C$1504,$C1104,$D$5:$D$1504,$D1104,$B$5:$B$1504,$B1104)&gt;1,"Takror",""))</f>
        <v/>
      </c>
    </row>
    <row r="1105" customFormat="false" ht="15" hidden="false" customHeight="false" outlineLevel="0" collapsed="false">
      <c r="A1105" s="8" t="n">
        <v>1101</v>
      </c>
      <c r="B1105" s="13"/>
      <c r="C1105" s="12"/>
      <c r="D1105" s="13"/>
      <c r="E1105" s="24"/>
      <c r="F1105" s="12"/>
      <c r="G1105" s="25"/>
      <c r="H1105" s="14" t="str">
        <f aca="false">IF(OR($D1105="",$B1105=""),"",INT(($B1105-$D1105)/365.25))</f>
        <v/>
      </c>
      <c r="I1105" s="25"/>
      <c r="J1105" s="12"/>
      <c r="K1105" s="12"/>
      <c r="L1105" s="14" t="str">
        <f aca="false">IF(OR($C1105="",$D1105="",$B1105=""),"",IF(COUNTIFS($C$5:$C$1504,$C1105,$D$5:$D$1504,$D1105,$B$5:$B$1504,$B1105)&gt;1,"Takror",""))</f>
        <v/>
      </c>
    </row>
    <row r="1106" customFormat="false" ht="15" hidden="false" customHeight="false" outlineLevel="0" collapsed="false">
      <c r="A1106" s="8" t="n">
        <v>1102</v>
      </c>
      <c r="B1106" s="13"/>
      <c r="C1106" s="12"/>
      <c r="D1106" s="13"/>
      <c r="E1106" s="24"/>
      <c r="F1106" s="12"/>
      <c r="G1106" s="25"/>
      <c r="H1106" s="14" t="str">
        <f aca="false">IF(OR($D1106="",$B1106=""),"",INT(($B1106-$D1106)/365.25))</f>
        <v/>
      </c>
      <c r="I1106" s="25"/>
      <c r="J1106" s="12"/>
      <c r="K1106" s="12"/>
      <c r="L1106" s="14" t="str">
        <f aca="false">IF(OR($C1106="",$D1106="",$B1106=""),"",IF(COUNTIFS($C$5:$C$1504,$C1106,$D$5:$D$1504,$D1106,$B$5:$B$1504,$B1106)&gt;1,"Takror",""))</f>
        <v/>
      </c>
    </row>
    <row r="1107" customFormat="false" ht="15" hidden="false" customHeight="false" outlineLevel="0" collapsed="false">
      <c r="A1107" s="8" t="n">
        <v>1103</v>
      </c>
      <c r="B1107" s="13"/>
      <c r="C1107" s="12"/>
      <c r="D1107" s="13"/>
      <c r="E1107" s="24"/>
      <c r="F1107" s="12"/>
      <c r="G1107" s="25"/>
      <c r="H1107" s="14" t="str">
        <f aca="false">IF(OR($D1107="",$B1107=""),"",INT(($B1107-$D1107)/365.25))</f>
        <v/>
      </c>
      <c r="I1107" s="25"/>
      <c r="J1107" s="12"/>
      <c r="K1107" s="12"/>
      <c r="L1107" s="14" t="str">
        <f aca="false">IF(OR($C1107="",$D1107="",$B1107=""),"",IF(COUNTIFS($C$5:$C$1504,$C1107,$D$5:$D$1504,$D1107,$B$5:$B$1504,$B1107)&gt;1,"Takror",""))</f>
        <v/>
      </c>
    </row>
    <row r="1108" customFormat="false" ht="15" hidden="false" customHeight="false" outlineLevel="0" collapsed="false">
      <c r="A1108" s="8" t="n">
        <v>1104</v>
      </c>
      <c r="B1108" s="13"/>
      <c r="C1108" s="12"/>
      <c r="D1108" s="13"/>
      <c r="E1108" s="24"/>
      <c r="F1108" s="12"/>
      <c r="G1108" s="25"/>
      <c r="H1108" s="14" t="str">
        <f aca="false">IF(OR($D1108="",$B1108=""),"",INT(($B1108-$D1108)/365.25))</f>
        <v/>
      </c>
      <c r="I1108" s="25"/>
      <c r="J1108" s="12"/>
      <c r="K1108" s="12"/>
      <c r="L1108" s="14" t="str">
        <f aca="false">IF(OR($C1108="",$D1108="",$B1108=""),"",IF(COUNTIFS($C$5:$C$1504,$C1108,$D$5:$D$1504,$D1108,$B$5:$B$1504,$B1108)&gt;1,"Takror",""))</f>
        <v/>
      </c>
    </row>
    <row r="1109" customFormat="false" ht="15" hidden="false" customHeight="false" outlineLevel="0" collapsed="false">
      <c r="A1109" s="8" t="n">
        <v>1105</v>
      </c>
      <c r="B1109" s="13"/>
      <c r="C1109" s="12"/>
      <c r="D1109" s="13"/>
      <c r="E1109" s="24"/>
      <c r="F1109" s="12"/>
      <c r="G1109" s="25"/>
      <c r="H1109" s="14" t="str">
        <f aca="false">IF(OR($D1109="",$B1109=""),"",INT(($B1109-$D1109)/365.25))</f>
        <v/>
      </c>
      <c r="I1109" s="25"/>
      <c r="J1109" s="12"/>
      <c r="K1109" s="12"/>
      <c r="L1109" s="14" t="str">
        <f aca="false">IF(OR($C1109="",$D1109="",$B1109=""),"",IF(COUNTIFS($C$5:$C$1504,$C1109,$D$5:$D$1504,$D1109,$B$5:$B$1504,$B1109)&gt;1,"Takror",""))</f>
        <v/>
      </c>
    </row>
    <row r="1110" customFormat="false" ht="15" hidden="false" customHeight="false" outlineLevel="0" collapsed="false">
      <c r="A1110" s="8" t="n">
        <v>1106</v>
      </c>
      <c r="B1110" s="13"/>
      <c r="C1110" s="12"/>
      <c r="D1110" s="13"/>
      <c r="E1110" s="24"/>
      <c r="F1110" s="12"/>
      <c r="G1110" s="25"/>
      <c r="H1110" s="14" t="str">
        <f aca="false">IF(OR($D1110="",$B1110=""),"",INT(($B1110-$D1110)/365.25))</f>
        <v/>
      </c>
      <c r="I1110" s="25"/>
      <c r="J1110" s="12"/>
      <c r="K1110" s="12"/>
      <c r="L1110" s="14" t="str">
        <f aca="false">IF(OR($C1110="",$D1110="",$B1110=""),"",IF(COUNTIFS($C$5:$C$1504,$C1110,$D$5:$D$1504,$D1110,$B$5:$B$1504,$B1110)&gt;1,"Takror",""))</f>
        <v/>
      </c>
    </row>
    <row r="1111" customFormat="false" ht="15" hidden="false" customHeight="false" outlineLevel="0" collapsed="false">
      <c r="A1111" s="8" t="n">
        <v>1107</v>
      </c>
      <c r="B1111" s="13"/>
      <c r="C1111" s="12"/>
      <c r="D1111" s="13"/>
      <c r="E1111" s="24"/>
      <c r="F1111" s="12"/>
      <c r="G1111" s="25"/>
      <c r="H1111" s="14" t="str">
        <f aca="false">IF(OR($D1111="",$B1111=""),"",INT(($B1111-$D1111)/365.25))</f>
        <v/>
      </c>
      <c r="I1111" s="25"/>
      <c r="J1111" s="12"/>
      <c r="K1111" s="12"/>
      <c r="L1111" s="14" t="str">
        <f aca="false">IF(OR($C1111="",$D1111="",$B1111=""),"",IF(COUNTIFS($C$5:$C$1504,$C1111,$D$5:$D$1504,$D1111,$B$5:$B$1504,$B1111)&gt;1,"Takror",""))</f>
        <v/>
      </c>
    </row>
    <row r="1112" customFormat="false" ht="15" hidden="false" customHeight="false" outlineLevel="0" collapsed="false">
      <c r="A1112" s="8" t="n">
        <v>1108</v>
      </c>
      <c r="B1112" s="13"/>
      <c r="C1112" s="12"/>
      <c r="D1112" s="13"/>
      <c r="E1112" s="24"/>
      <c r="F1112" s="12"/>
      <c r="G1112" s="25"/>
      <c r="H1112" s="14" t="str">
        <f aca="false">IF(OR($D1112="",$B1112=""),"",INT(($B1112-$D1112)/365.25))</f>
        <v/>
      </c>
      <c r="I1112" s="25"/>
      <c r="J1112" s="12"/>
      <c r="K1112" s="12"/>
      <c r="L1112" s="14" t="str">
        <f aca="false">IF(OR($C1112="",$D1112="",$B1112=""),"",IF(COUNTIFS($C$5:$C$1504,$C1112,$D$5:$D$1504,$D1112,$B$5:$B$1504,$B1112)&gt;1,"Takror",""))</f>
        <v/>
      </c>
    </row>
    <row r="1113" customFormat="false" ht="15" hidden="false" customHeight="false" outlineLevel="0" collapsed="false">
      <c r="A1113" s="8" t="n">
        <v>1109</v>
      </c>
      <c r="B1113" s="13"/>
      <c r="C1113" s="12"/>
      <c r="D1113" s="13"/>
      <c r="E1113" s="24"/>
      <c r="F1113" s="12"/>
      <c r="G1113" s="25"/>
      <c r="H1113" s="14" t="str">
        <f aca="false">IF(OR($D1113="",$B1113=""),"",INT(($B1113-$D1113)/365.25))</f>
        <v/>
      </c>
      <c r="I1113" s="25"/>
      <c r="J1113" s="12"/>
      <c r="K1113" s="12"/>
      <c r="L1113" s="14" t="str">
        <f aca="false">IF(OR($C1113="",$D1113="",$B1113=""),"",IF(COUNTIFS($C$5:$C$1504,$C1113,$D$5:$D$1504,$D1113,$B$5:$B$1504,$B1113)&gt;1,"Takror",""))</f>
        <v/>
      </c>
    </row>
    <row r="1114" customFormat="false" ht="15" hidden="false" customHeight="false" outlineLevel="0" collapsed="false">
      <c r="A1114" s="8" t="n">
        <v>1110</v>
      </c>
      <c r="B1114" s="13"/>
      <c r="C1114" s="12"/>
      <c r="D1114" s="13"/>
      <c r="E1114" s="24"/>
      <c r="F1114" s="12"/>
      <c r="G1114" s="25"/>
      <c r="H1114" s="14" t="str">
        <f aca="false">IF(OR($D1114="",$B1114=""),"",INT(($B1114-$D1114)/365.25))</f>
        <v/>
      </c>
      <c r="I1114" s="25"/>
      <c r="J1114" s="12"/>
      <c r="K1114" s="12"/>
      <c r="L1114" s="14" t="str">
        <f aca="false">IF(OR($C1114="",$D1114="",$B1114=""),"",IF(COUNTIFS($C$5:$C$1504,$C1114,$D$5:$D$1504,$D1114,$B$5:$B$1504,$B1114)&gt;1,"Takror",""))</f>
        <v/>
      </c>
    </row>
    <row r="1115" customFormat="false" ht="15" hidden="false" customHeight="false" outlineLevel="0" collapsed="false">
      <c r="A1115" s="8" t="n">
        <v>1111</v>
      </c>
      <c r="B1115" s="13"/>
      <c r="C1115" s="12"/>
      <c r="D1115" s="13"/>
      <c r="E1115" s="24"/>
      <c r="F1115" s="12"/>
      <c r="G1115" s="25"/>
      <c r="H1115" s="14" t="str">
        <f aca="false">IF(OR($D1115="",$B1115=""),"",INT(($B1115-$D1115)/365.25))</f>
        <v/>
      </c>
      <c r="I1115" s="25"/>
      <c r="J1115" s="12"/>
      <c r="K1115" s="12"/>
      <c r="L1115" s="14" t="str">
        <f aca="false">IF(OR($C1115="",$D1115="",$B1115=""),"",IF(COUNTIFS($C$5:$C$1504,$C1115,$D$5:$D$1504,$D1115,$B$5:$B$1504,$B1115)&gt;1,"Takror",""))</f>
        <v/>
      </c>
    </row>
    <row r="1116" customFormat="false" ht="15" hidden="false" customHeight="false" outlineLevel="0" collapsed="false">
      <c r="A1116" s="8" t="n">
        <v>1112</v>
      </c>
      <c r="B1116" s="13"/>
      <c r="C1116" s="12"/>
      <c r="D1116" s="13"/>
      <c r="E1116" s="24"/>
      <c r="F1116" s="12"/>
      <c r="G1116" s="25"/>
      <c r="H1116" s="14" t="str">
        <f aca="false">IF(OR($D1116="",$B1116=""),"",INT(($B1116-$D1116)/365.25))</f>
        <v/>
      </c>
      <c r="I1116" s="25"/>
      <c r="J1116" s="12"/>
      <c r="K1116" s="12"/>
      <c r="L1116" s="14" t="str">
        <f aca="false">IF(OR($C1116="",$D1116="",$B1116=""),"",IF(COUNTIFS($C$5:$C$1504,$C1116,$D$5:$D$1504,$D1116,$B$5:$B$1504,$B1116)&gt;1,"Takror",""))</f>
        <v/>
      </c>
    </row>
    <row r="1117" customFormat="false" ht="15" hidden="false" customHeight="false" outlineLevel="0" collapsed="false">
      <c r="A1117" s="8" t="n">
        <v>1113</v>
      </c>
      <c r="B1117" s="13"/>
      <c r="C1117" s="12"/>
      <c r="D1117" s="13"/>
      <c r="E1117" s="24"/>
      <c r="F1117" s="12"/>
      <c r="G1117" s="25"/>
      <c r="H1117" s="14" t="str">
        <f aca="false">IF(OR($D1117="",$B1117=""),"",INT(($B1117-$D1117)/365.25))</f>
        <v/>
      </c>
      <c r="I1117" s="25"/>
      <c r="J1117" s="12"/>
      <c r="K1117" s="12"/>
      <c r="L1117" s="14" t="str">
        <f aca="false">IF(OR($C1117="",$D1117="",$B1117=""),"",IF(COUNTIFS($C$5:$C$1504,$C1117,$D$5:$D$1504,$D1117,$B$5:$B$1504,$B1117)&gt;1,"Takror",""))</f>
        <v/>
      </c>
    </row>
    <row r="1118" customFormat="false" ht="15" hidden="false" customHeight="false" outlineLevel="0" collapsed="false">
      <c r="A1118" s="8" t="n">
        <v>1114</v>
      </c>
      <c r="B1118" s="13"/>
      <c r="C1118" s="12"/>
      <c r="D1118" s="13"/>
      <c r="E1118" s="24"/>
      <c r="F1118" s="12"/>
      <c r="G1118" s="25"/>
      <c r="H1118" s="14" t="str">
        <f aca="false">IF(OR($D1118="",$B1118=""),"",INT(($B1118-$D1118)/365.25))</f>
        <v/>
      </c>
      <c r="I1118" s="25"/>
      <c r="J1118" s="12"/>
      <c r="K1118" s="12"/>
      <c r="L1118" s="14" t="str">
        <f aca="false">IF(OR($C1118="",$D1118="",$B1118=""),"",IF(COUNTIFS($C$5:$C$1504,$C1118,$D$5:$D$1504,$D1118,$B$5:$B$1504,$B1118)&gt;1,"Takror",""))</f>
        <v/>
      </c>
    </row>
    <row r="1119" customFormat="false" ht="15" hidden="false" customHeight="false" outlineLevel="0" collapsed="false">
      <c r="A1119" s="8" t="n">
        <v>1115</v>
      </c>
      <c r="B1119" s="13"/>
      <c r="C1119" s="12"/>
      <c r="D1119" s="13"/>
      <c r="E1119" s="24"/>
      <c r="F1119" s="12"/>
      <c r="G1119" s="25"/>
      <c r="H1119" s="14" t="str">
        <f aca="false">IF(OR($D1119="",$B1119=""),"",INT(($B1119-$D1119)/365.25))</f>
        <v/>
      </c>
      <c r="I1119" s="25"/>
      <c r="J1119" s="12"/>
      <c r="K1119" s="12"/>
      <c r="L1119" s="14" t="str">
        <f aca="false">IF(OR($C1119="",$D1119="",$B1119=""),"",IF(COUNTIFS($C$5:$C$1504,$C1119,$D$5:$D$1504,$D1119,$B$5:$B$1504,$B1119)&gt;1,"Takror",""))</f>
        <v/>
      </c>
    </row>
    <row r="1120" customFormat="false" ht="15" hidden="false" customHeight="false" outlineLevel="0" collapsed="false">
      <c r="A1120" s="8" t="n">
        <v>1116</v>
      </c>
      <c r="B1120" s="13"/>
      <c r="C1120" s="12"/>
      <c r="D1120" s="13"/>
      <c r="E1120" s="24"/>
      <c r="F1120" s="12"/>
      <c r="G1120" s="25"/>
      <c r="H1120" s="14" t="str">
        <f aca="false">IF(OR($D1120="",$B1120=""),"",INT(($B1120-$D1120)/365.25))</f>
        <v/>
      </c>
      <c r="I1120" s="25"/>
      <c r="J1120" s="12"/>
      <c r="K1120" s="12"/>
      <c r="L1120" s="14" t="str">
        <f aca="false">IF(OR($C1120="",$D1120="",$B1120=""),"",IF(COUNTIFS($C$5:$C$1504,$C1120,$D$5:$D$1504,$D1120,$B$5:$B$1504,$B1120)&gt;1,"Takror",""))</f>
        <v/>
      </c>
    </row>
    <row r="1121" customFormat="false" ht="15" hidden="false" customHeight="false" outlineLevel="0" collapsed="false">
      <c r="A1121" s="8" t="n">
        <v>1117</v>
      </c>
      <c r="B1121" s="13"/>
      <c r="C1121" s="12"/>
      <c r="D1121" s="13"/>
      <c r="E1121" s="24"/>
      <c r="F1121" s="12"/>
      <c r="G1121" s="25"/>
      <c r="H1121" s="14" t="str">
        <f aca="false">IF(OR($D1121="",$B1121=""),"",INT(($B1121-$D1121)/365.25))</f>
        <v/>
      </c>
      <c r="I1121" s="25"/>
      <c r="J1121" s="12"/>
      <c r="K1121" s="12"/>
      <c r="L1121" s="14" t="str">
        <f aca="false">IF(OR($C1121="",$D1121="",$B1121=""),"",IF(COUNTIFS($C$5:$C$1504,$C1121,$D$5:$D$1504,$D1121,$B$5:$B$1504,$B1121)&gt;1,"Takror",""))</f>
        <v/>
      </c>
    </row>
    <row r="1122" customFormat="false" ht="15" hidden="false" customHeight="false" outlineLevel="0" collapsed="false">
      <c r="A1122" s="8" t="n">
        <v>1118</v>
      </c>
      <c r="B1122" s="13"/>
      <c r="C1122" s="12"/>
      <c r="D1122" s="13"/>
      <c r="E1122" s="24"/>
      <c r="F1122" s="12"/>
      <c r="G1122" s="25"/>
      <c r="H1122" s="14" t="str">
        <f aca="false">IF(OR($D1122="",$B1122=""),"",INT(($B1122-$D1122)/365.25))</f>
        <v/>
      </c>
      <c r="I1122" s="25"/>
      <c r="J1122" s="12"/>
      <c r="K1122" s="12"/>
      <c r="L1122" s="14" t="str">
        <f aca="false">IF(OR($C1122="",$D1122="",$B1122=""),"",IF(COUNTIFS($C$5:$C$1504,$C1122,$D$5:$D$1504,$D1122,$B$5:$B$1504,$B1122)&gt;1,"Takror",""))</f>
        <v/>
      </c>
    </row>
    <row r="1123" customFormat="false" ht="15" hidden="false" customHeight="false" outlineLevel="0" collapsed="false">
      <c r="A1123" s="8" t="n">
        <v>1119</v>
      </c>
      <c r="B1123" s="13"/>
      <c r="C1123" s="12"/>
      <c r="D1123" s="13"/>
      <c r="E1123" s="24"/>
      <c r="F1123" s="12"/>
      <c r="G1123" s="25"/>
      <c r="H1123" s="14" t="str">
        <f aca="false">IF(OR($D1123="",$B1123=""),"",INT(($B1123-$D1123)/365.25))</f>
        <v/>
      </c>
      <c r="I1123" s="25"/>
      <c r="J1123" s="12"/>
      <c r="K1123" s="12"/>
      <c r="L1123" s="14" t="str">
        <f aca="false">IF(OR($C1123="",$D1123="",$B1123=""),"",IF(COUNTIFS($C$5:$C$1504,$C1123,$D$5:$D$1504,$D1123,$B$5:$B$1504,$B1123)&gt;1,"Takror",""))</f>
        <v/>
      </c>
    </row>
    <row r="1124" customFormat="false" ht="15" hidden="false" customHeight="false" outlineLevel="0" collapsed="false">
      <c r="A1124" s="8" t="n">
        <v>1120</v>
      </c>
      <c r="B1124" s="13"/>
      <c r="C1124" s="12"/>
      <c r="D1124" s="13"/>
      <c r="E1124" s="24"/>
      <c r="F1124" s="12"/>
      <c r="G1124" s="25"/>
      <c r="H1124" s="14" t="str">
        <f aca="false">IF(OR($D1124="",$B1124=""),"",INT(($B1124-$D1124)/365.25))</f>
        <v/>
      </c>
      <c r="I1124" s="25"/>
      <c r="J1124" s="12"/>
      <c r="K1124" s="12"/>
      <c r="L1124" s="14" t="str">
        <f aca="false">IF(OR($C1124="",$D1124="",$B1124=""),"",IF(COUNTIFS($C$5:$C$1504,$C1124,$D$5:$D$1504,$D1124,$B$5:$B$1504,$B1124)&gt;1,"Takror",""))</f>
        <v/>
      </c>
    </row>
    <row r="1125" customFormat="false" ht="15" hidden="false" customHeight="false" outlineLevel="0" collapsed="false">
      <c r="A1125" s="8" t="n">
        <v>1121</v>
      </c>
      <c r="B1125" s="13"/>
      <c r="C1125" s="12"/>
      <c r="D1125" s="13"/>
      <c r="E1125" s="24"/>
      <c r="F1125" s="12"/>
      <c r="G1125" s="25"/>
      <c r="H1125" s="14" t="str">
        <f aca="false">IF(OR($D1125="",$B1125=""),"",INT(($B1125-$D1125)/365.25))</f>
        <v/>
      </c>
      <c r="I1125" s="25"/>
      <c r="J1125" s="12"/>
      <c r="K1125" s="12"/>
      <c r="L1125" s="14" t="str">
        <f aca="false">IF(OR($C1125="",$D1125="",$B1125=""),"",IF(COUNTIFS($C$5:$C$1504,$C1125,$D$5:$D$1504,$D1125,$B$5:$B$1504,$B1125)&gt;1,"Takror",""))</f>
        <v/>
      </c>
    </row>
    <row r="1126" customFormat="false" ht="15" hidden="false" customHeight="false" outlineLevel="0" collapsed="false">
      <c r="A1126" s="8" t="n">
        <v>1122</v>
      </c>
      <c r="B1126" s="13"/>
      <c r="C1126" s="12"/>
      <c r="D1126" s="13"/>
      <c r="E1126" s="24"/>
      <c r="F1126" s="12"/>
      <c r="G1126" s="25"/>
      <c r="H1126" s="14" t="str">
        <f aca="false">IF(OR($D1126="",$B1126=""),"",INT(($B1126-$D1126)/365.25))</f>
        <v/>
      </c>
      <c r="I1126" s="25"/>
      <c r="J1126" s="12"/>
      <c r="K1126" s="12"/>
      <c r="L1126" s="14" t="str">
        <f aca="false">IF(OR($C1126="",$D1126="",$B1126=""),"",IF(COUNTIFS($C$5:$C$1504,$C1126,$D$5:$D$1504,$D1126,$B$5:$B$1504,$B1126)&gt;1,"Takror",""))</f>
        <v/>
      </c>
    </row>
    <row r="1127" customFormat="false" ht="15" hidden="false" customHeight="false" outlineLevel="0" collapsed="false">
      <c r="A1127" s="8" t="n">
        <v>1123</v>
      </c>
      <c r="B1127" s="13"/>
      <c r="C1127" s="12"/>
      <c r="D1127" s="13"/>
      <c r="E1127" s="24"/>
      <c r="F1127" s="12"/>
      <c r="G1127" s="25"/>
      <c r="H1127" s="14" t="str">
        <f aca="false">IF(OR($D1127="",$B1127=""),"",INT(($B1127-$D1127)/365.25))</f>
        <v/>
      </c>
      <c r="I1127" s="25"/>
      <c r="J1127" s="12"/>
      <c r="K1127" s="12"/>
      <c r="L1127" s="14" t="str">
        <f aca="false">IF(OR($C1127="",$D1127="",$B1127=""),"",IF(COUNTIFS($C$5:$C$1504,$C1127,$D$5:$D$1504,$D1127,$B$5:$B$1504,$B1127)&gt;1,"Takror",""))</f>
        <v/>
      </c>
    </row>
    <row r="1128" customFormat="false" ht="15" hidden="false" customHeight="false" outlineLevel="0" collapsed="false">
      <c r="A1128" s="8" t="n">
        <v>1124</v>
      </c>
      <c r="B1128" s="13"/>
      <c r="C1128" s="12"/>
      <c r="D1128" s="13"/>
      <c r="E1128" s="24"/>
      <c r="F1128" s="12"/>
      <c r="G1128" s="25"/>
      <c r="H1128" s="14" t="str">
        <f aca="false">IF(OR($D1128="",$B1128=""),"",INT(($B1128-$D1128)/365.25))</f>
        <v/>
      </c>
      <c r="I1128" s="25"/>
      <c r="J1128" s="12"/>
      <c r="K1128" s="12"/>
      <c r="L1128" s="14" t="str">
        <f aca="false">IF(OR($C1128="",$D1128="",$B1128=""),"",IF(COUNTIFS($C$5:$C$1504,$C1128,$D$5:$D$1504,$D1128,$B$5:$B$1504,$B1128)&gt;1,"Takror",""))</f>
        <v/>
      </c>
    </row>
    <row r="1129" customFormat="false" ht="15" hidden="false" customHeight="false" outlineLevel="0" collapsed="false">
      <c r="A1129" s="8" t="n">
        <v>1125</v>
      </c>
      <c r="B1129" s="13"/>
      <c r="C1129" s="12"/>
      <c r="D1129" s="13"/>
      <c r="E1129" s="24"/>
      <c r="F1129" s="12"/>
      <c r="G1129" s="25"/>
      <c r="H1129" s="14" t="str">
        <f aca="false">IF(OR($D1129="",$B1129=""),"",INT(($B1129-$D1129)/365.25))</f>
        <v/>
      </c>
      <c r="I1129" s="25"/>
      <c r="J1129" s="12"/>
      <c r="K1129" s="12"/>
      <c r="L1129" s="14" t="str">
        <f aca="false">IF(OR($C1129="",$D1129="",$B1129=""),"",IF(COUNTIFS($C$5:$C$1504,$C1129,$D$5:$D$1504,$D1129,$B$5:$B$1504,$B1129)&gt;1,"Takror",""))</f>
        <v/>
      </c>
    </row>
    <row r="1130" customFormat="false" ht="15" hidden="false" customHeight="false" outlineLevel="0" collapsed="false">
      <c r="A1130" s="8" t="n">
        <v>1126</v>
      </c>
      <c r="B1130" s="13"/>
      <c r="C1130" s="12"/>
      <c r="D1130" s="13"/>
      <c r="E1130" s="24"/>
      <c r="F1130" s="12"/>
      <c r="G1130" s="25"/>
      <c r="H1130" s="14" t="str">
        <f aca="false">IF(OR($D1130="",$B1130=""),"",INT(($B1130-$D1130)/365.25))</f>
        <v/>
      </c>
      <c r="I1130" s="25"/>
      <c r="J1130" s="12"/>
      <c r="K1130" s="12"/>
      <c r="L1130" s="14" t="str">
        <f aca="false">IF(OR($C1130="",$D1130="",$B1130=""),"",IF(COUNTIFS($C$5:$C$1504,$C1130,$D$5:$D$1504,$D1130,$B$5:$B$1504,$B1130)&gt;1,"Takror",""))</f>
        <v/>
      </c>
    </row>
    <row r="1131" customFormat="false" ht="15" hidden="false" customHeight="false" outlineLevel="0" collapsed="false">
      <c r="A1131" s="8" t="n">
        <v>1127</v>
      </c>
      <c r="B1131" s="13"/>
      <c r="C1131" s="12"/>
      <c r="D1131" s="13"/>
      <c r="E1131" s="24"/>
      <c r="F1131" s="12"/>
      <c r="G1131" s="25"/>
      <c r="H1131" s="14" t="str">
        <f aca="false">IF(OR($D1131="",$B1131=""),"",INT(($B1131-$D1131)/365.25))</f>
        <v/>
      </c>
      <c r="I1131" s="25"/>
      <c r="J1131" s="12"/>
      <c r="K1131" s="12"/>
      <c r="L1131" s="14" t="str">
        <f aca="false">IF(OR($C1131="",$D1131="",$B1131=""),"",IF(COUNTIFS($C$5:$C$1504,$C1131,$D$5:$D$1504,$D1131,$B$5:$B$1504,$B1131)&gt;1,"Takror",""))</f>
        <v/>
      </c>
    </row>
    <row r="1132" customFormat="false" ht="15" hidden="false" customHeight="false" outlineLevel="0" collapsed="false">
      <c r="A1132" s="8" t="n">
        <v>1128</v>
      </c>
      <c r="B1132" s="13"/>
      <c r="C1132" s="12"/>
      <c r="D1132" s="13"/>
      <c r="E1132" s="24"/>
      <c r="F1132" s="12"/>
      <c r="G1132" s="25"/>
      <c r="H1132" s="14" t="str">
        <f aca="false">IF(OR($D1132="",$B1132=""),"",INT(($B1132-$D1132)/365.25))</f>
        <v/>
      </c>
      <c r="I1132" s="25"/>
      <c r="J1132" s="12"/>
      <c r="K1132" s="12"/>
      <c r="L1132" s="14" t="str">
        <f aca="false">IF(OR($C1132="",$D1132="",$B1132=""),"",IF(COUNTIFS($C$5:$C$1504,$C1132,$D$5:$D$1504,$D1132,$B$5:$B$1504,$B1132)&gt;1,"Takror",""))</f>
        <v/>
      </c>
    </row>
    <row r="1133" customFormat="false" ht="15" hidden="false" customHeight="false" outlineLevel="0" collapsed="false">
      <c r="A1133" s="8" t="n">
        <v>1129</v>
      </c>
      <c r="B1133" s="13"/>
      <c r="C1133" s="12"/>
      <c r="D1133" s="13"/>
      <c r="E1133" s="24"/>
      <c r="F1133" s="12"/>
      <c r="G1133" s="25"/>
      <c r="H1133" s="14" t="str">
        <f aca="false">IF(OR($D1133="",$B1133=""),"",INT(($B1133-$D1133)/365.25))</f>
        <v/>
      </c>
      <c r="I1133" s="25"/>
      <c r="J1133" s="12"/>
      <c r="K1133" s="12"/>
      <c r="L1133" s="14" t="str">
        <f aca="false">IF(OR($C1133="",$D1133="",$B1133=""),"",IF(COUNTIFS($C$5:$C$1504,$C1133,$D$5:$D$1504,$D1133,$B$5:$B$1504,$B1133)&gt;1,"Takror",""))</f>
        <v/>
      </c>
    </row>
    <row r="1134" customFormat="false" ht="15" hidden="false" customHeight="false" outlineLevel="0" collapsed="false">
      <c r="A1134" s="8" t="n">
        <v>1130</v>
      </c>
      <c r="B1134" s="13"/>
      <c r="C1134" s="12"/>
      <c r="D1134" s="13"/>
      <c r="E1134" s="24"/>
      <c r="F1134" s="12"/>
      <c r="G1134" s="25"/>
      <c r="H1134" s="14" t="str">
        <f aca="false">IF(OR($D1134="",$B1134=""),"",INT(($B1134-$D1134)/365.25))</f>
        <v/>
      </c>
      <c r="I1134" s="25"/>
      <c r="J1134" s="12"/>
      <c r="K1134" s="12"/>
      <c r="L1134" s="14" t="str">
        <f aca="false">IF(OR($C1134="",$D1134="",$B1134=""),"",IF(COUNTIFS($C$5:$C$1504,$C1134,$D$5:$D$1504,$D1134,$B$5:$B$1504,$B1134)&gt;1,"Takror",""))</f>
        <v/>
      </c>
    </row>
    <row r="1135" customFormat="false" ht="15" hidden="false" customHeight="false" outlineLevel="0" collapsed="false">
      <c r="A1135" s="8" t="n">
        <v>1131</v>
      </c>
      <c r="B1135" s="13"/>
      <c r="C1135" s="12"/>
      <c r="D1135" s="13"/>
      <c r="E1135" s="24"/>
      <c r="F1135" s="12"/>
      <c r="G1135" s="25"/>
      <c r="H1135" s="14" t="str">
        <f aca="false">IF(OR($D1135="",$B1135=""),"",INT(($B1135-$D1135)/365.25))</f>
        <v/>
      </c>
      <c r="I1135" s="25"/>
      <c r="J1135" s="12"/>
      <c r="K1135" s="12"/>
      <c r="L1135" s="14" t="str">
        <f aca="false">IF(OR($C1135="",$D1135="",$B1135=""),"",IF(COUNTIFS($C$5:$C$1504,$C1135,$D$5:$D$1504,$D1135,$B$5:$B$1504,$B1135)&gt;1,"Takror",""))</f>
        <v/>
      </c>
    </row>
    <row r="1136" customFormat="false" ht="15" hidden="false" customHeight="false" outlineLevel="0" collapsed="false">
      <c r="A1136" s="8" t="n">
        <v>1132</v>
      </c>
      <c r="B1136" s="13"/>
      <c r="C1136" s="12"/>
      <c r="D1136" s="13"/>
      <c r="E1136" s="24"/>
      <c r="F1136" s="12"/>
      <c r="G1136" s="25"/>
      <c r="H1136" s="14" t="str">
        <f aca="false">IF(OR($D1136="",$B1136=""),"",INT(($B1136-$D1136)/365.25))</f>
        <v/>
      </c>
      <c r="I1136" s="25"/>
      <c r="J1136" s="12"/>
      <c r="K1136" s="12"/>
      <c r="L1136" s="14" t="str">
        <f aca="false">IF(OR($C1136="",$D1136="",$B1136=""),"",IF(COUNTIFS($C$5:$C$1504,$C1136,$D$5:$D$1504,$D1136,$B$5:$B$1504,$B1136)&gt;1,"Takror",""))</f>
        <v/>
      </c>
    </row>
    <row r="1137" customFormat="false" ht="15" hidden="false" customHeight="false" outlineLevel="0" collapsed="false">
      <c r="A1137" s="8" t="n">
        <v>1133</v>
      </c>
      <c r="B1137" s="13"/>
      <c r="C1137" s="12"/>
      <c r="D1137" s="13"/>
      <c r="E1137" s="24"/>
      <c r="F1137" s="12"/>
      <c r="G1137" s="25"/>
      <c r="H1137" s="14" t="str">
        <f aca="false">IF(OR($D1137="",$B1137=""),"",INT(($B1137-$D1137)/365.25))</f>
        <v/>
      </c>
      <c r="I1137" s="25"/>
      <c r="J1137" s="12"/>
      <c r="K1137" s="12"/>
      <c r="L1137" s="14" t="str">
        <f aca="false">IF(OR($C1137="",$D1137="",$B1137=""),"",IF(COUNTIFS($C$5:$C$1504,$C1137,$D$5:$D$1504,$D1137,$B$5:$B$1504,$B1137)&gt;1,"Takror",""))</f>
        <v/>
      </c>
    </row>
    <row r="1138" customFormat="false" ht="15" hidden="false" customHeight="false" outlineLevel="0" collapsed="false">
      <c r="A1138" s="8" t="n">
        <v>1134</v>
      </c>
      <c r="B1138" s="13"/>
      <c r="C1138" s="12"/>
      <c r="D1138" s="13"/>
      <c r="E1138" s="24"/>
      <c r="F1138" s="12"/>
      <c r="G1138" s="25"/>
      <c r="H1138" s="14" t="str">
        <f aca="false">IF(OR($D1138="",$B1138=""),"",INT(($B1138-$D1138)/365.25))</f>
        <v/>
      </c>
      <c r="I1138" s="25"/>
      <c r="J1138" s="12"/>
      <c r="K1138" s="12"/>
      <c r="L1138" s="14" t="str">
        <f aca="false">IF(OR($C1138="",$D1138="",$B1138=""),"",IF(COUNTIFS($C$5:$C$1504,$C1138,$D$5:$D$1504,$D1138,$B$5:$B$1504,$B1138)&gt;1,"Takror",""))</f>
        <v/>
      </c>
    </row>
    <row r="1139" customFormat="false" ht="15" hidden="false" customHeight="false" outlineLevel="0" collapsed="false">
      <c r="A1139" s="8" t="n">
        <v>1135</v>
      </c>
      <c r="B1139" s="13"/>
      <c r="C1139" s="12"/>
      <c r="D1139" s="13"/>
      <c r="E1139" s="24"/>
      <c r="F1139" s="12"/>
      <c r="G1139" s="25"/>
      <c r="H1139" s="14" t="str">
        <f aca="false">IF(OR($D1139="",$B1139=""),"",INT(($B1139-$D1139)/365.25))</f>
        <v/>
      </c>
      <c r="I1139" s="25"/>
      <c r="J1139" s="12"/>
      <c r="K1139" s="12"/>
      <c r="L1139" s="14" t="str">
        <f aca="false">IF(OR($C1139="",$D1139="",$B1139=""),"",IF(COUNTIFS($C$5:$C$1504,$C1139,$D$5:$D$1504,$D1139,$B$5:$B$1504,$B1139)&gt;1,"Takror",""))</f>
        <v/>
      </c>
    </row>
    <row r="1140" customFormat="false" ht="15" hidden="false" customHeight="false" outlineLevel="0" collapsed="false">
      <c r="A1140" s="8" t="n">
        <v>1136</v>
      </c>
      <c r="B1140" s="13"/>
      <c r="C1140" s="12"/>
      <c r="D1140" s="13"/>
      <c r="E1140" s="24"/>
      <c r="F1140" s="12"/>
      <c r="G1140" s="25"/>
      <c r="H1140" s="14" t="str">
        <f aca="false">IF(OR($D1140="",$B1140=""),"",INT(($B1140-$D1140)/365.25))</f>
        <v/>
      </c>
      <c r="I1140" s="25"/>
      <c r="J1140" s="12"/>
      <c r="K1140" s="12"/>
      <c r="L1140" s="14" t="str">
        <f aca="false">IF(OR($C1140="",$D1140="",$B1140=""),"",IF(COUNTIFS($C$5:$C$1504,$C1140,$D$5:$D$1504,$D1140,$B$5:$B$1504,$B1140)&gt;1,"Takror",""))</f>
        <v/>
      </c>
    </row>
    <row r="1141" customFormat="false" ht="15" hidden="false" customHeight="false" outlineLevel="0" collapsed="false">
      <c r="A1141" s="8" t="n">
        <v>1137</v>
      </c>
      <c r="B1141" s="13"/>
      <c r="C1141" s="12"/>
      <c r="D1141" s="13"/>
      <c r="E1141" s="24"/>
      <c r="F1141" s="12"/>
      <c r="G1141" s="25"/>
      <c r="H1141" s="14" t="str">
        <f aca="false">IF(OR($D1141="",$B1141=""),"",INT(($B1141-$D1141)/365.25))</f>
        <v/>
      </c>
      <c r="I1141" s="25"/>
      <c r="J1141" s="12"/>
      <c r="K1141" s="12"/>
      <c r="L1141" s="14" t="str">
        <f aca="false">IF(OR($C1141="",$D1141="",$B1141=""),"",IF(COUNTIFS($C$5:$C$1504,$C1141,$D$5:$D$1504,$D1141,$B$5:$B$1504,$B1141)&gt;1,"Takror",""))</f>
        <v/>
      </c>
    </row>
    <row r="1142" customFormat="false" ht="15" hidden="false" customHeight="false" outlineLevel="0" collapsed="false">
      <c r="A1142" s="8" t="n">
        <v>1138</v>
      </c>
      <c r="B1142" s="13"/>
      <c r="C1142" s="12"/>
      <c r="D1142" s="13"/>
      <c r="E1142" s="24"/>
      <c r="F1142" s="12"/>
      <c r="G1142" s="25"/>
      <c r="H1142" s="14" t="str">
        <f aca="false">IF(OR($D1142="",$B1142=""),"",INT(($B1142-$D1142)/365.25))</f>
        <v/>
      </c>
      <c r="I1142" s="25"/>
      <c r="J1142" s="12"/>
      <c r="K1142" s="12"/>
      <c r="L1142" s="14" t="str">
        <f aca="false">IF(OR($C1142="",$D1142="",$B1142=""),"",IF(COUNTIFS($C$5:$C$1504,$C1142,$D$5:$D$1504,$D1142,$B$5:$B$1504,$B1142)&gt;1,"Takror",""))</f>
        <v/>
      </c>
    </row>
    <row r="1143" customFormat="false" ht="15" hidden="false" customHeight="false" outlineLevel="0" collapsed="false">
      <c r="A1143" s="8" t="n">
        <v>1139</v>
      </c>
      <c r="B1143" s="13"/>
      <c r="C1143" s="12"/>
      <c r="D1143" s="13"/>
      <c r="E1143" s="24"/>
      <c r="F1143" s="12"/>
      <c r="G1143" s="25"/>
      <c r="H1143" s="14" t="str">
        <f aca="false">IF(OR($D1143="",$B1143=""),"",INT(($B1143-$D1143)/365.25))</f>
        <v/>
      </c>
      <c r="I1143" s="25"/>
      <c r="J1143" s="12"/>
      <c r="K1143" s="12"/>
      <c r="L1143" s="14" t="str">
        <f aca="false">IF(OR($C1143="",$D1143="",$B1143=""),"",IF(COUNTIFS($C$5:$C$1504,$C1143,$D$5:$D$1504,$D1143,$B$5:$B$1504,$B1143)&gt;1,"Takror",""))</f>
        <v/>
      </c>
    </row>
    <row r="1144" customFormat="false" ht="15" hidden="false" customHeight="false" outlineLevel="0" collapsed="false">
      <c r="A1144" s="8" t="n">
        <v>1140</v>
      </c>
      <c r="B1144" s="13"/>
      <c r="C1144" s="12"/>
      <c r="D1144" s="13"/>
      <c r="E1144" s="24"/>
      <c r="F1144" s="12"/>
      <c r="G1144" s="25"/>
      <c r="H1144" s="14" t="str">
        <f aca="false">IF(OR($D1144="",$B1144=""),"",INT(($B1144-$D1144)/365.25))</f>
        <v/>
      </c>
      <c r="I1144" s="25"/>
      <c r="J1144" s="12"/>
      <c r="K1144" s="12"/>
      <c r="L1144" s="14" t="str">
        <f aca="false">IF(OR($C1144="",$D1144="",$B1144=""),"",IF(COUNTIFS($C$5:$C$1504,$C1144,$D$5:$D$1504,$D1144,$B$5:$B$1504,$B1144)&gt;1,"Takror",""))</f>
        <v/>
      </c>
    </row>
    <row r="1145" customFormat="false" ht="15" hidden="false" customHeight="false" outlineLevel="0" collapsed="false">
      <c r="A1145" s="8" t="n">
        <v>1141</v>
      </c>
      <c r="B1145" s="13"/>
      <c r="C1145" s="12"/>
      <c r="D1145" s="13"/>
      <c r="E1145" s="24"/>
      <c r="F1145" s="12"/>
      <c r="G1145" s="25"/>
      <c r="H1145" s="14" t="str">
        <f aca="false">IF(OR($D1145="",$B1145=""),"",INT(($B1145-$D1145)/365.25))</f>
        <v/>
      </c>
      <c r="I1145" s="25"/>
      <c r="J1145" s="12"/>
      <c r="K1145" s="12"/>
      <c r="L1145" s="14" t="str">
        <f aca="false">IF(OR($C1145="",$D1145="",$B1145=""),"",IF(COUNTIFS($C$5:$C$1504,$C1145,$D$5:$D$1504,$D1145,$B$5:$B$1504,$B1145)&gt;1,"Takror",""))</f>
        <v/>
      </c>
    </row>
    <row r="1146" customFormat="false" ht="15" hidden="false" customHeight="false" outlineLevel="0" collapsed="false">
      <c r="A1146" s="8" t="n">
        <v>1142</v>
      </c>
      <c r="B1146" s="13"/>
      <c r="C1146" s="12"/>
      <c r="D1146" s="13"/>
      <c r="E1146" s="24"/>
      <c r="F1146" s="12"/>
      <c r="G1146" s="25"/>
      <c r="H1146" s="14" t="str">
        <f aca="false">IF(OR($D1146="",$B1146=""),"",INT(($B1146-$D1146)/365.25))</f>
        <v/>
      </c>
      <c r="I1146" s="25"/>
      <c r="J1146" s="12"/>
      <c r="K1146" s="12"/>
      <c r="L1146" s="14" t="str">
        <f aca="false">IF(OR($C1146="",$D1146="",$B1146=""),"",IF(COUNTIFS($C$5:$C$1504,$C1146,$D$5:$D$1504,$D1146,$B$5:$B$1504,$B1146)&gt;1,"Takror",""))</f>
        <v/>
      </c>
    </row>
    <row r="1147" customFormat="false" ht="15" hidden="false" customHeight="false" outlineLevel="0" collapsed="false">
      <c r="A1147" s="8" t="n">
        <v>1143</v>
      </c>
      <c r="B1147" s="13"/>
      <c r="C1147" s="12"/>
      <c r="D1147" s="13"/>
      <c r="E1147" s="24"/>
      <c r="F1147" s="12"/>
      <c r="G1147" s="25"/>
      <c r="H1147" s="14" t="str">
        <f aca="false">IF(OR($D1147="",$B1147=""),"",INT(($B1147-$D1147)/365.25))</f>
        <v/>
      </c>
      <c r="I1147" s="25"/>
      <c r="J1147" s="12"/>
      <c r="K1147" s="12"/>
      <c r="L1147" s="14" t="str">
        <f aca="false">IF(OR($C1147="",$D1147="",$B1147=""),"",IF(COUNTIFS($C$5:$C$1504,$C1147,$D$5:$D$1504,$D1147,$B$5:$B$1504,$B1147)&gt;1,"Takror",""))</f>
        <v/>
      </c>
    </row>
    <row r="1148" customFormat="false" ht="15" hidden="false" customHeight="false" outlineLevel="0" collapsed="false">
      <c r="A1148" s="8" t="n">
        <v>1144</v>
      </c>
      <c r="B1148" s="13"/>
      <c r="C1148" s="12"/>
      <c r="D1148" s="13"/>
      <c r="E1148" s="24"/>
      <c r="F1148" s="12"/>
      <c r="G1148" s="25"/>
      <c r="H1148" s="14" t="str">
        <f aca="false">IF(OR($D1148="",$B1148=""),"",INT(($B1148-$D1148)/365.25))</f>
        <v/>
      </c>
      <c r="I1148" s="25"/>
      <c r="J1148" s="12"/>
      <c r="K1148" s="12"/>
      <c r="L1148" s="14" t="str">
        <f aca="false">IF(OR($C1148="",$D1148="",$B1148=""),"",IF(COUNTIFS($C$5:$C$1504,$C1148,$D$5:$D$1504,$D1148,$B$5:$B$1504,$B1148)&gt;1,"Takror",""))</f>
        <v/>
      </c>
    </row>
    <row r="1149" customFormat="false" ht="15" hidden="false" customHeight="false" outlineLevel="0" collapsed="false">
      <c r="A1149" s="8" t="n">
        <v>1145</v>
      </c>
      <c r="B1149" s="13"/>
      <c r="C1149" s="12"/>
      <c r="D1149" s="13"/>
      <c r="E1149" s="24"/>
      <c r="F1149" s="12"/>
      <c r="G1149" s="25"/>
      <c r="H1149" s="14" t="str">
        <f aca="false">IF(OR($D1149="",$B1149=""),"",INT(($B1149-$D1149)/365.25))</f>
        <v/>
      </c>
      <c r="I1149" s="25"/>
      <c r="J1149" s="12"/>
      <c r="K1149" s="12"/>
      <c r="L1149" s="14" t="str">
        <f aca="false">IF(OR($C1149="",$D1149="",$B1149=""),"",IF(COUNTIFS($C$5:$C$1504,$C1149,$D$5:$D$1504,$D1149,$B$5:$B$1504,$B1149)&gt;1,"Takror",""))</f>
        <v/>
      </c>
    </row>
    <row r="1150" customFormat="false" ht="15" hidden="false" customHeight="false" outlineLevel="0" collapsed="false">
      <c r="A1150" s="8" t="n">
        <v>1146</v>
      </c>
      <c r="B1150" s="13"/>
      <c r="C1150" s="12"/>
      <c r="D1150" s="13"/>
      <c r="E1150" s="24"/>
      <c r="F1150" s="12"/>
      <c r="G1150" s="25"/>
      <c r="H1150" s="14" t="str">
        <f aca="false">IF(OR($D1150="",$B1150=""),"",INT(($B1150-$D1150)/365.25))</f>
        <v/>
      </c>
      <c r="I1150" s="25"/>
      <c r="J1150" s="12"/>
      <c r="K1150" s="12"/>
      <c r="L1150" s="14" t="str">
        <f aca="false">IF(OR($C1150="",$D1150="",$B1150=""),"",IF(COUNTIFS($C$5:$C$1504,$C1150,$D$5:$D$1504,$D1150,$B$5:$B$1504,$B1150)&gt;1,"Takror",""))</f>
        <v/>
      </c>
    </row>
    <row r="1151" customFormat="false" ht="15" hidden="false" customHeight="false" outlineLevel="0" collapsed="false">
      <c r="A1151" s="8" t="n">
        <v>1147</v>
      </c>
      <c r="B1151" s="13"/>
      <c r="C1151" s="12"/>
      <c r="D1151" s="13"/>
      <c r="E1151" s="24"/>
      <c r="F1151" s="12"/>
      <c r="G1151" s="25"/>
      <c r="H1151" s="14" t="str">
        <f aca="false">IF(OR($D1151="",$B1151=""),"",INT(($B1151-$D1151)/365.25))</f>
        <v/>
      </c>
      <c r="I1151" s="25"/>
      <c r="J1151" s="12"/>
      <c r="K1151" s="12"/>
      <c r="L1151" s="14" t="str">
        <f aca="false">IF(OR($C1151="",$D1151="",$B1151=""),"",IF(COUNTIFS($C$5:$C$1504,$C1151,$D$5:$D$1504,$D1151,$B$5:$B$1504,$B1151)&gt;1,"Takror",""))</f>
        <v/>
      </c>
    </row>
    <row r="1152" customFormat="false" ht="15" hidden="false" customHeight="false" outlineLevel="0" collapsed="false">
      <c r="A1152" s="8" t="n">
        <v>1148</v>
      </c>
      <c r="B1152" s="13"/>
      <c r="C1152" s="12"/>
      <c r="D1152" s="13"/>
      <c r="E1152" s="24"/>
      <c r="F1152" s="12"/>
      <c r="G1152" s="25"/>
      <c r="H1152" s="14" t="str">
        <f aca="false">IF(OR($D1152="",$B1152=""),"",INT(($B1152-$D1152)/365.25))</f>
        <v/>
      </c>
      <c r="I1152" s="25"/>
      <c r="J1152" s="12"/>
      <c r="K1152" s="12"/>
      <c r="L1152" s="14" t="str">
        <f aca="false">IF(OR($C1152="",$D1152="",$B1152=""),"",IF(COUNTIFS($C$5:$C$1504,$C1152,$D$5:$D$1504,$D1152,$B$5:$B$1504,$B1152)&gt;1,"Takror",""))</f>
        <v/>
      </c>
    </row>
    <row r="1153" customFormat="false" ht="15" hidden="false" customHeight="false" outlineLevel="0" collapsed="false">
      <c r="A1153" s="8" t="n">
        <v>1149</v>
      </c>
      <c r="B1153" s="13"/>
      <c r="C1153" s="12"/>
      <c r="D1153" s="13"/>
      <c r="E1153" s="24"/>
      <c r="F1153" s="12"/>
      <c r="G1153" s="25"/>
      <c r="H1153" s="14" t="str">
        <f aca="false">IF(OR($D1153="",$B1153=""),"",INT(($B1153-$D1153)/365.25))</f>
        <v/>
      </c>
      <c r="I1153" s="25"/>
      <c r="J1153" s="12"/>
      <c r="K1153" s="12"/>
      <c r="L1153" s="14" t="str">
        <f aca="false">IF(OR($C1153="",$D1153="",$B1153=""),"",IF(COUNTIFS($C$5:$C$1504,$C1153,$D$5:$D$1504,$D1153,$B$5:$B$1504,$B1153)&gt;1,"Takror",""))</f>
        <v/>
      </c>
    </row>
    <row r="1154" customFormat="false" ht="15" hidden="false" customHeight="false" outlineLevel="0" collapsed="false">
      <c r="A1154" s="8" t="n">
        <v>1150</v>
      </c>
      <c r="B1154" s="13"/>
      <c r="C1154" s="12"/>
      <c r="D1154" s="13"/>
      <c r="E1154" s="24"/>
      <c r="F1154" s="12"/>
      <c r="G1154" s="25"/>
      <c r="H1154" s="14" t="str">
        <f aca="false">IF(OR($D1154="",$B1154=""),"",INT(($B1154-$D1154)/365.25))</f>
        <v/>
      </c>
      <c r="I1154" s="25"/>
      <c r="J1154" s="12"/>
      <c r="K1154" s="12"/>
      <c r="L1154" s="14" t="str">
        <f aca="false">IF(OR($C1154="",$D1154="",$B1154=""),"",IF(COUNTIFS($C$5:$C$1504,$C1154,$D$5:$D$1504,$D1154,$B$5:$B$1504,$B1154)&gt;1,"Takror",""))</f>
        <v/>
      </c>
    </row>
    <row r="1155" customFormat="false" ht="15" hidden="false" customHeight="false" outlineLevel="0" collapsed="false">
      <c r="A1155" s="8" t="n">
        <v>1151</v>
      </c>
      <c r="B1155" s="13"/>
      <c r="C1155" s="12"/>
      <c r="D1155" s="13"/>
      <c r="E1155" s="24"/>
      <c r="F1155" s="12"/>
      <c r="G1155" s="25"/>
      <c r="H1155" s="14" t="str">
        <f aca="false">IF(OR($D1155="",$B1155=""),"",INT(($B1155-$D1155)/365.25))</f>
        <v/>
      </c>
      <c r="I1155" s="25"/>
      <c r="J1155" s="12"/>
      <c r="K1155" s="12"/>
      <c r="L1155" s="14" t="str">
        <f aca="false">IF(OR($C1155="",$D1155="",$B1155=""),"",IF(COUNTIFS($C$5:$C$1504,$C1155,$D$5:$D$1504,$D1155,$B$5:$B$1504,$B1155)&gt;1,"Takror",""))</f>
        <v/>
      </c>
    </row>
    <row r="1156" customFormat="false" ht="15" hidden="false" customHeight="false" outlineLevel="0" collapsed="false">
      <c r="A1156" s="8" t="n">
        <v>1152</v>
      </c>
      <c r="B1156" s="13"/>
      <c r="C1156" s="12"/>
      <c r="D1156" s="13"/>
      <c r="E1156" s="24"/>
      <c r="F1156" s="12"/>
      <c r="G1156" s="25"/>
      <c r="H1156" s="14" t="str">
        <f aca="false">IF(OR($D1156="",$B1156=""),"",INT(($B1156-$D1156)/365.25))</f>
        <v/>
      </c>
      <c r="I1156" s="25"/>
      <c r="J1156" s="12"/>
      <c r="K1156" s="12"/>
      <c r="L1156" s="14" t="str">
        <f aca="false">IF(OR($C1156="",$D1156="",$B1156=""),"",IF(COUNTIFS($C$5:$C$1504,$C1156,$D$5:$D$1504,$D1156,$B$5:$B$1504,$B1156)&gt;1,"Takror",""))</f>
        <v/>
      </c>
    </row>
    <row r="1157" customFormat="false" ht="15" hidden="false" customHeight="false" outlineLevel="0" collapsed="false">
      <c r="A1157" s="8" t="n">
        <v>1153</v>
      </c>
      <c r="B1157" s="13"/>
      <c r="C1157" s="12"/>
      <c r="D1157" s="13"/>
      <c r="E1157" s="24"/>
      <c r="F1157" s="12"/>
      <c r="G1157" s="25"/>
      <c r="H1157" s="14" t="str">
        <f aca="false">IF(OR($D1157="",$B1157=""),"",INT(($B1157-$D1157)/365.25))</f>
        <v/>
      </c>
      <c r="I1157" s="25"/>
      <c r="J1157" s="12"/>
      <c r="K1157" s="12"/>
      <c r="L1157" s="14" t="str">
        <f aca="false">IF(OR($C1157="",$D1157="",$B1157=""),"",IF(COUNTIFS($C$5:$C$1504,$C1157,$D$5:$D$1504,$D1157,$B$5:$B$1504,$B1157)&gt;1,"Takror",""))</f>
        <v/>
      </c>
    </row>
    <row r="1158" customFormat="false" ht="15" hidden="false" customHeight="false" outlineLevel="0" collapsed="false">
      <c r="A1158" s="8" t="n">
        <v>1154</v>
      </c>
      <c r="B1158" s="13"/>
      <c r="C1158" s="12"/>
      <c r="D1158" s="13"/>
      <c r="E1158" s="24"/>
      <c r="F1158" s="12"/>
      <c r="G1158" s="25"/>
      <c r="H1158" s="14" t="str">
        <f aca="false">IF(OR($D1158="",$B1158=""),"",INT(($B1158-$D1158)/365.25))</f>
        <v/>
      </c>
      <c r="I1158" s="25"/>
      <c r="J1158" s="12"/>
      <c r="K1158" s="12"/>
      <c r="L1158" s="14" t="str">
        <f aca="false">IF(OR($C1158="",$D1158="",$B1158=""),"",IF(COUNTIFS($C$5:$C$1504,$C1158,$D$5:$D$1504,$D1158,$B$5:$B$1504,$B1158)&gt;1,"Takror",""))</f>
        <v/>
      </c>
    </row>
    <row r="1159" customFormat="false" ht="15" hidden="false" customHeight="false" outlineLevel="0" collapsed="false">
      <c r="A1159" s="8" t="n">
        <v>1155</v>
      </c>
      <c r="B1159" s="13"/>
      <c r="C1159" s="12"/>
      <c r="D1159" s="13"/>
      <c r="E1159" s="24"/>
      <c r="F1159" s="12"/>
      <c r="G1159" s="25"/>
      <c r="H1159" s="14" t="str">
        <f aca="false">IF(OR($D1159="",$B1159=""),"",INT(($B1159-$D1159)/365.25))</f>
        <v/>
      </c>
      <c r="I1159" s="25"/>
      <c r="J1159" s="12"/>
      <c r="K1159" s="12"/>
      <c r="L1159" s="14" t="str">
        <f aca="false">IF(OR($C1159="",$D1159="",$B1159=""),"",IF(COUNTIFS($C$5:$C$1504,$C1159,$D$5:$D$1504,$D1159,$B$5:$B$1504,$B1159)&gt;1,"Takror",""))</f>
        <v/>
      </c>
    </row>
    <row r="1160" customFormat="false" ht="15" hidden="false" customHeight="false" outlineLevel="0" collapsed="false">
      <c r="A1160" s="8" t="n">
        <v>1156</v>
      </c>
      <c r="B1160" s="13"/>
      <c r="C1160" s="12"/>
      <c r="D1160" s="13"/>
      <c r="E1160" s="24"/>
      <c r="F1160" s="12"/>
      <c r="G1160" s="25"/>
      <c r="H1160" s="14" t="str">
        <f aca="false">IF(OR($D1160="",$B1160=""),"",INT(($B1160-$D1160)/365.25))</f>
        <v/>
      </c>
      <c r="I1160" s="25"/>
      <c r="J1160" s="12"/>
      <c r="K1160" s="12"/>
      <c r="L1160" s="14" t="str">
        <f aca="false">IF(OR($C1160="",$D1160="",$B1160=""),"",IF(COUNTIFS($C$5:$C$1504,$C1160,$D$5:$D$1504,$D1160,$B$5:$B$1504,$B1160)&gt;1,"Takror",""))</f>
        <v/>
      </c>
    </row>
    <row r="1161" customFormat="false" ht="15" hidden="false" customHeight="false" outlineLevel="0" collapsed="false">
      <c r="A1161" s="8" t="n">
        <v>1157</v>
      </c>
      <c r="B1161" s="13"/>
      <c r="C1161" s="12"/>
      <c r="D1161" s="13"/>
      <c r="E1161" s="24"/>
      <c r="F1161" s="12"/>
      <c r="G1161" s="25"/>
      <c r="H1161" s="14" t="str">
        <f aca="false">IF(OR($D1161="",$B1161=""),"",INT(($B1161-$D1161)/365.25))</f>
        <v/>
      </c>
      <c r="I1161" s="25"/>
      <c r="J1161" s="12"/>
      <c r="K1161" s="12"/>
      <c r="L1161" s="14" t="str">
        <f aca="false">IF(OR($C1161="",$D1161="",$B1161=""),"",IF(COUNTIFS($C$5:$C$1504,$C1161,$D$5:$D$1504,$D1161,$B$5:$B$1504,$B1161)&gt;1,"Takror",""))</f>
        <v/>
      </c>
    </row>
    <row r="1162" customFormat="false" ht="15" hidden="false" customHeight="false" outlineLevel="0" collapsed="false">
      <c r="A1162" s="8" t="n">
        <v>1158</v>
      </c>
      <c r="B1162" s="13"/>
      <c r="C1162" s="12"/>
      <c r="D1162" s="13"/>
      <c r="E1162" s="24"/>
      <c r="F1162" s="12"/>
      <c r="G1162" s="25"/>
      <c r="H1162" s="14" t="str">
        <f aca="false">IF(OR($D1162="",$B1162=""),"",INT(($B1162-$D1162)/365.25))</f>
        <v/>
      </c>
      <c r="I1162" s="25"/>
      <c r="J1162" s="12"/>
      <c r="K1162" s="12"/>
      <c r="L1162" s="14" t="str">
        <f aca="false">IF(OR($C1162="",$D1162="",$B1162=""),"",IF(COUNTIFS($C$5:$C$1504,$C1162,$D$5:$D$1504,$D1162,$B$5:$B$1504,$B1162)&gt;1,"Takror",""))</f>
        <v/>
      </c>
    </row>
    <row r="1163" customFormat="false" ht="15" hidden="false" customHeight="false" outlineLevel="0" collapsed="false">
      <c r="A1163" s="8" t="n">
        <v>1159</v>
      </c>
      <c r="B1163" s="13"/>
      <c r="C1163" s="12"/>
      <c r="D1163" s="13"/>
      <c r="E1163" s="24"/>
      <c r="F1163" s="12"/>
      <c r="G1163" s="25"/>
      <c r="H1163" s="14" t="str">
        <f aca="false">IF(OR($D1163="",$B1163=""),"",INT(($B1163-$D1163)/365.25))</f>
        <v/>
      </c>
      <c r="I1163" s="25"/>
      <c r="J1163" s="12"/>
      <c r="K1163" s="12"/>
      <c r="L1163" s="14" t="str">
        <f aca="false">IF(OR($C1163="",$D1163="",$B1163=""),"",IF(COUNTIFS($C$5:$C$1504,$C1163,$D$5:$D$1504,$D1163,$B$5:$B$1504,$B1163)&gt;1,"Takror",""))</f>
        <v/>
      </c>
    </row>
    <row r="1164" customFormat="false" ht="15" hidden="false" customHeight="false" outlineLevel="0" collapsed="false">
      <c r="A1164" s="8" t="n">
        <v>1160</v>
      </c>
      <c r="B1164" s="13"/>
      <c r="C1164" s="12"/>
      <c r="D1164" s="13"/>
      <c r="E1164" s="24"/>
      <c r="F1164" s="12"/>
      <c r="G1164" s="25"/>
      <c r="H1164" s="14" t="str">
        <f aca="false">IF(OR($D1164="",$B1164=""),"",INT(($B1164-$D1164)/365.25))</f>
        <v/>
      </c>
      <c r="I1164" s="25"/>
      <c r="J1164" s="12"/>
      <c r="K1164" s="12"/>
      <c r="L1164" s="14" t="str">
        <f aca="false">IF(OR($C1164="",$D1164="",$B1164=""),"",IF(COUNTIFS($C$5:$C$1504,$C1164,$D$5:$D$1504,$D1164,$B$5:$B$1504,$B1164)&gt;1,"Takror",""))</f>
        <v/>
      </c>
    </row>
    <row r="1165" customFormat="false" ht="15" hidden="false" customHeight="false" outlineLevel="0" collapsed="false">
      <c r="A1165" s="8" t="n">
        <v>1161</v>
      </c>
      <c r="B1165" s="13"/>
      <c r="C1165" s="12"/>
      <c r="D1165" s="13"/>
      <c r="E1165" s="24"/>
      <c r="F1165" s="12"/>
      <c r="G1165" s="25"/>
      <c r="H1165" s="14" t="str">
        <f aca="false">IF(OR($D1165="",$B1165=""),"",INT(($B1165-$D1165)/365.25))</f>
        <v/>
      </c>
      <c r="I1165" s="25"/>
      <c r="J1165" s="12"/>
      <c r="K1165" s="12"/>
      <c r="L1165" s="14" t="str">
        <f aca="false">IF(OR($C1165="",$D1165="",$B1165=""),"",IF(COUNTIFS($C$5:$C$1504,$C1165,$D$5:$D$1504,$D1165,$B$5:$B$1504,$B1165)&gt;1,"Takror",""))</f>
        <v/>
      </c>
    </row>
    <row r="1166" customFormat="false" ht="15" hidden="false" customHeight="false" outlineLevel="0" collapsed="false">
      <c r="A1166" s="8" t="n">
        <v>1162</v>
      </c>
      <c r="B1166" s="13"/>
      <c r="C1166" s="12"/>
      <c r="D1166" s="13"/>
      <c r="E1166" s="24"/>
      <c r="F1166" s="12"/>
      <c r="G1166" s="25"/>
      <c r="H1166" s="14" t="str">
        <f aca="false">IF(OR($D1166="",$B1166=""),"",INT(($B1166-$D1166)/365.25))</f>
        <v/>
      </c>
      <c r="I1166" s="25"/>
      <c r="J1166" s="12"/>
      <c r="K1166" s="12"/>
      <c r="L1166" s="14" t="str">
        <f aca="false">IF(OR($C1166="",$D1166="",$B1166=""),"",IF(COUNTIFS($C$5:$C$1504,$C1166,$D$5:$D$1504,$D1166,$B$5:$B$1504,$B1166)&gt;1,"Takror",""))</f>
        <v/>
      </c>
    </row>
    <row r="1167" customFormat="false" ht="15" hidden="false" customHeight="false" outlineLevel="0" collapsed="false">
      <c r="A1167" s="8" t="n">
        <v>1163</v>
      </c>
      <c r="B1167" s="13"/>
      <c r="C1167" s="12"/>
      <c r="D1167" s="13"/>
      <c r="E1167" s="24"/>
      <c r="F1167" s="12"/>
      <c r="G1167" s="25"/>
      <c r="H1167" s="14" t="str">
        <f aca="false">IF(OR($D1167="",$B1167=""),"",INT(($B1167-$D1167)/365.25))</f>
        <v/>
      </c>
      <c r="I1167" s="25"/>
      <c r="J1167" s="12"/>
      <c r="K1167" s="12"/>
      <c r="L1167" s="14" t="str">
        <f aca="false">IF(OR($C1167="",$D1167="",$B1167=""),"",IF(COUNTIFS($C$5:$C$1504,$C1167,$D$5:$D$1504,$D1167,$B$5:$B$1504,$B1167)&gt;1,"Takror",""))</f>
        <v/>
      </c>
    </row>
    <row r="1168" customFormat="false" ht="15" hidden="false" customHeight="false" outlineLevel="0" collapsed="false">
      <c r="A1168" s="8" t="n">
        <v>1164</v>
      </c>
      <c r="B1168" s="13"/>
      <c r="C1168" s="12"/>
      <c r="D1168" s="13"/>
      <c r="E1168" s="24"/>
      <c r="F1168" s="12"/>
      <c r="G1168" s="25"/>
      <c r="H1168" s="14" t="str">
        <f aca="false">IF(OR($D1168="",$B1168=""),"",INT(($B1168-$D1168)/365.25))</f>
        <v/>
      </c>
      <c r="I1168" s="25"/>
      <c r="J1168" s="12"/>
      <c r="K1168" s="12"/>
      <c r="L1168" s="14" t="str">
        <f aca="false">IF(OR($C1168="",$D1168="",$B1168=""),"",IF(COUNTIFS($C$5:$C$1504,$C1168,$D$5:$D$1504,$D1168,$B$5:$B$1504,$B1168)&gt;1,"Takror",""))</f>
        <v/>
      </c>
    </row>
    <row r="1169" customFormat="false" ht="15" hidden="false" customHeight="false" outlineLevel="0" collapsed="false">
      <c r="A1169" s="8" t="n">
        <v>1165</v>
      </c>
      <c r="B1169" s="13"/>
      <c r="C1169" s="12"/>
      <c r="D1169" s="13"/>
      <c r="E1169" s="24"/>
      <c r="F1169" s="12"/>
      <c r="G1169" s="25"/>
      <c r="H1169" s="14" t="str">
        <f aca="false">IF(OR($D1169="",$B1169=""),"",INT(($B1169-$D1169)/365.25))</f>
        <v/>
      </c>
      <c r="I1169" s="25"/>
      <c r="J1169" s="12"/>
      <c r="K1169" s="12"/>
      <c r="L1169" s="14" t="str">
        <f aca="false">IF(OR($C1169="",$D1169="",$B1169=""),"",IF(COUNTIFS($C$5:$C$1504,$C1169,$D$5:$D$1504,$D1169,$B$5:$B$1504,$B1169)&gt;1,"Takror",""))</f>
        <v/>
      </c>
    </row>
    <row r="1170" customFormat="false" ht="15" hidden="false" customHeight="false" outlineLevel="0" collapsed="false">
      <c r="A1170" s="8" t="n">
        <v>1166</v>
      </c>
      <c r="B1170" s="13"/>
      <c r="C1170" s="12"/>
      <c r="D1170" s="13"/>
      <c r="E1170" s="24"/>
      <c r="F1170" s="12"/>
      <c r="G1170" s="25"/>
      <c r="H1170" s="14" t="str">
        <f aca="false">IF(OR($D1170="",$B1170=""),"",INT(($B1170-$D1170)/365.25))</f>
        <v/>
      </c>
      <c r="I1170" s="25"/>
      <c r="J1170" s="12"/>
      <c r="K1170" s="12"/>
      <c r="L1170" s="14" t="str">
        <f aca="false">IF(OR($C1170="",$D1170="",$B1170=""),"",IF(COUNTIFS($C$5:$C$1504,$C1170,$D$5:$D$1504,$D1170,$B$5:$B$1504,$B1170)&gt;1,"Takror",""))</f>
        <v/>
      </c>
    </row>
    <row r="1171" customFormat="false" ht="15" hidden="false" customHeight="false" outlineLevel="0" collapsed="false">
      <c r="A1171" s="8" t="n">
        <v>1167</v>
      </c>
      <c r="B1171" s="13"/>
      <c r="C1171" s="12"/>
      <c r="D1171" s="13"/>
      <c r="E1171" s="24"/>
      <c r="F1171" s="12"/>
      <c r="G1171" s="25"/>
      <c r="H1171" s="14" t="str">
        <f aca="false">IF(OR($D1171="",$B1171=""),"",INT(($B1171-$D1171)/365.25))</f>
        <v/>
      </c>
      <c r="I1171" s="25"/>
      <c r="J1171" s="12"/>
      <c r="K1171" s="12"/>
      <c r="L1171" s="14" t="str">
        <f aca="false">IF(OR($C1171="",$D1171="",$B1171=""),"",IF(COUNTIFS($C$5:$C$1504,$C1171,$D$5:$D$1504,$D1171,$B$5:$B$1504,$B1171)&gt;1,"Takror",""))</f>
        <v/>
      </c>
    </row>
    <row r="1172" customFormat="false" ht="15" hidden="false" customHeight="false" outlineLevel="0" collapsed="false">
      <c r="A1172" s="8" t="n">
        <v>1168</v>
      </c>
      <c r="B1172" s="13"/>
      <c r="C1172" s="12"/>
      <c r="D1172" s="13"/>
      <c r="E1172" s="24"/>
      <c r="F1172" s="12"/>
      <c r="G1172" s="25"/>
      <c r="H1172" s="14" t="str">
        <f aca="false">IF(OR($D1172="",$B1172=""),"",INT(($B1172-$D1172)/365.25))</f>
        <v/>
      </c>
      <c r="I1172" s="25"/>
      <c r="J1172" s="12"/>
      <c r="K1172" s="12"/>
      <c r="L1172" s="14" t="str">
        <f aca="false">IF(OR($C1172="",$D1172="",$B1172=""),"",IF(COUNTIFS($C$5:$C$1504,$C1172,$D$5:$D$1504,$D1172,$B$5:$B$1504,$B1172)&gt;1,"Takror",""))</f>
        <v/>
      </c>
    </row>
    <row r="1173" customFormat="false" ht="15" hidden="false" customHeight="false" outlineLevel="0" collapsed="false">
      <c r="A1173" s="8" t="n">
        <v>1169</v>
      </c>
      <c r="B1173" s="13"/>
      <c r="C1173" s="12"/>
      <c r="D1173" s="13"/>
      <c r="E1173" s="24"/>
      <c r="F1173" s="12"/>
      <c r="G1173" s="25"/>
      <c r="H1173" s="14" t="str">
        <f aca="false">IF(OR($D1173="",$B1173=""),"",INT(($B1173-$D1173)/365.25))</f>
        <v/>
      </c>
      <c r="I1173" s="25"/>
      <c r="J1173" s="12"/>
      <c r="K1173" s="12"/>
      <c r="L1173" s="14" t="str">
        <f aca="false">IF(OR($C1173="",$D1173="",$B1173=""),"",IF(COUNTIFS($C$5:$C$1504,$C1173,$D$5:$D$1504,$D1173,$B$5:$B$1504,$B1173)&gt;1,"Takror",""))</f>
        <v/>
      </c>
    </row>
    <row r="1174" customFormat="false" ht="15" hidden="false" customHeight="false" outlineLevel="0" collapsed="false">
      <c r="A1174" s="8" t="n">
        <v>1170</v>
      </c>
      <c r="B1174" s="13"/>
      <c r="C1174" s="12"/>
      <c r="D1174" s="13"/>
      <c r="E1174" s="24"/>
      <c r="F1174" s="12"/>
      <c r="G1174" s="25"/>
      <c r="H1174" s="14" t="str">
        <f aca="false">IF(OR($D1174="",$B1174=""),"",INT(($B1174-$D1174)/365.25))</f>
        <v/>
      </c>
      <c r="I1174" s="25"/>
      <c r="J1174" s="12"/>
      <c r="K1174" s="12"/>
      <c r="L1174" s="14" t="str">
        <f aca="false">IF(OR($C1174="",$D1174="",$B1174=""),"",IF(COUNTIFS($C$5:$C$1504,$C1174,$D$5:$D$1504,$D1174,$B$5:$B$1504,$B1174)&gt;1,"Takror",""))</f>
        <v/>
      </c>
    </row>
    <row r="1175" customFormat="false" ht="15" hidden="false" customHeight="false" outlineLevel="0" collapsed="false">
      <c r="A1175" s="8" t="n">
        <v>1171</v>
      </c>
      <c r="B1175" s="13"/>
      <c r="C1175" s="12"/>
      <c r="D1175" s="13"/>
      <c r="E1175" s="24"/>
      <c r="F1175" s="12"/>
      <c r="G1175" s="25"/>
      <c r="H1175" s="14" t="str">
        <f aca="false">IF(OR($D1175="",$B1175=""),"",INT(($B1175-$D1175)/365.25))</f>
        <v/>
      </c>
      <c r="I1175" s="25"/>
      <c r="J1175" s="12"/>
      <c r="K1175" s="12"/>
      <c r="L1175" s="14" t="str">
        <f aca="false">IF(OR($C1175="",$D1175="",$B1175=""),"",IF(COUNTIFS($C$5:$C$1504,$C1175,$D$5:$D$1504,$D1175,$B$5:$B$1504,$B1175)&gt;1,"Takror",""))</f>
        <v/>
      </c>
    </row>
    <row r="1176" customFormat="false" ht="15" hidden="false" customHeight="false" outlineLevel="0" collapsed="false">
      <c r="A1176" s="8" t="n">
        <v>1172</v>
      </c>
      <c r="B1176" s="13"/>
      <c r="C1176" s="12"/>
      <c r="D1176" s="13"/>
      <c r="E1176" s="24"/>
      <c r="F1176" s="12"/>
      <c r="G1176" s="25"/>
      <c r="H1176" s="14" t="str">
        <f aca="false">IF(OR($D1176="",$B1176=""),"",INT(($B1176-$D1176)/365.25))</f>
        <v/>
      </c>
      <c r="I1176" s="25"/>
      <c r="J1176" s="12"/>
      <c r="K1176" s="12"/>
      <c r="L1176" s="14" t="str">
        <f aca="false">IF(OR($C1176="",$D1176="",$B1176=""),"",IF(COUNTIFS($C$5:$C$1504,$C1176,$D$5:$D$1504,$D1176,$B$5:$B$1504,$B1176)&gt;1,"Takror",""))</f>
        <v/>
      </c>
    </row>
    <row r="1177" customFormat="false" ht="15" hidden="false" customHeight="false" outlineLevel="0" collapsed="false">
      <c r="A1177" s="8" t="n">
        <v>1173</v>
      </c>
      <c r="B1177" s="13"/>
      <c r="C1177" s="12"/>
      <c r="D1177" s="13"/>
      <c r="E1177" s="24"/>
      <c r="F1177" s="12"/>
      <c r="G1177" s="25"/>
      <c r="H1177" s="14" t="str">
        <f aca="false">IF(OR($D1177="",$B1177=""),"",INT(($B1177-$D1177)/365.25))</f>
        <v/>
      </c>
      <c r="I1177" s="25"/>
      <c r="J1177" s="12"/>
      <c r="K1177" s="12"/>
      <c r="L1177" s="14" t="str">
        <f aca="false">IF(OR($C1177="",$D1177="",$B1177=""),"",IF(COUNTIFS($C$5:$C$1504,$C1177,$D$5:$D$1504,$D1177,$B$5:$B$1504,$B1177)&gt;1,"Takror",""))</f>
        <v/>
      </c>
    </row>
    <row r="1178" customFormat="false" ht="15" hidden="false" customHeight="false" outlineLevel="0" collapsed="false">
      <c r="A1178" s="8" t="n">
        <v>1174</v>
      </c>
      <c r="B1178" s="13"/>
      <c r="C1178" s="12"/>
      <c r="D1178" s="13"/>
      <c r="E1178" s="24"/>
      <c r="F1178" s="12"/>
      <c r="G1178" s="25"/>
      <c r="H1178" s="14" t="str">
        <f aca="false">IF(OR($D1178="",$B1178=""),"",INT(($B1178-$D1178)/365.25))</f>
        <v/>
      </c>
      <c r="I1178" s="25"/>
      <c r="J1178" s="12"/>
      <c r="K1178" s="12"/>
      <c r="L1178" s="14" t="str">
        <f aca="false">IF(OR($C1178="",$D1178="",$B1178=""),"",IF(COUNTIFS($C$5:$C$1504,$C1178,$D$5:$D$1504,$D1178,$B$5:$B$1504,$B1178)&gt;1,"Takror",""))</f>
        <v/>
      </c>
    </row>
    <row r="1179" customFormat="false" ht="15" hidden="false" customHeight="false" outlineLevel="0" collapsed="false">
      <c r="A1179" s="8" t="n">
        <v>1175</v>
      </c>
      <c r="B1179" s="13"/>
      <c r="C1179" s="12"/>
      <c r="D1179" s="13"/>
      <c r="E1179" s="24"/>
      <c r="F1179" s="12"/>
      <c r="G1179" s="25"/>
      <c r="H1179" s="14" t="str">
        <f aca="false">IF(OR($D1179="",$B1179=""),"",INT(($B1179-$D1179)/365.25))</f>
        <v/>
      </c>
      <c r="I1179" s="25"/>
      <c r="J1179" s="12"/>
      <c r="K1179" s="12"/>
      <c r="L1179" s="14" t="str">
        <f aca="false">IF(OR($C1179="",$D1179="",$B1179=""),"",IF(COUNTIFS($C$5:$C$1504,$C1179,$D$5:$D$1504,$D1179,$B$5:$B$1504,$B1179)&gt;1,"Takror",""))</f>
        <v/>
      </c>
    </row>
    <row r="1180" customFormat="false" ht="15" hidden="false" customHeight="false" outlineLevel="0" collapsed="false">
      <c r="A1180" s="8" t="n">
        <v>1176</v>
      </c>
      <c r="B1180" s="13"/>
      <c r="C1180" s="12"/>
      <c r="D1180" s="13"/>
      <c r="E1180" s="24"/>
      <c r="F1180" s="12"/>
      <c r="G1180" s="25"/>
      <c r="H1180" s="14" t="str">
        <f aca="false">IF(OR($D1180="",$B1180=""),"",INT(($B1180-$D1180)/365.25))</f>
        <v/>
      </c>
      <c r="I1180" s="25"/>
      <c r="J1180" s="12"/>
      <c r="K1180" s="12"/>
      <c r="L1180" s="14" t="str">
        <f aca="false">IF(OR($C1180="",$D1180="",$B1180=""),"",IF(COUNTIFS($C$5:$C$1504,$C1180,$D$5:$D$1504,$D1180,$B$5:$B$1504,$B1180)&gt;1,"Takror",""))</f>
        <v/>
      </c>
    </row>
    <row r="1181" customFormat="false" ht="15" hidden="false" customHeight="false" outlineLevel="0" collapsed="false">
      <c r="A1181" s="8" t="n">
        <v>1177</v>
      </c>
      <c r="B1181" s="13"/>
      <c r="C1181" s="12"/>
      <c r="D1181" s="13"/>
      <c r="E1181" s="24"/>
      <c r="F1181" s="12"/>
      <c r="G1181" s="25"/>
      <c r="H1181" s="14" t="str">
        <f aca="false">IF(OR($D1181="",$B1181=""),"",INT(($B1181-$D1181)/365.25))</f>
        <v/>
      </c>
      <c r="I1181" s="25"/>
      <c r="J1181" s="12"/>
      <c r="K1181" s="12"/>
      <c r="L1181" s="14" t="str">
        <f aca="false">IF(OR($C1181="",$D1181="",$B1181=""),"",IF(COUNTIFS($C$5:$C$1504,$C1181,$D$5:$D$1504,$D1181,$B$5:$B$1504,$B1181)&gt;1,"Takror",""))</f>
        <v/>
      </c>
    </row>
    <row r="1182" customFormat="false" ht="15" hidden="false" customHeight="false" outlineLevel="0" collapsed="false">
      <c r="A1182" s="8" t="n">
        <v>1178</v>
      </c>
      <c r="B1182" s="13"/>
      <c r="C1182" s="12"/>
      <c r="D1182" s="13"/>
      <c r="E1182" s="24"/>
      <c r="F1182" s="12"/>
      <c r="G1182" s="25"/>
      <c r="H1182" s="14" t="str">
        <f aca="false">IF(OR($D1182="",$B1182=""),"",INT(($B1182-$D1182)/365.25))</f>
        <v/>
      </c>
      <c r="I1182" s="25"/>
      <c r="J1182" s="12"/>
      <c r="K1182" s="12"/>
      <c r="L1182" s="14" t="str">
        <f aca="false">IF(OR($C1182="",$D1182="",$B1182=""),"",IF(COUNTIFS($C$5:$C$1504,$C1182,$D$5:$D$1504,$D1182,$B$5:$B$1504,$B1182)&gt;1,"Takror",""))</f>
        <v/>
      </c>
    </row>
    <row r="1183" customFormat="false" ht="15" hidden="false" customHeight="false" outlineLevel="0" collapsed="false">
      <c r="A1183" s="8" t="n">
        <v>1179</v>
      </c>
      <c r="B1183" s="13"/>
      <c r="C1183" s="12"/>
      <c r="D1183" s="13"/>
      <c r="E1183" s="24"/>
      <c r="F1183" s="12"/>
      <c r="G1183" s="25"/>
      <c r="H1183" s="14" t="str">
        <f aca="false">IF(OR($D1183="",$B1183=""),"",INT(($B1183-$D1183)/365.25))</f>
        <v/>
      </c>
      <c r="I1183" s="25"/>
      <c r="J1183" s="12"/>
      <c r="K1183" s="12"/>
      <c r="L1183" s="14" t="str">
        <f aca="false">IF(OR($C1183="",$D1183="",$B1183=""),"",IF(COUNTIFS($C$5:$C$1504,$C1183,$D$5:$D$1504,$D1183,$B$5:$B$1504,$B1183)&gt;1,"Takror",""))</f>
        <v/>
      </c>
    </row>
    <row r="1184" customFormat="false" ht="15" hidden="false" customHeight="false" outlineLevel="0" collapsed="false">
      <c r="A1184" s="8" t="n">
        <v>1180</v>
      </c>
      <c r="B1184" s="13"/>
      <c r="C1184" s="12"/>
      <c r="D1184" s="13"/>
      <c r="E1184" s="24"/>
      <c r="F1184" s="12"/>
      <c r="G1184" s="25"/>
      <c r="H1184" s="14" t="str">
        <f aca="false">IF(OR($D1184="",$B1184=""),"",INT(($B1184-$D1184)/365.25))</f>
        <v/>
      </c>
      <c r="I1184" s="25"/>
      <c r="J1184" s="12"/>
      <c r="K1184" s="12"/>
      <c r="L1184" s="14" t="str">
        <f aca="false">IF(OR($C1184="",$D1184="",$B1184=""),"",IF(COUNTIFS($C$5:$C$1504,$C1184,$D$5:$D$1504,$D1184,$B$5:$B$1504,$B1184)&gt;1,"Takror",""))</f>
        <v/>
      </c>
    </row>
    <row r="1185" customFormat="false" ht="15" hidden="false" customHeight="false" outlineLevel="0" collapsed="false">
      <c r="A1185" s="8" t="n">
        <v>1181</v>
      </c>
      <c r="B1185" s="13"/>
      <c r="C1185" s="12"/>
      <c r="D1185" s="13"/>
      <c r="E1185" s="24"/>
      <c r="F1185" s="12"/>
      <c r="G1185" s="25"/>
      <c r="H1185" s="14" t="str">
        <f aca="false">IF(OR($D1185="",$B1185=""),"",INT(($B1185-$D1185)/365.25))</f>
        <v/>
      </c>
      <c r="I1185" s="25"/>
      <c r="J1185" s="12"/>
      <c r="K1185" s="12"/>
      <c r="L1185" s="14" t="str">
        <f aca="false">IF(OR($C1185="",$D1185="",$B1185=""),"",IF(COUNTIFS($C$5:$C$1504,$C1185,$D$5:$D$1504,$D1185,$B$5:$B$1504,$B1185)&gt;1,"Takror",""))</f>
        <v/>
      </c>
    </row>
    <row r="1186" customFormat="false" ht="15" hidden="false" customHeight="false" outlineLevel="0" collapsed="false">
      <c r="A1186" s="8" t="n">
        <v>1182</v>
      </c>
      <c r="B1186" s="13"/>
      <c r="C1186" s="12"/>
      <c r="D1186" s="13"/>
      <c r="E1186" s="24"/>
      <c r="F1186" s="12"/>
      <c r="G1186" s="25"/>
      <c r="H1186" s="14" t="str">
        <f aca="false">IF(OR($D1186="",$B1186=""),"",INT(($B1186-$D1186)/365.25))</f>
        <v/>
      </c>
      <c r="I1186" s="25"/>
      <c r="J1186" s="12"/>
      <c r="K1186" s="12"/>
      <c r="L1186" s="14" t="str">
        <f aca="false">IF(OR($C1186="",$D1186="",$B1186=""),"",IF(COUNTIFS($C$5:$C$1504,$C1186,$D$5:$D$1504,$D1186,$B$5:$B$1504,$B1186)&gt;1,"Takror",""))</f>
        <v/>
      </c>
    </row>
    <row r="1187" customFormat="false" ht="15" hidden="false" customHeight="false" outlineLevel="0" collapsed="false">
      <c r="A1187" s="8" t="n">
        <v>1183</v>
      </c>
      <c r="B1187" s="13"/>
      <c r="C1187" s="12"/>
      <c r="D1187" s="13"/>
      <c r="E1187" s="24"/>
      <c r="F1187" s="12"/>
      <c r="G1187" s="25"/>
      <c r="H1187" s="14" t="str">
        <f aca="false">IF(OR($D1187="",$B1187=""),"",INT(($B1187-$D1187)/365.25))</f>
        <v/>
      </c>
      <c r="I1187" s="25"/>
      <c r="J1187" s="12"/>
      <c r="K1187" s="12"/>
      <c r="L1187" s="14" t="str">
        <f aca="false">IF(OR($C1187="",$D1187="",$B1187=""),"",IF(COUNTIFS($C$5:$C$1504,$C1187,$D$5:$D$1504,$D1187,$B$5:$B$1504,$B1187)&gt;1,"Takror",""))</f>
        <v/>
      </c>
    </row>
    <row r="1188" customFormat="false" ht="15" hidden="false" customHeight="false" outlineLevel="0" collapsed="false">
      <c r="A1188" s="8" t="n">
        <v>1184</v>
      </c>
      <c r="B1188" s="13"/>
      <c r="C1188" s="12"/>
      <c r="D1188" s="13"/>
      <c r="E1188" s="24"/>
      <c r="F1188" s="12"/>
      <c r="G1188" s="25"/>
      <c r="H1188" s="14" t="str">
        <f aca="false">IF(OR($D1188="",$B1188=""),"",INT(($B1188-$D1188)/365.25))</f>
        <v/>
      </c>
      <c r="I1188" s="25"/>
      <c r="J1188" s="12"/>
      <c r="K1188" s="12"/>
      <c r="L1188" s="14" t="str">
        <f aca="false">IF(OR($C1188="",$D1188="",$B1188=""),"",IF(COUNTIFS($C$5:$C$1504,$C1188,$D$5:$D$1504,$D1188,$B$5:$B$1504,$B1188)&gt;1,"Takror",""))</f>
        <v/>
      </c>
    </row>
    <row r="1189" customFormat="false" ht="15" hidden="false" customHeight="false" outlineLevel="0" collapsed="false">
      <c r="A1189" s="8" t="n">
        <v>1185</v>
      </c>
      <c r="B1189" s="13"/>
      <c r="C1189" s="12"/>
      <c r="D1189" s="13"/>
      <c r="E1189" s="24"/>
      <c r="F1189" s="12"/>
      <c r="G1189" s="25"/>
      <c r="H1189" s="14" t="str">
        <f aca="false">IF(OR($D1189="",$B1189=""),"",INT(($B1189-$D1189)/365.25))</f>
        <v/>
      </c>
      <c r="I1189" s="25"/>
      <c r="J1189" s="12"/>
      <c r="K1189" s="12"/>
      <c r="L1189" s="14" t="str">
        <f aca="false">IF(OR($C1189="",$D1189="",$B1189=""),"",IF(COUNTIFS($C$5:$C$1504,$C1189,$D$5:$D$1504,$D1189,$B$5:$B$1504,$B1189)&gt;1,"Takror",""))</f>
        <v/>
      </c>
    </row>
    <row r="1190" customFormat="false" ht="15" hidden="false" customHeight="false" outlineLevel="0" collapsed="false">
      <c r="A1190" s="8" t="n">
        <v>1186</v>
      </c>
      <c r="B1190" s="13"/>
      <c r="C1190" s="12"/>
      <c r="D1190" s="13"/>
      <c r="E1190" s="24"/>
      <c r="F1190" s="12"/>
      <c r="G1190" s="25"/>
      <c r="H1190" s="14" t="str">
        <f aca="false">IF(OR($D1190="",$B1190=""),"",INT(($B1190-$D1190)/365.25))</f>
        <v/>
      </c>
      <c r="I1190" s="25"/>
      <c r="J1190" s="12"/>
      <c r="K1190" s="12"/>
      <c r="L1190" s="14" t="str">
        <f aca="false">IF(OR($C1190="",$D1190="",$B1190=""),"",IF(COUNTIFS($C$5:$C$1504,$C1190,$D$5:$D$1504,$D1190,$B$5:$B$1504,$B1190)&gt;1,"Takror",""))</f>
        <v/>
      </c>
    </row>
    <row r="1191" customFormat="false" ht="15" hidden="false" customHeight="false" outlineLevel="0" collapsed="false">
      <c r="A1191" s="8" t="n">
        <v>1187</v>
      </c>
      <c r="B1191" s="13"/>
      <c r="C1191" s="12"/>
      <c r="D1191" s="13"/>
      <c r="E1191" s="24"/>
      <c r="F1191" s="12"/>
      <c r="G1191" s="25"/>
      <c r="H1191" s="14" t="str">
        <f aca="false">IF(OR($D1191="",$B1191=""),"",INT(($B1191-$D1191)/365.25))</f>
        <v/>
      </c>
      <c r="I1191" s="25"/>
      <c r="J1191" s="12"/>
      <c r="K1191" s="12"/>
      <c r="L1191" s="14" t="str">
        <f aca="false">IF(OR($C1191="",$D1191="",$B1191=""),"",IF(COUNTIFS($C$5:$C$1504,$C1191,$D$5:$D$1504,$D1191,$B$5:$B$1504,$B1191)&gt;1,"Takror",""))</f>
        <v/>
      </c>
    </row>
    <row r="1192" customFormat="false" ht="15" hidden="false" customHeight="false" outlineLevel="0" collapsed="false">
      <c r="A1192" s="8" t="n">
        <v>1188</v>
      </c>
      <c r="B1192" s="13"/>
      <c r="C1192" s="12"/>
      <c r="D1192" s="13"/>
      <c r="E1192" s="24"/>
      <c r="F1192" s="12"/>
      <c r="G1192" s="25"/>
      <c r="H1192" s="14" t="str">
        <f aca="false">IF(OR($D1192="",$B1192=""),"",INT(($B1192-$D1192)/365.25))</f>
        <v/>
      </c>
      <c r="I1192" s="25"/>
      <c r="J1192" s="12"/>
      <c r="K1192" s="12"/>
      <c r="L1192" s="14" t="str">
        <f aca="false">IF(OR($C1192="",$D1192="",$B1192=""),"",IF(COUNTIFS($C$5:$C$1504,$C1192,$D$5:$D$1504,$D1192,$B$5:$B$1504,$B1192)&gt;1,"Takror",""))</f>
        <v/>
      </c>
    </row>
    <row r="1193" customFormat="false" ht="15" hidden="false" customHeight="false" outlineLevel="0" collapsed="false">
      <c r="A1193" s="8" t="n">
        <v>1189</v>
      </c>
      <c r="B1193" s="13"/>
      <c r="C1193" s="12"/>
      <c r="D1193" s="13"/>
      <c r="E1193" s="24"/>
      <c r="F1193" s="12"/>
      <c r="G1193" s="25"/>
      <c r="H1193" s="14" t="str">
        <f aca="false">IF(OR($D1193="",$B1193=""),"",INT(($B1193-$D1193)/365.25))</f>
        <v/>
      </c>
      <c r="I1193" s="25"/>
      <c r="J1193" s="12"/>
      <c r="K1193" s="12"/>
      <c r="L1193" s="14" t="str">
        <f aca="false">IF(OR($C1193="",$D1193="",$B1193=""),"",IF(COUNTIFS($C$5:$C$1504,$C1193,$D$5:$D$1504,$D1193,$B$5:$B$1504,$B1193)&gt;1,"Takror",""))</f>
        <v/>
      </c>
    </row>
    <row r="1194" customFormat="false" ht="15" hidden="false" customHeight="false" outlineLevel="0" collapsed="false">
      <c r="A1194" s="8" t="n">
        <v>1190</v>
      </c>
      <c r="B1194" s="13"/>
      <c r="C1194" s="12"/>
      <c r="D1194" s="13"/>
      <c r="E1194" s="24"/>
      <c r="F1194" s="12"/>
      <c r="G1194" s="25"/>
      <c r="H1194" s="14" t="str">
        <f aca="false">IF(OR($D1194="",$B1194=""),"",INT(($B1194-$D1194)/365.25))</f>
        <v/>
      </c>
      <c r="I1194" s="25"/>
      <c r="J1194" s="12"/>
      <c r="K1194" s="12"/>
      <c r="L1194" s="14" t="str">
        <f aca="false">IF(OR($C1194="",$D1194="",$B1194=""),"",IF(COUNTIFS($C$5:$C$1504,$C1194,$D$5:$D$1504,$D1194,$B$5:$B$1504,$B1194)&gt;1,"Takror",""))</f>
        <v/>
      </c>
    </row>
    <row r="1195" customFormat="false" ht="15" hidden="false" customHeight="false" outlineLevel="0" collapsed="false">
      <c r="A1195" s="8" t="n">
        <v>1191</v>
      </c>
      <c r="B1195" s="13"/>
      <c r="C1195" s="12"/>
      <c r="D1195" s="13"/>
      <c r="E1195" s="24"/>
      <c r="F1195" s="12"/>
      <c r="G1195" s="25"/>
      <c r="H1195" s="14" t="str">
        <f aca="false">IF(OR($D1195="",$B1195=""),"",INT(($B1195-$D1195)/365.25))</f>
        <v/>
      </c>
      <c r="I1195" s="25"/>
      <c r="J1195" s="12"/>
      <c r="K1195" s="12"/>
      <c r="L1195" s="14" t="str">
        <f aca="false">IF(OR($C1195="",$D1195="",$B1195=""),"",IF(COUNTIFS($C$5:$C$1504,$C1195,$D$5:$D$1504,$D1195,$B$5:$B$1504,$B1195)&gt;1,"Takror",""))</f>
        <v/>
      </c>
    </row>
    <row r="1196" customFormat="false" ht="15" hidden="false" customHeight="false" outlineLevel="0" collapsed="false">
      <c r="A1196" s="8" t="n">
        <v>1192</v>
      </c>
      <c r="B1196" s="13"/>
      <c r="C1196" s="12"/>
      <c r="D1196" s="13"/>
      <c r="E1196" s="24"/>
      <c r="F1196" s="12"/>
      <c r="G1196" s="25"/>
      <c r="H1196" s="14" t="str">
        <f aca="false">IF(OR($D1196="",$B1196=""),"",INT(($B1196-$D1196)/365.25))</f>
        <v/>
      </c>
      <c r="I1196" s="25"/>
      <c r="J1196" s="12"/>
      <c r="K1196" s="12"/>
      <c r="L1196" s="14" t="str">
        <f aca="false">IF(OR($C1196="",$D1196="",$B1196=""),"",IF(COUNTIFS($C$5:$C$1504,$C1196,$D$5:$D$1504,$D1196,$B$5:$B$1504,$B1196)&gt;1,"Takror",""))</f>
        <v/>
      </c>
    </row>
    <row r="1197" customFormat="false" ht="15" hidden="false" customHeight="false" outlineLevel="0" collapsed="false">
      <c r="A1197" s="8" t="n">
        <v>1193</v>
      </c>
      <c r="B1197" s="13"/>
      <c r="C1197" s="12"/>
      <c r="D1197" s="13"/>
      <c r="E1197" s="24"/>
      <c r="F1197" s="12"/>
      <c r="G1197" s="25"/>
      <c r="H1197" s="14" t="str">
        <f aca="false">IF(OR($D1197="",$B1197=""),"",INT(($B1197-$D1197)/365.25))</f>
        <v/>
      </c>
      <c r="I1197" s="25"/>
      <c r="J1197" s="12"/>
      <c r="K1197" s="12"/>
      <c r="L1197" s="14" t="str">
        <f aca="false">IF(OR($C1197="",$D1197="",$B1197=""),"",IF(COUNTIFS($C$5:$C$1504,$C1197,$D$5:$D$1504,$D1197,$B$5:$B$1504,$B1197)&gt;1,"Takror",""))</f>
        <v/>
      </c>
    </row>
    <row r="1198" customFormat="false" ht="15" hidden="false" customHeight="false" outlineLevel="0" collapsed="false">
      <c r="A1198" s="8" t="n">
        <v>1194</v>
      </c>
      <c r="B1198" s="13"/>
      <c r="C1198" s="12"/>
      <c r="D1198" s="13"/>
      <c r="E1198" s="24"/>
      <c r="F1198" s="12"/>
      <c r="G1198" s="25"/>
      <c r="H1198" s="14" t="str">
        <f aca="false">IF(OR($D1198="",$B1198=""),"",INT(($B1198-$D1198)/365.25))</f>
        <v/>
      </c>
      <c r="I1198" s="25"/>
      <c r="J1198" s="12"/>
      <c r="K1198" s="12"/>
      <c r="L1198" s="14" t="str">
        <f aca="false">IF(OR($C1198="",$D1198="",$B1198=""),"",IF(COUNTIFS($C$5:$C$1504,$C1198,$D$5:$D$1504,$D1198,$B$5:$B$1504,$B1198)&gt;1,"Takror",""))</f>
        <v/>
      </c>
    </row>
    <row r="1199" customFormat="false" ht="15" hidden="false" customHeight="false" outlineLevel="0" collapsed="false">
      <c r="A1199" s="8" t="n">
        <v>1195</v>
      </c>
      <c r="B1199" s="13"/>
      <c r="C1199" s="12"/>
      <c r="D1199" s="13"/>
      <c r="E1199" s="24"/>
      <c r="F1199" s="12"/>
      <c r="G1199" s="25"/>
      <c r="H1199" s="14" t="str">
        <f aca="false">IF(OR($D1199="",$B1199=""),"",INT(($B1199-$D1199)/365.25))</f>
        <v/>
      </c>
      <c r="I1199" s="25"/>
      <c r="J1199" s="12"/>
      <c r="K1199" s="12"/>
      <c r="L1199" s="14" t="str">
        <f aca="false">IF(OR($C1199="",$D1199="",$B1199=""),"",IF(COUNTIFS($C$5:$C$1504,$C1199,$D$5:$D$1504,$D1199,$B$5:$B$1504,$B1199)&gt;1,"Takror",""))</f>
        <v/>
      </c>
    </row>
    <row r="1200" customFormat="false" ht="15" hidden="false" customHeight="false" outlineLevel="0" collapsed="false">
      <c r="A1200" s="8" t="n">
        <v>1196</v>
      </c>
      <c r="B1200" s="13"/>
      <c r="C1200" s="12"/>
      <c r="D1200" s="13"/>
      <c r="E1200" s="24"/>
      <c r="F1200" s="12"/>
      <c r="G1200" s="25"/>
      <c r="H1200" s="14" t="str">
        <f aca="false">IF(OR($D1200="",$B1200=""),"",INT(($B1200-$D1200)/365.25))</f>
        <v/>
      </c>
      <c r="I1200" s="25"/>
      <c r="J1200" s="12"/>
      <c r="K1200" s="12"/>
      <c r="L1200" s="14" t="str">
        <f aca="false">IF(OR($C1200="",$D1200="",$B1200=""),"",IF(COUNTIFS($C$5:$C$1504,$C1200,$D$5:$D$1504,$D1200,$B$5:$B$1504,$B1200)&gt;1,"Takror",""))</f>
        <v/>
      </c>
    </row>
    <row r="1201" customFormat="false" ht="15" hidden="false" customHeight="false" outlineLevel="0" collapsed="false">
      <c r="A1201" s="8" t="n">
        <v>1197</v>
      </c>
      <c r="B1201" s="13"/>
      <c r="C1201" s="12"/>
      <c r="D1201" s="13"/>
      <c r="E1201" s="24"/>
      <c r="F1201" s="12"/>
      <c r="G1201" s="25"/>
      <c r="H1201" s="14" t="str">
        <f aca="false">IF(OR($D1201="",$B1201=""),"",INT(($B1201-$D1201)/365.25))</f>
        <v/>
      </c>
      <c r="I1201" s="25"/>
      <c r="J1201" s="12"/>
      <c r="K1201" s="12"/>
      <c r="L1201" s="14" t="str">
        <f aca="false">IF(OR($C1201="",$D1201="",$B1201=""),"",IF(COUNTIFS($C$5:$C$1504,$C1201,$D$5:$D$1504,$D1201,$B$5:$B$1504,$B1201)&gt;1,"Takror",""))</f>
        <v/>
      </c>
    </row>
    <row r="1202" customFormat="false" ht="15" hidden="false" customHeight="false" outlineLevel="0" collapsed="false">
      <c r="A1202" s="8" t="n">
        <v>1198</v>
      </c>
      <c r="B1202" s="13"/>
      <c r="C1202" s="12"/>
      <c r="D1202" s="13"/>
      <c r="E1202" s="24"/>
      <c r="F1202" s="12"/>
      <c r="G1202" s="25"/>
      <c r="H1202" s="14" t="str">
        <f aca="false">IF(OR($D1202="",$B1202=""),"",INT(($B1202-$D1202)/365.25))</f>
        <v/>
      </c>
      <c r="I1202" s="25"/>
      <c r="J1202" s="12"/>
      <c r="K1202" s="12"/>
      <c r="L1202" s="14" t="str">
        <f aca="false">IF(OR($C1202="",$D1202="",$B1202=""),"",IF(COUNTIFS($C$5:$C$1504,$C1202,$D$5:$D$1504,$D1202,$B$5:$B$1504,$B1202)&gt;1,"Takror",""))</f>
        <v/>
      </c>
    </row>
    <row r="1203" customFormat="false" ht="15" hidden="false" customHeight="false" outlineLevel="0" collapsed="false">
      <c r="A1203" s="8" t="n">
        <v>1199</v>
      </c>
      <c r="B1203" s="13"/>
      <c r="C1203" s="12"/>
      <c r="D1203" s="13"/>
      <c r="E1203" s="24"/>
      <c r="F1203" s="12"/>
      <c r="G1203" s="25"/>
      <c r="H1203" s="14" t="str">
        <f aca="false">IF(OR($D1203="",$B1203=""),"",INT(($B1203-$D1203)/365.25))</f>
        <v/>
      </c>
      <c r="I1203" s="25"/>
      <c r="J1203" s="12"/>
      <c r="K1203" s="12"/>
      <c r="L1203" s="14" t="str">
        <f aca="false">IF(OR($C1203="",$D1203="",$B1203=""),"",IF(COUNTIFS($C$5:$C$1504,$C1203,$D$5:$D$1504,$D1203,$B$5:$B$1504,$B1203)&gt;1,"Takror",""))</f>
        <v/>
      </c>
    </row>
    <row r="1204" customFormat="false" ht="15" hidden="false" customHeight="false" outlineLevel="0" collapsed="false">
      <c r="A1204" s="8" t="n">
        <v>1200</v>
      </c>
      <c r="B1204" s="13"/>
      <c r="C1204" s="12"/>
      <c r="D1204" s="13"/>
      <c r="E1204" s="24"/>
      <c r="F1204" s="12"/>
      <c r="G1204" s="25"/>
      <c r="H1204" s="14" t="str">
        <f aca="false">IF(OR($D1204="",$B1204=""),"",INT(($B1204-$D1204)/365.25))</f>
        <v/>
      </c>
      <c r="I1204" s="25"/>
      <c r="J1204" s="12"/>
      <c r="K1204" s="12"/>
      <c r="L1204" s="14" t="str">
        <f aca="false">IF(OR($C1204="",$D1204="",$B1204=""),"",IF(COUNTIFS($C$5:$C$1504,$C1204,$D$5:$D$1504,$D1204,$B$5:$B$1504,$B1204)&gt;1,"Takror",""))</f>
        <v/>
      </c>
    </row>
    <row r="1205" customFormat="false" ht="15" hidden="false" customHeight="false" outlineLevel="0" collapsed="false">
      <c r="A1205" s="8" t="n">
        <v>1201</v>
      </c>
      <c r="B1205" s="13"/>
      <c r="C1205" s="12"/>
      <c r="D1205" s="13"/>
      <c r="E1205" s="24"/>
      <c r="F1205" s="12"/>
      <c r="G1205" s="25"/>
      <c r="H1205" s="14" t="str">
        <f aca="false">IF(OR($D1205="",$B1205=""),"",INT(($B1205-$D1205)/365.25))</f>
        <v/>
      </c>
      <c r="I1205" s="25"/>
      <c r="J1205" s="12"/>
      <c r="K1205" s="12"/>
      <c r="L1205" s="14" t="str">
        <f aca="false">IF(OR($C1205="",$D1205="",$B1205=""),"",IF(COUNTIFS($C$5:$C$1504,$C1205,$D$5:$D$1504,$D1205,$B$5:$B$1504,$B1205)&gt;1,"Takror",""))</f>
        <v/>
      </c>
    </row>
    <row r="1206" customFormat="false" ht="15" hidden="false" customHeight="false" outlineLevel="0" collapsed="false">
      <c r="A1206" s="8" t="n">
        <v>1202</v>
      </c>
      <c r="B1206" s="13"/>
      <c r="C1206" s="12"/>
      <c r="D1206" s="13"/>
      <c r="E1206" s="24"/>
      <c r="F1206" s="12"/>
      <c r="G1206" s="25"/>
      <c r="H1206" s="14" t="str">
        <f aca="false">IF(OR($D1206="",$B1206=""),"",INT(($B1206-$D1206)/365.25))</f>
        <v/>
      </c>
      <c r="I1206" s="25"/>
      <c r="J1206" s="12"/>
      <c r="K1206" s="12"/>
      <c r="L1206" s="14" t="str">
        <f aca="false">IF(OR($C1206="",$D1206="",$B1206=""),"",IF(COUNTIFS($C$5:$C$1504,$C1206,$D$5:$D$1504,$D1206,$B$5:$B$1504,$B1206)&gt;1,"Takror",""))</f>
        <v/>
      </c>
    </row>
    <row r="1207" customFormat="false" ht="15" hidden="false" customHeight="false" outlineLevel="0" collapsed="false">
      <c r="A1207" s="8" t="n">
        <v>1203</v>
      </c>
      <c r="B1207" s="13"/>
      <c r="C1207" s="12"/>
      <c r="D1207" s="13"/>
      <c r="E1207" s="24"/>
      <c r="F1207" s="12"/>
      <c r="G1207" s="25"/>
      <c r="H1207" s="14" t="str">
        <f aca="false">IF(OR($D1207="",$B1207=""),"",INT(($B1207-$D1207)/365.25))</f>
        <v/>
      </c>
      <c r="I1207" s="25"/>
      <c r="J1207" s="12"/>
      <c r="K1207" s="12"/>
      <c r="L1207" s="14" t="str">
        <f aca="false">IF(OR($C1207="",$D1207="",$B1207=""),"",IF(COUNTIFS($C$5:$C$1504,$C1207,$D$5:$D$1504,$D1207,$B$5:$B$1504,$B1207)&gt;1,"Takror",""))</f>
        <v/>
      </c>
    </row>
    <row r="1208" customFormat="false" ht="15" hidden="false" customHeight="false" outlineLevel="0" collapsed="false">
      <c r="A1208" s="8" t="n">
        <v>1204</v>
      </c>
      <c r="B1208" s="13"/>
      <c r="C1208" s="12"/>
      <c r="D1208" s="13"/>
      <c r="E1208" s="24"/>
      <c r="F1208" s="12"/>
      <c r="G1208" s="25"/>
      <c r="H1208" s="14" t="str">
        <f aca="false">IF(OR($D1208="",$B1208=""),"",INT(($B1208-$D1208)/365.25))</f>
        <v/>
      </c>
      <c r="I1208" s="25"/>
      <c r="J1208" s="12"/>
      <c r="K1208" s="12"/>
      <c r="L1208" s="14" t="str">
        <f aca="false">IF(OR($C1208="",$D1208="",$B1208=""),"",IF(COUNTIFS($C$5:$C$1504,$C1208,$D$5:$D$1504,$D1208,$B$5:$B$1504,$B1208)&gt;1,"Takror",""))</f>
        <v/>
      </c>
    </row>
    <row r="1209" customFormat="false" ht="15" hidden="false" customHeight="false" outlineLevel="0" collapsed="false">
      <c r="A1209" s="8" t="n">
        <v>1205</v>
      </c>
      <c r="B1209" s="13"/>
      <c r="C1209" s="12"/>
      <c r="D1209" s="13"/>
      <c r="E1209" s="24"/>
      <c r="F1209" s="12"/>
      <c r="G1209" s="25"/>
      <c r="H1209" s="14" t="str">
        <f aca="false">IF(OR($D1209="",$B1209=""),"",INT(($B1209-$D1209)/365.25))</f>
        <v/>
      </c>
      <c r="I1209" s="25"/>
      <c r="J1209" s="12"/>
      <c r="K1209" s="12"/>
      <c r="L1209" s="14" t="str">
        <f aca="false">IF(OR($C1209="",$D1209="",$B1209=""),"",IF(COUNTIFS($C$5:$C$1504,$C1209,$D$5:$D$1504,$D1209,$B$5:$B$1504,$B1209)&gt;1,"Takror",""))</f>
        <v/>
      </c>
    </row>
    <row r="1210" customFormat="false" ht="15" hidden="false" customHeight="false" outlineLevel="0" collapsed="false">
      <c r="A1210" s="8" t="n">
        <v>1206</v>
      </c>
      <c r="B1210" s="13"/>
      <c r="C1210" s="12"/>
      <c r="D1210" s="13"/>
      <c r="E1210" s="24"/>
      <c r="F1210" s="12"/>
      <c r="G1210" s="25"/>
      <c r="H1210" s="14" t="str">
        <f aca="false">IF(OR($D1210="",$B1210=""),"",INT(($B1210-$D1210)/365.25))</f>
        <v/>
      </c>
      <c r="I1210" s="25"/>
      <c r="J1210" s="12"/>
      <c r="K1210" s="12"/>
      <c r="L1210" s="14" t="str">
        <f aca="false">IF(OR($C1210="",$D1210="",$B1210=""),"",IF(COUNTIFS($C$5:$C$1504,$C1210,$D$5:$D$1504,$D1210,$B$5:$B$1504,$B1210)&gt;1,"Takror",""))</f>
        <v/>
      </c>
    </row>
    <row r="1211" customFormat="false" ht="15" hidden="false" customHeight="false" outlineLevel="0" collapsed="false">
      <c r="A1211" s="8" t="n">
        <v>1207</v>
      </c>
      <c r="B1211" s="13"/>
      <c r="C1211" s="12"/>
      <c r="D1211" s="13"/>
      <c r="E1211" s="24"/>
      <c r="F1211" s="12"/>
      <c r="G1211" s="25"/>
      <c r="H1211" s="14" t="str">
        <f aca="false">IF(OR($D1211="",$B1211=""),"",INT(($B1211-$D1211)/365.25))</f>
        <v/>
      </c>
      <c r="I1211" s="25"/>
      <c r="J1211" s="12"/>
      <c r="K1211" s="12"/>
      <c r="L1211" s="14" t="str">
        <f aca="false">IF(OR($C1211="",$D1211="",$B1211=""),"",IF(COUNTIFS($C$5:$C$1504,$C1211,$D$5:$D$1504,$D1211,$B$5:$B$1504,$B1211)&gt;1,"Takror",""))</f>
        <v/>
      </c>
    </row>
    <row r="1212" customFormat="false" ht="15" hidden="false" customHeight="false" outlineLevel="0" collapsed="false">
      <c r="A1212" s="8" t="n">
        <v>1208</v>
      </c>
      <c r="B1212" s="13"/>
      <c r="C1212" s="12"/>
      <c r="D1212" s="13"/>
      <c r="E1212" s="24"/>
      <c r="F1212" s="12"/>
      <c r="G1212" s="25"/>
      <c r="H1212" s="14" t="str">
        <f aca="false">IF(OR($D1212="",$B1212=""),"",INT(($B1212-$D1212)/365.25))</f>
        <v/>
      </c>
      <c r="I1212" s="25"/>
      <c r="J1212" s="12"/>
      <c r="K1212" s="12"/>
      <c r="L1212" s="14" t="str">
        <f aca="false">IF(OR($C1212="",$D1212="",$B1212=""),"",IF(COUNTIFS($C$5:$C$1504,$C1212,$D$5:$D$1504,$D1212,$B$5:$B$1504,$B1212)&gt;1,"Takror",""))</f>
        <v/>
      </c>
    </row>
    <row r="1213" customFormat="false" ht="15" hidden="false" customHeight="false" outlineLevel="0" collapsed="false">
      <c r="A1213" s="8" t="n">
        <v>1209</v>
      </c>
      <c r="B1213" s="13"/>
      <c r="C1213" s="12"/>
      <c r="D1213" s="13"/>
      <c r="E1213" s="24"/>
      <c r="F1213" s="12"/>
      <c r="G1213" s="25"/>
      <c r="H1213" s="14" t="str">
        <f aca="false">IF(OR($D1213="",$B1213=""),"",INT(($B1213-$D1213)/365.25))</f>
        <v/>
      </c>
      <c r="I1213" s="25"/>
      <c r="J1213" s="12"/>
      <c r="K1213" s="12"/>
      <c r="L1213" s="14" t="str">
        <f aca="false">IF(OR($C1213="",$D1213="",$B1213=""),"",IF(COUNTIFS($C$5:$C$1504,$C1213,$D$5:$D$1504,$D1213,$B$5:$B$1504,$B1213)&gt;1,"Takror",""))</f>
        <v/>
      </c>
    </row>
    <row r="1214" customFormat="false" ht="15" hidden="false" customHeight="false" outlineLevel="0" collapsed="false">
      <c r="A1214" s="8" t="n">
        <v>1210</v>
      </c>
      <c r="B1214" s="13"/>
      <c r="C1214" s="12"/>
      <c r="D1214" s="13"/>
      <c r="E1214" s="24"/>
      <c r="F1214" s="12"/>
      <c r="G1214" s="25"/>
      <c r="H1214" s="14" t="str">
        <f aca="false">IF(OR($D1214="",$B1214=""),"",INT(($B1214-$D1214)/365.25))</f>
        <v/>
      </c>
      <c r="I1214" s="25"/>
      <c r="J1214" s="12"/>
      <c r="K1214" s="12"/>
      <c r="L1214" s="14" t="str">
        <f aca="false">IF(OR($C1214="",$D1214="",$B1214=""),"",IF(COUNTIFS($C$5:$C$1504,$C1214,$D$5:$D$1504,$D1214,$B$5:$B$1504,$B1214)&gt;1,"Takror",""))</f>
        <v/>
      </c>
    </row>
    <row r="1215" customFormat="false" ht="15" hidden="false" customHeight="false" outlineLevel="0" collapsed="false">
      <c r="A1215" s="8" t="n">
        <v>1211</v>
      </c>
      <c r="B1215" s="13"/>
      <c r="C1215" s="12"/>
      <c r="D1215" s="13"/>
      <c r="E1215" s="24"/>
      <c r="F1215" s="12"/>
      <c r="G1215" s="25"/>
      <c r="H1215" s="14" t="str">
        <f aca="false">IF(OR($D1215="",$B1215=""),"",INT(($B1215-$D1215)/365.25))</f>
        <v/>
      </c>
      <c r="I1215" s="25"/>
      <c r="J1215" s="12"/>
      <c r="K1215" s="12"/>
      <c r="L1215" s="14" t="str">
        <f aca="false">IF(OR($C1215="",$D1215="",$B1215=""),"",IF(COUNTIFS($C$5:$C$1504,$C1215,$D$5:$D$1504,$D1215,$B$5:$B$1504,$B1215)&gt;1,"Takror",""))</f>
        <v/>
      </c>
    </row>
    <row r="1216" customFormat="false" ht="15" hidden="false" customHeight="false" outlineLevel="0" collapsed="false">
      <c r="A1216" s="8" t="n">
        <v>1212</v>
      </c>
      <c r="B1216" s="13"/>
      <c r="C1216" s="12"/>
      <c r="D1216" s="13"/>
      <c r="E1216" s="24"/>
      <c r="F1216" s="12"/>
      <c r="G1216" s="25"/>
      <c r="H1216" s="14" t="str">
        <f aca="false">IF(OR($D1216="",$B1216=""),"",INT(($B1216-$D1216)/365.25))</f>
        <v/>
      </c>
      <c r="I1216" s="25"/>
      <c r="J1216" s="12"/>
      <c r="K1216" s="12"/>
      <c r="L1216" s="14" t="str">
        <f aca="false">IF(OR($C1216="",$D1216="",$B1216=""),"",IF(COUNTIFS($C$5:$C$1504,$C1216,$D$5:$D$1504,$D1216,$B$5:$B$1504,$B1216)&gt;1,"Takror",""))</f>
        <v/>
      </c>
    </row>
    <row r="1217" customFormat="false" ht="15" hidden="false" customHeight="false" outlineLevel="0" collapsed="false">
      <c r="A1217" s="8" t="n">
        <v>1213</v>
      </c>
      <c r="B1217" s="13"/>
      <c r="C1217" s="12"/>
      <c r="D1217" s="13"/>
      <c r="E1217" s="24"/>
      <c r="F1217" s="12"/>
      <c r="G1217" s="25"/>
      <c r="H1217" s="14" t="str">
        <f aca="false">IF(OR($D1217="",$B1217=""),"",INT(($B1217-$D1217)/365.25))</f>
        <v/>
      </c>
      <c r="I1217" s="25"/>
      <c r="J1217" s="12"/>
      <c r="K1217" s="12"/>
      <c r="L1217" s="14" t="str">
        <f aca="false">IF(OR($C1217="",$D1217="",$B1217=""),"",IF(COUNTIFS($C$5:$C$1504,$C1217,$D$5:$D$1504,$D1217,$B$5:$B$1504,$B1217)&gt;1,"Takror",""))</f>
        <v/>
      </c>
    </row>
    <row r="1218" customFormat="false" ht="15" hidden="false" customHeight="false" outlineLevel="0" collapsed="false">
      <c r="A1218" s="8" t="n">
        <v>1214</v>
      </c>
      <c r="B1218" s="13"/>
      <c r="C1218" s="12"/>
      <c r="D1218" s="13"/>
      <c r="E1218" s="24"/>
      <c r="F1218" s="12"/>
      <c r="G1218" s="25"/>
      <c r="H1218" s="14" t="str">
        <f aca="false">IF(OR($D1218="",$B1218=""),"",INT(($B1218-$D1218)/365.25))</f>
        <v/>
      </c>
      <c r="I1218" s="25"/>
      <c r="J1218" s="12"/>
      <c r="K1218" s="12"/>
      <c r="L1218" s="14" t="str">
        <f aca="false">IF(OR($C1218="",$D1218="",$B1218=""),"",IF(COUNTIFS($C$5:$C$1504,$C1218,$D$5:$D$1504,$D1218,$B$5:$B$1504,$B1218)&gt;1,"Takror",""))</f>
        <v/>
      </c>
    </row>
    <row r="1219" customFormat="false" ht="15" hidden="false" customHeight="false" outlineLevel="0" collapsed="false">
      <c r="A1219" s="8" t="n">
        <v>1215</v>
      </c>
      <c r="B1219" s="13"/>
      <c r="C1219" s="12"/>
      <c r="D1219" s="13"/>
      <c r="E1219" s="24"/>
      <c r="F1219" s="12"/>
      <c r="G1219" s="25"/>
      <c r="H1219" s="14" t="str">
        <f aca="false">IF(OR($D1219="",$B1219=""),"",INT(($B1219-$D1219)/365.25))</f>
        <v/>
      </c>
      <c r="I1219" s="25"/>
      <c r="J1219" s="12"/>
      <c r="K1219" s="12"/>
      <c r="L1219" s="14" t="str">
        <f aca="false">IF(OR($C1219="",$D1219="",$B1219=""),"",IF(COUNTIFS($C$5:$C$1504,$C1219,$D$5:$D$1504,$D1219,$B$5:$B$1504,$B1219)&gt;1,"Takror",""))</f>
        <v/>
      </c>
    </row>
    <row r="1220" customFormat="false" ht="15" hidden="false" customHeight="false" outlineLevel="0" collapsed="false">
      <c r="A1220" s="8" t="n">
        <v>1216</v>
      </c>
      <c r="B1220" s="13"/>
      <c r="C1220" s="12"/>
      <c r="D1220" s="13"/>
      <c r="E1220" s="24"/>
      <c r="F1220" s="12"/>
      <c r="G1220" s="25"/>
      <c r="H1220" s="14" t="str">
        <f aca="false">IF(OR($D1220="",$B1220=""),"",INT(($B1220-$D1220)/365.25))</f>
        <v/>
      </c>
      <c r="I1220" s="25"/>
      <c r="J1220" s="12"/>
      <c r="K1220" s="12"/>
      <c r="L1220" s="14" t="str">
        <f aca="false">IF(OR($C1220="",$D1220="",$B1220=""),"",IF(COUNTIFS($C$5:$C$1504,$C1220,$D$5:$D$1504,$D1220,$B$5:$B$1504,$B1220)&gt;1,"Takror",""))</f>
        <v/>
      </c>
    </row>
    <row r="1221" customFormat="false" ht="15" hidden="false" customHeight="false" outlineLevel="0" collapsed="false">
      <c r="A1221" s="8" t="n">
        <v>1217</v>
      </c>
      <c r="B1221" s="13"/>
      <c r="C1221" s="12"/>
      <c r="D1221" s="13"/>
      <c r="E1221" s="24"/>
      <c r="F1221" s="12"/>
      <c r="G1221" s="25"/>
      <c r="H1221" s="14" t="str">
        <f aca="false">IF(OR($D1221="",$B1221=""),"",INT(($B1221-$D1221)/365.25))</f>
        <v/>
      </c>
      <c r="I1221" s="25"/>
      <c r="J1221" s="12"/>
      <c r="K1221" s="12"/>
      <c r="L1221" s="14" t="str">
        <f aca="false">IF(OR($C1221="",$D1221="",$B1221=""),"",IF(COUNTIFS($C$5:$C$1504,$C1221,$D$5:$D$1504,$D1221,$B$5:$B$1504,$B1221)&gt;1,"Takror",""))</f>
        <v/>
      </c>
    </row>
    <row r="1222" customFormat="false" ht="15" hidden="false" customHeight="false" outlineLevel="0" collapsed="false">
      <c r="A1222" s="8" t="n">
        <v>1218</v>
      </c>
      <c r="B1222" s="13"/>
      <c r="C1222" s="12"/>
      <c r="D1222" s="13"/>
      <c r="E1222" s="24"/>
      <c r="F1222" s="12"/>
      <c r="G1222" s="25"/>
      <c r="H1222" s="14" t="str">
        <f aca="false">IF(OR($D1222="",$B1222=""),"",INT(($B1222-$D1222)/365.25))</f>
        <v/>
      </c>
      <c r="I1222" s="25"/>
      <c r="J1222" s="12"/>
      <c r="K1222" s="12"/>
      <c r="L1222" s="14" t="str">
        <f aca="false">IF(OR($C1222="",$D1222="",$B1222=""),"",IF(COUNTIFS($C$5:$C$1504,$C1222,$D$5:$D$1504,$D1222,$B$5:$B$1504,$B1222)&gt;1,"Takror",""))</f>
        <v/>
      </c>
    </row>
    <row r="1223" customFormat="false" ht="15" hidden="false" customHeight="false" outlineLevel="0" collapsed="false">
      <c r="A1223" s="8" t="n">
        <v>1219</v>
      </c>
      <c r="B1223" s="13"/>
      <c r="C1223" s="12"/>
      <c r="D1223" s="13"/>
      <c r="E1223" s="24"/>
      <c r="F1223" s="12"/>
      <c r="G1223" s="25"/>
      <c r="H1223" s="14" t="str">
        <f aca="false">IF(OR($D1223="",$B1223=""),"",INT(($B1223-$D1223)/365.25))</f>
        <v/>
      </c>
      <c r="I1223" s="25"/>
      <c r="J1223" s="12"/>
      <c r="K1223" s="12"/>
      <c r="L1223" s="14" t="str">
        <f aca="false">IF(OR($C1223="",$D1223="",$B1223=""),"",IF(COUNTIFS($C$5:$C$1504,$C1223,$D$5:$D$1504,$D1223,$B$5:$B$1504,$B1223)&gt;1,"Takror",""))</f>
        <v/>
      </c>
    </row>
    <row r="1224" customFormat="false" ht="15" hidden="false" customHeight="false" outlineLevel="0" collapsed="false">
      <c r="A1224" s="8" t="n">
        <v>1220</v>
      </c>
      <c r="B1224" s="13"/>
      <c r="C1224" s="12"/>
      <c r="D1224" s="13"/>
      <c r="E1224" s="24"/>
      <c r="F1224" s="12"/>
      <c r="G1224" s="25"/>
      <c r="H1224" s="14" t="str">
        <f aca="false">IF(OR($D1224="",$B1224=""),"",INT(($B1224-$D1224)/365.25))</f>
        <v/>
      </c>
      <c r="I1224" s="25"/>
      <c r="J1224" s="12"/>
      <c r="K1224" s="12"/>
      <c r="L1224" s="14" t="str">
        <f aca="false">IF(OR($C1224="",$D1224="",$B1224=""),"",IF(COUNTIFS($C$5:$C$1504,$C1224,$D$5:$D$1504,$D1224,$B$5:$B$1504,$B1224)&gt;1,"Takror",""))</f>
        <v/>
      </c>
    </row>
    <row r="1225" customFormat="false" ht="15" hidden="false" customHeight="false" outlineLevel="0" collapsed="false">
      <c r="A1225" s="8" t="n">
        <v>1221</v>
      </c>
      <c r="B1225" s="13"/>
      <c r="C1225" s="12"/>
      <c r="D1225" s="13"/>
      <c r="E1225" s="24"/>
      <c r="F1225" s="12"/>
      <c r="G1225" s="25"/>
      <c r="H1225" s="14" t="str">
        <f aca="false">IF(OR($D1225="",$B1225=""),"",INT(($B1225-$D1225)/365.25))</f>
        <v/>
      </c>
      <c r="I1225" s="25"/>
      <c r="J1225" s="12"/>
      <c r="K1225" s="12"/>
      <c r="L1225" s="14" t="str">
        <f aca="false">IF(OR($C1225="",$D1225="",$B1225=""),"",IF(COUNTIFS($C$5:$C$1504,$C1225,$D$5:$D$1504,$D1225,$B$5:$B$1504,$B1225)&gt;1,"Takror",""))</f>
        <v/>
      </c>
    </row>
    <row r="1226" customFormat="false" ht="15" hidden="false" customHeight="false" outlineLevel="0" collapsed="false">
      <c r="A1226" s="8" t="n">
        <v>1222</v>
      </c>
      <c r="B1226" s="13"/>
      <c r="C1226" s="12"/>
      <c r="D1226" s="13"/>
      <c r="E1226" s="24"/>
      <c r="F1226" s="12"/>
      <c r="G1226" s="25"/>
      <c r="H1226" s="14" t="str">
        <f aca="false">IF(OR($D1226="",$B1226=""),"",INT(($B1226-$D1226)/365.25))</f>
        <v/>
      </c>
      <c r="I1226" s="25"/>
      <c r="J1226" s="12"/>
      <c r="K1226" s="12"/>
      <c r="L1226" s="14" t="str">
        <f aca="false">IF(OR($C1226="",$D1226="",$B1226=""),"",IF(COUNTIFS($C$5:$C$1504,$C1226,$D$5:$D$1504,$D1226,$B$5:$B$1504,$B1226)&gt;1,"Takror",""))</f>
        <v/>
      </c>
    </row>
    <row r="1227" customFormat="false" ht="15" hidden="false" customHeight="false" outlineLevel="0" collapsed="false">
      <c r="A1227" s="8" t="n">
        <v>1223</v>
      </c>
      <c r="B1227" s="13"/>
      <c r="C1227" s="12"/>
      <c r="D1227" s="13"/>
      <c r="E1227" s="24"/>
      <c r="F1227" s="12"/>
      <c r="G1227" s="25"/>
      <c r="H1227" s="14" t="str">
        <f aca="false">IF(OR($D1227="",$B1227=""),"",INT(($B1227-$D1227)/365.25))</f>
        <v/>
      </c>
      <c r="I1227" s="25"/>
      <c r="J1227" s="12"/>
      <c r="K1227" s="12"/>
      <c r="L1227" s="14" t="str">
        <f aca="false">IF(OR($C1227="",$D1227="",$B1227=""),"",IF(COUNTIFS($C$5:$C$1504,$C1227,$D$5:$D$1504,$D1227,$B$5:$B$1504,$B1227)&gt;1,"Takror",""))</f>
        <v/>
      </c>
    </row>
    <row r="1228" customFormat="false" ht="15" hidden="false" customHeight="false" outlineLevel="0" collapsed="false">
      <c r="A1228" s="8" t="n">
        <v>1224</v>
      </c>
      <c r="B1228" s="13"/>
      <c r="C1228" s="12"/>
      <c r="D1228" s="13"/>
      <c r="E1228" s="24"/>
      <c r="F1228" s="12"/>
      <c r="G1228" s="25"/>
      <c r="H1228" s="14" t="str">
        <f aca="false">IF(OR($D1228="",$B1228=""),"",INT(($B1228-$D1228)/365.25))</f>
        <v/>
      </c>
      <c r="I1228" s="25"/>
      <c r="J1228" s="12"/>
      <c r="K1228" s="12"/>
      <c r="L1228" s="14" t="str">
        <f aca="false">IF(OR($C1228="",$D1228="",$B1228=""),"",IF(COUNTIFS($C$5:$C$1504,$C1228,$D$5:$D$1504,$D1228,$B$5:$B$1504,$B1228)&gt;1,"Takror",""))</f>
        <v/>
      </c>
    </row>
    <row r="1229" customFormat="false" ht="15" hidden="false" customHeight="false" outlineLevel="0" collapsed="false">
      <c r="A1229" s="8" t="n">
        <v>1225</v>
      </c>
      <c r="B1229" s="13"/>
      <c r="C1229" s="12"/>
      <c r="D1229" s="13"/>
      <c r="E1229" s="24"/>
      <c r="F1229" s="12"/>
      <c r="G1229" s="25"/>
      <c r="H1229" s="14" t="str">
        <f aca="false">IF(OR($D1229="",$B1229=""),"",INT(($B1229-$D1229)/365.25))</f>
        <v/>
      </c>
      <c r="I1229" s="25"/>
      <c r="J1229" s="12"/>
      <c r="K1229" s="12"/>
      <c r="L1229" s="14" t="str">
        <f aca="false">IF(OR($C1229="",$D1229="",$B1229=""),"",IF(COUNTIFS($C$5:$C$1504,$C1229,$D$5:$D$1504,$D1229,$B$5:$B$1504,$B1229)&gt;1,"Takror",""))</f>
        <v/>
      </c>
    </row>
    <row r="1230" customFormat="false" ht="15" hidden="false" customHeight="false" outlineLevel="0" collapsed="false">
      <c r="A1230" s="8" t="n">
        <v>1226</v>
      </c>
      <c r="B1230" s="13"/>
      <c r="C1230" s="12"/>
      <c r="D1230" s="13"/>
      <c r="E1230" s="24"/>
      <c r="F1230" s="12"/>
      <c r="G1230" s="25"/>
      <c r="H1230" s="14" t="str">
        <f aca="false">IF(OR($D1230="",$B1230=""),"",INT(($B1230-$D1230)/365.25))</f>
        <v/>
      </c>
      <c r="I1230" s="25"/>
      <c r="J1230" s="12"/>
      <c r="K1230" s="12"/>
      <c r="L1230" s="14" t="str">
        <f aca="false">IF(OR($C1230="",$D1230="",$B1230=""),"",IF(COUNTIFS($C$5:$C$1504,$C1230,$D$5:$D$1504,$D1230,$B$5:$B$1504,$B1230)&gt;1,"Takror",""))</f>
        <v/>
      </c>
    </row>
    <row r="1231" customFormat="false" ht="15" hidden="false" customHeight="false" outlineLevel="0" collapsed="false">
      <c r="A1231" s="8" t="n">
        <v>1227</v>
      </c>
      <c r="B1231" s="13"/>
      <c r="C1231" s="12"/>
      <c r="D1231" s="13"/>
      <c r="E1231" s="24"/>
      <c r="F1231" s="12"/>
      <c r="G1231" s="25"/>
      <c r="H1231" s="14" t="str">
        <f aca="false">IF(OR($D1231="",$B1231=""),"",INT(($B1231-$D1231)/365.25))</f>
        <v/>
      </c>
      <c r="I1231" s="25"/>
      <c r="J1231" s="12"/>
      <c r="K1231" s="12"/>
      <c r="L1231" s="14" t="str">
        <f aca="false">IF(OR($C1231="",$D1231="",$B1231=""),"",IF(COUNTIFS($C$5:$C$1504,$C1231,$D$5:$D$1504,$D1231,$B$5:$B$1504,$B1231)&gt;1,"Takror",""))</f>
        <v/>
      </c>
    </row>
    <row r="1232" customFormat="false" ht="15" hidden="false" customHeight="false" outlineLevel="0" collapsed="false">
      <c r="A1232" s="8" t="n">
        <v>1228</v>
      </c>
      <c r="B1232" s="13"/>
      <c r="C1232" s="12"/>
      <c r="D1232" s="13"/>
      <c r="E1232" s="24"/>
      <c r="F1232" s="12"/>
      <c r="G1232" s="25"/>
      <c r="H1232" s="14" t="str">
        <f aca="false">IF(OR($D1232="",$B1232=""),"",INT(($B1232-$D1232)/365.25))</f>
        <v/>
      </c>
      <c r="I1232" s="25"/>
      <c r="J1232" s="12"/>
      <c r="K1232" s="12"/>
      <c r="L1232" s="14" t="str">
        <f aca="false">IF(OR($C1232="",$D1232="",$B1232=""),"",IF(COUNTIFS($C$5:$C$1504,$C1232,$D$5:$D$1504,$D1232,$B$5:$B$1504,$B1232)&gt;1,"Takror",""))</f>
        <v/>
      </c>
    </row>
    <row r="1233" customFormat="false" ht="15" hidden="false" customHeight="false" outlineLevel="0" collapsed="false">
      <c r="A1233" s="8" t="n">
        <v>1229</v>
      </c>
      <c r="B1233" s="13"/>
      <c r="C1233" s="12"/>
      <c r="D1233" s="13"/>
      <c r="E1233" s="24"/>
      <c r="F1233" s="12"/>
      <c r="G1233" s="25"/>
      <c r="H1233" s="14" t="str">
        <f aca="false">IF(OR($D1233="",$B1233=""),"",INT(($B1233-$D1233)/365.25))</f>
        <v/>
      </c>
      <c r="I1233" s="25"/>
      <c r="J1233" s="12"/>
      <c r="K1233" s="12"/>
      <c r="L1233" s="14" t="str">
        <f aca="false">IF(OR($C1233="",$D1233="",$B1233=""),"",IF(COUNTIFS($C$5:$C$1504,$C1233,$D$5:$D$1504,$D1233,$B$5:$B$1504,$B1233)&gt;1,"Takror",""))</f>
        <v/>
      </c>
    </row>
    <row r="1234" customFormat="false" ht="15" hidden="false" customHeight="false" outlineLevel="0" collapsed="false">
      <c r="A1234" s="8" t="n">
        <v>1230</v>
      </c>
      <c r="B1234" s="13"/>
      <c r="C1234" s="12"/>
      <c r="D1234" s="13"/>
      <c r="E1234" s="24"/>
      <c r="F1234" s="12"/>
      <c r="G1234" s="25"/>
      <c r="H1234" s="14" t="str">
        <f aca="false">IF(OR($D1234="",$B1234=""),"",INT(($B1234-$D1234)/365.25))</f>
        <v/>
      </c>
      <c r="I1234" s="25"/>
      <c r="J1234" s="12"/>
      <c r="K1234" s="12"/>
      <c r="L1234" s="14" t="str">
        <f aca="false">IF(OR($C1234="",$D1234="",$B1234=""),"",IF(COUNTIFS($C$5:$C$1504,$C1234,$D$5:$D$1504,$D1234,$B$5:$B$1504,$B1234)&gt;1,"Takror",""))</f>
        <v/>
      </c>
    </row>
    <row r="1235" customFormat="false" ht="15" hidden="false" customHeight="false" outlineLevel="0" collapsed="false">
      <c r="A1235" s="8" t="n">
        <v>1231</v>
      </c>
      <c r="B1235" s="13"/>
      <c r="C1235" s="12"/>
      <c r="D1235" s="13"/>
      <c r="E1235" s="24"/>
      <c r="F1235" s="12"/>
      <c r="G1235" s="25"/>
      <c r="H1235" s="14" t="str">
        <f aca="false">IF(OR($D1235="",$B1235=""),"",INT(($B1235-$D1235)/365.25))</f>
        <v/>
      </c>
      <c r="I1235" s="25"/>
      <c r="J1235" s="12"/>
      <c r="K1235" s="12"/>
      <c r="L1235" s="14" t="str">
        <f aca="false">IF(OR($C1235="",$D1235="",$B1235=""),"",IF(COUNTIFS($C$5:$C$1504,$C1235,$D$5:$D$1504,$D1235,$B$5:$B$1504,$B1235)&gt;1,"Takror",""))</f>
        <v/>
      </c>
    </row>
    <row r="1236" customFormat="false" ht="15" hidden="false" customHeight="false" outlineLevel="0" collapsed="false">
      <c r="A1236" s="8" t="n">
        <v>1232</v>
      </c>
      <c r="B1236" s="13"/>
      <c r="C1236" s="12"/>
      <c r="D1236" s="13"/>
      <c r="E1236" s="24"/>
      <c r="F1236" s="12"/>
      <c r="G1236" s="25"/>
      <c r="H1236" s="14" t="str">
        <f aca="false">IF(OR($D1236="",$B1236=""),"",INT(($B1236-$D1236)/365.25))</f>
        <v/>
      </c>
      <c r="I1236" s="25"/>
      <c r="J1236" s="12"/>
      <c r="K1236" s="12"/>
      <c r="L1236" s="14" t="str">
        <f aca="false">IF(OR($C1236="",$D1236="",$B1236=""),"",IF(COUNTIFS($C$5:$C$1504,$C1236,$D$5:$D$1504,$D1236,$B$5:$B$1504,$B1236)&gt;1,"Takror",""))</f>
        <v/>
      </c>
    </row>
    <row r="1237" customFormat="false" ht="15" hidden="false" customHeight="false" outlineLevel="0" collapsed="false">
      <c r="A1237" s="8" t="n">
        <v>1233</v>
      </c>
      <c r="B1237" s="13"/>
      <c r="C1237" s="12"/>
      <c r="D1237" s="13"/>
      <c r="E1237" s="24"/>
      <c r="F1237" s="12"/>
      <c r="G1237" s="25"/>
      <c r="H1237" s="14" t="str">
        <f aca="false">IF(OR($D1237="",$B1237=""),"",INT(($B1237-$D1237)/365.25))</f>
        <v/>
      </c>
      <c r="I1237" s="25"/>
      <c r="J1237" s="12"/>
      <c r="K1237" s="12"/>
      <c r="L1237" s="14" t="str">
        <f aca="false">IF(OR($C1237="",$D1237="",$B1237=""),"",IF(COUNTIFS($C$5:$C$1504,$C1237,$D$5:$D$1504,$D1237,$B$5:$B$1504,$B1237)&gt;1,"Takror",""))</f>
        <v/>
      </c>
    </row>
    <row r="1238" customFormat="false" ht="15" hidden="false" customHeight="false" outlineLevel="0" collapsed="false">
      <c r="A1238" s="8" t="n">
        <v>1234</v>
      </c>
      <c r="B1238" s="13"/>
      <c r="C1238" s="12"/>
      <c r="D1238" s="13"/>
      <c r="E1238" s="24"/>
      <c r="F1238" s="12"/>
      <c r="G1238" s="25"/>
      <c r="H1238" s="14" t="str">
        <f aca="false">IF(OR($D1238="",$B1238=""),"",INT(($B1238-$D1238)/365.25))</f>
        <v/>
      </c>
      <c r="I1238" s="25"/>
      <c r="J1238" s="12"/>
      <c r="K1238" s="12"/>
      <c r="L1238" s="14" t="str">
        <f aca="false">IF(OR($C1238="",$D1238="",$B1238=""),"",IF(COUNTIFS($C$5:$C$1504,$C1238,$D$5:$D$1504,$D1238,$B$5:$B$1504,$B1238)&gt;1,"Takror",""))</f>
        <v/>
      </c>
    </row>
    <row r="1239" customFormat="false" ht="15" hidden="false" customHeight="false" outlineLevel="0" collapsed="false">
      <c r="A1239" s="8" t="n">
        <v>1235</v>
      </c>
      <c r="B1239" s="13"/>
      <c r="C1239" s="12"/>
      <c r="D1239" s="13"/>
      <c r="E1239" s="24"/>
      <c r="F1239" s="12"/>
      <c r="G1239" s="25"/>
      <c r="H1239" s="14" t="str">
        <f aca="false">IF(OR($D1239="",$B1239=""),"",INT(($B1239-$D1239)/365.25))</f>
        <v/>
      </c>
      <c r="I1239" s="25"/>
      <c r="J1239" s="12"/>
      <c r="K1239" s="12"/>
      <c r="L1239" s="14" t="str">
        <f aca="false">IF(OR($C1239="",$D1239="",$B1239=""),"",IF(COUNTIFS($C$5:$C$1504,$C1239,$D$5:$D$1504,$D1239,$B$5:$B$1504,$B1239)&gt;1,"Takror",""))</f>
        <v/>
      </c>
    </row>
    <row r="1240" customFormat="false" ht="15" hidden="false" customHeight="false" outlineLevel="0" collapsed="false">
      <c r="A1240" s="8" t="n">
        <v>1236</v>
      </c>
      <c r="B1240" s="13"/>
      <c r="C1240" s="12"/>
      <c r="D1240" s="13"/>
      <c r="E1240" s="24"/>
      <c r="F1240" s="12"/>
      <c r="G1240" s="25"/>
      <c r="H1240" s="14" t="str">
        <f aca="false">IF(OR($D1240="",$B1240=""),"",INT(($B1240-$D1240)/365.25))</f>
        <v/>
      </c>
      <c r="I1240" s="25"/>
      <c r="J1240" s="12"/>
      <c r="K1240" s="12"/>
      <c r="L1240" s="14" t="str">
        <f aca="false">IF(OR($C1240="",$D1240="",$B1240=""),"",IF(COUNTIFS($C$5:$C$1504,$C1240,$D$5:$D$1504,$D1240,$B$5:$B$1504,$B1240)&gt;1,"Takror",""))</f>
        <v/>
      </c>
    </row>
    <row r="1241" customFormat="false" ht="15" hidden="false" customHeight="false" outlineLevel="0" collapsed="false">
      <c r="A1241" s="8" t="n">
        <v>1237</v>
      </c>
      <c r="B1241" s="13"/>
      <c r="C1241" s="12"/>
      <c r="D1241" s="13"/>
      <c r="E1241" s="24"/>
      <c r="F1241" s="12"/>
      <c r="G1241" s="25"/>
      <c r="H1241" s="14" t="str">
        <f aca="false">IF(OR($D1241="",$B1241=""),"",INT(($B1241-$D1241)/365.25))</f>
        <v/>
      </c>
      <c r="I1241" s="25"/>
      <c r="J1241" s="12"/>
      <c r="K1241" s="12"/>
      <c r="L1241" s="14" t="str">
        <f aca="false">IF(OR($C1241="",$D1241="",$B1241=""),"",IF(COUNTIFS($C$5:$C$1504,$C1241,$D$5:$D$1504,$D1241,$B$5:$B$1504,$B1241)&gt;1,"Takror",""))</f>
        <v/>
      </c>
    </row>
    <row r="1242" customFormat="false" ht="15" hidden="false" customHeight="false" outlineLevel="0" collapsed="false">
      <c r="A1242" s="8" t="n">
        <v>1238</v>
      </c>
      <c r="B1242" s="13"/>
      <c r="C1242" s="12"/>
      <c r="D1242" s="13"/>
      <c r="E1242" s="24"/>
      <c r="F1242" s="12"/>
      <c r="G1242" s="25"/>
      <c r="H1242" s="14" t="str">
        <f aca="false">IF(OR($D1242="",$B1242=""),"",INT(($B1242-$D1242)/365.25))</f>
        <v/>
      </c>
      <c r="I1242" s="25"/>
      <c r="J1242" s="12"/>
      <c r="K1242" s="12"/>
      <c r="L1242" s="14" t="str">
        <f aca="false">IF(OR($C1242="",$D1242="",$B1242=""),"",IF(COUNTIFS($C$5:$C$1504,$C1242,$D$5:$D$1504,$D1242,$B$5:$B$1504,$B1242)&gt;1,"Takror",""))</f>
        <v/>
      </c>
    </row>
    <row r="1243" customFormat="false" ht="15" hidden="false" customHeight="false" outlineLevel="0" collapsed="false">
      <c r="A1243" s="8" t="n">
        <v>1239</v>
      </c>
      <c r="B1243" s="13"/>
      <c r="C1243" s="12"/>
      <c r="D1243" s="13"/>
      <c r="E1243" s="24"/>
      <c r="F1243" s="12"/>
      <c r="G1243" s="25"/>
      <c r="H1243" s="14" t="str">
        <f aca="false">IF(OR($D1243="",$B1243=""),"",INT(($B1243-$D1243)/365.25))</f>
        <v/>
      </c>
      <c r="I1243" s="25"/>
      <c r="J1243" s="12"/>
      <c r="K1243" s="12"/>
      <c r="L1243" s="14" t="str">
        <f aca="false">IF(OR($C1243="",$D1243="",$B1243=""),"",IF(COUNTIFS($C$5:$C$1504,$C1243,$D$5:$D$1504,$D1243,$B$5:$B$1504,$B1243)&gt;1,"Takror",""))</f>
        <v/>
      </c>
    </row>
    <row r="1244" customFormat="false" ht="15" hidden="false" customHeight="false" outlineLevel="0" collapsed="false">
      <c r="A1244" s="8" t="n">
        <v>1240</v>
      </c>
      <c r="B1244" s="13"/>
      <c r="C1244" s="12"/>
      <c r="D1244" s="13"/>
      <c r="E1244" s="24"/>
      <c r="F1244" s="12"/>
      <c r="G1244" s="25"/>
      <c r="H1244" s="14" t="str">
        <f aca="false">IF(OR($D1244="",$B1244=""),"",INT(($B1244-$D1244)/365.25))</f>
        <v/>
      </c>
      <c r="I1244" s="25"/>
      <c r="J1244" s="12"/>
      <c r="K1244" s="12"/>
      <c r="L1244" s="14" t="str">
        <f aca="false">IF(OR($C1244="",$D1244="",$B1244=""),"",IF(COUNTIFS($C$5:$C$1504,$C1244,$D$5:$D$1504,$D1244,$B$5:$B$1504,$B1244)&gt;1,"Takror",""))</f>
        <v/>
      </c>
    </row>
    <row r="1245" customFormat="false" ht="15" hidden="false" customHeight="false" outlineLevel="0" collapsed="false">
      <c r="A1245" s="8" t="n">
        <v>1241</v>
      </c>
      <c r="B1245" s="13"/>
      <c r="C1245" s="12"/>
      <c r="D1245" s="13"/>
      <c r="E1245" s="24"/>
      <c r="F1245" s="12"/>
      <c r="G1245" s="25"/>
      <c r="H1245" s="14" t="str">
        <f aca="false">IF(OR($D1245="",$B1245=""),"",INT(($B1245-$D1245)/365.25))</f>
        <v/>
      </c>
      <c r="I1245" s="25"/>
      <c r="J1245" s="12"/>
      <c r="K1245" s="12"/>
      <c r="L1245" s="14" t="str">
        <f aca="false">IF(OR($C1245="",$D1245="",$B1245=""),"",IF(COUNTIFS($C$5:$C$1504,$C1245,$D$5:$D$1504,$D1245,$B$5:$B$1504,$B1245)&gt;1,"Takror",""))</f>
        <v/>
      </c>
    </row>
    <row r="1246" customFormat="false" ht="15" hidden="false" customHeight="false" outlineLevel="0" collapsed="false">
      <c r="A1246" s="8" t="n">
        <v>1242</v>
      </c>
      <c r="B1246" s="13"/>
      <c r="C1246" s="12"/>
      <c r="D1246" s="13"/>
      <c r="E1246" s="24"/>
      <c r="F1246" s="12"/>
      <c r="G1246" s="25"/>
      <c r="H1246" s="14" t="str">
        <f aca="false">IF(OR($D1246="",$B1246=""),"",INT(($B1246-$D1246)/365.25))</f>
        <v/>
      </c>
      <c r="I1246" s="25"/>
      <c r="J1246" s="12"/>
      <c r="K1246" s="12"/>
      <c r="L1246" s="14" t="str">
        <f aca="false">IF(OR($C1246="",$D1246="",$B1246=""),"",IF(COUNTIFS($C$5:$C$1504,$C1246,$D$5:$D$1504,$D1246,$B$5:$B$1504,$B1246)&gt;1,"Takror",""))</f>
        <v/>
      </c>
    </row>
    <row r="1247" customFormat="false" ht="15" hidden="false" customHeight="false" outlineLevel="0" collapsed="false">
      <c r="A1247" s="8" t="n">
        <v>1243</v>
      </c>
      <c r="B1247" s="13"/>
      <c r="C1247" s="12"/>
      <c r="D1247" s="13"/>
      <c r="E1247" s="24"/>
      <c r="F1247" s="12"/>
      <c r="G1247" s="25"/>
      <c r="H1247" s="14" t="str">
        <f aca="false">IF(OR($D1247="",$B1247=""),"",INT(($B1247-$D1247)/365.25))</f>
        <v/>
      </c>
      <c r="I1247" s="25"/>
      <c r="J1247" s="12"/>
      <c r="K1247" s="12"/>
      <c r="L1247" s="14" t="str">
        <f aca="false">IF(OR($C1247="",$D1247="",$B1247=""),"",IF(COUNTIFS($C$5:$C$1504,$C1247,$D$5:$D$1504,$D1247,$B$5:$B$1504,$B1247)&gt;1,"Takror",""))</f>
        <v/>
      </c>
    </row>
    <row r="1248" customFormat="false" ht="15" hidden="false" customHeight="false" outlineLevel="0" collapsed="false">
      <c r="A1248" s="8" t="n">
        <v>1244</v>
      </c>
      <c r="B1248" s="13"/>
      <c r="C1248" s="12"/>
      <c r="D1248" s="13"/>
      <c r="E1248" s="24"/>
      <c r="F1248" s="12"/>
      <c r="G1248" s="25"/>
      <c r="H1248" s="14" t="str">
        <f aca="false">IF(OR($D1248="",$B1248=""),"",INT(($B1248-$D1248)/365.25))</f>
        <v/>
      </c>
      <c r="I1248" s="25"/>
      <c r="J1248" s="12"/>
      <c r="K1248" s="12"/>
      <c r="L1248" s="14" t="str">
        <f aca="false">IF(OR($C1248="",$D1248="",$B1248=""),"",IF(COUNTIFS($C$5:$C$1504,$C1248,$D$5:$D$1504,$D1248,$B$5:$B$1504,$B1248)&gt;1,"Takror",""))</f>
        <v/>
      </c>
    </row>
    <row r="1249" customFormat="false" ht="15" hidden="false" customHeight="false" outlineLevel="0" collapsed="false">
      <c r="A1249" s="8" t="n">
        <v>1245</v>
      </c>
      <c r="B1249" s="13"/>
      <c r="C1249" s="12"/>
      <c r="D1249" s="13"/>
      <c r="E1249" s="24"/>
      <c r="F1249" s="12"/>
      <c r="G1249" s="25"/>
      <c r="H1249" s="14" t="str">
        <f aca="false">IF(OR($D1249="",$B1249=""),"",INT(($B1249-$D1249)/365.25))</f>
        <v/>
      </c>
      <c r="I1249" s="25"/>
      <c r="J1249" s="12"/>
      <c r="K1249" s="12"/>
      <c r="L1249" s="14" t="str">
        <f aca="false">IF(OR($C1249="",$D1249="",$B1249=""),"",IF(COUNTIFS($C$5:$C$1504,$C1249,$D$5:$D$1504,$D1249,$B$5:$B$1504,$B1249)&gt;1,"Takror",""))</f>
        <v/>
      </c>
    </row>
    <row r="1250" customFormat="false" ht="15" hidden="false" customHeight="false" outlineLevel="0" collapsed="false">
      <c r="A1250" s="8" t="n">
        <v>1246</v>
      </c>
      <c r="B1250" s="13"/>
      <c r="C1250" s="12"/>
      <c r="D1250" s="13"/>
      <c r="E1250" s="24"/>
      <c r="F1250" s="12"/>
      <c r="G1250" s="25"/>
      <c r="H1250" s="14" t="str">
        <f aca="false">IF(OR($D1250="",$B1250=""),"",INT(($B1250-$D1250)/365.25))</f>
        <v/>
      </c>
      <c r="I1250" s="25"/>
      <c r="J1250" s="12"/>
      <c r="K1250" s="12"/>
      <c r="L1250" s="14" t="str">
        <f aca="false">IF(OR($C1250="",$D1250="",$B1250=""),"",IF(COUNTIFS($C$5:$C$1504,$C1250,$D$5:$D$1504,$D1250,$B$5:$B$1504,$B1250)&gt;1,"Takror",""))</f>
        <v/>
      </c>
    </row>
    <row r="1251" customFormat="false" ht="15" hidden="false" customHeight="false" outlineLevel="0" collapsed="false">
      <c r="A1251" s="8" t="n">
        <v>1247</v>
      </c>
      <c r="B1251" s="13"/>
      <c r="C1251" s="12"/>
      <c r="D1251" s="13"/>
      <c r="E1251" s="24"/>
      <c r="F1251" s="12"/>
      <c r="G1251" s="25"/>
      <c r="H1251" s="14" t="str">
        <f aca="false">IF(OR($D1251="",$B1251=""),"",INT(($B1251-$D1251)/365.25))</f>
        <v/>
      </c>
      <c r="I1251" s="25"/>
      <c r="J1251" s="12"/>
      <c r="K1251" s="12"/>
      <c r="L1251" s="14" t="str">
        <f aca="false">IF(OR($C1251="",$D1251="",$B1251=""),"",IF(COUNTIFS($C$5:$C$1504,$C1251,$D$5:$D$1504,$D1251,$B$5:$B$1504,$B1251)&gt;1,"Takror",""))</f>
        <v/>
      </c>
    </row>
    <row r="1252" customFormat="false" ht="15" hidden="false" customHeight="false" outlineLevel="0" collapsed="false">
      <c r="A1252" s="8" t="n">
        <v>1248</v>
      </c>
      <c r="B1252" s="13"/>
      <c r="C1252" s="12"/>
      <c r="D1252" s="13"/>
      <c r="E1252" s="24"/>
      <c r="F1252" s="12"/>
      <c r="G1252" s="25"/>
      <c r="H1252" s="14" t="str">
        <f aca="false">IF(OR($D1252="",$B1252=""),"",INT(($B1252-$D1252)/365.25))</f>
        <v/>
      </c>
      <c r="I1252" s="25"/>
      <c r="J1252" s="12"/>
      <c r="K1252" s="12"/>
      <c r="L1252" s="14" t="str">
        <f aca="false">IF(OR($C1252="",$D1252="",$B1252=""),"",IF(COUNTIFS($C$5:$C$1504,$C1252,$D$5:$D$1504,$D1252,$B$5:$B$1504,$B1252)&gt;1,"Takror",""))</f>
        <v/>
      </c>
    </row>
    <row r="1253" customFormat="false" ht="15" hidden="false" customHeight="false" outlineLevel="0" collapsed="false">
      <c r="A1253" s="8" t="n">
        <v>1249</v>
      </c>
      <c r="B1253" s="13"/>
      <c r="C1253" s="12"/>
      <c r="D1253" s="13"/>
      <c r="E1253" s="24"/>
      <c r="F1253" s="12"/>
      <c r="G1253" s="25"/>
      <c r="H1253" s="14" t="str">
        <f aca="false">IF(OR($D1253="",$B1253=""),"",INT(($B1253-$D1253)/365.25))</f>
        <v/>
      </c>
      <c r="I1253" s="25"/>
      <c r="J1253" s="12"/>
      <c r="K1253" s="12"/>
      <c r="L1253" s="14" t="str">
        <f aca="false">IF(OR($C1253="",$D1253="",$B1253=""),"",IF(COUNTIFS($C$5:$C$1504,$C1253,$D$5:$D$1504,$D1253,$B$5:$B$1504,$B1253)&gt;1,"Takror",""))</f>
        <v/>
      </c>
    </row>
    <row r="1254" customFormat="false" ht="15" hidden="false" customHeight="false" outlineLevel="0" collapsed="false">
      <c r="A1254" s="8" t="n">
        <v>1250</v>
      </c>
      <c r="B1254" s="13"/>
      <c r="C1254" s="12"/>
      <c r="D1254" s="13"/>
      <c r="E1254" s="24"/>
      <c r="F1254" s="12"/>
      <c r="G1254" s="25"/>
      <c r="H1254" s="14" t="str">
        <f aca="false">IF(OR($D1254="",$B1254=""),"",INT(($B1254-$D1254)/365.25))</f>
        <v/>
      </c>
      <c r="I1254" s="25"/>
      <c r="J1254" s="12"/>
      <c r="K1254" s="12"/>
      <c r="L1254" s="14" t="str">
        <f aca="false">IF(OR($C1254="",$D1254="",$B1254=""),"",IF(COUNTIFS($C$5:$C$1504,$C1254,$D$5:$D$1504,$D1254,$B$5:$B$1504,$B1254)&gt;1,"Takror",""))</f>
        <v/>
      </c>
    </row>
    <row r="1255" customFormat="false" ht="15" hidden="false" customHeight="false" outlineLevel="0" collapsed="false">
      <c r="A1255" s="8" t="n">
        <v>1251</v>
      </c>
      <c r="B1255" s="13"/>
      <c r="C1255" s="12"/>
      <c r="D1255" s="13"/>
      <c r="E1255" s="24"/>
      <c r="F1255" s="12"/>
      <c r="G1255" s="25"/>
      <c r="H1255" s="14" t="str">
        <f aca="false">IF(OR($D1255="",$B1255=""),"",INT(($B1255-$D1255)/365.25))</f>
        <v/>
      </c>
      <c r="I1255" s="25"/>
      <c r="J1255" s="12"/>
      <c r="K1255" s="12"/>
      <c r="L1255" s="14" t="str">
        <f aca="false">IF(OR($C1255="",$D1255="",$B1255=""),"",IF(COUNTIFS($C$5:$C$1504,$C1255,$D$5:$D$1504,$D1255,$B$5:$B$1504,$B1255)&gt;1,"Takror",""))</f>
        <v/>
      </c>
    </row>
    <row r="1256" customFormat="false" ht="15" hidden="false" customHeight="false" outlineLevel="0" collapsed="false">
      <c r="A1256" s="8" t="n">
        <v>1252</v>
      </c>
      <c r="B1256" s="13"/>
      <c r="C1256" s="12"/>
      <c r="D1256" s="13"/>
      <c r="E1256" s="24"/>
      <c r="F1256" s="12"/>
      <c r="G1256" s="25"/>
      <c r="H1256" s="14" t="str">
        <f aca="false">IF(OR($D1256="",$B1256=""),"",INT(($B1256-$D1256)/365.25))</f>
        <v/>
      </c>
      <c r="I1256" s="25"/>
      <c r="J1256" s="12"/>
      <c r="K1256" s="12"/>
      <c r="L1256" s="14" t="str">
        <f aca="false">IF(OR($C1256="",$D1256="",$B1256=""),"",IF(COUNTIFS($C$5:$C$1504,$C1256,$D$5:$D$1504,$D1256,$B$5:$B$1504,$B1256)&gt;1,"Takror",""))</f>
        <v/>
      </c>
    </row>
    <row r="1257" customFormat="false" ht="15" hidden="false" customHeight="false" outlineLevel="0" collapsed="false">
      <c r="A1257" s="8" t="n">
        <v>1253</v>
      </c>
      <c r="B1257" s="13"/>
      <c r="C1257" s="12"/>
      <c r="D1257" s="13"/>
      <c r="E1257" s="24"/>
      <c r="F1257" s="12"/>
      <c r="G1257" s="25"/>
      <c r="H1257" s="14" t="str">
        <f aca="false">IF(OR($D1257="",$B1257=""),"",INT(($B1257-$D1257)/365.25))</f>
        <v/>
      </c>
      <c r="I1257" s="25"/>
      <c r="J1257" s="12"/>
      <c r="K1257" s="12"/>
      <c r="L1257" s="14" t="str">
        <f aca="false">IF(OR($C1257="",$D1257="",$B1257=""),"",IF(COUNTIFS($C$5:$C$1504,$C1257,$D$5:$D$1504,$D1257,$B$5:$B$1504,$B1257)&gt;1,"Takror",""))</f>
        <v/>
      </c>
    </row>
    <row r="1258" customFormat="false" ht="15" hidden="false" customHeight="false" outlineLevel="0" collapsed="false">
      <c r="A1258" s="8" t="n">
        <v>1254</v>
      </c>
      <c r="B1258" s="13"/>
      <c r="C1258" s="12"/>
      <c r="D1258" s="13"/>
      <c r="E1258" s="24"/>
      <c r="F1258" s="12"/>
      <c r="G1258" s="25"/>
      <c r="H1258" s="14" t="str">
        <f aca="false">IF(OR($D1258="",$B1258=""),"",INT(($B1258-$D1258)/365.25))</f>
        <v/>
      </c>
      <c r="I1258" s="25"/>
      <c r="J1258" s="12"/>
      <c r="K1258" s="12"/>
      <c r="L1258" s="14" t="str">
        <f aca="false">IF(OR($C1258="",$D1258="",$B1258=""),"",IF(COUNTIFS($C$5:$C$1504,$C1258,$D$5:$D$1504,$D1258,$B$5:$B$1504,$B1258)&gt;1,"Takror",""))</f>
        <v/>
      </c>
    </row>
    <row r="1259" customFormat="false" ht="15" hidden="false" customHeight="false" outlineLevel="0" collapsed="false">
      <c r="A1259" s="8" t="n">
        <v>1255</v>
      </c>
      <c r="B1259" s="13"/>
      <c r="C1259" s="12"/>
      <c r="D1259" s="13"/>
      <c r="E1259" s="24"/>
      <c r="F1259" s="12"/>
      <c r="G1259" s="25"/>
      <c r="H1259" s="14" t="str">
        <f aca="false">IF(OR($D1259="",$B1259=""),"",INT(($B1259-$D1259)/365.25))</f>
        <v/>
      </c>
      <c r="I1259" s="25"/>
      <c r="J1259" s="12"/>
      <c r="K1259" s="12"/>
      <c r="L1259" s="14" t="str">
        <f aca="false">IF(OR($C1259="",$D1259="",$B1259=""),"",IF(COUNTIFS($C$5:$C$1504,$C1259,$D$5:$D$1504,$D1259,$B$5:$B$1504,$B1259)&gt;1,"Takror",""))</f>
        <v/>
      </c>
    </row>
    <row r="1260" customFormat="false" ht="15" hidden="false" customHeight="false" outlineLevel="0" collapsed="false">
      <c r="A1260" s="8" t="n">
        <v>1256</v>
      </c>
      <c r="B1260" s="13"/>
      <c r="C1260" s="12"/>
      <c r="D1260" s="13"/>
      <c r="E1260" s="24"/>
      <c r="F1260" s="12"/>
      <c r="G1260" s="25"/>
      <c r="H1260" s="14" t="str">
        <f aca="false">IF(OR($D1260="",$B1260=""),"",INT(($B1260-$D1260)/365.25))</f>
        <v/>
      </c>
      <c r="I1260" s="25"/>
      <c r="J1260" s="12"/>
      <c r="K1260" s="12"/>
      <c r="L1260" s="14" t="str">
        <f aca="false">IF(OR($C1260="",$D1260="",$B1260=""),"",IF(COUNTIFS($C$5:$C$1504,$C1260,$D$5:$D$1504,$D1260,$B$5:$B$1504,$B1260)&gt;1,"Takror",""))</f>
        <v/>
      </c>
    </row>
    <row r="1261" customFormat="false" ht="15" hidden="false" customHeight="false" outlineLevel="0" collapsed="false">
      <c r="A1261" s="8" t="n">
        <v>1257</v>
      </c>
      <c r="B1261" s="13"/>
      <c r="C1261" s="12"/>
      <c r="D1261" s="13"/>
      <c r="E1261" s="24"/>
      <c r="F1261" s="12"/>
      <c r="G1261" s="25"/>
      <c r="H1261" s="14" t="str">
        <f aca="false">IF(OR($D1261="",$B1261=""),"",INT(($B1261-$D1261)/365.25))</f>
        <v/>
      </c>
      <c r="I1261" s="25"/>
      <c r="J1261" s="12"/>
      <c r="K1261" s="12"/>
      <c r="L1261" s="14" t="str">
        <f aca="false">IF(OR($C1261="",$D1261="",$B1261=""),"",IF(COUNTIFS($C$5:$C$1504,$C1261,$D$5:$D$1504,$D1261,$B$5:$B$1504,$B1261)&gt;1,"Takror",""))</f>
        <v/>
      </c>
    </row>
    <row r="1262" customFormat="false" ht="15" hidden="false" customHeight="false" outlineLevel="0" collapsed="false">
      <c r="A1262" s="8" t="n">
        <v>1258</v>
      </c>
      <c r="B1262" s="13"/>
      <c r="C1262" s="12"/>
      <c r="D1262" s="13"/>
      <c r="E1262" s="24"/>
      <c r="F1262" s="12"/>
      <c r="G1262" s="25"/>
      <c r="H1262" s="14" t="str">
        <f aca="false">IF(OR($D1262="",$B1262=""),"",INT(($B1262-$D1262)/365.25))</f>
        <v/>
      </c>
      <c r="I1262" s="25"/>
      <c r="J1262" s="12"/>
      <c r="K1262" s="12"/>
      <c r="L1262" s="14" t="str">
        <f aca="false">IF(OR($C1262="",$D1262="",$B1262=""),"",IF(COUNTIFS($C$5:$C$1504,$C1262,$D$5:$D$1504,$D1262,$B$5:$B$1504,$B1262)&gt;1,"Takror",""))</f>
        <v/>
      </c>
    </row>
    <row r="1263" customFormat="false" ht="15" hidden="false" customHeight="false" outlineLevel="0" collapsed="false">
      <c r="A1263" s="8" t="n">
        <v>1259</v>
      </c>
      <c r="B1263" s="13"/>
      <c r="C1263" s="12"/>
      <c r="D1263" s="13"/>
      <c r="E1263" s="24"/>
      <c r="F1263" s="12"/>
      <c r="G1263" s="25"/>
      <c r="H1263" s="14" t="str">
        <f aca="false">IF(OR($D1263="",$B1263=""),"",INT(($B1263-$D1263)/365.25))</f>
        <v/>
      </c>
      <c r="I1263" s="25"/>
      <c r="J1263" s="12"/>
      <c r="K1263" s="12"/>
      <c r="L1263" s="14" t="str">
        <f aca="false">IF(OR($C1263="",$D1263="",$B1263=""),"",IF(COUNTIFS($C$5:$C$1504,$C1263,$D$5:$D$1504,$D1263,$B$5:$B$1504,$B1263)&gt;1,"Takror",""))</f>
        <v/>
      </c>
    </row>
    <row r="1264" customFormat="false" ht="15" hidden="false" customHeight="false" outlineLevel="0" collapsed="false">
      <c r="A1264" s="8" t="n">
        <v>1260</v>
      </c>
      <c r="B1264" s="13"/>
      <c r="C1264" s="12"/>
      <c r="D1264" s="13"/>
      <c r="E1264" s="24"/>
      <c r="F1264" s="12"/>
      <c r="G1264" s="25"/>
      <c r="H1264" s="14" t="str">
        <f aca="false">IF(OR($D1264="",$B1264=""),"",INT(($B1264-$D1264)/365.25))</f>
        <v/>
      </c>
      <c r="I1264" s="25"/>
      <c r="J1264" s="12"/>
      <c r="K1264" s="12"/>
      <c r="L1264" s="14" t="str">
        <f aca="false">IF(OR($C1264="",$D1264="",$B1264=""),"",IF(COUNTIFS($C$5:$C$1504,$C1264,$D$5:$D$1504,$D1264,$B$5:$B$1504,$B1264)&gt;1,"Takror",""))</f>
        <v/>
      </c>
    </row>
    <row r="1265" customFormat="false" ht="15" hidden="false" customHeight="false" outlineLevel="0" collapsed="false">
      <c r="A1265" s="8" t="n">
        <v>1261</v>
      </c>
      <c r="B1265" s="13"/>
      <c r="C1265" s="12"/>
      <c r="D1265" s="13"/>
      <c r="E1265" s="24"/>
      <c r="F1265" s="12"/>
      <c r="G1265" s="25"/>
      <c r="H1265" s="14" t="str">
        <f aca="false">IF(OR($D1265="",$B1265=""),"",INT(($B1265-$D1265)/365.25))</f>
        <v/>
      </c>
      <c r="I1265" s="25"/>
      <c r="J1265" s="12"/>
      <c r="K1265" s="12"/>
      <c r="L1265" s="14" t="str">
        <f aca="false">IF(OR($C1265="",$D1265="",$B1265=""),"",IF(COUNTIFS($C$5:$C$1504,$C1265,$D$5:$D$1504,$D1265,$B$5:$B$1504,$B1265)&gt;1,"Takror",""))</f>
        <v/>
      </c>
    </row>
    <row r="1266" customFormat="false" ht="15" hidden="false" customHeight="false" outlineLevel="0" collapsed="false">
      <c r="A1266" s="8" t="n">
        <v>1262</v>
      </c>
      <c r="B1266" s="13"/>
      <c r="C1266" s="12"/>
      <c r="D1266" s="13"/>
      <c r="E1266" s="24"/>
      <c r="F1266" s="12"/>
      <c r="G1266" s="25"/>
      <c r="H1266" s="14" t="str">
        <f aca="false">IF(OR($D1266="",$B1266=""),"",INT(($B1266-$D1266)/365.25))</f>
        <v/>
      </c>
      <c r="I1266" s="25"/>
      <c r="J1266" s="12"/>
      <c r="K1266" s="12"/>
      <c r="L1266" s="14" t="str">
        <f aca="false">IF(OR($C1266="",$D1266="",$B1266=""),"",IF(COUNTIFS($C$5:$C$1504,$C1266,$D$5:$D$1504,$D1266,$B$5:$B$1504,$B1266)&gt;1,"Takror",""))</f>
        <v/>
      </c>
    </row>
    <row r="1267" customFormat="false" ht="15" hidden="false" customHeight="false" outlineLevel="0" collapsed="false">
      <c r="A1267" s="8" t="n">
        <v>1263</v>
      </c>
      <c r="B1267" s="13"/>
      <c r="C1267" s="12"/>
      <c r="D1267" s="13"/>
      <c r="E1267" s="24"/>
      <c r="F1267" s="12"/>
      <c r="G1267" s="25"/>
      <c r="H1267" s="14" t="str">
        <f aca="false">IF(OR($D1267="",$B1267=""),"",INT(($B1267-$D1267)/365.25))</f>
        <v/>
      </c>
      <c r="I1267" s="25"/>
      <c r="J1267" s="12"/>
      <c r="K1267" s="12"/>
      <c r="L1267" s="14" t="str">
        <f aca="false">IF(OR($C1267="",$D1267="",$B1267=""),"",IF(COUNTIFS($C$5:$C$1504,$C1267,$D$5:$D$1504,$D1267,$B$5:$B$1504,$B1267)&gt;1,"Takror",""))</f>
        <v/>
      </c>
    </row>
    <row r="1268" customFormat="false" ht="15" hidden="false" customHeight="false" outlineLevel="0" collapsed="false">
      <c r="A1268" s="8" t="n">
        <v>1264</v>
      </c>
      <c r="B1268" s="13"/>
      <c r="C1268" s="12"/>
      <c r="D1268" s="13"/>
      <c r="E1268" s="24"/>
      <c r="F1268" s="12"/>
      <c r="G1268" s="25"/>
      <c r="H1268" s="14" t="str">
        <f aca="false">IF(OR($D1268="",$B1268=""),"",INT(($B1268-$D1268)/365.25))</f>
        <v/>
      </c>
      <c r="I1268" s="25"/>
      <c r="J1268" s="12"/>
      <c r="K1268" s="12"/>
      <c r="L1268" s="14" t="str">
        <f aca="false">IF(OR($C1268="",$D1268="",$B1268=""),"",IF(COUNTIFS($C$5:$C$1504,$C1268,$D$5:$D$1504,$D1268,$B$5:$B$1504,$B1268)&gt;1,"Takror",""))</f>
        <v/>
      </c>
    </row>
    <row r="1269" customFormat="false" ht="15" hidden="false" customHeight="false" outlineLevel="0" collapsed="false">
      <c r="A1269" s="8" t="n">
        <v>1265</v>
      </c>
      <c r="B1269" s="13"/>
      <c r="C1269" s="12"/>
      <c r="D1269" s="13"/>
      <c r="E1269" s="24"/>
      <c r="F1269" s="12"/>
      <c r="G1269" s="25"/>
      <c r="H1269" s="14" t="str">
        <f aca="false">IF(OR($D1269="",$B1269=""),"",INT(($B1269-$D1269)/365.25))</f>
        <v/>
      </c>
      <c r="I1269" s="25"/>
      <c r="J1269" s="12"/>
      <c r="K1269" s="12"/>
      <c r="L1269" s="14" t="str">
        <f aca="false">IF(OR($C1269="",$D1269="",$B1269=""),"",IF(COUNTIFS($C$5:$C$1504,$C1269,$D$5:$D$1504,$D1269,$B$5:$B$1504,$B1269)&gt;1,"Takror",""))</f>
        <v/>
      </c>
    </row>
    <row r="1270" customFormat="false" ht="15" hidden="false" customHeight="false" outlineLevel="0" collapsed="false">
      <c r="A1270" s="8" t="n">
        <v>1266</v>
      </c>
      <c r="B1270" s="13"/>
      <c r="C1270" s="12"/>
      <c r="D1270" s="13"/>
      <c r="E1270" s="24"/>
      <c r="F1270" s="12"/>
      <c r="G1270" s="25"/>
      <c r="H1270" s="14" t="str">
        <f aca="false">IF(OR($D1270="",$B1270=""),"",INT(($B1270-$D1270)/365.25))</f>
        <v/>
      </c>
      <c r="I1270" s="25"/>
      <c r="J1270" s="12"/>
      <c r="K1270" s="12"/>
      <c r="L1270" s="14" t="str">
        <f aca="false">IF(OR($C1270="",$D1270="",$B1270=""),"",IF(COUNTIFS($C$5:$C$1504,$C1270,$D$5:$D$1504,$D1270,$B$5:$B$1504,$B1270)&gt;1,"Takror",""))</f>
        <v/>
      </c>
    </row>
    <row r="1271" customFormat="false" ht="15" hidden="false" customHeight="false" outlineLevel="0" collapsed="false">
      <c r="A1271" s="8" t="n">
        <v>1267</v>
      </c>
      <c r="B1271" s="13"/>
      <c r="C1271" s="12"/>
      <c r="D1271" s="13"/>
      <c r="E1271" s="24"/>
      <c r="F1271" s="12"/>
      <c r="G1271" s="25"/>
      <c r="H1271" s="14" t="str">
        <f aca="false">IF(OR($D1271="",$B1271=""),"",INT(($B1271-$D1271)/365.25))</f>
        <v/>
      </c>
      <c r="I1271" s="25"/>
      <c r="J1271" s="12"/>
      <c r="K1271" s="12"/>
      <c r="L1271" s="14" t="str">
        <f aca="false">IF(OR($C1271="",$D1271="",$B1271=""),"",IF(COUNTIFS($C$5:$C$1504,$C1271,$D$5:$D$1504,$D1271,$B$5:$B$1504,$B1271)&gt;1,"Takror",""))</f>
        <v/>
      </c>
    </row>
    <row r="1272" customFormat="false" ht="15" hidden="false" customHeight="false" outlineLevel="0" collapsed="false">
      <c r="A1272" s="8" t="n">
        <v>1268</v>
      </c>
      <c r="B1272" s="13"/>
      <c r="C1272" s="12"/>
      <c r="D1272" s="13"/>
      <c r="E1272" s="24"/>
      <c r="F1272" s="12"/>
      <c r="G1272" s="25"/>
      <c r="H1272" s="14" t="str">
        <f aca="false">IF(OR($D1272="",$B1272=""),"",INT(($B1272-$D1272)/365.25))</f>
        <v/>
      </c>
      <c r="I1272" s="25"/>
      <c r="J1272" s="12"/>
      <c r="K1272" s="12"/>
      <c r="L1272" s="14" t="str">
        <f aca="false">IF(OR($C1272="",$D1272="",$B1272=""),"",IF(COUNTIFS($C$5:$C$1504,$C1272,$D$5:$D$1504,$D1272,$B$5:$B$1504,$B1272)&gt;1,"Takror",""))</f>
        <v/>
      </c>
    </row>
    <row r="1273" customFormat="false" ht="15" hidden="false" customHeight="false" outlineLevel="0" collapsed="false">
      <c r="A1273" s="8" t="n">
        <v>1269</v>
      </c>
      <c r="B1273" s="13"/>
      <c r="C1273" s="12"/>
      <c r="D1273" s="13"/>
      <c r="E1273" s="24"/>
      <c r="F1273" s="12"/>
      <c r="G1273" s="25"/>
      <c r="H1273" s="14" t="str">
        <f aca="false">IF(OR($D1273="",$B1273=""),"",INT(($B1273-$D1273)/365.25))</f>
        <v/>
      </c>
      <c r="I1273" s="25"/>
      <c r="J1273" s="12"/>
      <c r="K1273" s="12"/>
      <c r="L1273" s="14" t="str">
        <f aca="false">IF(OR($C1273="",$D1273="",$B1273=""),"",IF(COUNTIFS($C$5:$C$1504,$C1273,$D$5:$D$1504,$D1273,$B$5:$B$1504,$B1273)&gt;1,"Takror",""))</f>
        <v/>
      </c>
    </row>
    <row r="1274" customFormat="false" ht="15" hidden="false" customHeight="false" outlineLevel="0" collapsed="false">
      <c r="A1274" s="8" t="n">
        <v>1270</v>
      </c>
      <c r="B1274" s="13"/>
      <c r="C1274" s="12"/>
      <c r="D1274" s="13"/>
      <c r="E1274" s="24"/>
      <c r="F1274" s="12"/>
      <c r="G1274" s="25"/>
      <c r="H1274" s="14" t="str">
        <f aca="false">IF(OR($D1274="",$B1274=""),"",INT(($B1274-$D1274)/365.25))</f>
        <v/>
      </c>
      <c r="I1274" s="25"/>
      <c r="J1274" s="12"/>
      <c r="K1274" s="12"/>
      <c r="L1274" s="14" t="str">
        <f aca="false">IF(OR($C1274="",$D1274="",$B1274=""),"",IF(COUNTIFS($C$5:$C$1504,$C1274,$D$5:$D$1504,$D1274,$B$5:$B$1504,$B1274)&gt;1,"Takror",""))</f>
        <v/>
      </c>
    </row>
    <row r="1275" customFormat="false" ht="15" hidden="false" customHeight="false" outlineLevel="0" collapsed="false">
      <c r="A1275" s="8" t="n">
        <v>1271</v>
      </c>
      <c r="B1275" s="13"/>
      <c r="C1275" s="12"/>
      <c r="D1275" s="13"/>
      <c r="E1275" s="24"/>
      <c r="F1275" s="12"/>
      <c r="G1275" s="25"/>
      <c r="H1275" s="14" t="str">
        <f aca="false">IF(OR($D1275="",$B1275=""),"",INT(($B1275-$D1275)/365.25))</f>
        <v/>
      </c>
      <c r="I1275" s="25"/>
      <c r="J1275" s="12"/>
      <c r="K1275" s="12"/>
      <c r="L1275" s="14" t="str">
        <f aca="false">IF(OR($C1275="",$D1275="",$B1275=""),"",IF(COUNTIFS($C$5:$C$1504,$C1275,$D$5:$D$1504,$D1275,$B$5:$B$1504,$B1275)&gt;1,"Takror",""))</f>
        <v/>
      </c>
    </row>
    <row r="1276" customFormat="false" ht="15" hidden="false" customHeight="false" outlineLevel="0" collapsed="false">
      <c r="A1276" s="8" t="n">
        <v>1272</v>
      </c>
      <c r="B1276" s="13"/>
      <c r="C1276" s="12"/>
      <c r="D1276" s="13"/>
      <c r="E1276" s="24"/>
      <c r="F1276" s="12"/>
      <c r="G1276" s="25"/>
      <c r="H1276" s="14" t="str">
        <f aca="false">IF(OR($D1276="",$B1276=""),"",INT(($B1276-$D1276)/365.25))</f>
        <v/>
      </c>
      <c r="I1276" s="25"/>
      <c r="J1276" s="12"/>
      <c r="K1276" s="12"/>
      <c r="L1276" s="14" t="str">
        <f aca="false">IF(OR($C1276="",$D1276="",$B1276=""),"",IF(COUNTIFS($C$5:$C$1504,$C1276,$D$5:$D$1504,$D1276,$B$5:$B$1504,$B1276)&gt;1,"Takror",""))</f>
        <v/>
      </c>
    </row>
    <row r="1277" customFormat="false" ht="15" hidden="false" customHeight="false" outlineLevel="0" collapsed="false">
      <c r="A1277" s="8" t="n">
        <v>1273</v>
      </c>
      <c r="B1277" s="13"/>
      <c r="C1277" s="12"/>
      <c r="D1277" s="13"/>
      <c r="E1277" s="24"/>
      <c r="F1277" s="12"/>
      <c r="G1277" s="25"/>
      <c r="H1277" s="14" t="str">
        <f aca="false">IF(OR($D1277="",$B1277=""),"",INT(($B1277-$D1277)/365.25))</f>
        <v/>
      </c>
      <c r="I1277" s="25"/>
      <c r="J1277" s="12"/>
      <c r="K1277" s="12"/>
      <c r="L1277" s="14" t="str">
        <f aca="false">IF(OR($C1277="",$D1277="",$B1277=""),"",IF(COUNTIFS($C$5:$C$1504,$C1277,$D$5:$D$1504,$D1277,$B$5:$B$1504,$B1277)&gt;1,"Takror",""))</f>
        <v/>
      </c>
    </row>
    <row r="1278" customFormat="false" ht="15" hidden="false" customHeight="false" outlineLevel="0" collapsed="false">
      <c r="A1278" s="8" t="n">
        <v>1274</v>
      </c>
      <c r="B1278" s="13"/>
      <c r="C1278" s="12"/>
      <c r="D1278" s="13"/>
      <c r="E1278" s="24"/>
      <c r="F1278" s="12"/>
      <c r="G1278" s="25"/>
      <c r="H1278" s="14" t="str">
        <f aca="false">IF(OR($D1278="",$B1278=""),"",INT(($B1278-$D1278)/365.25))</f>
        <v/>
      </c>
      <c r="I1278" s="25"/>
      <c r="J1278" s="12"/>
      <c r="K1278" s="12"/>
      <c r="L1278" s="14" t="str">
        <f aca="false">IF(OR($C1278="",$D1278="",$B1278=""),"",IF(COUNTIFS($C$5:$C$1504,$C1278,$D$5:$D$1504,$D1278,$B$5:$B$1504,$B1278)&gt;1,"Takror",""))</f>
        <v/>
      </c>
    </row>
    <row r="1279" customFormat="false" ht="15" hidden="false" customHeight="false" outlineLevel="0" collapsed="false">
      <c r="A1279" s="8" t="n">
        <v>1275</v>
      </c>
      <c r="B1279" s="13"/>
      <c r="C1279" s="12"/>
      <c r="D1279" s="13"/>
      <c r="E1279" s="24"/>
      <c r="F1279" s="12"/>
      <c r="G1279" s="25"/>
      <c r="H1279" s="14" t="str">
        <f aca="false">IF(OR($D1279="",$B1279=""),"",INT(($B1279-$D1279)/365.25))</f>
        <v/>
      </c>
      <c r="I1279" s="25"/>
      <c r="J1279" s="12"/>
      <c r="K1279" s="12"/>
      <c r="L1279" s="14" t="str">
        <f aca="false">IF(OR($C1279="",$D1279="",$B1279=""),"",IF(COUNTIFS($C$5:$C$1504,$C1279,$D$5:$D$1504,$D1279,$B$5:$B$1504,$B1279)&gt;1,"Takror",""))</f>
        <v/>
      </c>
    </row>
    <row r="1280" customFormat="false" ht="15" hidden="false" customHeight="false" outlineLevel="0" collapsed="false">
      <c r="A1280" s="8" t="n">
        <v>1276</v>
      </c>
      <c r="B1280" s="13"/>
      <c r="C1280" s="12"/>
      <c r="D1280" s="13"/>
      <c r="E1280" s="24"/>
      <c r="F1280" s="12"/>
      <c r="G1280" s="25"/>
      <c r="H1280" s="14" t="str">
        <f aca="false">IF(OR($D1280="",$B1280=""),"",INT(($B1280-$D1280)/365.25))</f>
        <v/>
      </c>
      <c r="I1280" s="25"/>
      <c r="J1280" s="12"/>
      <c r="K1280" s="12"/>
      <c r="L1280" s="14" t="str">
        <f aca="false">IF(OR($C1280="",$D1280="",$B1280=""),"",IF(COUNTIFS($C$5:$C$1504,$C1280,$D$5:$D$1504,$D1280,$B$5:$B$1504,$B1280)&gt;1,"Takror",""))</f>
        <v/>
      </c>
    </row>
    <row r="1281" customFormat="false" ht="15" hidden="false" customHeight="false" outlineLevel="0" collapsed="false">
      <c r="A1281" s="8" t="n">
        <v>1277</v>
      </c>
      <c r="B1281" s="13"/>
      <c r="C1281" s="12"/>
      <c r="D1281" s="13"/>
      <c r="E1281" s="24"/>
      <c r="F1281" s="12"/>
      <c r="G1281" s="25"/>
      <c r="H1281" s="14" t="str">
        <f aca="false">IF(OR($D1281="",$B1281=""),"",INT(($B1281-$D1281)/365.25))</f>
        <v/>
      </c>
      <c r="I1281" s="25"/>
      <c r="J1281" s="12"/>
      <c r="K1281" s="12"/>
      <c r="L1281" s="14" t="str">
        <f aca="false">IF(OR($C1281="",$D1281="",$B1281=""),"",IF(COUNTIFS($C$5:$C$1504,$C1281,$D$5:$D$1504,$D1281,$B$5:$B$1504,$B1281)&gt;1,"Takror",""))</f>
        <v/>
      </c>
    </row>
    <row r="1282" customFormat="false" ht="15" hidden="false" customHeight="false" outlineLevel="0" collapsed="false">
      <c r="A1282" s="8" t="n">
        <v>1278</v>
      </c>
      <c r="B1282" s="13"/>
      <c r="C1282" s="12"/>
      <c r="D1282" s="13"/>
      <c r="E1282" s="24"/>
      <c r="F1282" s="12"/>
      <c r="G1282" s="25"/>
      <c r="H1282" s="14" t="str">
        <f aca="false">IF(OR($D1282="",$B1282=""),"",INT(($B1282-$D1282)/365.25))</f>
        <v/>
      </c>
      <c r="I1282" s="25"/>
      <c r="J1282" s="12"/>
      <c r="K1282" s="12"/>
      <c r="L1282" s="14" t="str">
        <f aca="false">IF(OR($C1282="",$D1282="",$B1282=""),"",IF(COUNTIFS($C$5:$C$1504,$C1282,$D$5:$D$1504,$D1282,$B$5:$B$1504,$B1282)&gt;1,"Takror",""))</f>
        <v/>
      </c>
    </row>
    <row r="1283" customFormat="false" ht="15" hidden="false" customHeight="false" outlineLevel="0" collapsed="false">
      <c r="A1283" s="8" t="n">
        <v>1279</v>
      </c>
      <c r="B1283" s="13"/>
      <c r="C1283" s="12"/>
      <c r="D1283" s="13"/>
      <c r="E1283" s="24"/>
      <c r="F1283" s="12"/>
      <c r="G1283" s="25"/>
      <c r="H1283" s="14" t="str">
        <f aca="false">IF(OR($D1283="",$B1283=""),"",INT(($B1283-$D1283)/365.25))</f>
        <v/>
      </c>
      <c r="I1283" s="25"/>
      <c r="J1283" s="12"/>
      <c r="K1283" s="12"/>
      <c r="L1283" s="14" t="str">
        <f aca="false">IF(OR($C1283="",$D1283="",$B1283=""),"",IF(COUNTIFS($C$5:$C$1504,$C1283,$D$5:$D$1504,$D1283,$B$5:$B$1504,$B1283)&gt;1,"Takror",""))</f>
        <v/>
      </c>
    </row>
    <row r="1284" customFormat="false" ht="15" hidden="false" customHeight="false" outlineLevel="0" collapsed="false">
      <c r="A1284" s="8" t="n">
        <v>1280</v>
      </c>
      <c r="B1284" s="13"/>
      <c r="C1284" s="12"/>
      <c r="D1284" s="13"/>
      <c r="E1284" s="24"/>
      <c r="F1284" s="12"/>
      <c r="G1284" s="25"/>
      <c r="H1284" s="14" t="str">
        <f aca="false">IF(OR($D1284="",$B1284=""),"",INT(($B1284-$D1284)/365.25))</f>
        <v/>
      </c>
      <c r="I1284" s="25"/>
      <c r="J1284" s="12"/>
      <c r="K1284" s="12"/>
      <c r="L1284" s="14" t="str">
        <f aca="false">IF(OR($C1284="",$D1284="",$B1284=""),"",IF(COUNTIFS($C$5:$C$1504,$C1284,$D$5:$D$1504,$D1284,$B$5:$B$1504,$B1284)&gt;1,"Takror",""))</f>
        <v/>
      </c>
    </row>
    <row r="1285" customFormat="false" ht="15" hidden="false" customHeight="false" outlineLevel="0" collapsed="false">
      <c r="A1285" s="8" t="n">
        <v>1281</v>
      </c>
      <c r="B1285" s="13"/>
      <c r="C1285" s="12"/>
      <c r="D1285" s="13"/>
      <c r="E1285" s="24"/>
      <c r="F1285" s="12"/>
      <c r="G1285" s="25"/>
      <c r="H1285" s="14" t="str">
        <f aca="false">IF(OR($D1285="",$B1285=""),"",INT(($B1285-$D1285)/365.25))</f>
        <v/>
      </c>
      <c r="I1285" s="25"/>
      <c r="J1285" s="12"/>
      <c r="K1285" s="12"/>
      <c r="L1285" s="14" t="str">
        <f aca="false">IF(OR($C1285="",$D1285="",$B1285=""),"",IF(COUNTIFS($C$5:$C$1504,$C1285,$D$5:$D$1504,$D1285,$B$5:$B$1504,$B1285)&gt;1,"Takror",""))</f>
        <v/>
      </c>
    </row>
    <row r="1286" customFormat="false" ht="15" hidden="false" customHeight="false" outlineLevel="0" collapsed="false">
      <c r="A1286" s="8" t="n">
        <v>1282</v>
      </c>
      <c r="B1286" s="13"/>
      <c r="C1286" s="12"/>
      <c r="D1286" s="13"/>
      <c r="E1286" s="24"/>
      <c r="F1286" s="12"/>
      <c r="G1286" s="25"/>
      <c r="H1286" s="14" t="str">
        <f aca="false">IF(OR($D1286="",$B1286=""),"",INT(($B1286-$D1286)/365.25))</f>
        <v/>
      </c>
      <c r="I1286" s="25"/>
      <c r="J1286" s="12"/>
      <c r="K1286" s="12"/>
      <c r="L1286" s="14" t="str">
        <f aca="false">IF(OR($C1286="",$D1286="",$B1286=""),"",IF(COUNTIFS($C$5:$C$1504,$C1286,$D$5:$D$1504,$D1286,$B$5:$B$1504,$B1286)&gt;1,"Takror",""))</f>
        <v/>
      </c>
    </row>
    <row r="1287" customFormat="false" ht="15" hidden="false" customHeight="false" outlineLevel="0" collapsed="false">
      <c r="A1287" s="8" t="n">
        <v>1283</v>
      </c>
      <c r="B1287" s="13"/>
      <c r="C1287" s="12"/>
      <c r="D1287" s="13"/>
      <c r="E1287" s="24"/>
      <c r="F1287" s="12"/>
      <c r="G1287" s="25"/>
      <c r="H1287" s="14" t="str">
        <f aca="false">IF(OR($D1287="",$B1287=""),"",INT(($B1287-$D1287)/365.25))</f>
        <v/>
      </c>
      <c r="I1287" s="25"/>
      <c r="J1287" s="12"/>
      <c r="K1287" s="12"/>
      <c r="L1287" s="14" t="str">
        <f aca="false">IF(OR($C1287="",$D1287="",$B1287=""),"",IF(COUNTIFS($C$5:$C$1504,$C1287,$D$5:$D$1504,$D1287,$B$5:$B$1504,$B1287)&gt;1,"Takror",""))</f>
        <v/>
      </c>
    </row>
    <row r="1288" customFormat="false" ht="15" hidden="false" customHeight="false" outlineLevel="0" collapsed="false">
      <c r="A1288" s="8" t="n">
        <v>1284</v>
      </c>
      <c r="B1288" s="13"/>
      <c r="C1288" s="12"/>
      <c r="D1288" s="13"/>
      <c r="E1288" s="24"/>
      <c r="F1288" s="12"/>
      <c r="G1288" s="25"/>
      <c r="H1288" s="14" t="str">
        <f aca="false">IF(OR($D1288="",$B1288=""),"",INT(($B1288-$D1288)/365.25))</f>
        <v/>
      </c>
      <c r="I1288" s="25"/>
      <c r="J1288" s="12"/>
      <c r="K1288" s="12"/>
      <c r="L1288" s="14" t="str">
        <f aca="false">IF(OR($C1288="",$D1288="",$B1288=""),"",IF(COUNTIFS($C$5:$C$1504,$C1288,$D$5:$D$1504,$D1288,$B$5:$B$1504,$B1288)&gt;1,"Takror",""))</f>
        <v/>
      </c>
    </row>
    <row r="1289" customFormat="false" ht="15" hidden="false" customHeight="false" outlineLevel="0" collapsed="false">
      <c r="A1289" s="8" t="n">
        <v>1285</v>
      </c>
      <c r="B1289" s="13"/>
      <c r="C1289" s="12"/>
      <c r="D1289" s="13"/>
      <c r="E1289" s="24"/>
      <c r="F1289" s="12"/>
      <c r="G1289" s="25"/>
      <c r="H1289" s="14" t="str">
        <f aca="false">IF(OR($D1289="",$B1289=""),"",INT(($B1289-$D1289)/365.25))</f>
        <v/>
      </c>
      <c r="I1289" s="25"/>
      <c r="J1289" s="12"/>
      <c r="K1289" s="12"/>
      <c r="L1289" s="14" t="str">
        <f aca="false">IF(OR($C1289="",$D1289="",$B1289=""),"",IF(COUNTIFS($C$5:$C$1504,$C1289,$D$5:$D$1504,$D1289,$B$5:$B$1504,$B1289)&gt;1,"Takror",""))</f>
        <v/>
      </c>
    </row>
    <row r="1290" customFormat="false" ht="15" hidden="false" customHeight="false" outlineLevel="0" collapsed="false">
      <c r="A1290" s="8" t="n">
        <v>1286</v>
      </c>
      <c r="B1290" s="13"/>
      <c r="C1290" s="12"/>
      <c r="D1290" s="13"/>
      <c r="E1290" s="24"/>
      <c r="F1290" s="12"/>
      <c r="G1290" s="25"/>
      <c r="H1290" s="14" t="str">
        <f aca="false">IF(OR($D1290="",$B1290=""),"",INT(($B1290-$D1290)/365.25))</f>
        <v/>
      </c>
      <c r="I1290" s="25"/>
      <c r="J1290" s="12"/>
      <c r="K1290" s="12"/>
      <c r="L1290" s="14" t="str">
        <f aca="false">IF(OR($C1290="",$D1290="",$B1290=""),"",IF(COUNTIFS($C$5:$C$1504,$C1290,$D$5:$D$1504,$D1290,$B$5:$B$1504,$B1290)&gt;1,"Takror",""))</f>
        <v/>
      </c>
    </row>
    <row r="1291" customFormat="false" ht="15" hidden="false" customHeight="false" outlineLevel="0" collapsed="false">
      <c r="A1291" s="8" t="n">
        <v>1287</v>
      </c>
      <c r="B1291" s="13"/>
      <c r="C1291" s="12"/>
      <c r="D1291" s="13"/>
      <c r="E1291" s="24"/>
      <c r="F1291" s="12"/>
      <c r="G1291" s="25"/>
      <c r="H1291" s="14" t="str">
        <f aca="false">IF(OR($D1291="",$B1291=""),"",INT(($B1291-$D1291)/365.25))</f>
        <v/>
      </c>
      <c r="I1291" s="25"/>
      <c r="J1291" s="12"/>
      <c r="K1291" s="12"/>
      <c r="L1291" s="14" t="str">
        <f aca="false">IF(OR($C1291="",$D1291="",$B1291=""),"",IF(COUNTIFS($C$5:$C$1504,$C1291,$D$5:$D$1504,$D1291,$B$5:$B$1504,$B1291)&gt;1,"Takror",""))</f>
        <v/>
      </c>
    </row>
    <row r="1292" customFormat="false" ht="15" hidden="false" customHeight="false" outlineLevel="0" collapsed="false">
      <c r="A1292" s="8" t="n">
        <v>1288</v>
      </c>
      <c r="B1292" s="13"/>
      <c r="C1292" s="12"/>
      <c r="D1292" s="13"/>
      <c r="E1292" s="24"/>
      <c r="F1292" s="12"/>
      <c r="G1292" s="25"/>
      <c r="H1292" s="14" t="str">
        <f aca="false">IF(OR($D1292="",$B1292=""),"",INT(($B1292-$D1292)/365.25))</f>
        <v/>
      </c>
      <c r="I1292" s="25"/>
      <c r="J1292" s="12"/>
      <c r="K1292" s="12"/>
      <c r="L1292" s="14" t="str">
        <f aca="false">IF(OR($C1292="",$D1292="",$B1292=""),"",IF(COUNTIFS($C$5:$C$1504,$C1292,$D$5:$D$1504,$D1292,$B$5:$B$1504,$B1292)&gt;1,"Takror",""))</f>
        <v/>
      </c>
    </row>
    <row r="1293" customFormat="false" ht="15" hidden="false" customHeight="false" outlineLevel="0" collapsed="false">
      <c r="A1293" s="8" t="n">
        <v>1289</v>
      </c>
      <c r="B1293" s="13"/>
      <c r="C1293" s="12"/>
      <c r="D1293" s="13"/>
      <c r="E1293" s="24"/>
      <c r="F1293" s="12"/>
      <c r="G1293" s="25"/>
      <c r="H1293" s="14" t="str">
        <f aca="false">IF(OR($D1293="",$B1293=""),"",INT(($B1293-$D1293)/365.25))</f>
        <v/>
      </c>
      <c r="I1293" s="25"/>
      <c r="J1293" s="12"/>
      <c r="K1293" s="12"/>
      <c r="L1293" s="14" t="str">
        <f aca="false">IF(OR($C1293="",$D1293="",$B1293=""),"",IF(COUNTIFS($C$5:$C$1504,$C1293,$D$5:$D$1504,$D1293,$B$5:$B$1504,$B1293)&gt;1,"Takror",""))</f>
        <v/>
      </c>
    </row>
    <row r="1294" customFormat="false" ht="15" hidden="false" customHeight="false" outlineLevel="0" collapsed="false">
      <c r="A1294" s="8" t="n">
        <v>1290</v>
      </c>
      <c r="B1294" s="13"/>
      <c r="C1294" s="12"/>
      <c r="D1294" s="13"/>
      <c r="E1294" s="24"/>
      <c r="F1294" s="12"/>
      <c r="G1294" s="25"/>
      <c r="H1294" s="14" t="str">
        <f aca="false">IF(OR($D1294="",$B1294=""),"",INT(($B1294-$D1294)/365.25))</f>
        <v/>
      </c>
      <c r="I1294" s="25"/>
      <c r="J1294" s="12"/>
      <c r="K1294" s="12"/>
      <c r="L1294" s="14" t="str">
        <f aca="false">IF(OR($C1294="",$D1294="",$B1294=""),"",IF(COUNTIFS($C$5:$C$1504,$C1294,$D$5:$D$1504,$D1294,$B$5:$B$1504,$B1294)&gt;1,"Takror",""))</f>
        <v/>
      </c>
    </row>
    <row r="1295" customFormat="false" ht="15" hidden="false" customHeight="false" outlineLevel="0" collapsed="false">
      <c r="A1295" s="8" t="n">
        <v>1291</v>
      </c>
      <c r="B1295" s="13"/>
      <c r="C1295" s="12"/>
      <c r="D1295" s="13"/>
      <c r="E1295" s="24"/>
      <c r="F1295" s="12"/>
      <c r="G1295" s="25"/>
      <c r="H1295" s="14" t="str">
        <f aca="false">IF(OR($D1295="",$B1295=""),"",INT(($B1295-$D1295)/365.25))</f>
        <v/>
      </c>
      <c r="I1295" s="25"/>
      <c r="J1295" s="12"/>
      <c r="K1295" s="12"/>
      <c r="L1295" s="14" t="str">
        <f aca="false">IF(OR($C1295="",$D1295="",$B1295=""),"",IF(COUNTIFS($C$5:$C$1504,$C1295,$D$5:$D$1504,$D1295,$B$5:$B$1504,$B1295)&gt;1,"Takror",""))</f>
        <v/>
      </c>
    </row>
    <row r="1296" customFormat="false" ht="15" hidden="false" customHeight="false" outlineLevel="0" collapsed="false">
      <c r="A1296" s="8" t="n">
        <v>1292</v>
      </c>
      <c r="B1296" s="13"/>
      <c r="C1296" s="12"/>
      <c r="D1296" s="13"/>
      <c r="E1296" s="24"/>
      <c r="F1296" s="12"/>
      <c r="G1296" s="25"/>
      <c r="H1296" s="14" t="str">
        <f aca="false">IF(OR($D1296="",$B1296=""),"",INT(($B1296-$D1296)/365.25))</f>
        <v/>
      </c>
      <c r="I1296" s="25"/>
      <c r="J1296" s="12"/>
      <c r="K1296" s="12"/>
      <c r="L1296" s="14" t="str">
        <f aca="false">IF(OR($C1296="",$D1296="",$B1296=""),"",IF(COUNTIFS($C$5:$C$1504,$C1296,$D$5:$D$1504,$D1296,$B$5:$B$1504,$B1296)&gt;1,"Takror",""))</f>
        <v/>
      </c>
    </row>
    <row r="1297" customFormat="false" ht="15" hidden="false" customHeight="false" outlineLevel="0" collapsed="false">
      <c r="A1297" s="8" t="n">
        <v>1293</v>
      </c>
      <c r="B1297" s="13"/>
      <c r="C1297" s="12"/>
      <c r="D1297" s="13"/>
      <c r="E1297" s="24"/>
      <c r="F1297" s="12"/>
      <c r="G1297" s="25"/>
      <c r="H1297" s="14" t="str">
        <f aca="false">IF(OR($D1297="",$B1297=""),"",INT(($B1297-$D1297)/365.25))</f>
        <v/>
      </c>
      <c r="I1297" s="25"/>
      <c r="J1297" s="12"/>
      <c r="K1297" s="12"/>
      <c r="L1297" s="14" t="str">
        <f aca="false">IF(OR($C1297="",$D1297="",$B1297=""),"",IF(COUNTIFS($C$5:$C$1504,$C1297,$D$5:$D$1504,$D1297,$B$5:$B$1504,$B1297)&gt;1,"Takror",""))</f>
        <v/>
      </c>
    </row>
    <row r="1298" customFormat="false" ht="15" hidden="false" customHeight="false" outlineLevel="0" collapsed="false">
      <c r="A1298" s="8" t="n">
        <v>1294</v>
      </c>
      <c r="B1298" s="13"/>
      <c r="C1298" s="12"/>
      <c r="D1298" s="13"/>
      <c r="E1298" s="24"/>
      <c r="F1298" s="12"/>
      <c r="G1298" s="25"/>
      <c r="H1298" s="14" t="str">
        <f aca="false">IF(OR($D1298="",$B1298=""),"",INT(($B1298-$D1298)/365.25))</f>
        <v/>
      </c>
      <c r="I1298" s="25"/>
      <c r="J1298" s="12"/>
      <c r="K1298" s="12"/>
      <c r="L1298" s="14" t="str">
        <f aca="false">IF(OR($C1298="",$D1298="",$B1298=""),"",IF(COUNTIFS($C$5:$C$1504,$C1298,$D$5:$D$1504,$D1298,$B$5:$B$1504,$B1298)&gt;1,"Takror",""))</f>
        <v/>
      </c>
    </row>
    <row r="1299" customFormat="false" ht="15" hidden="false" customHeight="false" outlineLevel="0" collapsed="false">
      <c r="A1299" s="8" t="n">
        <v>1295</v>
      </c>
      <c r="B1299" s="13"/>
      <c r="C1299" s="12"/>
      <c r="D1299" s="13"/>
      <c r="E1299" s="24"/>
      <c r="F1299" s="12"/>
      <c r="G1299" s="25"/>
      <c r="H1299" s="14" t="str">
        <f aca="false">IF(OR($D1299="",$B1299=""),"",INT(($B1299-$D1299)/365.25))</f>
        <v/>
      </c>
      <c r="I1299" s="25"/>
      <c r="J1299" s="12"/>
      <c r="K1299" s="12"/>
      <c r="L1299" s="14" t="str">
        <f aca="false">IF(OR($C1299="",$D1299="",$B1299=""),"",IF(COUNTIFS($C$5:$C$1504,$C1299,$D$5:$D$1504,$D1299,$B$5:$B$1504,$B1299)&gt;1,"Takror",""))</f>
        <v/>
      </c>
    </row>
    <row r="1300" customFormat="false" ht="15" hidden="false" customHeight="false" outlineLevel="0" collapsed="false">
      <c r="A1300" s="8" t="n">
        <v>1296</v>
      </c>
      <c r="B1300" s="13"/>
      <c r="C1300" s="12"/>
      <c r="D1300" s="13"/>
      <c r="E1300" s="24"/>
      <c r="F1300" s="12"/>
      <c r="G1300" s="25"/>
      <c r="H1300" s="14" t="str">
        <f aca="false">IF(OR($D1300="",$B1300=""),"",INT(($B1300-$D1300)/365.25))</f>
        <v/>
      </c>
      <c r="I1300" s="25"/>
      <c r="J1300" s="12"/>
      <c r="K1300" s="12"/>
      <c r="L1300" s="14" t="str">
        <f aca="false">IF(OR($C1300="",$D1300="",$B1300=""),"",IF(COUNTIFS($C$5:$C$1504,$C1300,$D$5:$D$1504,$D1300,$B$5:$B$1504,$B1300)&gt;1,"Takror",""))</f>
        <v/>
      </c>
    </row>
    <row r="1301" customFormat="false" ht="15" hidden="false" customHeight="false" outlineLevel="0" collapsed="false">
      <c r="A1301" s="8" t="n">
        <v>1297</v>
      </c>
      <c r="B1301" s="13"/>
      <c r="C1301" s="12"/>
      <c r="D1301" s="13"/>
      <c r="E1301" s="24"/>
      <c r="F1301" s="12"/>
      <c r="G1301" s="25"/>
      <c r="H1301" s="14" t="str">
        <f aca="false">IF(OR($D1301="",$B1301=""),"",INT(($B1301-$D1301)/365.25))</f>
        <v/>
      </c>
      <c r="I1301" s="25"/>
      <c r="J1301" s="12"/>
      <c r="K1301" s="12"/>
      <c r="L1301" s="14" t="str">
        <f aca="false">IF(OR($C1301="",$D1301="",$B1301=""),"",IF(COUNTIFS($C$5:$C$1504,$C1301,$D$5:$D$1504,$D1301,$B$5:$B$1504,$B1301)&gt;1,"Takror",""))</f>
        <v/>
      </c>
    </row>
    <row r="1302" customFormat="false" ht="15" hidden="false" customHeight="false" outlineLevel="0" collapsed="false">
      <c r="A1302" s="8" t="n">
        <v>1298</v>
      </c>
      <c r="B1302" s="13"/>
      <c r="C1302" s="12"/>
      <c r="D1302" s="13"/>
      <c r="E1302" s="24"/>
      <c r="F1302" s="12"/>
      <c r="G1302" s="25"/>
      <c r="H1302" s="14" t="str">
        <f aca="false">IF(OR($D1302="",$B1302=""),"",INT(($B1302-$D1302)/365.25))</f>
        <v/>
      </c>
      <c r="I1302" s="25"/>
      <c r="J1302" s="12"/>
      <c r="K1302" s="12"/>
      <c r="L1302" s="14" t="str">
        <f aca="false">IF(OR($C1302="",$D1302="",$B1302=""),"",IF(COUNTIFS($C$5:$C$1504,$C1302,$D$5:$D$1504,$D1302,$B$5:$B$1504,$B1302)&gt;1,"Takror",""))</f>
        <v/>
      </c>
    </row>
    <row r="1303" customFormat="false" ht="15" hidden="false" customHeight="false" outlineLevel="0" collapsed="false">
      <c r="A1303" s="8" t="n">
        <v>1299</v>
      </c>
      <c r="B1303" s="13"/>
      <c r="C1303" s="12"/>
      <c r="D1303" s="13"/>
      <c r="E1303" s="24"/>
      <c r="F1303" s="12"/>
      <c r="G1303" s="25"/>
      <c r="H1303" s="14" t="str">
        <f aca="false">IF(OR($D1303="",$B1303=""),"",INT(($B1303-$D1303)/365.25))</f>
        <v/>
      </c>
      <c r="I1303" s="25"/>
      <c r="J1303" s="12"/>
      <c r="K1303" s="12"/>
      <c r="L1303" s="14" t="str">
        <f aca="false">IF(OR($C1303="",$D1303="",$B1303=""),"",IF(COUNTIFS($C$5:$C$1504,$C1303,$D$5:$D$1504,$D1303,$B$5:$B$1504,$B1303)&gt;1,"Takror",""))</f>
        <v/>
      </c>
    </row>
    <row r="1304" customFormat="false" ht="15" hidden="false" customHeight="false" outlineLevel="0" collapsed="false">
      <c r="A1304" s="8" t="n">
        <v>1300</v>
      </c>
      <c r="B1304" s="13"/>
      <c r="C1304" s="12"/>
      <c r="D1304" s="13"/>
      <c r="E1304" s="24"/>
      <c r="F1304" s="12"/>
      <c r="G1304" s="25"/>
      <c r="H1304" s="14" t="str">
        <f aca="false">IF(OR($D1304="",$B1304=""),"",INT(($B1304-$D1304)/365.25))</f>
        <v/>
      </c>
      <c r="I1304" s="25"/>
      <c r="J1304" s="12"/>
      <c r="K1304" s="12"/>
      <c r="L1304" s="14" t="str">
        <f aca="false">IF(OR($C1304="",$D1304="",$B1304=""),"",IF(COUNTIFS($C$5:$C$1504,$C1304,$D$5:$D$1504,$D1304,$B$5:$B$1504,$B1304)&gt;1,"Takror",""))</f>
        <v/>
      </c>
    </row>
    <row r="1305" customFormat="false" ht="15" hidden="false" customHeight="false" outlineLevel="0" collapsed="false">
      <c r="A1305" s="8" t="n">
        <v>1301</v>
      </c>
      <c r="B1305" s="13"/>
      <c r="C1305" s="12"/>
      <c r="D1305" s="13"/>
      <c r="E1305" s="24"/>
      <c r="F1305" s="12"/>
      <c r="G1305" s="25"/>
      <c r="H1305" s="14" t="str">
        <f aca="false">IF(OR($D1305="",$B1305=""),"",INT(($B1305-$D1305)/365.25))</f>
        <v/>
      </c>
      <c r="I1305" s="25"/>
      <c r="J1305" s="12"/>
      <c r="K1305" s="12"/>
      <c r="L1305" s="14" t="str">
        <f aca="false">IF(OR($C1305="",$D1305="",$B1305=""),"",IF(COUNTIFS($C$5:$C$1504,$C1305,$D$5:$D$1504,$D1305,$B$5:$B$1504,$B1305)&gt;1,"Takror",""))</f>
        <v/>
      </c>
    </row>
    <row r="1306" customFormat="false" ht="15" hidden="false" customHeight="false" outlineLevel="0" collapsed="false">
      <c r="A1306" s="8" t="n">
        <v>1302</v>
      </c>
      <c r="B1306" s="13"/>
      <c r="C1306" s="12"/>
      <c r="D1306" s="13"/>
      <c r="E1306" s="24"/>
      <c r="F1306" s="12"/>
      <c r="G1306" s="25"/>
      <c r="H1306" s="14" t="str">
        <f aca="false">IF(OR($D1306="",$B1306=""),"",INT(($B1306-$D1306)/365.25))</f>
        <v/>
      </c>
      <c r="I1306" s="25"/>
      <c r="J1306" s="12"/>
      <c r="K1306" s="12"/>
      <c r="L1306" s="14" t="str">
        <f aca="false">IF(OR($C1306="",$D1306="",$B1306=""),"",IF(COUNTIFS($C$5:$C$1504,$C1306,$D$5:$D$1504,$D1306,$B$5:$B$1504,$B1306)&gt;1,"Takror",""))</f>
        <v/>
      </c>
    </row>
    <row r="1307" customFormat="false" ht="15" hidden="false" customHeight="false" outlineLevel="0" collapsed="false">
      <c r="A1307" s="8" t="n">
        <v>1303</v>
      </c>
      <c r="B1307" s="13"/>
      <c r="C1307" s="12"/>
      <c r="D1307" s="13"/>
      <c r="E1307" s="24"/>
      <c r="F1307" s="12"/>
      <c r="G1307" s="25"/>
      <c r="H1307" s="14" t="str">
        <f aca="false">IF(OR($D1307="",$B1307=""),"",INT(($B1307-$D1307)/365.25))</f>
        <v/>
      </c>
      <c r="I1307" s="25"/>
      <c r="J1307" s="12"/>
      <c r="K1307" s="12"/>
      <c r="L1307" s="14" t="str">
        <f aca="false">IF(OR($C1307="",$D1307="",$B1307=""),"",IF(COUNTIFS($C$5:$C$1504,$C1307,$D$5:$D$1504,$D1307,$B$5:$B$1504,$B1307)&gt;1,"Takror",""))</f>
        <v/>
      </c>
    </row>
    <row r="1308" customFormat="false" ht="15" hidden="false" customHeight="false" outlineLevel="0" collapsed="false">
      <c r="A1308" s="8" t="n">
        <v>1304</v>
      </c>
      <c r="B1308" s="13"/>
      <c r="C1308" s="12"/>
      <c r="D1308" s="13"/>
      <c r="E1308" s="24"/>
      <c r="F1308" s="12"/>
      <c r="G1308" s="25"/>
      <c r="H1308" s="14" t="str">
        <f aca="false">IF(OR($D1308="",$B1308=""),"",INT(($B1308-$D1308)/365.25))</f>
        <v/>
      </c>
      <c r="I1308" s="25"/>
      <c r="J1308" s="12"/>
      <c r="K1308" s="12"/>
      <c r="L1308" s="14" t="str">
        <f aca="false">IF(OR($C1308="",$D1308="",$B1308=""),"",IF(COUNTIFS($C$5:$C$1504,$C1308,$D$5:$D$1504,$D1308,$B$5:$B$1504,$B1308)&gt;1,"Takror",""))</f>
        <v/>
      </c>
    </row>
    <row r="1309" customFormat="false" ht="15" hidden="false" customHeight="false" outlineLevel="0" collapsed="false">
      <c r="A1309" s="8" t="n">
        <v>1305</v>
      </c>
      <c r="B1309" s="13"/>
      <c r="C1309" s="12"/>
      <c r="D1309" s="13"/>
      <c r="E1309" s="24"/>
      <c r="F1309" s="12"/>
      <c r="G1309" s="25"/>
      <c r="H1309" s="14" t="str">
        <f aca="false">IF(OR($D1309="",$B1309=""),"",INT(($B1309-$D1309)/365.25))</f>
        <v/>
      </c>
      <c r="I1309" s="25"/>
      <c r="J1309" s="12"/>
      <c r="K1309" s="12"/>
      <c r="L1309" s="14" t="str">
        <f aca="false">IF(OR($C1309="",$D1309="",$B1309=""),"",IF(COUNTIFS($C$5:$C$1504,$C1309,$D$5:$D$1504,$D1309,$B$5:$B$1504,$B1309)&gt;1,"Takror",""))</f>
        <v/>
      </c>
    </row>
    <row r="1310" customFormat="false" ht="15" hidden="false" customHeight="false" outlineLevel="0" collapsed="false">
      <c r="A1310" s="8" t="n">
        <v>1306</v>
      </c>
      <c r="B1310" s="13"/>
      <c r="C1310" s="12"/>
      <c r="D1310" s="13"/>
      <c r="E1310" s="24"/>
      <c r="F1310" s="12"/>
      <c r="G1310" s="25"/>
      <c r="H1310" s="14" t="str">
        <f aca="false">IF(OR($D1310="",$B1310=""),"",INT(($B1310-$D1310)/365.25))</f>
        <v/>
      </c>
      <c r="I1310" s="25"/>
      <c r="J1310" s="12"/>
      <c r="K1310" s="12"/>
      <c r="L1310" s="14" t="str">
        <f aca="false">IF(OR($C1310="",$D1310="",$B1310=""),"",IF(COUNTIFS($C$5:$C$1504,$C1310,$D$5:$D$1504,$D1310,$B$5:$B$1504,$B1310)&gt;1,"Takror",""))</f>
        <v/>
      </c>
    </row>
    <row r="1311" customFormat="false" ht="15" hidden="false" customHeight="false" outlineLevel="0" collapsed="false">
      <c r="A1311" s="8" t="n">
        <v>1307</v>
      </c>
      <c r="B1311" s="13"/>
      <c r="C1311" s="12"/>
      <c r="D1311" s="13"/>
      <c r="E1311" s="24"/>
      <c r="F1311" s="12"/>
      <c r="G1311" s="25"/>
      <c r="H1311" s="14" t="str">
        <f aca="false">IF(OR($D1311="",$B1311=""),"",INT(($B1311-$D1311)/365.25))</f>
        <v/>
      </c>
      <c r="I1311" s="25"/>
      <c r="J1311" s="12"/>
      <c r="K1311" s="12"/>
      <c r="L1311" s="14" t="str">
        <f aca="false">IF(OR($C1311="",$D1311="",$B1311=""),"",IF(COUNTIFS($C$5:$C$1504,$C1311,$D$5:$D$1504,$D1311,$B$5:$B$1504,$B1311)&gt;1,"Takror",""))</f>
        <v/>
      </c>
    </row>
    <row r="1312" customFormat="false" ht="15" hidden="false" customHeight="false" outlineLevel="0" collapsed="false">
      <c r="A1312" s="8" t="n">
        <v>1308</v>
      </c>
      <c r="B1312" s="13"/>
      <c r="C1312" s="12"/>
      <c r="D1312" s="13"/>
      <c r="E1312" s="24"/>
      <c r="F1312" s="12"/>
      <c r="G1312" s="25"/>
      <c r="H1312" s="14" t="str">
        <f aca="false">IF(OR($D1312="",$B1312=""),"",INT(($B1312-$D1312)/365.25))</f>
        <v/>
      </c>
      <c r="I1312" s="25"/>
      <c r="J1312" s="12"/>
      <c r="K1312" s="12"/>
      <c r="L1312" s="14" t="str">
        <f aca="false">IF(OR($C1312="",$D1312="",$B1312=""),"",IF(COUNTIFS($C$5:$C$1504,$C1312,$D$5:$D$1504,$D1312,$B$5:$B$1504,$B1312)&gt;1,"Takror",""))</f>
        <v/>
      </c>
    </row>
    <row r="1313" customFormat="false" ht="15" hidden="false" customHeight="false" outlineLevel="0" collapsed="false">
      <c r="A1313" s="8" t="n">
        <v>1309</v>
      </c>
      <c r="B1313" s="13"/>
      <c r="C1313" s="12"/>
      <c r="D1313" s="13"/>
      <c r="E1313" s="24"/>
      <c r="F1313" s="12"/>
      <c r="G1313" s="25"/>
      <c r="H1313" s="14" t="str">
        <f aca="false">IF(OR($D1313="",$B1313=""),"",INT(($B1313-$D1313)/365.25))</f>
        <v/>
      </c>
      <c r="I1313" s="25"/>
      <c r="J1313" s="12"/>
      <c r="K1313" s="12"/>
      <c r="L1313" s="14" t="str">
        <f aca="false">IF(OR($C1313="",$D1313="",$B1313=""),"",IF(COUNTIFS($C$5:$C$1504,$C1313,$D$5:$D$1504,$D1313,$B$5:$B$1504,$B1313)&gt;1,"Takror",""))</f>
        <v/>
      </c>
    </row>
    <row r="1314" customFormat="false" ht="15" hidden="false" customHeight="false" outlineLevel="0" collapsed="false">
      <c r="A1314" s="8" t="n">
        <v>1310</v>
      </c>
      <c r="B1314" s="13"/>
      <c r="C1314" s="12"/>
      <c r="D1314" s="13"/>
      <c r="E1314" s="24"/>
      <c r="F1314" s="12"/>
      <c r="G1314" s="25"/>
      <c r="H1314" s="14" t="str">
        <f aca="false">IF(OR($D1314="",$B1314=""),"",INT(($B1314-$D1314)/365.25))</f>
        <v/>
      </c>
      <c r="I1314" s="25"/>
      <c r="J1314" s="12"/>
      <c r="K1314" s="12"/>
      <c r="L1314" s="14" t="str">
        <f aca="false">IF(OR($C1314="",$D1314="",$B1314=""),"",IF(COUNTIFS($C$5:$C$1504,$C1314,$D$5:$D$1504,$D1314,$B$5:$B$1504,$B1314)&gt;1,"Takror",""))</f>
        <v/>
      </c>
    </row>
    <row r="1315" customFormat="false" ht="15" hidden="false" customHeight="false" outlineLevel="0" collapsed="false">
      <c r="A1315" s="8" t="n">
        <v>1311</v>
      </c>
      <c r="B1315" s="13"/>
      <c r="C1315" s="12"/>
      <c r="D1315" s="13"/>
      <c r="E1315" s="24"/>
      <c r="F1315" s="12"/>
      <c r="G1315" s="25"/>
      <c r="H1315" s="14" t="str">
        <f aca="false">IF(OR($D1315="",$B1315=""),"",INT(($B1315-$D1315)/365.25))</f>
        <v/>
      </c>
      <c r="I1315" s="25"/>
      <c r="J1315" s="12"/>
      <c r="K1315" s="12"/>
      <c r="L1315" s="14" t="str">
        <f aca="false">IF(OR($C1315="",$D1315="",$B1315=""),"",IF(COUNTIFS($C$5:$C$1504,$C1315,$D$5:$D$1504,$D1315,$B$5:$B$1504,$B1315)&gt;1,"Takror",""))</f>
        <v/>
      </c>
    </row>
    <row r="1316" customFormat="false" ht="15" hidden="false" customHeight="false" outlineLevel="0" collapsed="false">
      <c r="A1316" s="8" t="n">
        <v>1312</v>
      </c>
      <c r="B1316" s="13"/>
      <c r="C1316" s="12"/>
      <c r="D1316" s="13"/>
      <c r="E1316" s="24"/>
      <c r="F1316" s="12"/>
      <c r="G1316" s="25"/>
      <c r="H1316" s="14" t="str">
        <f aca="false">IF(OR($D1316="",$B1316=""),"",INT(($B1316-$D1316)/365.25))</f>
        <v/>
      </c>
      <c r="I1316" s="25"/>
      <c r="J1316" s="12"/>
      <c r="K1316" s="12"/>
      <c r="L1316" s="14" t="str">
        <f aca="false">IF(OR($C1316="",$D1316="",$B1316=""),"",IF(COUNTIFS($C$5:$C$1504,$C1316,$D$5:$D$1504,$D1316,$B$5:$B$1504,$B1316)&gt;1,"Takror",""))</f>
        <v/>
      </c>
    </row>
    <row r="1317" customFormat="false" ht="15" hidden="false" customHeight="false" outlineLevel="0" collapsed="false">
      <c r="A1317" s="8" t="n">
        <v>1313</v>
      </c>
      <c r="B1317" s="13"/>
      <c r="C1317" s="12"/>
      <c r="D1317" s="13"/>
      <c r="E1317" s="24"/>
      <c r="F1317" s="12"/>
      <c r="G1317" s="25"/>
      <c r="H1317" s="14" t="str">
        <f aca="false">IF(OR($D1317="",$B1317=""),"",INT(($B1317-$D1317)/365.25))</f>
        <v/>
      </c>
      <c r="I1317" s="25"/>
      <c r="J1317" s="12"/>
      <c r="K1317" s="12"/>
      <c r="L1317" s="14" t="str">
        <f aca="false">IF(OR($C1317="",$D1317="",$B1317=""),"",IF(COUNTIFS($C$5:$C$1504,$C1317,$D$5:$D$1504,$D1317,$B$5:$B$1504,$B1317)&gt;1,"Takror",""))</f>
        <v/>
      </c>
    </row>
    <row r="1318" customFormat="false" ht="15" hidden="false" customHeight="false" outlineLevel="0" collapsed="false">
      <c r="A1318" s="8" t="n">
        <v>1314</v>
      </c>
      <c r="B1318" s="13"/>
      <c r="C1318" s="12"/>
      <c r="D1318" s="13"/>
      <c r="E1318" s="24"/>
      <c r="F1318" s="12"/>
      <c r="G1318" s="25"/>
      <c r="H1318" s="14" t="str">
        <f aca="false">IF(OR($D1318="",$B1318=""),"",INT(($B1318-$D1318)/365.25))</f>
        <v/>
      </c>
      <c r="I1318" s="25"/>
      <c r="J1318" s="12"/>
      <c r="K1318" s="12"/>
      <c r="L1318" s="14" t="str">
        <f aca="false">IF(OR($C1318="",$D1318="",$B1318=""),"",IF(COUNTIFS($C$5:$C$1504,$C1318,$D$5:$D$1504,$D1318,$B$5:$B$1504,$B1318)&gt;1,"Takror",""))</f>
        <v/>
      </c>
    </row>
    <row r="1319" customFormat="false" ht="15" hidden="false" customHeight="false" outlineLevel="0" collapsed="false">
      <c r="A1319" s="8" t="n">
        <v>1315</v>
      </c>
      <c r="B1319" s="13"/>
      <c r="C1319" s="12"/>
      <c r="D1319" s="13"/>
      <c r="E1319" s="24"/>
      <c r="F1319" s="12"/>
      <c r="G1319" s="25"/>
      <c r="H1319" s="14" t="str">
        <f aca="false">IF(OR($D1319="",$B1319=""),"",INT(($B1319-$D1319)/365.25))</f>
        <v/>
      </c>
      <c r="I1319" s="25"/>
      <c r="J1319" s="12"/>
      <c r="K1319" s="12"/>
      <c r="L1319" s="14" t="str">
        <f aca="false">IF(OR($C1319="",$D1319="",$B1319=""),"",IF(COUNTIFS($C$5:$C$1504,$C1319,$D$5:$D$1504,$D1319,$B$5:$B$1504,$B1319)&gt;1,"Takror",""))</f>
        <v/>
      </c>
    </row>
    <row r="1320" customFormat="false" ht="15" hidden="false" customHeight="false" outlineLevel="0" collapsed="false">
      <c r="A1320" s="8" t="n">
        <v>1316</v>
      </c>
      <c r="B1320" s="13"/>
      <c r="C1320" s="12"/>
      <c r="D1320" s="13"/>
      <c r="E1320" s="24"/>
      <c r="F1320" s="12"/>
      <c r="G1320" s="25"/>
      <c r="H1320" s="14" t="str">
        <f aca="false">IF(OR($D1320="",$B1320=""),"",INT(($B1320-$D1320)/365.25))</f>
        <v/>
      </c>
      <c r="I1320" s="25"/>
      <c r="J1320" s="12"/>
      <c r="K1320" s="12"/>
      <c r="L1320" s="14" t="str">
        <f aca="false">IF(OR($C1320="",$D1320="",$B1320=""),"",IF(COUNTIFS($C$5:$C$1504,$C1320,$D$5:$D$1504,$D1320,$B$5:$B$1504,$B1320)&gt;1,"Takror",""))</f>
        <v/>
      </c>
    </row>
    <row r="1321" customFormat="false" ht="15" hidden="false" customHeight="false" outlineLevel="0" collapsed="false">
      <c r="A1321" s="8" t="n">
        <v>1317</v>
      </c>
      <c r="B1321" s="13"/>
      <c r="C1321" s="12"/>
      <c r="D1321" s="13"/>
      <c r="E1321" s="24"/>
      <c r="F1321" s="12"/>
      <c r="G1321" s="25"/>
      <c r="H1321" s="14" t="str">
        <f aca="false">IF(OR($D1321="",$B1321=""),"",INT(($B1321-$D1321)/365.25))</f>
        <v/>
      </c>
      <c r="I1321" s="25"/>
      <c r="J1321" s="12"/>
      <c r="K1321" s="12"/>
      <c r="L1321" s="14" t="str">
        <f aca="false">IF(OR($C1321="",$D1321="",$B1321=""),"",IF(COUNTIFS($C$5:$C$1504,$C1321,$D$5:$D$1504,$D1321,$B$5:$B$1504,$B1321)&gt;1,"Takror",""))</f>
        <v/>
      </c>
    </row>
    <row r="1322" customFormat="false" ht="15" hidden="false" customHeight="false" outlineLevel="0" collapsed="false">
      <c r="A1322" s="8" t="n">
        <v>1318</v>
      </c>
      <c r="B1322" s="13"/>
      <c r="C1322" s="12"/>
      <c r="D1322" s="13"/>
      <c r="E1322" s="24"/>
      <c r="F1322" s="12"/>
      <c r="G1322" s="25"/>
      <c r="H1322" s="14" t="str">
        <f aca="false">IF(OR($D1322="",$B1322=""),"",INT(($B1322-$D1322)/365.25))</f>
        <v/>
      </c>
      <c r="I1322" s="25"/>
      <c r="J1322" s="12"/>
      <c r="K1322" s="12"/>
      <c r="L1322" s="14" t="str">
        <f aca="false">IF(OR($C1322="",$D1322="",$B1322=""),"",IF(COUNTIFS($C$5:$C$1504,$C1322,$D$5:$D$1504,$D1322,$B$5:$B$1504,$B1322)&gt;1,"Takror",""))</f>
        <v/>
      </c>
    </row>
    <row r="1323" customFormat="false" ht="15" hidden="false" customHeight="false" outlineLevel="0" collapsed="false">
      <c r="A1323" s="8" t="n">
        <v>1319</v>
      </c>
      <c r="B1323" s="13"/>
      <c r="C1323" s="12"/>
      <c r="D1323" s="13"/>
      <c r="E1323" s="24"/>
      <c r="F1323" s="12"/>
      <c r="G1323" s="25"/>
      <c r="H1323" s="14" t="str">
        <f aca="false">IF(OR($D1323="",$B1323=""),"",INT(($B1323-$D1323)/365.25))</f>
        <v/>
      </c>
      <c r="I1323" s="25"/>
      <c r="J1323" s="12"/>
      <c r="K1323" s="12"/>
      <c r="L1323" s="14" t="str">
        <f aca="false">IF(OR($C1323="",$D1323="",$B1323=""),"",IF(COUNTIFS($C$5:$C$1504,$C1323,$D$5:$D$1504,$D1323,$B$5:$B$1504,$B1323)&gt;1,"Takror",""))</f>
        <v/>
      </c>
    </row>
    <row r="1324" customFormat="false" ht="15" hidden="false" customHeight="false" outlineLevel="0" collapsed="false">
      <c r="A1324" s="8" t="n">
        <v>1320</v>
      </c>
      <c r="B1324" s="13"/>
      <c r="C1324" s="12"/>
      <c r="D1324" s="13"/>
      <c r="E1324" s="24"/>
      <c r="F1324" s="12"/>
      <c r="G1324" s="25"/>
      <c r="H1324" s="14" t="str">
        <f aca="false">IF(OR($D1324="",$B1324=""),"",INT(($B1324-$D1324)/365.25))</f>
        <v/>
      </c>
      <c r="I1324" s="25"/>
      <c r="J1324" s="12"/>
      <c r="K1324" s="12"/>
      <c r="L1324" s="14" t="str">
        <f aca="false">IF(OR($C1324="",$D1324="",$B1324=""),"",IF(COUNTIFS($C$5:$C$1504,$C1324,$D$5:$D$1504,$D1324,$B$5:$B$1504,$B1324)&gt;1,"Takror",""))</f>
        <v/>
      </c>
    </row>
    <row r="1325" customFormat="false" ht="15" hidden="false" customHeight="false" outlineLevel="0" collapsed="false">
      <c r="A1325" s="8" t="n">
        <v>1321</v>
      </c>
      <c r="B1325" s="13"/>
      <c r="C1325" s="12"/>
      <c r="D1325" s="13"/>
      <c r="E1325" s="24"/>
      <c r="F1325" s="12"/>
      <c r="G1325" s="25"/>
      <c r="H1325" s="14" t="str">
        <f aca="false">IF(OR($D1325="",$B1325=""),"",INT(($B1325-$D1325)/365.25))</f>
        <v/>
      </c>
      <c r="I1325" s="25"/>
      <c r="J1325" s="12"/>
      <c r="K1325" s="12"/>
      <c r="L1325" s="14" t="str">
        <f aca="false">IF(OR($C1325="",$D1325="",$B1325=""),"",IF(COUNTIFS($C$5:$C$1504,$C1325,$D$5:$D$1504,$D1325,$B$5:$B$1504,$B1325)&gt;1,"Takror",""))</f>
        <v/>
      </c>
    </row>
    <row r="1326" customFormat="false" ht="15" hidden="false" customHeight="false" outlineLevel="0" collapsed="false">
      <c r="A1326" s="8" t="n">
        <v>1322</v>
      </c>
      <c r="B1326" s="13"/>
      <c r="C1326" s="12"/>
      <c r="D1326" s="13"/>
      <c r="E1326" s="24"/>
      <c r="F1326" s="12"/>
      <c r="G1326" s="25"/>
      <c r="H1326" s="14" t="str">
        <f aca="false">IF(OR($D1326="",$B1326=""),"",INT(($B1326-$D1326)/365.25))</f>
        <v/>
      </c>
      <c r="I1326" s="25"/>
      <c r="J1326" s="12"/>
      <c r="K1326" s="12"/>
      <c r="L1326" s="14" t="str">
        <f aca="false">IF(OR($C1326="",$D1326="",$B1326=""),"",IF(COUNTIFS($C$5:$C$1504,$C1326,$D$5:$D$1504,$D1326,$B$5:$B$1504,$B1326)&gt;1,"Takror",""))</f>
        <v/>
      </c>
    </row>
    <row r="1327" customFormat="false" ht="15" hidden="false" customHeight="false" outlineLevel="0" collapsed="false">
      <c r="A1327" s="8" t="n">
        <v>1323</v>
      </c>
      <c r="B1327" s="13"/>
      <c r="C1327" s="12"/>
      <c r="D1327" s="13"/>
      <c r="E1327" s="24"/>
      <c r="F1327" s="12"/>
      <c r="G1327" s="25"/>
      <c r="H1327" s="14" t="str">
        <f aca="false">IF(OR($D1327="",$B1327=""),"",INT(($B1327-$D1327)/365.25))</f>
        <v/>
      </c>
      <c r="I1327" s="25"/>
      <c r="J1327" s="12"/>
      <c r="K1327" s="12"/>
      <c r="L1327" s="14" t="str">
        <f aca="false">IF(OR($C1327="",$D1327="",$B1327=""),"",IF(COUNTIFS($C$5:$C$1504,$C1327,$D$5:$D$1504,$D1327,$B$5:$B$1504,$B1327)&gt;1,"Takror",""))</f>
        <v/>
      </c>
    </row>
    <row r="1328" customFormat="false" ht="15" hidden="false" customHeight="false" outlineLevel="0" collapsed="false">
      <c r="A1328" s="8" t="n">
        <v>1324</v>
      </c>
      <c r="B1328" s="13"/>
      <c r="C1328" s="12"/>
      <c r="D1328" s="13"/>
      <c r="E1328" s="24"/>
      <c r="F1328" s="12"/>
      <c r="G1328" s="25"/>
      <c r="H1328" s="14" t="str">
        <f aca="false">IF(OR($D1328="",$B1328=""),"",INT(($B1328-$D1328)/365.25))</f>
        <v/>
      </c>
      <c r="I1328" s="25"/>
      <c r="J1328" s="12"/>
      <c r="K1328" s="12"/>
      <c r="L1328" s="14" t="str">
        <f aca="false">IF(OR($C1328="",$D1328="",$B1328=""),"",IF(COUNTIFS($C$5:$C$1504,$C1328,$D$5:$D$1504,$D1328,$B$5:$B$1504,$B1328)&gt;1,"Takror",""))</f>
        <v/>
      </c>
    </row>
    <row r="1329" customFormat="false" ht="15" hidden="false" customHeight="false" outlineLevel="0" collapsed="false">
      <c r="A1329" s="8" t="n">
        <v>1325</v>
      </c>
      <c r="B1329" s="13"/>
      <c r="C1329" s="12"/>
      <c r="D1329" s="13"/>
      <c r="E1329" s="24"/>
      <c r="F1329" s="12"/>
      <c r="G1329" s="25"/>
      <c r="H1329" s="14" t="str">
        <f aca="false">IF(OR($D1329="",$B1329=""),"",INT(($B1329-$D1329)/365.25))</f>
        <v/>
      </c>
      <c r="I1329" s="25"/>
      <c r="J1329" s="12"/>
      <c r="K1329" s="12"/>
      <c r="L1329" s="14" t="str">
        <f aca="false">IF(OR($C1329="",$D1329="",$B1329=""),"",IF(COUNTIFS($C$5:$C$1504,$C1329,$D$5:$D$1504,$D1329,$B$5:$B$1504,$B1329)&gt;1,"Takror",""))</f>
        <v/>
      </c>
    </row>
    <row r="1330" customFormat="false" ht="15" hidden="false" customHeight="false" outlineLevel="0" collapsed="false">
      <c r="A1330" s="8" t="n">
        <v>1326</v>
      </c>
      <c r="B1330" s="13"/>
      <c r="C1330" s="12"/>
      <c r="D1330" s="13"/>
      <c r="E1330" s="24"/>
      <c r="F1330" s="12"/>
      <c r="G1330" s="25"/>
      <c r="H1330" s="14" t="str">
        <f aca="false">IF(OR($D1330="",$B1330=""),"",INT(($B1330-$D1330)/365.25))</f>
        <v/>
      </c>
      <c r="I1330" s="25"/>
      <c r="J1330" s="12"/>
      <c r="K1330" s="12"/>
      <c r="L1330" s="14" t="str">
        <f aca="false">IF(OR($C1330="",$D1330="",$B1330=""),"",IF(COUNTIFS($C$5:$C$1504,$C1330,$D$5:$D$1504,$D1330,$B$5:$B$1504,$B1330)&gt;1,"Takror",""))</f>
        <v/>
      </c>
    </row>
    <row r="1331" customFormat="false" ht="15" hidden="false" customHeight="false" outlineLevel="0" collapsed="false">
      <c r="A1331" s="8" t="n">
        <v>1327</v>
      </c>
      <c r="B1331" s="13"/>
      <c r="C1331" s="12"/>
      <c r="D1331" s="13"/>
      <c r="E1331" s="24"/>
      <c r="F1331" s="12"/>
      <c r="G1331" s="25"/>
      <c r="H1331" s="14" t="str">
        <f aca="false">IF(OR($D1331="",$B1331=""),"",INT(($B1331-$D1331)/365.25))</f>
        <v/>
      </c>
      <c r="I1331" s="25"/>
      <c r="J1331" s="12"/>
      <c r="K1331" s="12"/>
      <c r="L1331" s="14" t="str">
        <f aca="false">IF(OR($C1331="",$D1331="",$B1331=""),"",IF(COUNTIFS($C$5:$C$1504,$C1331,$D$5:$D$1504,$D1331,$B$5:$B$1504,$B1331)&gt;1,"Takror",""))</f>
        <v/>
      </c>
    </row>
    <row r="1332" customFormat="false" ht="15" hidden="false" customHeight="false" outlineLevel="0" collapsed="false">
      <c r="A1332" s="8" t="n">
        <v>1328</v>
      </c>
      <c r="B1332" s="13"/>
      <c r="C1332" s="12"/>
      <c r="D1332" s="13"/>
      <c r="E1332" s="24"/>
      <c r="F1332" s="12"/>
      <c r="G1332" s="25"/>
      <c r="H1332" s="14" t="str">
        <f aca="false">IF(OR($D1332="",$B1332=""),"",INT(($B1332-$D1332)/365.25))</f>
        <v/>
      </c>
      <c r="I1332" s="25"/>
      <c r="J1332" s="12"/>
      <c r="K1332" s="12"/>
      <c r="L1332" s="14" t="str">
        <f aca="false">IF(OR($C1332="",$D1332="",$B1332=""),"",IF(COUNTIFS($C$5:$C$1504,$C1332,$D$5:$D$1504,$D1332,$B$5:$B$1504,$B1332)&gt;1,"Takror",""))</f>
        <v/>
      </c>
    </row>
    <row r="1333" customFormat="false" ht="15" hidden="false" customHeight="false" outlineLevel="0" collapsed="false">
      <c r="A1333" s="8" t="n">
        <v>1329</v>
      </c>
      <c r="B1333" s="13"/>
      <c r="C1333" s="12"/>
      <c r="D1333" s="13"/>
      <c r="E1333" s="24"/>
      <c r="F1333" s="12"/>
      <c r="G1333" s="25"/>
      <c r="H1333" s="14" t="str">
        <f aca="false">IF(OR($D1333="",$B1333=""),"",INT(($B1333-$D1333)/365.25))</f>
        <v/>
      </c>
      <c r="I1333" s="25"/>
      <c r="J1333" s="12"/>
      <c r="K1333" s="12"/>
      <c r="L1333" s="14" t="str">
        <f aca="false">IF(OR($C1333="",$D1333="",$B1333=""),"",IF(COUNTIFS($C$5:$C$1504,$C1333,$D$5:$D$1504,$D1333,$B$5:$B$1504,$B1333)&gt;1,"Takror",""))</f>
        <v/>
      </c>
    </row>
    <row r="1334" customFormat="false" ht="15" hidden="false" customHeight="false" outlineLevel="0" collapsed="false">
      <c r="A1334" s="8" t="n">
        <v>1330</v>
      </c>
      <c r="B1334" s="13"/>
      <c r="C1334" s="12"/>
      <c r="D1334" s="13"/>
      <c r="E1334" s="24"/>
      <c r="F1334" s="12"/>
      <c r="G1334" s="25"/>
      <c r="H1334" s="14" t="str">
        <f aca="false">IF(OR($D1334="",$B1334=""),"",INT(($B1334-$D1334)/365.25))</f>
        <v/>
      </c>
      <c r="I1334" s="25"/>
      <c r="J1334" s="12"/>
      <c r="K1334" s="12"/>
      <c r="L1334" s="14" t="str">
        <f aca="false">IF(OR($C1334="",$D1334="",$B1334=""),"",IF(COUNTIFS($C$5:$C$1504,$C1334,$D$5:$D$1504,$D1334,$B$5:$B$1504,$B1334)&gt;1,"Takror",""))</f>
        <v/>
      </c>
    </row>
    <row r="1335" customFormat="false" ht="15" hidden="false" customHeight="false" outlineLevel="0" collapsed="false">
      <c r="A1335" s="8" t="n">
        <v>1331</v>
      </c>
      <c r="B1335" s="13"/>
      <c r="C1335" s="12"/>
      <c r="D1335" s="13"/>
      <c r="E1335" s="24"/>
      <c r="F1335" s="12"/>
      <c r="G1335" s="25"/>
      <c r="H1335" s="14" t="str">
        <f aca="false">IF(OR($D1335="",$B1335=""),"",INT(($B1335-$D1335)/365.25))</f>
        <v/>
      </c>
      <c r="I1335" s="25"/>
      <c r="J1335" s="12"/>
      <c r="K1335" s="12"/>
      <c r="L1335" s="14" t="str">
        <f aca="false">IF(OR($C1335="",$D1335="",$B1335=""),"",IF(COUNTIFS($C$5:$C$1504,$C1335,$D$5:$D$1504,$D1335,$B$5:$B$1504,$B1335)&gt;1,"Takror",""))</f>
        <v/>
      </c>
    </row>
    <row r="1336" customFormat="false" ht="15" hidden="false" customHeight="false" outlineLevel="0" collapsed="false">
      <c r="A1336" s="8" t="n">
        <v>1332</v>
      </c>
      <c r="B1336" s="13"/>
      <c r="C1336" s="12"/>
      <c r="D1336" s="13"/>
      <c r="E1336" s="24"/>
      <c r="F1336" s="12"/>
      <c r="G1336" s="25"/>
      <c r="H1336" s="14" t="str">
        <f aca="false">IF(OR($D1336="",$B1336=""),"",INT(($B1336-$D1336)/365.25))</f>
        <v/>
      </c>
      <c r="I1336" s="25"/>
      <c r="J1336" s="12"/>
      <c r="K1336" s="12"/>
      <c r="L1336" s="14" t="str">
        <f aca="false">IF(OR($C1336="",$D1336="",$B1336=""),"",IF(COUNTIFS($C$5:$C$1504,$C1336,$D$5:$D$1504,$D1336,$B$5:$B$1504,$B1336)&gt;1,"Takror",""))</f>
        <v/>
      </c>
    </row>
    <row r="1337" customFormat="false" ht="15" hidden="false" customHeight="false" outlineLevel="0" collapsed="false">
      <c r="A1337" s="8" t="n">
        <v>1333</v>
      </c>
      <c r="B1337" s="13"/>
      <c r="C1337" s="12"/>
      <c r="D1337" s="13"/>
      <c r="E1337" s="24"/>
      <c r="F1337" s="12"/>
      <c r="G1337" s="25"/>
      <c r="H1337" s="14" t="str">
        <f aca="false">IF(OR($D1337="",$B1337=""),"",INT(($B1337-$D1337)/365.25))</f>
        <v/>
      </c>
      <c r="I1337" s="25"/>
      <c r="J1337" s="12"/>
      <c r="K1337" s="12"/>
      <c r="L1337" s="14" t="str">
        <f aca="false">IF(OR($C1337="",$D1337="",$B1337=""),"",IF(COUNTIFS($C$5:$C$1504,$C1337,$D$5:$D$1504,$D1337,$B$5:$B$1504,$B1337)&gt;1,"Takror",""))</f>
        <v/>
      </c>
    </row>
    <row r="1338" customFormat="false" ht="15" hidden="false" customHeight="false" outlineLevel="0" collapsed="false">
      <c r="A1338" s="8" t="n">
        <v>1334</v>
      </c>
      <c r="B1338" s="13"/>
      <c r="C1338" s="12"/>
      <c r="D1338" s="13"/>
      <c r="E1338" s="24"/>
      <c r="F1338" s="12"/>
      <c r="G1338" s="25"/>
      <c r="H1338" s="14" t="str">
        <f aca="false">IF(OR($D1338="",$B1338=""),"",INT(($B1338-$D1338)/365.25))</f>
        <v/>
      </c>
      <c r="I1338" s="25"/>
      <c r="J1338" s="12"/>
      <c r="K1338" s="12"/>
      <c r="L1338" s="14" t="str">
        <f aca="false">IF(OR($C1338="",$D1338="",$B1338=""),"",IF(COUNTIFS($C$5:$C$1504,$C1338,$D$5:$D$1504,$D1338,$B$5:$B$1504,$B1338)&gt;1,"Takror",""))</f>
        <v/>
      </c>
    </row>
    <row r="1339" customFormat="false" ht="15" hidden="false" customHeight="false" outlineLevel="0" collapsed="false">
      <c r="A1339" s="8" t="n">
        <v>1335</v>
      </c>
      <c r="B1339" s="13"/>
      <c r="C1339" s="12"/>
      <c r="D1339" s="13"/>
      <c r="E1339" s="24"/>
      <c r="F1339" s="12"/>
      <c r="G1339" s="25"/>
      <c r="H1339" s="14" t="str">
        <f aca="false">IF(OR($D1339="",$B1339=""),"",INT(($B1339-$D1339)/365.25))</f>
        <v/>
      </c>
      <c r="I1339" s="25"/>
      <c r="J1339" s="12"/>
      <c r="K1339" s="12"/>
      <c r="L1339" s="14" t="str">
        <f aca="false">IF(OR($C1339="",$D1339="",$B1339=""),"",IF(COUNTIFS($C$5:$C$1504,$C1339,$D$5:$D$1504,$D1339,$B$5:$B$1504,$B1339)&gt;1,"Takror",""))</f>
        <v/>
      </c>
    </row>
    <row r="1340" customFormat="false" ht="15" hidden="false" customHeight="false" outlineLevel="0" collapsed="false">
      <c r="A1340" s="8" t="n">
        <v>1336</v>
      </c>
      <c r="B1340" s="13"/>
      <c r="C1340" s="12"/>
      <c r="D1340" s="13"/>
      <c r="E1340" s="24"/>
      <c r="F1340" s="12"/>
      <c r="G1340" s="25"/>
      <c r="H1340" s="14" t="str">
        <f aca="false">IF(OR($D1340="",$B1340=""),"",INT(($B1340-$D1340)/365.25))</f>
        <v/>
      </c>
      <c r="I1340" s="25"/>
      <c r="J1340" s="12"/>
      <c r="K1340" s="12"/>
      <c r="L1340" s="14" t="str">
        <f aca="false">IF(OR($C1340="",$D1340="",$B1340=""),"",IF(COUNTIFS($C$5:$C$1504,$C1340,$D$5:$D$1504,$D1340,$B$5:$B$1504,$B1340)&gt;1,"Takror",""))</f>
        <v/>
      </c>
    </row>
    <row r="1341" customFormat="false" ht="15" hidden="false" customHeight="false" outlineLevel="0" collapsed="false">
      <c r="A1341" s="8" t="n">
        <v>1337</v>
      </c>
      <c r="B1341" s="13"/>
      <c r="C1341" s="12"/>
      <c r="D1341" s="13"/>
      <c r="E1341" s="24"/>
      <c r="F1341" s="12"/>
      <c r="G1341" s="25"/>
      <c r="H1341" s="14" t="str">
        <f aca="false">IF(OR($D1341="",$B1341=""),"",INT(($B1341-$D1341)/365.25))</f>
        <v/>
      </c>
      <c r="I1341" s="25"/>
      <c r="J1341" s="12"/>
      <c r="K1341" s="12"/>
      <c r="L1341" s="14" t="str">
        <f aca="false">IF(OR($C1341="",$D1341="",$B1341=""),"",IF(COUNTIFS($C$5:$C$1504,$C1341,$D$5:$D$1504,$D1341,$B$5:$B$1504,$B1341)&gt;1,"Takror",""))</f>
        <v/>
      </c>
    </row>
    <row r="1342" customFormat="false" ht="15" hidden="false" customHeight="false" outlineLevel="0" collapsed="false">
      <c r="A1342" s="8" t="n">
        <v>1338</v>
      </c>
      <c r="B1342" s="13"/>
      <c r="C1342" s="12"/>
      <c r="D1342" s="13"/>
      <c r="E1342" s="24"/>
      <c r="F1342" s="12"/>
      <c r="G1342" s="25"/>
      <c r="H1342" s="14" t="str">
        <f aca="false">IF(OR($D1342="",$B1342=""),"",INT(($B1342-$D1342)/365.25))</f>
        <v/>
      </c>
      <c r="I1342" s="25"/>
      <c r="J1342" s="12"/>
      <c r="K1342" s="12"/>
      <c r="L1342" s="14" t="str">
        <f aca="false">IF(OR($C1342="",$D1342="",$B1342=""),"",IF(COUNTIFS($C$5:$C$1504,$C1342,$D$5:$D$1504,$D1342,$B$5:$B$1504,$B1342)&gt;1,"Takror",""))</f>
        <v/>
      </c>
    </row>
    <row r="1343" customFormat="false" ht="15" hidden="false" customHeight="false" outlineLevel="0" collapsed="false">
      <c r="A1343" s="8" t="n">
        <v>1339</v>
      </c>
      <c r="B1343" s="13"/>
      <c r="C1343" s="12"/>
      <c r="D1343" s="13"/>
      <c r="E1343" s="24"/>
      <c r="F1343" s="12"/>
      <c r="G1343" s="25"/>
      <c r="H1343" s="14" t="str">
        <f aca="false">IF(OR($D1343="",$B1343=""),"",INT(($B1343-$D1343)/365.25))</f>
        <v/>
      </c>
      <c r="I1343" s="25"/>
      <c r="J1343" s="12"/>
      <c r="K1343" s="12"/>
      <c r="L1343" s="14" t="str">
        <f aca="false">IF(OR($C1343="",$D1343="",$B1343=""),"",IF(COUNTIFS($C$5:$C$1504,$C1343,$D$5:$D$1504,$D1343,$B$5:$B$1504,$B1343)&gt;1,"Takror",""))</f>
        <v/>
      </c>
    </row>
    <row r="1344" customFormat="false" ht="15" hidden="false" customHeight="false" outlineLevel="0" collapsed="false">
      <c r="A1344" s="8" t="n">
        <v>1340</v>
      </c>
      <c r="B1344" s="13"/>
      <c r="C1344" s="12"/>
      <c r="D1344" s="13"/>
      <c r="E1344" s="24"/>
      <c r="F1344" s="12"/>
      <c r="G1344" s="25"/>
      <c r="H1344" s="14" t="str">
        <f aca="false">IF(OR($D1344="",$B1344=""),"",INT(($B1344-$D1344)/365.25))</f>
        <v/>
      </c>
      <c r="I1344" s="25"/>
      <c r="J1344" s="12"/>
      <c r="K1344" s="12"/>
      <c r="L1344" s="14" t="str">
        <f aca="false">IF(OR($C1344="",$D1344="",$B1344=""),"",IF(COUNTIFS($C$5:$C$1504,$C1344,$D$5:$D$1504,$D1344,$B$5:$B$1504,$B1344)&gt;1,"Takror",""))</f>
        <v/>
      </c>
    </row>
    <row r="1345" customFormat="false" ht="15" hidden="false" customHeight="false" outlineLevel="0" collapsed="false">
      <c r="A1345" s="8" t="n">
        <v>1341</v>
      </c>
      <c r="B1345" s="13"/>
      <c r="C1345" s="12"/>
      <c r="D1345" s="13"/>
      <c r="E1345" s="24"/>
      <c r="F1345" s="12"/>
      <c r="G1345" s="25"/>
      <c r="H1345" s="14" t="str">
        <f aca="false">IF(OR($D1345="",$B1345=""),"",INT(($B1345-$D1345)/365.25))</f>
        <v/>
      </c>
      <c r="I1345" s="25"/>
      <c r="J1345" s="12"/>
      <c r="K1345" s="12"/>
      <c r="L1345" s="14" t="str">
        <f aca="false">IF(OR($C1345="",$D1345="",$B1345=""),"",IF(COUNTIFS($C$5:$C$1504,$C1345,$D$5:$D$1504,$D1345,$B$5:$B$1504,$B1345)&gt;1,"Takror",""))</f>
        <v/>
      </c>
    </row>
    <row r="1346" customFormat="false" ht="15" hidden="false" customHeight="false" outlineLevel="0" collapsed="false">
      <c r="A1346" s="8" t="n">
        <v>1342</v>
      </c>
      <c r="B1346" s="13"/>
      <c r="C1346" s="12"/>
      <c r="D1346" s="13"/>
      <c r="E1346" s="24"/>
      <c r="F1346" s="12"/>
      <c r="G1346" s="25"/>
      <c r="H1346" s="14" t="str">
        <f aca="false">IF(OR($D1346="",$B1346=""),"",INT(($B1346-$D1346)/365.25))</f>
        <v/>
      </c>
      <c r="I1346" s="25"/>
      <c r="J1346" s="12"/>
      <c r="K1346" s="12"/>
      <c r="L1346" s="14" t="str">
        <f aca="false">IF(OR($C1346="",$D1346="",$B1346=""),"",IF(COUNTIFS($C$5:$C$1504,$C1346,$D$5:$D$1504,$D1346,$B$5:$B$1504,$B1346)&gt;1,"Takror",""))</f>
        <v/>
      </c>
    </row>
    <row r="1347" customFormat="false" ht="15" hidden="false" customHeight="false" outlineLevel="0" collapsed="false">
      <c r="A1347" s="8" t="n">
        <v>1343</v>
      </c>
      <c r="B1347" s="13"/>
      <c r="C1347" s="12"/>
      <c r="D1347" s="13"/>
      <c r="E1347" s="24"/>
      <c r="F1347" s="12"/>
      <c r="G1347" s="25"/>
      <c r="H1347" s="14" t="str">
        <f aca="false">IF(OR($D1347="",$B1347=""),"",INT(($B1347-$D1347)/365.25))</f>
        <v/>
      </c>
      <c r="I1347" s="25"/>
      <c r="J1347" s="12"/>
      <c r="K1347" s="12"/>
      <c r="L1347" s="14" t="str">
        <f aca="false">IF(OR($C1347="",$D1347="",$B1347=""),"",IF(COUNTIFS($C$5:$C$1504,$C1347,$D$5:$D$1504,$D1347,$B$5:$B$1504,$B1347)&gt;1,"Takror",""))</f>
        <v/>
      </c>
    </row>
    <row r="1348" customFormat="false" ht="15" hidden="false" customHeight="false" outlineLevel="0" collapsed="false">
      <c r="A1348" s="8" t="n">
        <v>1344</v>
      </c>
      <c r="B1348" s="13"/>
      <c r="C1348" s="12"/>
      <c r="D1348" s="13"/>
      <c r="E1348" s="24"/>
      <c r="F1348" s="12"/>
      <c r="G1348" s="25"/>
      <c r="H1348" s="14" t="str">
        <f aca="false">IF(OR($D1348="",$B1348=""),"",INT(($B1348-$D1348)/365.25))</f>
        <v/>
      </c>
      <c r="I1348" s="25"/>
      <c r="J1348" s="12"/>
      <c r="K1348" s="12"/>
      <c r="L1348" s="14" t="str">
        <f aca="false">IF(OR($C1348="",$D1348="",$B1348=""),"",IF(COUNTIFS($C$5:$C$1504,$C1348,$D$5:$D$1504,$D1348,$B$5:$B$1504,$B1348)&gt;1,"Takror",""))</f>
        <v/>
      </c>
    </row>
    <row r="1349" customFormat="false" ht="15" hidden="false" customHeight="false" outlineLevel="0" collapsed="false">
      <c r="A1349" s="8" t="n">
        <v>1345</v>
      </c>
      <c r="B1349" s="13"/>
      <c r="C1349" s="12"/>
      <c r="D1349" s="13"/>
      <c r="E1349" s="24"/>
      <c r="F1349" s="12"/>
      <c r="G1349" s="25"/>
      <c r="H1349" s="14" t="str">
        <f aca="false">IF(OR($D1349="",$B1349=""),"",INT(($B1349-$D1349)/365.25))</f>
        <v/>
      </c>
      <c r="I1349" s="25"/>
      <c r="J1349" s="12"/>
      <c r="K1349" s="12"/>
      <c r="L1349" s="14" t="str">
        <f aca="false">IF(OR($C1349="",$D1349="",$B1349=""),"",IF(COUNTIFS($C$5:$C$1504,$C1349,$D$5:$D$1504,$D1349,$B$5:$B$1504,$B1349)&gt;1,"Takror",""))</f>
        <v/>
      </c>
    </row>
    <row r="1350" customFormat="false" ht="15" hidden="false" customHeight="false" outlineLevel="0" collapsed="false">
      <c r="A1350" s="8" t="n">
        <v>1346</v>
      </c>
      <c r="B1350" s="13"/>
      <c r="C1350" s="12"/>
      <c r="D1350" s="13"/>
      <c r="E1350" s="24"/>
      <c r="F1350" s="12"/>
      <c r="G1350" s="25"/>
      <c r="H1350" s="14" t="str">
        <f aca="false">IF(OR($D1350="",$B1350=""),"",INT(($B1350-$D1350)/365.25))</f>
        <v/>
      </c>
      <c r="I1350" s="25"/>
      <c r="J1350" s="12"/>
      <c r="K1350" s="12"/>
      <c r="L1350" s="14" t="str">
        <f aca="false">IF(OR($C1350="",$D1350="",$B1350=""),"",IF(COUNTIFS($C$5:$C$1504,$C1350,$D$5:$D$1504,$D1350,$B$5:$B$1504,$B1350)&gt;1,"Takror",""))</f>
        <v/>
      </c>
    </row>
    <row r="1351" customFormat="false" ht="15" hidden="false" customHeight="false" outlineLevel="0" collapsed="false">
      <c r="A1351" s="8" t="n">
        <v>1347</v>
      </c>
      <c r="B1351" s="13"/>
      <c r="C1351" s="12"/>
      <c r="D1351" s="13"/>
      <c r="E1351" s="24"/>
      <c r="F1351" s="12"/>
      <c r="G1351" s="25"/>
      <c r="H1351" s="14" t="str">
        <f aca="false">IF(OR($D1351="",$B1351=""),"",INT(($B1351-$D1351)/365.25))</f>
        <v/>
      </c>
      <c r="I1351" s="25"/>
      <c r="J1351" s="12"/>
      <c r="K1351" s="12"/>
      <c r="L1351" s="14" t="str">
        <f aca="false">IF(OR($C1351="",$D1351="",$B1351=""),"",IF(COUNTIFS($C$5:$C$1504,$C1351,$D$5:$D$1504,$D1351,$B$5:$B$1504,$B1351)&gt;1,"Takror",""))</f>
        <v/>
      </c>
    </row>
    <row r="1352" customFormat="false" ht="15" hidden="false" customHeight="false" outlineLevel="0" collapsed="false">
      <c r="A1352" s="8" t="n">
        <v>1348</v>
      </c>
      <c r="B1352" s="13"/>
      <c r="C1352" s="12"/>
      <c r="D1352" s="13"/>
      <c r="E1352" s="24"/>
      <c r="F1352" s="12"/>
      <c r="G1352" s="25"/>
      <c r="H1352" s="14" t="str">
        <f aca="false">IF(OR($D1352="",$B1352=""),"",INT(($B1352-$D1352)/365.25))</f>
        <v/>
      </c>
      <c r="I1352" s="25"/>
      <c r="J1352" s="12"/>
      <c r="K1352" s="12"/>
      <c r="L1352" s="14" t="str">
        <f aca="false">IF(OR($C1352="",$D1352="",$B1352=""),"",IF(COUNTIFS($C$5:$C$1504,$C1352,$D$5:$D$1504,$D1352,$B$5:$B$1504,$B1352)&gt;1,"Takror",""))</f>
        <v/>
      </c>
    </row>
    <row r="1353" customFormat="false" ht="15" hidden="false" customHeight="false" outlineLevel="0" collapsed="false">
      <c r="A1353" s="8" t="n">
        <v>1349</v>
      </c>
      <c r="B1353" s="13"/>
      <c r="C1353" s="12"/>
      <c r="D1353" s="13"/>
      <c r="E1353" s="24"/>
      <c r="F1353" s="12"/>
      <c r="G1353" s="25"/>
      <c r="H1353" s="14" t="str">
        <f aca="false">IF(OR($D1353="",$B1353=""),"",INT(($B1353-$D1353)/365.25))</f>
        <v/>
      </c>
      <c r="I1353" s="25"/>
      <c r="J1353" s="12"/>
      <c r="K1353" s="12"/>
      <c r="L1353" s="14" t="str">
        <f aca="false">IF(OR($C1353="",$D1353="",$B1353=""),"",IF(COUNTIFS($C$5:$C$1504,$C1353,$D$5:$D$1504,$D1353,$B$5:$B$1504,$B1353)&gt;1,"Takror",""))</f>
        <v/>
      </c>
    </row>
    <row r="1354" customFormat="false" ht="15" hidden="false" customHeight="false" outlineLevel="0" collapsed="false">
      <c r="A1354" s="8" t="n">
        <v>1350</v>
      </c>
      <c r="B1354" s="13"/>
      <c r="C1354" s="12"/>
      <c r="D1354" s="13"/>
      <c r="E1354" s="24"/>
      <c r="F1354" s="12"/>
      <c r="G1354" s="25"/>
      <c r="H1354" s="14" t="str">
        <f aca="false">IF(OR($D1354="",$B1354=""),"",INT(($B1354-$D1354)/365.25))</f>
        <v/>
      </c>
      <c r="I1354" s="25"/>
      <c r="J1354" s="12"/>
      <c r="K1354" s="12"/>
      <c r="L1354" s="14" t="str">
        <f aca="false">IF(OR($C1354="",$D1354="",$B1354=""),"",IF(COUNTIFS($C$5:$C$1504,$C1354,$D$5:$D$1504,$D1354,$B$5:$B$1504,$B1354)&gt;1,"Takror",""))</f>
        <v/>
      </c>
    </row>
    <row r="1355" customFormat="false" ht="15" hidden="false" customHeight="false" outlineLevel="0" collapsed="false">
      <c r="A1355" s="8" t="n">
        <v>1351</v>
      </c>
      <c r="B1355" s="13"/>
      <c r="C1355" s="12"/>
      <c r="D1355" s="13"/>
      <c r="E1355" s="24"/>
      <c r="F1355" s="12"/>
      <c r="G1355" s="25"/>
      <c r="H1355" s="14" t="str">
        <f aca="false">IF(OR($D1355="",$B1355=""),"",INT(($B1355-$D1355)/365.25))</f>
        <v/>
      </c>
      <c r="I1355" s="25"/>
      <c r="J1355" s="12"/>
      <c r="K1355" s="12"/>
      <c r="L1355" s="14" t="str">
        <f aca="false">IF(OR($C1355="",$D1355="",$B1355=""),"",IF(COUNTIFS($C$5:$C$1504,$C1355,$D$5:$D$1504,$D1355,$B$5:$B$1504,$B1355)&gt;1,"Takror",""))</f>
        <v/>
      </c>
    </row>
    <row r="1356" customFormat="false" ht="15" hidden="false" customHeight="false" outlineLevel="0" collapsed="false">
      <c r="A1356" s="8" t="n">
        <v>1352</v>
      </c>
      <c r="B1356" s="13"/>
      <c r="C1356" s="12"/>
      <c r="D1356" s="13"/>
      <c r="E1356" s="24"/>
      <c r="F1356" s="12"/>
      <c r="G1356" s="25"/>
      <c r="H1356" s="14" t="str">
        <f aca="false">IF(OR($D1356="",$B1356=""),"",INT(($B1356-$D1356)/365.25))</f>
        <v/>
      </c>
      <c r="I1356" s="25"/>
      <c r="J1356" s="12"/>
      <c r="K1356" s="12"/>
      <c r="L1356" s="14" t="str">
        <f aca="false">IF(OR($C1356="",$D1356="",$B1356=""),"",IF(COUNTIFS($C$5:$C$1504,$C1356,$D$5:$D$1504,$D1356,$B$5:$B$1504,$B1356)&gt;1,"Takror",""))</f>
        <v/>
      </c>
    </row>
    <row r="1357" customFormat="false" ht="15" hidden="false" customHeight="false" outlineLevel="0" collapsed="false">
      <c r="A1357" s="8" t="n">
        <v>1353</v>
      </c>
      <c r="B1357" s="13"/>
      <c r="C1357" s="12"/>
      <c r="D1357" s="13"/>
      <c r="E1357" s="24"/>
      <c r="F1357" s="12"/>
      <c r="G1357" s="25"/>
      <c r="H1357" s="14" t="str">
        <f aca="false">IF(OR($D1357="",$B1357=""),"",INT(($B1357-$D1357)/365.25))</f>
        <v/>
      </c>
      <c r="I1357" s="25"/>
      <c r="J1357" s="12"/>
      <c r="K1357" s="12"/>
      <c r="L1357" s="14" t="str">
        <f aca="false">IF(OR($C1357="",$D1357="",$B1357=""),"",IF(COUNTIFS($C$5:$C$1504,$C1357,$D$5:$D$1504,$D1357,$B$5:$B$1504,$B1357)&gt;1,"Takror",""))</f>
        <v/>
      </c>
    </row>
    <row r="1358" customFormat="false" ht="15" hidden="false" customHeight="false" outlineLevel="0" collapsed="false">
      <c r="A1358" s="8" t="n">
        <v>1354</v>
      </c>
      <c r="B1358" s="13"/>
      <c r="C1358" s="12"/>
      <c r="D1358" s="13"/>
      <c r="E1358" s="24"/>
      <c r="F1358" s="12"/>
      <c r="G1358" s="25"/>
      <c r="H1358" s="14" t="str">
        <f aca="false">IF(OR($D1358="",$B1358=""),"",INT(($B1358-$D1358)/365.25))</f>
        <v/>
      </c>
      <c r="I1358" s="25"/>
      <c r="J1358" s="12"/>
      <c r="K1358" s="12"/>
      <c r="L1358" s="14" t="str">
        <f aca="false">IF(OR($C1358="",$D1358="",$B1358=""),"",IF(COUNTIFS($C$5:$C$1504,$C1358,$D$5:$D$1504,$D1358,$B$5:$B$1504,$B1358)&gt;1,"Takror",""))</f>
        <v/>
      </c>
    </row>
    <row r="1359" customFormat="false" ht="15" hidden="false" customHeight="false" outlineLevel="0" collapsed="false">
      <c r="A1359" s="8" t="n">
        <v>1355</v>
      </c>
      <c r="B1359" s="13"/>
      <c r="C1359" s="12"/>
      <c r="D1359" s="13"/>
      <c r="E1359" s="24"/>
      <c r="F1359" s="12"/>
      <c r="G1359" s="25"/>
      <c r="H1359" s="14" t="str">
        <f aca="false">IF(OR($D1359="",$B1359=""),"",INT(($B1359-$D1359)/365.25))</f>
        <v/>
      </c>
      <c r="I1359" s="25"/>
      <c r="J1359" s="12"/>
      <c r="K1359" s="12"/>
      <c r="L1359" s="14" t="str">
        <f aca="false">IF(OR($C1359="",$D1359="",$B1359=""),"",IF(COUNTIFS($C$5:$C$1504,$C1359,$D$5:$D$1504,$D1359,$B$5:$B$1504,$B1359)&gt;1,"Takror",""))</f>
        <v/>
      </c>
    </row>
    <row r="1360" customFormat="false" ht="15" hidden="false" customHeight="false" outlineLevel="0" collapsed="false">
      <c r="A1360" s="8" t="n">
        <v>1356</v>
      </c>
      <c r="B1360" s="13"/>
      <c r="C1360" s="12"/>
      <c r="D1360" s="13"/>
      <c r="E1360" s="24"/>
      <c r="F1360" s="12"/>
      <c r="G1360" s="25"/>
      <c r="H1360" s="14" t="str">
        <f aca="false">IF(OR($D1360="",$B1360=""),"",INT(($B1360-$D1360)/365.25))</f>
        <v/>
      </c>
      <c r="I1360" s="25"/>
      <c r="J1360" s="12"/>
      <c r="K1360" s="12"/>
      <c r="L1360" s="14" t="str">
        <f aca="false">IF(OR($C1360="",$D1360="",$B1360=""),"",IF(COUNTIFS($C$5:$C$1504,$C1360,$D$5:$D$1504,$D1360,$B$5:$B$1504,$B1360)&gt;1,"Takror",""))</f>
        <v/>
      </c>
    </row>
    <row r="1361" customFormat="false" ht="15" hidden="false" customHeight="false" outlineLevel="0" collapsed="false">
      <c r="A1361" s="8" t="n">
        <v>1357</v>
      </c>
      <c r="B1361" s="13"/>
      <c r="C1361" s="12"/>
      <c r="D1361" s="13"/>
      <c r="E1361" s="24"/>
      <c r="F1361" s="12"/>
      <c r="G1361" s="25"/>
      <c r="H1361" s="14" t="str">
        <f aca="false">IF(OR($D1361="",$B1361=""),"",INT(($B1361-$D1361)/365.25))</f>
        <v/>
      </c>
      <c r="I1361" s="25"/>
      <c r="J1361" s="12"/>
      <c r="K1361" s="12"/>
      <c r="L1361" s="14" t="str">
        <f aca="false">IF(OR($C1361="",$D1361="",$B1361=""),"",IF(COUNTIFS($C$5:$C$1504,$C1361,$D$5:$D$1504,$D1361,$B$5:$B$1504,$B1361)&gt;1,"Takror",""))</f>
        <v/>
      </c>
    </row>
    <row r="1362" customFormat="false" ht="15" hidden="false" customHeight="false" outlineLevel="0" collapsed="false">
      <c r="A1362" s="8" t="n">
        <v>1358</v>
      </c>
      <c r="B1362" s="13"/>
      <c r="C1362" s="12"/>
      <c r="D1362" s="13"/>
      <c r="E1362" s="24"/>
      <c r="F1362" s="12"/>
      <c r="G1362" s="25"/>
      <c r="H1362" s="14" t="str">
        <f aca="false">IF(OR($D1362="",$B1362=""),"",INT(($B1362-$D1362)/365.25))</f>
        <v/>
      </c>
      <c r="I1362" s="25"/>
      <c r="J1362" s="12"/>
      <c r="K1362" s="12"/>
      <c r="L1362" s="14" t="str">
        <f aca="false">IF(OR($C1362="",$D1362="",$B1362=""),"",IF(COUNTIFS($C$5:$C$1504,$C1362,$D$5:$D$1504,$D1362,$B$5:$B$1504,$B1362)&gt;1,"Takror",""))</f>
        <v/>
      </c>
    </row>
    <row r="1363" customFormat="false" ht="15" hidden="false" customHeight="false" outlineLevel="0" collapsed="false">
      <c r="A1363" s="8" t="n">
        <v>1359</v>
      </c>
      <c r="B1363" s="13"/>
      <c r="C1363" s="12"/>
      <c r="D1363" s="13"/>
      <c r="E1363" s="24"/>
      <c r="F1363" s="12"/>
      <c r="G1363" s="25"/>
      <c r="H1363" s="14" t="str">
        <f aca="false">IF(OR($D1363="",$B1363=""),"",INT(($B1363-$D1363)/365.25))</f>
        <v/>
      </c>
      <c r="I1363" s="25"/>
      <c r="J1363" s="12"/>
      <c r="K1363" s="12"/>
      <c r="L1363" s="14" t="str">
        <f aca="false">IF(OR($C1363="",$D1363="",$B1363=""),"",IF(COUNTIFS($C$5:$C$1504,$C1363,$D$5:$D$1504,$D1363,$B$5:$B$1504,$B1363)&gt;1,"Takror",""))</f>
        <v/>
      </c>
    </row>
    <row r="1364" customFormat="false" ht="15" hidden="false" customHeight="false" outlineLevel="0" collapsed="false">
      <c r="A1364" s="8" t="n">
        <v>1360</v>
      </c>
      <c r="B1364" s="13"/>
      <c r="C1364" s="12"/>
      <c r="D1364" s="13"/>
      <c r="E1364" s="24"/>
      <c r="F1364" s="12"/>
      <c r="G1364" s="25"/>
      <c r="H1364" s="14" t="str">
        <f aca="false">IF(OR($D1364="",$B1364=""),"",INT(($B1364-$D1364)/365.25))</f>
        <v/>
      </c>
      <c r="I1364" s="25"/>
      <c r="J1364" s="12"/>
      <c r="K1364" s="12"/>
      <c r="L1364" s="14" t="str">
        <f aca="false">IF(OR($C1364="",$D1364="",$B1364=""),"",IF(COUNTIFS($C$5:$C$1504,$C1364,$D$5:$D$1504,$D1364,$B$5:$B$1504,$B1364)&gt;1,"Takror",""))</f>
        <v/>
      </c>
    </row>
    <row r="1365" customFormat="false" ht="15" hidden="false" customHeight="false" outlineLevel="0" collapsed="false">
      <c r="A1365" s="8" t="n">
        <v>1361</v>
      </c>
      <c r="B1365" s="13"/>
      <c r="C1365" s="12"/>
      <c r="D1365" s="13"/>
      <c r="E1365" s="24"/>
      <c r="F1365" s="12"/>
      <c r="G1365" s="25"/>
      <c r="H1365" s="14" t="str">
        <f aca="false">IF(OR($D1365="",$B1365=""),"",INT(($B1365-$D1365)/365.25))</f>
        <v/>
      </c>
      <c r="I1365" s="25"/>
      <c r="J1365" s="12"/>
      <c r="K1365" s="12"/>
      <c r="L1365" s="14" t="str">
        <f aca="false">IF(OR($C1365="",$D1365="",$B1365=""),"",IF(COUNTIFS($C$5:$C$1504,$C1365,$D$5:$D$1504,$D1365,$B$5:$B$1504,$B1365)&gt;1,"Takror",""))</f>
        <v/>
      </c>
    </row>
    <row r="1366" customFormat="false" ht="15" hidden="false" customHeight="false" outlineLevel="0" collapsed="false">
      <c r="A1366" s="8" t="n">
        <v>1362</v>
      </c>
      <c r="B1366" s="13"/>
      <c r="C1366" s="12"/>
      <c r="D1366" s="13"/>
      <c r="E1366" s="24"/>
      <c r="F1366" s="12"/>
      <c r="G1366" s="25"/>
      <c r="H1366" s="14" t="str">
        <f aca="false">IF(OR($D1366="",$B1366=""),"",INT(($B1366-$D1366)/365.25))</f>
        <v/>
      </c>
      <c r="I1366" s="25"/>
      <c r="J1366" s="12"/>
      <c r="K1366" s="12"/>
      <c r="L1366" s="14" t="str">
        <f aca="false">IF(OR($C1366="",$D1366="",$B1366=""),"",IF(COUNTIFS($C$5:$C$1504,$C1366,$D$5:$D$1504,$D1366,$B$5:$B$1504,$B1366)&gt;1,"Takror",""))</f>
        <v/>
      </c>
    </row>
    <row r="1367" customFormat="false" ht="15" hidden="false" customHeight="false" outlineLevel="0" collapsed="false">
      <c r="A1367" s="8" t="n">
        <v>1363</v>
      </c>
      <c r="B1367" s="13"/>
      <c r="C1367" s="12"/>
      <c r="D1367" s="13"/>
      <c r="E1367" s="24"/>
      <c r="F1367" s="12"/>
      <c r="G1367" s="25"/>
      <c r="H1367" s="14" t="str">
        <f aca="false">IF(OR($D1367="",$B1367=""),"",INT(($B1367-$D1367)/365.25))</f>
        <v/>
      </c>
      <c r="I1367" s="25"/>
      <c r="J1367" s="12"/>
      <c r="K1367" s="12"/>
      <c r="L1367" s="14" t="str">
        <f aca="false">IF(OR($C1367="",$D1367="",$B1367=""),"",IF(COUNTIFS($C$5:$C$1504,$C1367,$D$5:$D$1504,$D1367,$B$5:$B$1504,$B1367)&gt;1,"Takror",""))</f>
        <v/>
      </c>
    </row>
    <row r="1368" customFormat="false" ht="15" hidden="false" customHeight="false" outlineLevel="0" collapsed="false">
      <c r="A1368" s="8" t="n">
        <v>1364</v>
      </c>
      <c r="B1368" s="13"/>
      <c r="C1368" s="12"/>
      <c r="D1368" s="13"/>
      <c r="E1368" s="24"/>
      <c r="F1368" s="12"/>
      <c r="G1368" s="25"/>
      <c r="H1368" s="14" t="str">
        <f aca="false">IF(OR($D1368="",$B1368=""),"",INT(($B1368-$D1368)/365.25))</f>
        <v/>
      </c>
      <c r="I1368" s="25"/>
      <c r="J1368" s="12"/>
      <c r="K1368" s="12"/>
      <c r="L1368" s="14" t="str">
        <f aca="false">IF(OR($C1368="",$D1368="",$B1368=""),"",IF(COUNTIFS($C$5:$C$1504,$C1368,$D$5:$D$1504,$D1368,$B$5:$B$1504,$B1368)&gt;1,"Takror",""))</f>
        <v/>
      </c>
    </row>
    <row r="1369" customFormat="false" ht="15" hidden="false" customHeight="false" outlineLevel="0" collapsed="false">
      <c r="A1369" s="8" t="n">
        <v>1365</v>
      </c>
      <c r="B1369" s="13"/>
      <c r="C1369" s="12"/>
      <c r="D1369" s="13"/>
      <c r="E1369" s="24"/>
      <c r="F1369" s="12"/>
      <c r="G1369" s="25"/>
      <c r="H1369" s="14" t="str">
        <f aca="false">IF(OR($D1369="",$B1369=""),"",INT(($B1369-$D1369)/365.25))</f>
        <v/>
      </c>
      <c r="I1369" s="25"/>
      <c r="J1369" s="12"/>
      <c r="K1369" s="12"/>
      <c r="L1369" s="14" t="str">
        <f aca="false">IF(OR($C1369="",$D1369="",$B1369=""),"",IF(COUNTIFS($C$5:$C$1504,$C1369,$D$5:$D$1504,$D1369,$B$5:$B$1504,$B1369)&gt;1,"Takror",""))</f>
        <v/>
      </c>
    </row>
    <row r="1370" customFormat="false" ht="15" hidden="false" customHeight="false" outlineLevel="0" collapsed="false">
      <c r="A1370" s="8" t="n">
        <v>1366</v>
      </c>
      <c r="B1370" s="13"/>
      <c r="C1370" s="12"/>
      <c r="D1370" s="13"/>
      <c r="E1370" s="24"/>
      <c r="F1370" s="12"/>
      <c r="G1370" s="25"/>
      <c r="H1370" s="14" t="str">
        <f aca="false">IF(OR($D1370="",$B1370=""),"",INT(($B1370-$D1370)/365.25))</f>
        <v/>
      </c>
      <c r="I1370" s="25"/>
      <c r="J1370" s="12"/>
      <c r="K1370" s="12"/>
      <c r="L1370" s="14" t="str">
        <f aca="false">IF(OR($C1370="",$D1370="",$B1370=""),"",IF(COUNTIFS($C$5:$C$1504,$C1370,$D$5:$D$1504,$D1370,$B$5:$B$1504,$B1370)&gt;1,"Takror",""))</f>
        <v/>
      </c>
    </row>
    <row r="1371" customFormat="false" ht="15" hidden="false" customHeight="false" outlineLevel="0" collapsed="false">
      <c r="A1371" s="8" t="n">
        <v>1367</v>
      </c>
      <c r="B1371" s="13"/>
      <c r="C1371" s="12"/>
      <c r="D1371" s="13"/>
      <c r="E1371" s="24"/>
      <c r="F1371" s="12"/>
      <c r="G1371" s="25"/>
      <c r="H1371" s="14" t="str">
        <f aca="false">IF(OR($D1371="",$B1371=""),"",INT(($B1371-$D1371)/365.25))</f>
        <v/>
      </c>
      <c r="I1371" s="25"/>
      <c r="J1371" s="12"/>
      <c r="K1371" s="12"/>
      <c r="L1371" s="14" t="str">
        <f aca="false">IF(OR($C1371="",$D1371="",$B1371=""),"",IF(COUNTIFS($C$5:$C$1504,$C1371,$D$5:$D$1504,$D1371,$B$5:$B$1504,$B1371)&gt;1,"Takror",""))</f>
        <v/>
      </c>
    </row>
    <row r="1372" customFormat="false" ht="15" hidden="false" customHeight="false" outlineLevel="0" collapsed="false">
      <c r="A1372" s="8" t="n">
        <v>1368</v>
      </c>
      <c r="B1372" s="13"/>
      <c r="C1372" s="12"/>
      <c r="D1372" s="13"/>
      <c r="E1372" s="24"/>
      <c r="F1372" s="12"/>
      <c r="G1372" s="25"/>
      <c r="H1372" s="14" t="str">
        <f aca="false">IF(OR($D1372="",$B1372=""),"",INT(($B1372-$D1372)/365.25))</f>
        <v/>
      </c>
      <c r="I1372" s="25"/>
      <c r="J1372" s="12"/>
      <c r="K1372" s="12"/>
      <c r="L1372" s="14" t="str">
        <f aca="false">IF(OR($C1372="",$D1372="",$B1372=""),"",IF(COUNTIFS($C$5:$C$1504,$C1372,$D$5:$D$1504,$D1372,$B$5:$B$1504,$B1372)&gt;1,"Takror",""))</f>
        <v/>
      </c>
    </row>
    <row r="1373" customFormat="false" ht="15" hidden="false" customHeight="false" outlineLevel="0" collapsed="false">
      <c r="A1373" s="8" t="n">
        <v>1369</v>
      </c>
      <c r="B1373" s="13"/>
      <c r="C1373" s="12"/>
      <c r="D1373" s="13"/>
      <c r="E1373" s="24"/>
      <c r="F1373" s="12"/>
      <c r="G1373" s="25"/>
      <c r="H1373" s="14" t="str">
        <f aca="false">IF(OR($D1373="",$B1373=""),"",INT(($B1373-$D1373)/365.25))</f>
        <v/>
      </c>
      <c r="I1373" s="25"/>
      <c r="J1373" s="12"/>
      <c r="K1373" s="12"/>
      <c r="L1373" s="14" t="str">
        <f aca="false">IF(OR($C1373="",$D1373="",$B1373=""),"",IF(COUNTIFS($C$5:$C$1504,$C1373,$D$5:$D$1504,$D1373,$B$5:$B$1504,$B1373)&gt;1,"Takror",""))</f>
        <v/>
      </c>
    </row>
    <row r="1374" customFormat="false" ht="15" hidden="false" customHeight="false" outlineLevel="0" collapsed="false">
      <c r="A1374" s="8" t="n">
        <v>1370</v>
      </c>
      <c r="B1374" s="13"/>
      <c r="C1374" s="12"/>
      <c r="D1374" s="13"/>
      <c r="E1374" s="24"/>
      <c r="F1374" s="12"/>
      <c r="G1374" s="25"/>
      <c r="H1374" s="14" t="str">
        <f aca="false">IF(OR($D1374="",$B1374=""),"",INT(($B1374-$D1374)/365.25))</f>
        <v/>
      </c>
      <c r="I1374" s="25"/>
      <c r="J1374" s="12"/>
      <c r="K1374" s="12"/>
      <c r="L1374" s="14" t="str">
        <f aca="false">IF(OR($C1374="",$D1374="",$B1374=""),"",IF(COUNTIFS($C$5:$C$1504,$C1374,$D$5:$D$1504,$D1374,$B$5:$B$1504,$B1374)&gt;1,"Takror",""))</f>
        <v/>
      </c>
    </row>
    <row r="1375" customFormat="false" ht="15" hidden="false" customHeight="false" outlineLevel="0" collapsed="false">
      <c r="A1375" s="8" t="n">
        <v>1371</v>
      </c>
      <c r="B1375" s="13"/>
      <c r="C1375" s="12"/>
      <c r="D1375" s="13"/>
      <c r="E1375" s="24"/>
      <c r="F1375" s="12"/>
      <c r="G1375" s="25"/>
      <c r="H1375" s="14" t="str">
        <f aca="false">IF(OR($D1375="",$B1375=""),"",INT(($B1375-$D1375)/365.25))</f>
        <v/>
      </c>
      <c r="I1375" s="25"/>
      <c r="J1375" s="12"/>
      <c r="K1375" s="12"/>
      <c r="L1375" s="14" t="str">
        <f aca="false">IF(OR($C1375="",$D1375="",$B1375=""),"",IF(COUNTIFS($C$5:$C$1504,$C1375,$D$5:$D$1504,$D1375,$B$5:$B$1504,$B1375)&gt;1,"Takror",""))</f>
        <v/>
      </c>
    </row>
    <row r="1376" customFormat="false" ht="15" hidden="false" customHeight="false" outlineLevel="0" collapsed="false">
      <c r="A1376" s="8" t="n">
        <v>1372</v>
      </c>
      <c r="B1376" s="13"/>
      <c r="C1376" s="12"/>
      <c r="D1376" s="13"/>
      <c r="E1376" s="24"/>
      <c r="F1376" s="12"/>
      <c r="G1376" s="25"/>
      <c r="H1376" s="14" t="str">
        <f aca="false">IF(OR($D1376="",$B1376=""),"",INT(($B1376-$D1376)/365.25))</f>
        <v/>
      </c>
      <c r="I1376" s="25"/>
      <c r="J1376" s="12"/>
      <c r="K1376" s="12"/>
      <c r="L1376" s="14" t="str">
        <f aca="false">IF(OR($C1376="",$D1376="",$B1376=""),"",IF(COUNTIFS($C$5:$C$1504,$C1376,$D$5:$D$1504,$D1376,$B$5:$B$1504,$B1376)&gt;1,"Takror",""))</f>
        <v/>
      </c>
    </row>
    <row r="1377" customFormat="false" ht="15" hidden="false" customHeight="false" outlineLevel="0" collapsed="false">
      <c r="A1377" s="8" t="n">
        <v>1373</v>
      </c>
      <c r="B1377" s="13"/>
      <c r="C1377" s="12"/>
      <c r="D1377" s="13"/>
      <c r="E1377" s="24"/>
      <c r="F1377" s="12"/>
      <c r="G1377" s="25"/>
      <c r="H1377" s="14" t="str">
        <f aca="false">IF(OR($D1377="",$B1377=""),"",INT(($B1377-$D1377)/365.25))</f>
        <v/>
      </c>
      <c r="I1377" s="25"/>
      <c r="J1377" s="12"/>
      <c r="K1377" s="12"/>
      <c r="L1377" s="14" t="str">
        <f aca="false">IF(OR($C1377="",$D1377="",$B1377=""),"",IF(COUNTIFS($C$5:$C$1504,$C1377,$D$5:$D$1504,$D1377,$B$5:$B$1504,$B1377)&gt;1,"Takror",""))</f>
        <v/>
      </c>
    </row>
    <row r="1378" customFormat="false" ht="15" hidden="false" customHeight="false" outlineLevel="0" collapsed="false">
      <c r="A1378" s="8" t="n">
        <v>1374</v>
      </c>
      <c r="B1378" s="13"/>
      <c r="C1378" s="12"/>
      <c r="D1378" s="13"/>
      <c r="E1378" s="24"/>
      <c r="F1378" s="12"/>
      <c r="G1378" s="25"/>
      <c r="H1378" s="14" t="str">
        <f aca="false">IF(OR($D1378="",$B1378=""),"",INT(($B1378-$D1378)/365.25))</f>
        <v/>
      </c>
      <c r="I1378" s="25"/>
      <c r="J1378" s="12"/>
      <c r="K1378" s="12"/>
      <c r="L1378" s="14" t="str">
        <f aca="false">IF(OR($C1378="",$D1378="",$B1378=""),"",IF(COUNTIFS($C$5:$C$1504,$C1378,$D$5:$D$1504,$D1378,$B$5:$B$1504,$B1378)&gt;1,"Takror",""))</f>
        <v/>
      </c>
    </row>
    <row r="1379" customFormat="false" ht="15" hidden="false" customHeight="false" outlineLevel="0" collapsed="false">
      <c r="A1379" s="8" t="n">
        <v>1375</v>
      </c>
      <c r="B1379" s="13"/>
      <c r="C1379" s="12"/>
      <c r="D1379" s="13"/>
      <c r="E1379" s="24"/>
      <c r="F1379" s="12"/>
      <c r="G1379" s="25"/>
      <c r="H1379" s="14" t="str">
        <f aca="false">IF(OR($D1379="",$B1379=""),"",INT(($B1379-$D1379)/365.25))</f>
        <v/>
      </c>
      <c r="I1379" s="25"/>
      <c r="J1379" s="12"/>
      <c r="K1379" s="12"/>
      <c r="L1379" s="14" t="str">
        <f aca="false">IF(OR($C1379="",$D1379="",$B1379=""),"",IF(COUNTIFS($C$5:$C$1504,$C1379,$D$5:$D$1504,$D1379,$B$5:$B$1504,$B1379)&gt;1,"Takror",""))</f>
        <v/>
      </c>
    </row>
    <row r="1380" customFormat="false" ht="15" hidden="false" customHeight="false" outlineLevel="0" collapsed="false">
      <c r="A1380" s="8" t="n">
        <v>1376</v>
      </c>
      <c r="B1380" s="13"/>
      <c r="C1380" s="12"/>
      <c r="D1380" s="13"/>
      <c r="E1380" s="24"/>
      <c r="F1380" s="12"/>
      <c r="G1380" s="25"/>
      <c r="H1380" s="14" t="str">
        <f aca="false">IF(OR($D1380="",$B1380=""),"",INT(($B1380-$D1380)/365.25))</f>
        <v/>
      </c>
      <c r="I1380" s="25"/>
      <c r="J1380" s="12"/>
      <c r="K1380" s="12"/>
      <c r="L1380" s="14" t="str">
        <f aca="false">IF(OR($C1380="",$D1380="",$B1380=""),"",IF(COUNTIFS($C$5:$C$1504,$C1380,$D$5:$D$1504,$D1380,$B$5:$B$1504,$B1380)&gt;1,"Takror",""))</f>
        <v/>
      </c>
    </row>
    <row r="1381" customFormat="false" ht="15" hidden="false" customHeight="false" outlineLevel="0" collapsed="false">
      <c r="A1381" s="8" t="n">
        <v>1377</v>
      </c>
      <c r="B1381" s="13"/>
      <c r="C1381" s="12"/>
      <c r="D1381" s="13"/>
      <c r="E1381" s="24"/>
      <c r="F1381" s="12"/>
      <c r="G1381" s="25"/>
      <c r="H1381" s="14" t="str">
        <f aca="false">IF(OR($D1381="",$B1381=""),"",INT(($B1381-$D1381)/365.25))</f>
        <v/>
      </c>
      <c r="I1381" s="25"/>
      <c r="J1381" s="12"/>
      <c r="K1381" s="12"/>
      <c r="L1381" s="14" t="str">
        <f aca="false">IF(OR($C1381="",$D1381="",$B1381=""),"",IF(COUNTIFS($C$5:$C$1504,$C1381,$D$5:$D$1504,$D1381,$B$5:$B$1504,$B1381)&gt;1,"Takror",""))</f>
        <v/>
      </c>
    </row>
    <row r="1382" customFormat="false" ht="15" hidden="false" customHeight="false" outlineLevel="0" collapsed="false">
      <c r="A1382" s="8" t="n">
        <v>1378</v>
      </c>
      <c r="B1382" s="13"/>
      <c r="C1382" s="12"/>
      <c r="D1382" s="13"/>
      <c r="E1382" s="24"/>
      <c r="F1382" s="12"/>
      <c r="G1382" s="25"/>
      <c r="H1382" s="14" t="str">
        <f aca="false">IF(OR($D1382="",$B1382=""),"",INT(($B1382-$D1382)/365.25))</f>
        <v/>
      </c>
      <c r="I1382" s="25"/>
      <c r="J1382" s="12"/>
      <c r="K1382" s="12"/>
      <c r="L1382" s="14" t="str">
        <f aca="false">IF(OR($C1382="",$D1382="",$B1382=""),"",IF(COUNTIFS($C$5:$C$1504,$C1382,$D$5:$D$1504,$D1382,$B$5:$B$1504,$B1382)&gt;1,"Takror",""))</f>
        <v/>
      </c>
    </row>
    <row r="1383" customFormat="false" ht="15" hidden="false" customHeight="false" outlineLevel="0" collapsed="false">
      <c r="A1383" s="8" t="n">
        <v>1379</v>
      </c>
      <c r="B1383" s="13"/>
      <c r="C1383" s="12"/>
      <c r="D1383" s="13"/>
      <c r="E1383" s="24"/>
      <c r="F1383" s="12"/>
      <c r="G1383" s="25"/>
      <c r="H1383" s="14" t="str">
        <f aca="false">IF(OR($D1383="",$B1383=""),"",INT(($B1383-$D1383)/365.25))</f>
        <v/>
      </c>
      <c r="I1383" s="25"/>
      <c r="J1383" s="12"/>
      <c r="K1383" s="12"/>
      <c r="L1383" s="14" t="str">
        <f aca="false">IF(OR($C1383="",$D1383="",$B1383=""),"",IF(COUNTIFS($C$5:$C$1504,$C1383,$D$5:$D$1504,$D1383,$B$5:$B$1504,$B1383)&gt;1,"Takror",""))</f>
        <v/>
      </c>
    </row>
    <row r="1384" customFormat="false" ht="15" hidden="false" customHeight="false" outlineLevel="0" collapsed="false">
      <c r="A1384" s="8" t="n">
        <v>1380</v>
      </c>
      <c r="B1384" s="13"/>
      <c r="C1384" s="12"/>
      <c r="D1384" s="13"/>
      <c r="E1384" s="24"/>
      <c r="F1384" s="12"/>
      <c r="G1384" s="25"/>
      <c r="H1384" s="14" t="str">
        <f aca="false">IF(OR($D1384="",$B1384=""),"",INT(($B1384-$D1384)/365.25))</f>
        <v/>
      </c>
      <c r="I1384" s="25"/>
      <c r="J1384" s="12"/>
      <c r="K1384" s="12"/>
      <c r="L1384" s="14" t="str">
        <f aca="false">IF(OR($C1384="",$D1384="",$B1384=""),"",IF(COUNTIFS($C$5:$C$1504,$C1384,$D$5:$D$1504,$D1384,$B$5:$B$1504,$B1384)&gt;1,"Takror",""))</f>
        <v/>
      </c>
    </row>
    <row r="1385" customFormat="false" ht="15" hidden="false" customHeight="false" outlineLevel="0" collapsed="false">
      <c r="A1385" s="8" t="n">
        <v>1381</v>
      </c>
      <c r="B1385" s="13"/>
      <c r="C1385" s="12"/>
      <c r="D1385" s="13"/>
      <c r="E1385" s="24"/>
      <c r="F1385" s="12"/>
      <c r="G1385" s="25"/>
      <c r="H1385" s="14" t="str">
        <f aca="false">IF(OR($D1385="",$B1385=""),"",INT(($B1385-$D1385)/365.25))</f>
        <v/>
      </c>
      <c r="I1385" s="25"/>
      <c r="J1385" s="12"/>
      <c r="K1385" s="12"/>
      <c r="L1385" s="14" t="str">
        <f aca="false">IF(OR($C1385="",$D1385="",$B1385=""),"",IF(COUNTIFS($C$5:$C$1504,$C1385,$D$5:$D$1504,$D1385,$B$5:$B$1504,$B1385)&gt;1,"Takror",""))</f>
        <v/>
      </c>
    </row>
    <row r="1386" customFormat="false" ht="15" hidden="false" customHeight="false" outlineLevel="0" collapsed="false">
      <c r="A1386" s="8" t="n">
        <v>1382</v>
      </c>
      <c r="B1386" s="13"/>
      <c r="C1386" s="12"/>
      <c r="D1386" s="13"/>
      <c r="E1386" s="24"/>
      <c r="F1386" s="12"/>
      <c r="G1386" s="25"/>
      <c r="H1386" s="14" t="str">
        <f aca="false">IF(OR($D1386="",$B1386=""),"",INT(($B1386-$D1386)/365.25))</f>
        <v/>
      </c>
      <c r="I1386" s="25"/>
      <c r="J1386" s="12"/>
      <c r="K1386" s="12"/>
      <c r="L1386" s="14" t="str">
        <f aca="false">IF(OR($C1386="",$D1386="",$B1386=""),"",IF(COUNTIFS($C$5:$C$1504,$C1386,$D$5:$D$1504,$D1386,$B$5:$B$1504,$B1386)&gt;1,"Takror",""))</f>
        <v/>
      </c>
    </row>
    <row r="1387" customFormat="false" ht="15" hidden="false" customHeight="false" outlineLevel="0" collapsed="false">
      <c r="A1387" s="8" t="n">
        <v>1383</v>
      </c>
      <c r="B1387" s="13"/>
      <c r="C1387" s="12"/>
      <c r="D1387" s="13"/>
      <c r="E1387" s="24"/>
      <c r="F1387" s="12"/>
      <c r="G1387" s="25"/>
      <c r="H1387" s="14" t="str">
        <f aca="false">IF(OR($D1387="",$B1387=""),"",INT(($B1387-$D1387)/365.25))</f>
        <v/>
      </c>
      <c r="I1387" s="25"/>
      <c r="J1387" s="12"/>
      <c r="K1387" s="12"/>
      <c r="L1387" s="14" t="str">
        <f aca="false">IF(OR($C1387="",$D1387="",$B1387=""),"",IF(COUNTIFS($C$5:$C$1504,$C1387,$D$5:$D$1504,$D1387,$B$5:$B$1504,$B1387)&gt;1,"Takror",""))</f>
        <v/>
      </c>
    </row>
    <row r="1388" customFormat="false" ht="15" hidden="false" customHeight="false" outlineLevel="0" collapsed="false">
      <c r="A1388" s="8" t="n">
        <v>1384</v>
      </c>
      <c r="B1388" s="13"/>
      <c r="C1388" s="12"/>
      <c r="D1388" s="13"/>
      <c r="E1388" s="24"/>
      <c r="F1388" s="12"/>
      <c r="G1388" s="25"/>
      <c r="H1388" s="14" t="str">
        <f aca="false">IF(OR($D1388="",$B1388=""),"",INT(($B1388-$D1388)/365.25))</f>
        <v/>
      </c>
      <c r="I1388" s="25"/>
      <c r="J1388" s="12"/>
      <c r="K1388" s="12"/>
      <c r="L1388" s="14" t="str">
        <f aca="false">IF(OR($C1388="",$D1388="",$B1388=""),"",IF(COUNTIFS($C$5:$C$1504,$C1388,$D$5:$D$1504,$D1388,$B$5:$B$1504,$B1388)&gt;1,"Takror",""))</f>
        <v/>
      </c>
    </row>
    <row r="1389" customFormat="false" ht="15" hidden="false" customHeight="false" outlineLevel="0" collapsed="false">
      <c r="A1389" s="8" t="n">
        <v>1385</v>
      </c>
      <c r="B1389" s="13"/>
      <c r="C1389" s="12"/>
      <c r="D1389" s="13"/>
      <c r="E1389" s="24"/>
      <c r="F1389" s="12"/>
      <c r="G1389" s="25"/>
      <c r="H1389" s="14" t="str">
        <f aca="false">IF(OR($D1389="",$B1389=""),"",INT(($B1389-$D1389)/365.25))</f>
        <v/>
      </c>
      <c r="I1389" s="25"/>
      <c r="J1389" s="12"/>
      <c r="K1389" s="12"/>
      <c r="L1389" s="14" t="str">
        <f aca="false">IF(OR($C1389="",$D1389="",$B1389=""),"",IF(COUNTIFS($C$5:$C$1504,$C1389,$D$5:$D$1504,$D1389,$B$5:$B$1504,$B1389)&gt;1,"Takror",""))</f>
        <v/>
      </c>
    </row>
    <row r="1390" customFormat="false" ht="15" hidden="false" customHeight="false" outlineLevel="0" collapsed="false">
      <c r="A1390" s="8" t="n">
        <v>1386</v>
      </c>
      <c r="B1390" s="13"/>
      <c r="C1390" s="12"/>
      <c r="D1390" s="13"/>
      <c r="E1390" s="24"/>
      <c r="F1390" s="12"/>
      <c r="G1390" s="25"/>
      <c r="H1390" s="14" t="str">
        <f aca="false">IF(OR($D1390="",$B1390=""),"",INT(($B1390-$D1390)/365.25))</f>
        <v/>
      </c>
      <c r="I1390" s="25"/>
      <c r="J1390" s="12"/>
      <c r="K1390" s="12"/>
      <c r="L1390" s="14" t="str">
        <f aca="false">IF(OR($C1390="",$D1390="",$B1390=""),"",IF(COUNTIFS($C$5:$C$1504,$C1390,$D$5:$D$1504,$D1390,$B$5:$B$1504,$B1390)&gt;1,"Takror",""))</f>
        <v/>
      </c>
    </row>
    <row r="1391" customFormat="false" ht="15" hidden="false" customHeight="false" outlineLevel="0" collapsed="false">
      <c r="A1391" s="8" t="n">
        <v>1387</v>
      </c>
      <c r="B1391" s="13"/>
      <c r="C1391" s="12"/>
      <c r="D1391" s="13"/>
      <c r="E1391" s="24"/>
      <c r="F1391" s="12"/>
      <c r="G1391" s="25"/>
      <c r="H1391" s="14" t="str">
        <f aca="false">IF(OR($D1391="",$B1391=""),"",INT(($B1391-$D1391)/365.25))</f>
        <v/>
      </c>
      <c r="I1391" s="25"/>
      <c r="J1391" s="12"/>
      <c r="K1391" s="12"/>
      <c r="L1391" s="14" t="str">
        <f aca="false">IF(OR($C1391="",$D1391="",$B1391=""),"",IF(COUNTIFS($C$5:$C$1504,$C1391,$D$5:$D$1504,$D1391,$B$5:$B$1504,$B1391)&gt;1,"Takror",""))</f>
        <v/>
      </c>
    </row>
    <row r="1392" customFormat="false" ht="15" hidden="false" customHeight="false" outlineLevel="0" collapsed="false">
      <c r="A1392" s="8" t="n">
        <v>1388</v>
      </c>
      <c r="B1392" s="13"/>
      <c r="C1392" s="12"/>
      <c r="D1392" s="13"/>
      <c r="E1392" s="24"/>
      <c r="F1392" s="12"/>
      <c r="G1392" s="25"/>
      <c r="H1392" s="14" t="str">
        <f aca="false">IF(OR($D1392="",$B1392=""),"",INT(($B1392-$D1392)/365.25))</f>
        <v/>
      </c>
      <c r="I1392" s="25"/>
      <c r="J1392" s="12"/>
      <c r="K1392" s="12"/>
      <c r="L1392" s="14" t="str">
        <f aca="false">IF(OR($C1392="",$D1392="",$B1392=""),"",IF(COUNTIFS($C$5:$C$1504,$C1392,$D$5:$D$1504,$D1392,$B$5:$B$1504,$B1392)&gt;1,"Takror",""))</f>
        <v/>
      </c>
    </row>
    <row r="1393" customFormat="false" ht="15" hidden="false" customHeight="false" outlineLevel="0" collapsed="false">
      <c r="A1393" s="8" t="n">
        <v>1389</v>
      </c>
      <c r="B1393" s="13"/>
      <c r="C1393" s="12"/>
      <c r="D1393" s="13"/>
      <c r="E1393" s="24"/>
      <c r="F1393" s="12"/>
      <c r="G1393" s="25"/>
      <c r="H1393" s="14" t="str">
        <f aca="false">IF(OR($D1393="",$B1393=""),"",INT(($B1393-$D1393)/365.25))</f>
        <v/>
      </c>
      <c r="I1393" s="25"/>
      <c r="J1393" s="12"/>
      <c r="K1393" s="12"/>
      <c r="L1393" s="14" t="str">
        <f aca="false">IF(OR($C1393="",$D1393="",$B1393=""),"",IF(COUNTIFS($C$5:$C$1504,$C1393,$D$5:$D$1504,$D1393,$B$5:$B$1504,$B1393)&gt;1,"Takror",""))</f>
        <v/>
      </c>
    </row>
    <row r="1394" customFormat="false" ht="15" hidden="false" customHeight="false" outlineLevel="0" collapsed="false">
      <c r="A1394" s="8" t="n">
        <v>1390</v>
      </c>
      <c r="B1394" s="13"/>
      <c r="C1394" s="12"/>
      <c r="D1394" s="13"/>
      <c r="E1394" s="24"/>
      <c r="F1394" s="12"/>
      <c r="G1394" s="25"/>
      <c r="H1394" s="14" t="str">
        <f aca="false">IF(OR($D1394="",$B1394=""),"",INT(($B1394-$D1394)/365.25))</f>
        <v/>
      </c>
      <c r="I1394" s="25"/>
      <c r="J1394" s="12"/>
      <c r="K1394" s="12"/>
      <c r="L1394" s="14" t="str">
        <f aca="false">IF(OR($C1394="",$D1394="",$B1394=""),"",IF(COUNTIFS($C$5:$C$1504,$C1394,$D$5:$D$1504,$D1394,$B$5:$B$1504,$B1394)&gt;1,"Takror",""))</f>
        <v/>
      </c>
    </row>
    <row r="1395" customFormat="false" ht="15" hidden="false" customHeight="false" outlineLevel="0" collapsed="false">
      <c r="A1395" s="8" t="n">
        <v>1391</v>
      </c>
      <c r="B1395" s="13"/>
      <c r="C1395" s="12"/>
      <c r="D1395" s="13"/>
      <c r="E1395" s="24"/>
      <c r="F1395" s="12"/>
      <c r="G1395" s="25"/>
      <c r="H1395" s="14" t="str">
        <f aca="false">IF(OR($D1395="",$B1395=""),"",INT(($B1395-$D1395)/365.25))</f>
        <v/>
      </c>
      <c r="I1395" s="25"/>
      <c r="J1395" s="12"/>
      <c r="K1395" s="12"/>
      <c r="L1395" s="14" t="str">
        <f aca="false">IF(OR($C1395="",$D1395="",$B1395=""),"",IF(COUNTIFS($C$5:$C$1504,$C1395,$D$5:$D$1504,$D1395,$B$5:$B$1504,$B1395)&gt;1,"Takror",""))</f>
        <v/>
      </c>
    </row>
    <row r="1396" customFormat="false" ht="15" hidden="false" customHeight="false" outlineLevel="0" collapsed="false">
      <c r="A1396" s="8" t="n">
        <v>1392</v>
      </c>
      <c r="B1396" s="13"/>
      <c r="C1396" s="12"/>
      <c r="D1396" s="13"/>
      <c r="E1396" s="24"/>
      <c r="F1396" s="12"/>
      <c r="G1396" s="25"/>
      <c r="H1396" s="14" t="str">
        <f aca="false">IF(OR($D1396="",$B1396=""),"",INT(($B1396-$D1396)/365.25))</f>
        <v/>
      </c>
      <c r="I1396" s="25"/>
      <c r="J1396" s="12"/>
      <c r="K1396" s="12"/>
      <c r="L1396" s="14" t="str">
        <f aca="false">IF(OR($C1396="",$D1396="",$B1396=""),"",IF(COUNTIFS($C$5:$C$1504,$C1396,$D$5:$D$1504,$D1396,$B$5:$B$1504,$B1396)&gt;1,"Takror",""))</f>
        <v/>
      </c>
    </row>
    <row r="1397" customFormat="false" ht="15" hidden="false" customHeight="false" outlineLevel="0" collapsed="false">
      <c r="A1397" s="8" t="n">
        <v>1393</v>
      </c>
      <c r="B1397" s="13"/>
      <c r="C1397" s="12"/>
      <c r="D1397" s="13"/>
      <c r="E1397" s="24"/>
      <c r="F1397" s="12"/>
      <c r="G1397" s="25"/>
      <c r="H1397" s="14" t="str">
        <f aca="false">IF(OR($D1397="",$B1397=""),"",INT(($B1397-$D1397)/365.25))</f>
        <v/>
      </c>
      <c r="I1397" s="25"/>
      <c r="J1397" s="12"/>
      <c r="K1397" s="12"/>
      <c r="L1397" s="14" t="str">
        <f aca="false">IF(OR($C1397="",$D1397="",$B1397=""),"",IF(COUNTIFS($C$5:$C$1504,$C1397,$D$5:$D$1504,$D1397,$B$5:$B$1504,$B1397)&gt;1,"Takror",""))</f>
        <v/>
      </c>
    </row>
    <row r="1398" customFormat="false" ht="15" hidden="false" customHeight="false" outlineLevel="0" collapsed="false">
      <c r="A1398" s="8" t="n">
        <v>1394</v>
      </c>
      <c r="B1398" s="13"/>
      <c r="C1398" s="12"/>
      <c r="D1398" s="13"/>
      <c r="E1398" s="24"/>
      <c r="F1398" s="12"/>
      <c r="G1398" s="25"/>
      <c r="H1398" s="14" t="str">
        <f aca="false">IF(OR($D1398="",$B1398=""),"",INT(($B1398-$D1398)/365.25))</f>
        <v/>
      </c>
      <c r="I1398" s="25"/>
      <c r="J1398" s="12"/>
      <c r="K1398" s="12"/>
      <c r="L1398" s="14" t="str">
        <f aca="false">IF(OR($C1398="",$D1398="",$B1398=""),"",IF(COUNTIFS($C$5:$C$1504,$C1398,$D$5:$D$1504,$D1398,$B$5:$B$1504,$B1398)&gt;1,"Takror",""))</f>
        <v/>
      </c>
    </row>
    <row r="1399" customFormat="false" ht="15" hidden="false" customHeight="false" outlineLevel="0" collapsed="false">
      <c r="A1399" s="8" t="n">
        <v>1395</v>
      </c>
      <c r="B1399" s="13"/>
      <c r="C1399" s="12"/>
      <c r="D1399" s="13"/>
      <c r="E1399" s="24"/>
      <c r="F1399" s="12"/>
      <c r="G1399" s="25"/>
      <c r="H1399" s="14" t="str">
        <f aca="false">IF(OR($D1399="",$B1399=""),"",INT(($B1399-$D1399)/365.25))</f>
        <v/>
      </c>
      <c r="I1399" s="25"/>
      <c r="J1399" s="12"/>
      <c r="K1399" s="12"/>
      <c r="L1399" s="14" t="str">
        <f aca="false">IF(OR($C1399="",$D1399="",$B1399=""),"",IF(COUNTIFS($C$5:$C$1504,$C1399,$D$5:$D$1504,$D1399,$B$5:$B$1504,$B1399)&gt;1,"Takror",""))</f>
        <v/>
      </c>
    </row>
    <row r="1400" customFormat="false" ht="15" hidden="false" customHeight="false" outlineLevel="0" collapsed="false">
      <c r="A1400" s="8" t="n">
        <v>1396</v>
      </c>
      <c r="B1400" s="13"/>
      <c r="C1400" s="12"/>
      <c r="D1400" s="13"/>
      <c r="E1400" s="24"/>
      <c r="F1400" s="12"/>
      <c r="G1400" s="25"/>
      <c r="H1400" s="14" t="str">
        <f aca="false">IF(OR($D1400="",$B1400=""),"",INT(($B1400-$D1400)/365.25))</f>
        <v/>
      </c>
      <c r="I1400" s="25"/>
      <c r="J1400" s="12"/>
      <c r="K1400" s="12"/>
      <c r="L1400" s="14" t="str">
        <f aca="false">IF(OR($C1400="",$D1400="",$B1400=""),"",IF(COUNTIFS($C$5:$C$1504,$C1400,$D$5:$D$1504,$D1400,$B$5:$B$1504,$B1400)&gt;1,"Takror",""))</f>
        <v/>
      </c>
    </row>
    <row r="1401" customFormat="false" ht="15" hidden="false" customHeight="false" outlineLevel="0" collapsed="false">
      <c r="A1401" s="8" t="n">
        <v>1397</v>
      </c>
      <c r="B1401" s="13"/>
      <c r="C1401" s="12"/>
      <c r="D1401" s="13"/>
      <c r="E1401" s="24"/>
      <c r="F1401" s="12"/>
      <c r="G1401" s="25"/>
      <c r="H1401" s="14" t="str">
        <f aca="false">IF(OR($D1401="",$B1401=""),"",INT(($B1401-$D1401)/365.25))</f>
        <v/>
      </c>
      <c r="I1401" s="25"/>
      <c r="J1401" s="12"/>
      <c r="K1401" s="12"/>
      <c r="L1401" s="14" t="str">
        <f aca="false">IF(OR($C1401="",$D1401="",$B1401=""),"",IF(COUNTIFS($C$5:$C$1504,$C1401,$D$5:$D$1504,$D1401,$B$5:$B$1504,$B1401)&gt;1,"Takror",""))</f>
        <v/>
      </c>
    </row>
    <row r="1402" customFormat="false" ht="15" hidden="false" customHeight="false" outlineLevel="0" collapsed="false">
      <c r="A1402" s="8" t="n">
        <v>1398</v>
      </c>
      <c r="B1402" s="13"/>
      <c r="C1402" s="12"/>
      <c r="D1402" s="13"/>
      <c r="E1402" s="24"/>
      <c r="F1402" s="12"/>
      <c r="G1402" s="25"/>
      <c r="H1402" s="14" t="str">
        <f aca="false">IF(OR($D1402="",$B1402=""),"",INT(($B1402-$D1402)/365.25))</f>
        <v/>
      </c>
      <c r="I1402" s="25"/>
      <c r="J1402" s="12"/>
      <c r="K1402" s="12"/>
      <c r="L1402" s="14" t="str">
        <f aca="false">IF(OR($C1402="",$D1402="",$B1402=""),"",IF(COUNTIFS($C$5:$C$1504,$C1402,$D$5:$D$1504,$D1402,$B$5:$B$1504,$B1402)&gt;1,"Takror",""))</f>
        <v/>
      </c>
    </row>
    <row r="1403" customFormat="false" ht="15" hidden="false" customHeight="false" outlineLevel="0" collapsed="false">
      <c r="A1403" s="8" t="n">
        <v>1399</v>
      </c>
      <c r="B1403" s="13"/>
      <c r="C1403" s="12"/>
      <c r="D1403" s="13"/>
      <c r="E1403" s="24"/>
      <c r="F1403" s="12"/>
      <c r="G1403" s="25"/>
      <c r="H1403" s="14" t="str">
        <f aca="false">IF(OR($D1403="",$B1403=""),"",INT(($B1403-$D1403)/365.25))</f>
        <v/>
      </c>
      <c r="I1403" s="25"/>
      <c r="J1403" s="12"/>
      <c r="K1403" s="12"/>
      <c r="L1403" s="14" t="str">
        <f aca="false">IF(OR($C1403="",$D1403="",$B1403=""),"",IF(COUNTIFS($C$5:$C$1504,$C1403,$D$5:$D$1504,$D1403,$B$5:$B$1504,$B1403)&gt;1,"Takror",""))</f>
        <v/>
      </c>
    </row>
    <row r="1404" customFormat="false" ht="15" hidden="false" customHeight="false" outlineLevel="0" collapsed="false">
      <c r="A1404" s="8" t="n">
        <v>1400</v>
      </c>
      <c r="B1404" s="13"/>
      <c r="C1404" s="12"/>
      <c r="D1404" s="13"/>
      <c r="E1404" s="24"/>
      <c r="F1404" s="12"/>
      <c r="G1404" s="25"/>
      <c r="H1404" s="14" t="str">
        <f aca="false">IF(OR($D1404="",$B1404=""),"",INT(($B1404-$D1404)/365.25))</f>
        <v/>
      </c>
      <c r="I1404" s="25"/>
      <c r="J1404" s="12"/>
      <c r="K1404" s="12"/>
      <c r="L1404" s="14" t="str">
        <f aca="false">IF(OR($C1404="",$D1404="",$B1404=""),"",IF(COUNTIFS($C$5:$C$1504,$C1404,$D$5:$D$1504,$D1404,$B$5:$B$1504,$B1404)&gt;1,"Takror",""))</f>
        <v/>
      </c>
    </row>
    <row r="1405" customFormat="false" ht="15" hidden="false" customHeight="false" outlineLevel="0" collapsed="false">
      <c r="A1405" s="8" t="n">
        <v>1401</v>
      </c>
      <c r="B1405" s="13"/>
      <c r="C1405" s="12"/>
      <c r="D1405" s="13"/>
      <c r="E1405" s="24"/>
      <c r="F1405" s="12"/>
      <c r="G1405" s="25"/>
      <c r="H1405" s="14" t="str">
        <f aca="false">IF(OR($D1405="",$B1405=""),"",INT(($B1405-$D1405)/365.25))</f>
        <v/>
      </c>
      <c r="I1405" s="25"/>
      <c r="J1405" s="12"/>
      <c r="K1405" s="12"/>
      <c r="L1405" s="14" t="str">
        <f aca="false">IF(OR($C1405="",$D1405="",$B1405=""),"",IF(COUNTIFS($C$5:$C$1504,$C1405,$D$5:$D$1504,$D1405,$B$5:$B$1504,$B1405)&gt;1,"Takror",""))</f>
        <v/>
      </c>
    </row>
    <row r="1406" customFormat="false" ht="15" hidden="false" customHeight="false" outlineLevel="0" collapsed="false">
      <c r="A1406" s="8" t="n">
        <v>1402</v>
      </c>
      <c r="B1406" s="13"/>
      <c r="C1406" s="12"/>
      <c r="D1406" s="13"/>
      <c r="E1406" s="24"/>
      <c r="F1406" s="12"/>
      <c r="G1406" s="25"/>
      <c r="H1406" s="14" t="str">
        <f aca="false">IF(OR($D1406="",$B1406=""),"",INT(($B1406-$D1406)/365.25))</f>
        <v/>
      </c>
      <c r="I1406" s="25"/>
      <c r="J1406" s="12"/>
      <c r="K1406" s="12"/>
      <c r="L1406" s="14" t="str">
        <f aca="false">IF(OR($C1406="",$D1406="",$B1406=""),"",IF(COUNTIFS($C$5:$C$1504,$C1406,$D$5:$D$1504,$D1406,$B$5:$B$1504,$B1406)&gt;1,"Takror",""))</f>
        <v/>
      </c>
    </row>
    <row r="1407" customFormat="false" ht="15" hidden="false" customHeight="false" outlineLevel="0" collapsed="false">
      <c r="A1407" s="8" t="n">
        <v>1403</v>
      </c>
      <c r="B1407" s="13"/>
      <c r="C1407" s="12"/>
      <c r="D1407" s="13"/>
      <c r="E1407" s="24"/>
      <c r="F1407" s="12"/>
      <c r="G1407" s="25"/>
      <c r="H1407" s="14" t="str">
        <f aca="false">IF(OR($D1407="",$B1407=""),"",INT(($B1407-$D1407)/365.25))</f>
        <v/>
      </c>
      <c r="I1407" s="25"/>
      <c r="J1407" s="12"/>
      <c r="K1407" s="12"/>
      <c r="L1407" s="14" t="str">
        <f aca="false">IF(OR($C1407="",$D1407="",$B1407=""),"",IF(COUNTIFS($C$5:$C$1504,$C1407,$D$5:$D$1504,$D1407,$B$5:$B$1504,$B1407)&gt;1,"Takror",""))</f>
        <v/>
      </c>
    </row>
    <row r="1408" customFormat="false" ht="15" hidden="false" customHeight="false" outlineLevel="0" collapsed="false">
      <c r="A1408" s="8" t="n">
        <v>1404</v>
      </c>
      <c r="B1408" s="13"/>
      <c r="C1408" s="12"/>
      <c r="D1408" s="13"/>
      <c r="E1408" s="24"/>
      <c r="F1408" s="12"/>
      <c r="G1408" s="25"/>
      <c r="H1408" s="14" t="str">
        <f aca="false">IF(OR($D1408="",$B1408=""),"",INT(($B1408-$D1408)/365.25))</f>
        <v/>
      </c>
      <c r="I1408" s="25"/>
      <c r="J1408" s="12"/>
      <c r="K1408" s="12"/>
      <c r="L1408" s="14" t="str">
        <f aca="false">IF(OR($C1408="",$D1408="",$B1408=""),"",IF(COUNTIFS($C$5:$C$1504,$C1408,$D$5:$D$1504,$D1408,$B$5:$B$1504,$B1408)&gt;1,"Takror",""))</f>
        <v/>
      </c>
    </row>
    <row r="1409" customFormat="false" ht="15" hidden="false" customHeight="false" outlineLevel="0" collapsed="false">
      <c r="A1409" s="8" t="n">
        <v>1405</v>
      </c>
      <c r="B1409" s="13"/>
      <c r="C1409" s="12"/>
      <c r="D1409" s="13"/>
      <c r="E1409" s="24"/>
      <c r="F1409" s="12"/>
      <c r="G1409" s="25"/>
      <c r="H1409" s="14" t="str">
        <f aca="false">IF(OR($D1409="",$B1409=""),"",INT(($B1409-$D1409)/365.25))</f>
        <v/>
      </c>
      <c r="I1409" s="25"/>
      <c r="J1409" s="12"/>
      <c r="K1409" s="12"/>
      <c r="L1409" s="14" t="str">
        <f aca="false">IF(OR($C1409="",$D1409="",$B1409=""),"",IF(COUNTIFS($C$5:$C$1504,$C1409,$D$5:$D$1504,$D1409,$B$5:$B$1504,$B1409)&gt;1,"Takror",""))</f>
        <v/>
      </c>
    </row>
    <row r="1410" customFormat="false" ht="15" hidden="false" customHeight="false" outlineLevel="0" collapsed="false">
      <c r="A1410" s="8" t="n">
        <v>1406</v>
      </c>
      <c r="B1410" s="13"/>
      <c r="C1410" s="12"/>
      <c r="D1410" s="13"/>
      <c r="E1410" s="24"/>
      <c r="F1410" s="12"/>
      <c r="G1410" s="25"/>
      <c r="H1410" s="14" t="str">
        <f aca="false">IF(OR($D1410="",$B1410=""),"",INT(($B1410-$D1410)/365.25))</f>
        <v/>
      </c>
      <c r="I1410" s="25"/>
      <c r="J1410" s="12"/>
      <c r="K1410" s="12"/>
      <c r="L1410" s="14" t="str">
        <f aca="false">IF(OR($C1410="",$D1410="",$B1410=""),"",IF(COUNTIFS($C$5:$C$1504,$C1410,$D$5:$D$1504,$D1410,$B$5:$B$1504,$B1410)&gt;1,"Takror",""))</f>
        <v/>
      </c>
    </row>
    <row r="1411" customFormat="false" ht="15" hidden="false" customHeight="false" outlineLevel="0" collapsed="false">
      <c r="A1411" s="8" t="n">
        <v>1407</v>
      </c>
      <c r="B1411" s="13"/>
      <c r="C1411" s="12"/>
      <c r="D1411" s="13"/>
      <c r="E1411" s="24"/>
      <c r="F1411" s="12"/>
      <c r="G1411" s="25"/>
      <c r="H1411" s="14" t="str">
        <f aca="false">IF(OR($D1411="",$B1411=""),"",INT(($B1411-$D1411)/365.25))</f>
        <v/>
      </c>
      <c r="I1411" s="25"/>
      <c r="J1411" s="12"/>
      <c r="K1411" s="12"/>
      <c r="L1411" s="14" t="str">
        <f aca="false">IF(OR($C1411="",$D1411="",$B1411=""),"",IF(COUNTIFS($C$5:$C$1504,$C1411,$D$5:$D$1504,$D1411,$B$5:$B$1504,$B1411)&gt;1,"Takror",""))</f>
        <v/>
      </c>
    </row>
    <row r="1412" customFormat="false" ht="15" hidden="false" customHeight="false" outlineLevel="0" collapsed="false">
      <c r="A1412" s="8" t="n">
        <v>1408</v>
      </c>
      <c r="B1412" s="13"/>
      <c r="C1412" s="12"/>
      <c r="D1412" s="13"/>
      <c r="E1412" s="24"/>
      <c r="F1412" s="12"/>
      <c r="G1412" s="25"/>
      <c r="H1412" s="14" t="str">
        <f aca="false">IF(OR($D1412="",$B1412=""),"",INT(($B1412-$D1412)/365.25))</f>
        <v/>
      </c>
      <c r="I1412" s="25"/>
      <c r="J1412" s="12"/>
      <c r="K1412" s="12"/>
      <c r="L1412" s="14" t="str">
        <f aca="false">IF(OR($C1412="",$D1412="",$B1412=""),"",IF(COUNTIFS($C$5:$C$1504,$C1412,$D$5:$D$1504,$D1412,$B$5:$B$1504,$B1412)&gt;1,"Takror",""))</f>
        <v/>
      </c>
    </row>
    <row r="1413" customFormat="false" ht="15" hidden="false" customHeight="false" outlineLevel="0" collapsed="false">
      <c r="A1413" s="8" t="n">
        <v>1409</v>
      </c>
      <c r="B1413" s="13"/>
      <c r="C1413" s="12"/>
      <c r="D1413" s="13"/>
      <c r="E1413" s="24"/>
      <c r="F1413" s="12"/>
      <c r="G1413" s="25"/>
      <c r="H1413" s="14" t="str">
        <f aca="false">IF(OR($D1413="",$B1413=""),"",INT(($B1413-$D1413)/365.25))</f>
        <v/>
      </c>
      <c r="I1413" s="25"/>
      <c r="J1413" s="12"/>
      <c r="K1413" s="12"/>
      <c r="L1413" s="14" t="str">
        <f aca="false">IF(OR($C1413="",$D1413="",$B1413=""),"",IF(COUNTIFS($C$5:$C$1504,$C1413,$D$5:$D$1504,$D1413,$B$5:$B$1504,$B1413)&gt;1,"Takror",""))</f>
        <v/>
      </c>
    </row>
    <row r="1414" customFormat="false" ht="15" hidden="false" customHeight="false" outlineLevel="0" collapsed="false">
      <c r="A1414" s="8" t="n">
        <v>1410</v>
      </c>
      <c r="B1414" s="13"/>
      <c r="C1414" s="12"/>
      <c r="D1414" s="13"/>
      <c r="E1414" s="24"/>
      <c r="F1414" s="12"/>
      <c r="G1414" s="25"/>
      <c r="H1414" s="14" t="str">
        <f aca="false">IF(OR($D1414="",$B1414=""),"",INT(($B1414-$D1414)/365.25))</f>
        <v/>
      </c>
      <c r="I1414" s="25"/>
      <c r="J1414" s="12"/>
      <c r="K1414" s="12"/>
      <c r="L1414" s="14" t="str">
        <f aca="false">IF(OR($C1414="",$D1414="",$B1414=""),"",IF(COUNTIFS($C$5:$C$1504,$C1414,$D$5:$D$1504,$D1414,$B$5:$B$1504,$B1414)&gt;1,"Takror",""))</f>
        <v/>
      </c>
    </row>
    <row r="1415" customFormat="false" ht="15" hidden="false" customHeight="false" outlineLevel="0" collapsed="false">
      <c r="A1415" s="8" t="n">
        <v>1411</v>
      </c>
      <c r="B1415" s="13"/>
      <c r="C1415" s="12"/>
      <c r="D1415" s="13"/>
      <c r="E1415" s="24"/>
      <c r="F1415" s="12"/>
      <c r="G1415" s="25"/>
      <c r="H1415" s="14" t="str">
        <f aca="false">IF(OR($D1415="",$B1415=""),"",INT(($B1415-$D1415)/365.25))</f>
        <v/>
      </c>
      <c r="I1415" s="25"/>
      <c r="J1415" s="12"/>
      <c r="K1415" s="12"/>
      <c r="L1415" s="14" t="str">
        <f aca="false">IF(OR($C1415="",$D1415="",$B1415=""),"",IF(COUNTIFS($C$5:$C$1504,$C1415,$D$5:$D$1504,$D1415,$B$5:$B$1504,$B1415)&gt;1,"Takror",""))</f>
        <v/>
      </c>
    </row>
    <row r="1416" customFormat="false" ht="15" hidden="false" customHeight="false" outlineLevel="0" collapsed="false">
      <c r="A1416" s="8" t="n">
        <v>1412</v>
      </c>
      <c r="B1416" s="13"/>
      <c r="C1416" s="12"/>
      <c r="D1416" s="13"/>
      <c r="E1416" s="24"/>
      <c r="F1416" s="12"/>
      <c r="G1416" s="25"/>
      <c r="H1416" s="14" t="str">
        <f aca="false">IF(OR($D1416="",$B1416=""),"",INT(($B1416-$D1416)/365.25))</f>
        <v/>
      </c>
      <c r="I1416" s="25"/>
      <c r="J1416" s="12"/>
      <c r="K1416" s="12"/>
      <c r="L1416" s="14" t="str">
        <f aca="false">IF(OR($C1416="",$D1416="",$B1416=""),"",IF(COUNTIFS($C$5:$C$1504,$C1416,$D$5:$D$1504,$D1416,$B$5:$B$1504,$B1416)&gt;1,"Takror",""))</f>
        <v/>
      </c>
    </row>
    <row r="1417" customFormat="false" ht="15" hidden="false" customHeight="false" outlineLevel="0" collapsed="false">
      <c r="A1417" s="8" t="n">
        <v>1413</v>
      </c>
      <c r="B1417" s="13"/>
      <c r="C1417" s="12"/>
      <c r="D1417" s="13"/>
      <c r="E1417" s="24"/>
      <c r="F1417" s="12"/>
      <c r="G1417" s="25"/>
      <c r="H1417" s="14" t="str">
        <f aca="false">IF(OR($D1417="",$B1417=""),"",INT(($B1417-$D1417)/365.25))</f>
        <v/>
      </c>
      <c r="I1417" s="25"/>
      <c r="J1417" s="12"/>
      <c r="K1417" s="12"/>
      <c r="L1417" s="14" t="str">
        <f aca="false">IF(OR($C1417="",$D1417="",$B1417=""),"",IF(COUNTIFS($C$5:$C$1504,$C1417,$D$5:$D$1504,$D1417,$B$5:$B$1504,$B1417)&gt;1,"Takror",""))</f>
        <v/>
      </c>
    </row>
    <row r="1418" customFormat="false" ht="15" hidden="false" customHeight="false" outlineLevel="0" collapsed="false">
      <c r="A1418" s="8" t="n">
        <v>1414</v>
      </c>
      <c r="B1418" s="13"/>
      <c r="C1418" s="12"/>
      <c r="D1418" s="13"/>
      <c r="E1418" s="24"/>
      <c r="F1418" s="12"/>
      <c r="G1418" s="25"/>
      <c r="H1418" s="14" t="str">
        <f aca="false">IF(OR($D1418="",$B1418=""),"",INT(($B1418-$D1418)/365.25))</f>
        <v/>
      </c>
      <c r="I1418" s="25"/>
      <c r="J1418" s="12"/>
      <c r="K1418" s="12"/>
      <c r="L1418" s="14" t="str">
        <f aca="false">IF(OR($C1418="",$D1418="",$B1418=""),"",IF(COUNTIFS($C$5:$C$1504,$C1418,$D$5:$D$1504,$D1418,$B$5:$B$1504,$B1418)&gt;1,"Takror",""))</f>
        <v/>
      </c>
    </row>
    <row r="1419" customFormat="false" ht="15" hidden="false" customHeight="false" outlineLevel="0" collapsed="false">
      <c r="A1419" s="8" t="n">
        <v>1415</v>
      </c>
      <c r="B1419" s="13"/>
      <c r="C1419" s="12"/>
      <c r="D1419" s="13"/>
      <c r="E1419" s="24"/>
      <c r="F1419" s="12"/>
      <c r="G1419" s="25"/>
      <c r="H1419" s="14" t="str">
        <f aca="false">IF(OR($D1419="",$B1419=""),"",INT(($B1419-$D1419)/365.25))</f>
        <v/>
      </c>
      <c r="I1419" s="25"/>
      <c r="J1419" s="12"/>
      <c r="K1419" s="12"/>
      <c r="L1419" s="14" t="str">
        <f aca="false">IF(OR($C1419="",$D1419="",$B1419=""),"",IF(COUNTIFS($C$5:$C$1504,$C1419,$D$5:$D$1504,$D1419,$B$5:$B$1504,$B1419)&gt;1,"Takror",""))</f>
        <v/>
      </c>
    </row>
    <row r="1420" customFormat="false" ht="15" hidden="false" customHeight="false" outlineLevel="0" collapsed="false">
      <c r="A1420" s="8" t="n">
        <v>1416</v>
      </c>
      <c r="B1420" s="13"/>
      <c r="C1420" s="12"/>
      <c r="D1420" s="13"/>
      <c r="E1420" s="24"/>
      <c r="F1420" s="12"/>
      <c r="G1420" s="25"/>
      <c r="H1420" s="14" t="str">
        <f aca="false">IF(OR($D1420="",$B1420=""),"",INT(($B1420-$D1420)/365.25))</f>
        <v/>
      </c>
      <c r="I1420" s="25"/>
      <c r="J1420" s="12"/>
      <c r="K1420" s="12"/>
      <c r="L1420" s="14" t="str">
        <f aca="false">IF(OR($C1420="",$D1420="",$B1420=""),"",IF(COUNTIFS($C$5:$C$1504,$C1420,$D$5:$D$1504,$D1420,$B$5:$B$1504,$B1420)&gt;1,"Takror",""))</f>
        <v/>
      </c>
    </row>
    <row r="1421" customFormat="false" ht="15" hidden="false" customHeight="false" outlineLevel="0" collapsed="false">
      <c r="A1421" s="8" t="n">
        <v>1417</v>
      </c>
      <c r="B1421" s="13"/>
      <c r="C1421" s="12"/>
      <c r="D1421" s="13"/>
      <c r="E1421" s="24"/>
      <c r="F1421" s="12"/>
      <c r="G1421" s="25"/>
      <c r="H1421" s="14" t="str">
        <f aca="false">IF(OR($D1421="",$B1421=""),"",INT(($B1421-$D1421)/365.25))</f>
        <v/>
      </c>
      <c r="I1421" s="25"/>
      <c r="J1421" s="12"/>
      <c r="K1421" s="12"/>
      <c r="L1421" s="14" t="str">
        <f aca="false">IF(OR($C1421="",$D1421="",$B1421=""),"",IF(COUNTIFS($C$5:$C$1504,$C1421,$D$5:$D$1504,$D1421,$B$5:$B$1504,$B1421)&gt;1,"Takror",""))</f>
        <v/>
      </c>
    </row>
    <row r="1422" customFormat="false" ht="15" hidden="false" customHeight="false" outlineLevel="0" collapsed="false">
      <c r="A1422" s="8" t="n">
        <v>1418</v>
      </c>
      <c r="B1422" s="13"/>
      <c r="C1422" s="12"/>
      <c r="D1422" s="13"/>
      <c r="E1422" s="24"/>
      <c r="F1422" s="12"/>
      <c r="G1422" s="25"/>
      <c r="H1422" s="14" t="str">
        <f aca="false">IF(OR($D1422="",$B1422=""),"",INT(($B1422-$D1422)/365.25))</f>
        <v/>
      </c>
      <c r="I1422" s="25"/>
      <c r="J1422" s="12"/>
      <c r="K1422" s="12"/>
      <c r="L1422" s="14" t="str">
        <f aca="false">IF(OR($C1422="",$D1422="",$B1422=""),"",IF(COUNTIFS($C$5:$C$1504,$C1422,$D$5:$D$1504,$D1422,$B$5:$B$1504,$B1422)&gt;1,"Takror",""))</f>
        <v/>
      </c>
    </row>
    <row r="1423" customFormat="false" ht="15" hidden="false" customHeight="false" outlineLevel="0" collapsed="false">
      <c r="A1423" s="8" t="n">
        <v>1419</v>
      </c>
      <c r="B1423" s="13"/>
      <c r="C1423" s="12"/>
      <c r="D1423" s="13"/>
      <c r="E1423" s="24"/>
      <c r="F1423" s="12"/>
      <c r="G1423" s="25"/>
      <c r="H1423" s="14" t="str">
        <f aca="false">IF(OR($D1423="",$B1423=""),"",INT(($B1423-$D1423)/365.25))</f>
        <v/>
      </c>
      <c r="I1423" s="25"/>
      <c r="J1423" s="12"/>
      <c r="K1423" s="12"/>
      <c r="L1423" s="14" t="str">
        <f aca="false">IF(OR($C1423="",$D1423="",$B1423=""),"",IF(COUNTIFS($C$5:$C$1504,$C1423,$D$5:$D$1504,$D1423,$B$5:$B$1504,$B1423)&gt;1,"Takror",""))</f>
        <v/>
      </c>
    </row>
    <row r="1424" customFormat="false" ht="15" hidden="false" customHeight="false" outlineLevel="0" collapsed="false">
      <c r="A1424" s="8" t="n">
        <v>1420</v>
      </c>
      <c r="B1424" s="13"/>
      <c r="C1424" s="12"/>
      <c r="D1424" s="13"/>
      <c r="E1424" s="24"/>
      <c r="F1424" s="12"/>
      <c r="G1424" s="25"/>
      <c r="H1424" s="14" t="str">
        <f aca="false">IF(OR($D1424="",$B1424=""),"",INT(($B1424-$D1424)/365.25))</f>
        <v/>
      </c>
      <c r="I1424" s="25"/>
      <c r="J1424" s="12"/>
      <c r="K1424" s="12"/>
      <c r="L1424" s="14" t="str">
        <f aca="false">IF(OR($C1424="",$D1424="",$B1424=""),"",IF(COUNTIFS($C$5:$C$1504,$C1424,$D$5:$D$1504,$D1424,$B$5:$B$1504,$B1424)&gt;1,"Takror",""))</f>
        <v/>
      </c>
    </row>
    <row r="1425" customFormat="false" ht="15" hidden="false" customHeight="false" outlineLevel="0" collapsed="false">
      <c r="A1425" s="8" t="n">
        <v>1421</v>
      </c>
      <c r="B1425" s="13"/>
      <c r="C1425" s="12"/>
      <c r="D1425" s="13"/>
      <c r="E1425" s="24"/>
      <c r="F1425" s="12"/>
      <c r="G1425" s="25"/>
      <c r="H1425" s="14" t="str">
        <f aca="false">IF(OR($D1425="",$B1425=""),"",INT(($B1425-$D1425)/365.25))</f>
        <v/>
      </c>
      <c r="I1425" s="25"/>
      <c r="J1425" s="12"/>
      <c r="K1425" s="12"/>
      <c r="L1425" s="14" t="str">
        <f aca="false">IF(OR($C1425="",$D1425="",$B1425=""),"",IF(COUNTIFS($C$5:$C$1504,$C1425,$D$5:$D$1504,$D1425,$B$5:$B$1504,$B1425)&gt;1,"Takror",""))</f>
        <v/>
      </c>
    </row>
    <row r="1426" customFormat="false" ht="15" hidden="false" customHeight="false" outlineLevel="0" collapsed="false">
      <c r="A1426" s="8" t="n">
        <v>1422</v>
      </c>
      <c r="B1426" s="13"/>
      <c r="C1426" s="12"/>
      <c r="D1426" s="13"/>
      <c r="E1426" s="24"/>
      <c r="F1426" s="12"/>
      <c r="G1426" s="25"/>
      <c r="H1426" s="14" t="str">
        <f aca="false">IF(OR($D1426="",$B1426=""),"",INT(($B1426-$D1426)/365.25))</f>
        <v/>
      </c>
      <c r="I1426" s="25"/>
      <c r="J1426" s="12"/>
      <c r="K1426" s="12"/>
      <c r="L1426" s="14" t="str">
        <f aca="false">IF(OR($C1426="",$D1426="",$B1426=""),"",IF(COUNTIFS($C$5:$C$1504,$C1426,$D$5:$D$1504,$D1426,$B$5:$B$1504,$B1426)&gt;1,"Takror",""))</f>
        <v/>
      </c>
    </row>
    <row r="1427" customFormat="false" ht="15" hidden="false" customHeight="false" outlineLevel="0" collapsed="false">
      <c r="A1427" s="8" t="n">
        <v>1423</v>
      </c>
      <c r="B1427" s="13"/>
      <c r="C1427" s="12"/>
      <c r="D1427" s="13"/>
      <c r="E1427" s="24"/>
      <c r="F1427" s="12"/>
      <c r="G1427" s="25"/>
      <c r="H1427" s="14" t="str">
        <f aca="false">IF(OR($D1427="",$B1427=""),"",INT(($B1427-$D1427)/365.25))</f>
        <v/>
      </c>
      <c r="I1427" s="25"/>
      <c r="J1427" s="12"/>
      <c r="K1427" s="12"/>
      <c r="L1427" s="14" t="str">
        <f aca="false">IF(OR($C1427="",$D1427="",$B1427=""),"",IF(COUNTIFS($C$5:$C$1504,$C1427,$D$5:$D$1504,$D1427,$B$5:$B$1504,$B1427)&gt;1,"Takror",""))</f>
        <v/>
      </c>
    </row>
    <row r="1428" customFormat="false" ht="15" hidden="false" customHeight="false" outlineLevel="0" collapsed="false">
      <c r="A1428" s="8" t="n">
        <v>1424</v>
      </c>
      <c r="B1428" s="13"/>
      <c r="C1428" s="12"/>
      <c r="D1428" s="13"/>
      <c r="E1428" s="24"/>
      <c r="F1428" s="12"/>
      <c r="G1428" s="25"/>
      <c r="H1428" s="14" t="str">
        <f aca="false">IF(OR($D1428="",$B1428=""),"",INT(($B1428-$D1428)/365.25))</f>
        <v/>
      </c>
      <c r="I1428" s="25"/>
      <c r="J1428" s="12"/>
      <c r="K1428" s="12"/>
      <c r="L1428" s="14" t="str">
        <f aca="false">IF(OR($C1428="",$D1428="",$B1428=""),"",IF(COUNTIFS($C$5:$C$1504,$C1428,$D$5:$D$1504,$D1428,$B$5:$B$1504,$B1428)&gt;1,"Takror",""))</f>
        <v/>
      </c>
    </row>
    <row r="1429" customFormat="false" ht="15" hidden="false" customHeight="false" outlineLevel="0" collapsed="false">
      <c r="A1429" s="8" t="n">
        <v>1425</v>
      </c>
      <c r="B1429" s="13"/>
      <c r="C1429" s="12"/>
      <c r="D1429" s="13"/>
      <c r="E1429" s="24"/>
      <c r="F1429" s="12"/>
      <c r="G1429" s="25"/>
      <c r="H1429" s="14" t="str">
        <f aca="false">IF(OR($D1429="",$B1429=""),"",INT(($B1429-$D1429)/365.25))</f>
        <v/>
      </c>
      <c r="I1429" s="25"/>
      <c r="J1429" s="12"/>
      <c r="K1429" s="12"/>
      <c r="L1429" s="14" t="str">
        <f aca="false">IF(OR($C1429="",$D1429="",$B1429=""),"",IF(COUNTIFS($C$5:$C$1504,$C1429,$D$5:$D$1504,$D1429,$B$5:$B$1504,$B1429)&gt;1,"Takror",""))</f>
        <v/>
      </c>
    </row>
    <row r="1430" customFormat="false" ht="15" hidden="false" customHeight="false" outlineLevel="0" collapsed="false">
      <c r="A1430" s="8" t="n">
        <v>1426</v>
      </c>
      <c r="B1430" s="13"/>
      <c r="C1430" s="12"/>
      <c r="D1430" s="13"/>
      <c r="E1430" s="24"/>
      <c r="F1430" s="12"/>
      <c r="G1430" s="25"/>
      <c r="H1430" s="14" t="str">
        <f aca="false">IF(OR($D1430="",$B1430=""),"",INT(($B1430-$D1430)/365.25))</f>
        <v/>
      </c>
      <c r="I1430" s="25"/>
      <c r="J1430" s="12"/>
      <c r="K1430" s="12"/>
      <c r="L1430" s="14" t="str">
        <f aca="false">IF(OR($C1430="",$D1430="",$B1430=""),"",IF(COUNTIFS($C$5:$C$1504,$C1430,$D$5:$D$1504,$D1430,$B$5:$B$1504,$B1430)&gt;1,"Takror",""))</f>
        <v/>
      </c>
    </row>
    <row r="1431" customFormat="false" ht="15" hidden="false" customHeight="false" outlineLevel="0" collapsed="false">
      <c r="A1431" s="8" t="n">
        <v>1427</v>
      </c>
      <c r="B1431" s="13"/>
      <c r="C1431" s="12"/>
      <c r="D1431" s="13"/>
      <c r="E1431" s="24"/>
      <c r="F1431" s="12"/>
      <c r="G1431" s="25"/>
      <c r="H1431" s="14" t="str">
        <f aca="false">IF(OR($D1431="",$B1431=""),"",INT(($B1431-$D1431)/365.25))</f>
        <v/>
      </c>
      <c r="I1431" s="25"/>
      <c r="J1431" s="12"/>
      <c r="K1431" s="12"/>
      <c r="L1431" s="14" t="str">
        <f aca="false">IF(OR($C1431="",$D1431="",$B1431=""),"",IF(COUNTIFS($C$5:$C$1504,$C1431,$D$5:$D$1504,$D1431,$B$5:$B$1504,$B1431)&gt;1,"Takror",""))</f>
        <v/>
      </c>
    </row>
    <row r="1432" customFormat="false" ht="15" hidden="false" customHeight="false" outlineLevel="0" collapsed="false">
      <c r="A1432" s="8" t="n">
        <v>1428</v>
      </c>
      <c r="B1432" s="13"/>
      <c r="C1432" s="12"/>
      <c r="D1432" s="13"/>
      <c r="E1432" s="24"/>
      <c r="F1432" s="12"/>
      <c r="G1432" s="25"/>
      <c r="H1432" s="14" t="str">
        <f aca="false">IF(OR($D1432="",$B1432=""),"",INT(($B1432-$D1432)/365.25))</f>
        <v/>
      </c>
      <c r="I1432" s="25"/>
      <c r="J1432" s="12"/>
      <c r="K1432" s="12"/>
      <c r="L1432" s="14" t="str">
        <f aca="false">IF(OR($C1432="",$D1432="",$B1432=""),"",IF(COUNTIFS($C$5:$C$1504,$C1432,$D$5:$D$1504,$D1432,$B$5:$B$1504,$B1432)&gt;1,"Takror",""))</f>
        <v/>
      </c>
    </row>
    <row r="1433" customFormat="false" ht="15" hidden="false" customHeight="false" outlineLevel="0" collapsed="false">
      <c r="A1433" s="8" t="n">
        <v>1429</v>
      </c>
      <c r="B1433" s="13"/>
      <c r="C1433" s="12"/>
      <c r="D1433" s="13"/>
      <c r="E1433" s="24"/>
      <c r="F1433" s="12"/>
      <c r="G1433" s="25"/>
      <c r="H1433" s="14" t="str">
        <f aca="false">IF(OR($D1433="",$B1433=""),"",INT(($B1433-$D1433)/365.25))</f>
        <v/>
      </c>
      <c r="I1433" s="25"/>
      <c r="J1433" s="12"/>
      <c r="K1433" s="12"/>
      <c r="L1433" s="14" t="str">
        <f aca="false">IF(OR($C1433="",$D1433="",$B1433=""),"",IF(COUNTIFS($C$5:$C$1504,$C1433,$D$5:$D$1504,$D1433,$B$5:$B$1504,$B1433)&gt;1,"Takror",""))</f>
        <v/>
      </c>
    </row>
    <row r="1434" customFormat="false" ht="15" hidden="false" customHeight="false" outlineLevel="0" collapsed="false">
      <c r="A1434" s="8" t="n">
        <v>1430</v>
      </c>
      <c r="B1434" s="13"/>
      <c r="C1434" s="12"/>
      <c r="D1434" s="13"/>
      <c r="E1434" s="24"/>
      <c r="F1434" s="12"/>
      <c r="G1434" s="25"/>
      <c r="H1434" s="14" t="str">
        <f aca="false">IF(OR($D1434="",$B1434=""),"",INT(($B1434-$D1434)/365.25))</f>
        <v/>
      </c>
      <c r="I1434" s="25"/>
      <c r="J1434" s="12"/>
      <c r="K1434" s="12"/>
      <c r="L1434" s="14" t="str">
        <f aca="false">IF(OR($C1434="",$D1434="",$B1434=""),"",IF(COUNTIFS($C$5:$C$1504,$C1434,$D$5:$D$1504,$D1434,$B$5:$B$1504,$B1434)&gt;1,"Takror",""))</f>
        <v/>
      </c>
    </row>
    <row r="1435" customFormat="false" ht="15" hidden="false" customHeight="false" outlineLevel="0" collapsed="false">
      <c r="A1435" s="8" t="n">
        <v>1431</v>
      </c>
      <c r="B1435" s="13"/>
      <c r="C1435" s="12"/>
      <c r="D1435" s="13"/>
      <c r="E1435" s="24"/>
      <c r="F1435" s="12"/>
      <c r="G1435" s="25"/>
      <c r="H1435" s="14" t="str">
        <f aca="false">IF(OR($D1435="",$B1435=""),"",INT(($B1435-$D1435)/365.25))</f>
        <v/>
      </c>
      <c r="I1435" s="25"/>
      <c r="J1435" s="12"/>
      <c r="K1435" s="12"/>
      <c r="L1435" s="14" t="str">
        <f aca="false">IF(OR($C1435="",$D1435="",$B1435=""),"",IF(COUNTIFS($C$5:$C$1504,$C1435,$D$5:$D$1504,$D1435,$B$5:$B$1504,$B1435)&gt;1,"Takror",""))</f>
        <v/>
      </c>
    </row>
    <row r="1436" customFormat="false" ht="15" hidden="false" customHeight="false" outlineLevel="0" collapsed="false">
      <c r="A1436" s="8" t="n">
        <v>1432</v>
      </c>
      <c r="B1436" s="13"/>
      <c r="C1436" s="12"/>
      <c r="D1436" s="13"/>
      <c r="E1436" s="24"/>
      <c r="F1436" s="12"/>
      <c r="G1436" s="25"/>
      <c r="H1436" s="14" t="str">
        <f aca="false">IF(OR($D1436="",$B1436=""),"",INT(($B1436-$D1436)/365.25))</f>
        <v/>
      </c>
      <c r="I1436" s="25"/>
      <c r="J1436" s="12"/>
      <c r="K1436" s="12"/>
      <c r="L1436" s="14" t="str">
        <f aca="false">IF(OR($C1436="",$D1436="",$B1436=""),"",IF(COUNTIFS($C$5:$C$1504,$C1436,$D$5:$D$1504,$D1436,$B$5:$B$1504,$B1436)&gt;1,"Takror",""))</f>
        <v/>
      </c>
    </row>
    <row r="1437" customFormat="false" ht="15" hidden="false" customHeight="false" outlineLevel="0" collapsed="false">
      <c r="A1437" s="8" t="n">
        <v>1433</v>
      </c>
      <c r="B1437" s="13"/>
      <c r="C1437" s="12"/>
      <c r="D1437" s="13"/>
      <c r="E1437" s="24"/>
      <c r="F1437" s="12"/>
      <c r="G1437" s="25"/>
      <c r="H1437" s="14" t="str">
        <f aca="false">IF(OR($D1437="",$B1437=""),"",INT(($B1437-$D1437)/365.25))</f>
        <v/>
      </c>
      <c r="I1437" s="25"/>
      <c r="J1437" s="12"/>
      <c r="K1437" s="12"/>
      <c r="L1437" s="14" t="str">
        <f aca="false">IF(OR($C1437="",$D1437="",$B1437=""),"",IF(COUNTIFS($C$5:$C$1504,$C1437,$D$5:$D$1504,$D1437,$B$5:$B$1504,$B1437)&gt;1,"Takror",""))</f>
        <v/>
      </c>
    </row>
    <row r="1438" customFormat="false" ht="15" hidden="false" customHeight="false" outlineLevel="0" collapsed="false">
      <c r="A1438" s="8" t="n">
        <v>1434</v>
      </c>
      <c r="B1438" s="13"/>
      <c r="C1438" s="12"/>
      <c r="D1438" s="13"/>
      <c r="E1438" s="24"/>
      <c r="F1438" s="12"/>
      <c r="G1438" s="25"/>
      <c r="H1438" s="14" t="str">
        <f aca="false">IF(OR($D1438="",$B1438=""),"",INT(($B1438-$D1438)/365.25))</f>
        <v/>
      </c>
      <c r="I1438" s="25"/>
      <c r="J1438" s="12"/>
      <c r="K1438" s="12"/>
      <c r="L1438" s="14" t="str">
        <f aca="false">IF(OR($C1438="",$D1438="",$B1438=""),"",IF(COUNTIFS($C$5:$C$1504,$C1438,$D$5:$D$1504,$D1438,$B$5:$B$1504,$B1438)&gt;1,"Takror",""))</f>
        <v/>
      </c>
    </row>
    <row r="1439" customFormat="false" ht="15" hidden="false" customHeight="false" outlineLevel="0" collapsed="false">
      <c r="A1439" s="8" t="n">
        <v>1435</v>
      </c>
      <c r="B1439" s="13"/>
      <c r="C1439" s="12"/>
      <c r="D1439" s="13"/>
      <c r="E1439" s="24"/>
      <c r="F1439" s="12"/>
      <c r="G1439" s="25"/>
      <c r="H1439" s="14" t="str">
        <f aca="false">IF(OR($D1439="",$B1439=""),"",INT(($B1439-$D1439)/365.25))</f>
        <v/>
      </c>
      <c r="I1439" s="25"/>
      <c r="J1439" s="12"/>
      <c r="K1439" s="12"/>
      <c r="L1439" s="14" t="str">
        <f aca="false">IF(OR($C1439="",$D1439="",$B1439=""),"",IF(COUNTIFS($C$5:$C$1504,$C1439,$D$5:$D$1504,$D1439,$B$5:$B$1504,$B1439)&gt;1,"Takror",""))</f>
        <v/>
      </c>
    </row>
    <row r="1440" customFormat="false" ht="15" hidden="false" customHeight="false" outlineLevel="0" collapsed="false">
      <c r="A1440" s="8" t="n">
        <v>1436</v>
      </c>
      <c r="B1440" s="13"/>
      <c r="C1440" s="12"/>
      <c r="D1440" s="13"/>
      <c r="E1440" s="24"/>
      <c r="F1440" s="12"/>
      <c r="G1440" s="25"/>
      <c r="H1440" s="14" t="str">
        <f aca="false">IF(OR($D1440="",$B1440=""),"",INT(($B1440-$D1440)/365.25))</f>
        <v/>
      </c>
      <c r="I1440" s="25"/>
      <c r="J1440" s="12"/>
      <c r="K1440" s="12"/>
      <c r="L1440" s="14" t="str">
        <f aca="false">IF(OR($C1440="",$D1440="",$B1440=""),"",IF(COUNTIFS($C$5:$C$1504,$C1440,$D$5:$D$1504,$D1440,$B$5:$B$1504,$B1440)&gt;1,"Takror",""))</f>
        <v/>
      </c>
    </row>
    <row r="1441" customFormat="false" ht="15" hidden="false" customHeight="false" outlineLevel="0" collapsed="false">
      <c r="A1441" s="8" t="n">
        <v>1437</v>
      </c>
      <c r="B1441" s="13"/>
      <c r="C1441" s="12"/>
      <c r="D1441" s="13"/>
      <c r="E1441" s="24"/>
      <c r="F1441" s="12"/>
      <c r="G1441" s="25"/>
      <c r="H1441" s="14" t="str">
        <f aca="false">IF(OR($D1441="",$B1441=""),"",INT(($B1441-$D1441)/365.25))</f>
        <v/>
      </c>
      <c r="I1441" s="25"/>
      <c r="J1441" s="12"/>
      <c r="K1441" s="12"/>
      <c r="L1441" s="14" t="str">
        <f aca="false">IF(OR($C1441="",$D1441="",$B1441=""),"",IF(COUNTIFS($C$5:$C$1504,$C1441,$D$5:$D$1504,$D1441,$B$5:$B$1504,$B1441)&gt;1,"Takror",""))</f>
        <v/>
      </c>
    </row>
    <row r="1442" customFormat="false" ht="15" hidden="false" customHeight="false" outlineLevel="0" collapsed="false">
      <c r="A1442" s="8" t="n">
        <v>1438</v>
      </c>
      <c r="B1442" s="13"/>
      <c r="C1442" s="12"/>
      <c r="D1442" s="13"/>
      <c r="E1442" s="24"/>
      <c r="F1442" s="12"/>
      <c r="G1442" s="25"/>
      <c r="H1442" s="14" t="str">
        <f aca="false">IF(OR($D1442="",$B1442=""),"",INT(($B1442-$D1442)/365.25))</f>
        <v/>
      </c>
      <c r="I1442" s="25"/>
      <c r="J1442" s="12"/>
      <c r="K1442" s="12"/>
      <c r="L1442" s="14" t="str">
        <f aca="false">IF(OR($C1442="",$D1442="",$B1442=""),"",IF(COUNTIFS($C$5:$C$1504,$C1442,$D$5:$D$1504,$D1442,$B$5:$B$1504,$B1442)&gt;1,"Takror",""))</f>
        <v/>
      </c>
    </row>
    <row r="1443" customFormat="false" ht="15" hidden="false" customHeight="false" outlineLevel="0" collapsed="false">
      <c r="A1443" s="8" t="n">
        <v>1439</v>
      </c>
      <c r="B1443" s="13"/>
      <c r="C1443" s="12"/>
      <c r="D1443" s="13"/>
      <c r="E1443" s="24"/>
      <c r="F1443" s="12"/>
      <c r="G1443" s="25"/>
      <c r="H1443" s="14" t="str">
        <f aca="false">IF(OR($D1443="",$B1443=""),"",INT(($B1443-$D1443)/365.25))</f>
        <v/>
      </c>
      <c r="I1443" s="25"/>
      <c r="J1443" s="12"/>
      <c r="K1443" s="12"/>
      <c r="L1443" s="14" t="str">
        <f aca="false">IF(OR($C1443="",$D1443="",$B1443=""),"",IF(COUNTIFS($C$5:$C$1504,$C1443,$D$5:$D$1504,$D1443,$B$5:$B$1504,$B1443)&gt;1,"Takror",""))</f>
        <v/>
      </c>
    </row>
    <row r="1444" customFormat="false" ht="15" hidden="false" customHeight="false" outlineLevel="0" collapsed="false">
      <c r="A1444" s="8" t="n">
        <v>1440</v>
      </c>
      <c r="B1444" s="13"/>
      <c r="C1444" s="12"/>
      <c r="D1444" s="13"/>
      <c r="E1444" s="24"/>
      <c r="F1444" s="12"/>
      <c r="G1444" s="25"/>
      <c r="H1444" s="14" t="str">
        <f aca="false">IF(OR($D1444="",$B1444=""),"",INT(($B1444-$D1444)/365.25))</f>
        <v/>
      </c>
      <c r="I1444" s="25"/>
      <c r="J1444" s="12"/>
      <c r="K1444" s="12"/>
      <c r="L1444" s="14" t="str">
        <f aca="false">IF(OR($C1444="",$D1444="",$B1444=""),"",IF(COUNTIFS($C$5:$C$1504,$C1444,$D$5:$D$1504,$D1444,$B$5:$B$1504,$B1444)&gt;1,"Takror",""))</f>
        <v/>
      </c>
    </row>
    <row r="1445" customFormat="false" ht="15" hidden="false" customHeight="false" outlineLevel="0" collapsed="false">
      <c r="A1445" s="8" t="n">
        <v>1441</v>
      </c>
      <c r="B1445" s="13"/>
      <c r="C1445" s="12"/>
      <c r="D1445" s="13"/>
      <c r="E1445" s="24"/>
      <c r="F1445" s="12"/>
      <c r="G1445" s="25"/>
      <c r="H1445" s="14" t="str">
        <f aca="false">IF(OR($D1445="",$B1445=""),"",INT(($B1445-$D1445)/365.25))</f>
        <v/>
      </c>
      <c r="I1445" s="25"/>
      <c r="J1445" s="12"/>
      <c r="K1445" s="12"/>
      <c r="L1445" s="14" t="str">
        <f aca="false">IF(OR($C1445="",$D1445="",$B1445=""),"",IF(COUNTIFS($C$5:$C$1504,$C1445,$D$5:$D$1504,$D1445,$B$5:$B$1504,$B1445)&gt;1,"Takror",""))</f>
        <v/>
      </c>
    </row>
    <row r="1446" customFormat="false" ht="15" hidden="false" customHeight="false" outlineLevel="0" collapsed="false">
      <c r="A1446" s="8" t="n">
        <v>1442</v>
      </c>
      <c r="B1446" s="13"/>
      <c r="C1446" s="12"/>
      <c r="D1446" s="13"/>
      <c r="E1446" s="24"/>
      <c r="F1446" s="12"/>
      <c r="G1446" s="25"/>
      <c r="H1446" s="14" t="str">
        <f aca="false">IF(OR($D1446="",$B1446=""),"",INT(($B1446-$D1446)/365.25))</f>
        <v/>
      </c>
      <c r="I1446" s="25"/>
      <c r="J1446" s="12"/>
      <c r="K1446" s="12"/>
      <c r="L1446" s="14" t="str">
        <f aca="false">IF(OR($C1446="",$D1446="",$B1446=""),"",IF(COUNTIFS($C$5:$C$1504,$C1446,$D$5:$D$1504,$D1446,$B$5:$B$1504,$B1446)&gt;1,"Takror",""))</f>
        <v/>
      </c>
    </row>
    <row r="1447" customFormat="false" ht="15" hidden="false" customHeight="false" outlineLevel="0" collapsed="false">
      <c r="A1447" s="8" t="n">
        <v>1443</v>
      </c>
      <c r="B1447" s="13"/>
      <c r="C1447" s="12"/>
      <c r="D1447" s="13"/>
      <c r="E1447" s="24"/>
      <c r="F1447" s="12"/>
      <c r="G1447" s="25"/>
      <c r="H1447" s="14" t="str">
        <f aca="false">IF(OR($D1447="",$B1447=""),"",INT(($B1447-$D1447)/365.25))</f>
        <v/>
      </c>
      <c r="I1447" s="25"/>
      <c r="J1447" s="12"/>
      <c r="K1447" s="12"/>
      <c r="L1447" s="14" t="str">
        <f aca="false">IF(OR($C1447="",$D1447="",$B1447=""),"",IF(COUNTIFS($C$5:$C$1504,$C1447,$D$5:$D$1504,$D1447,$B$5:$B$1504,$B1447)&gt;1,"Takror",""))</f>
        <v/>
      </c>
    </row>
    <row r="1448" customFormat="false" ht="15" hidden="false" customHeight="false" outlineLevel="0" collapsed="false">
      <c r="A1448" s="8" t="n">
        <v>1444</v>
      </c>
      <c r="B1448" s="13"/>
      <c r="C1448" s="12"/>
      <c r="D1448" s="13"/>
      <c r="E1448" s="24"/>
      <c r="F1448" s="12"/>
      <c r="G1448" s="25"/>
      <c r="H1448" s="14" t="str">
        <f aca="false">IF(OR($D1448="",$B1448=""),"",INT(($B1448-$D1448)/365.25))</f>
        <v/>
      </c>
      <c r="I1448" s="25"/>
      <c r="J1448" s="12"/>
      <c r="K1448" s="12"/>
      <c r="L1448" s="14" t="str">
        <f aca="false">IF(OR($C1448="",$D1448="",$B1448=""),"",IF(COUNTIFS($C$5:$C$1504,$C1448,$D$5:$D$1504,$D1448,$B$5:$B$1504,$B1448)&gt;1,"Takror",""))</f>
        <v/>
      </c>
    </row>
    <row r="1449" customFormat="false" ht="15" hidden="false" customHeight="false" outlineLevel="0" collapsed="false">
      <c r="A1449" s="8" t="n">
        <v>1445</v>
      </c>
      <c r="B1449" s="13"/>
      <c r="C1449" s="12"/>
      <c r="D1449" s="13"/>
      <c r="E1449" s="24"/>
      <c r="F1449" s="12"/>
      <c r="G1449" s="25"/>
      <c r="H1449" s="14" t="str">
        <f aca="false">IF(OR($D1449="",$B1449=""),"",INT(($B1449-$D1449)/365.25))</f>
        <v/>
      </c>
      <c r="I1449" s="25"/>
      <c r="J1449" s="12"/>
      <c r="K1449" s="12"/>
      <c r="L1449" s="14" t="str">
        <f aca="false">IF(OR($C1449="",$D1449="",$B1449=""),"",IF(COUNTIFS($C$5:$C$1504,$C1449,$D$5:$D$1504,$D1449,$B$5:$B$1504,$B1449)&gt;1,"Takror",""))</f>
        <v/>
      </c>
    </row>
    <row r="1450" customFormat="false" ht="15" hidden="false" customHeight="false" outlineLevel="0" collapsed="false">
      <c r="A1450" s="8" t="n">
        <v>1446</v>
      </c>
      <c r="B1450" s="13"/>
      <c r="C1450" s="12"/>
      <c r="D1450" s="13"/>
      <c r="E1450" s="24"/>
      <c r="F1450" s="12"/>
      <c r="G1450" s="25"/>
      <c r="H1450" s="14" t="str">
        <f aca="false">IF(OR($D1450="",$B1450=""),"",INT(($B1450-$D1450)/365.25))</f>
        <v/>
      </c>
      <c r="I1450" s="25"/>
      <c r="J1450" s="12"/>
      <c r="K1450" s="12"/>
      <c r="L1450" s="14" t="str">
        <f aca="false">IF(OR($C1450="",$D1450="",$B1450=""),"",IF(COUNTIFS($C$5:$C$1504,$C1450,$D$5:$D$1504,$D1450,$B$5:$B$1504,$B1450)&gt;1,"Takror",""))</f>
        <v/>
      </c>
    </row>
    <row r="1451" customFormat="false" ht="15" hidden="false" customHeight="false" outlineLevel="0" collapsed="false">
      <c r="A1451" s="8" t="n">
        <v>1447</v>
      </c>
      <c r="B1451" s="13"/>
      <c r="C1451" s="12"/>
      <c r="D1451" s="13"/>
      <c r="E1451" s="24"/>
      <c r="F1451" s="12"/>
      <c r="G1451" s="25"/>
      <c r="H1451" s="14" t="str">
        <f aca="false">IF(OR($D1451="",$B1451=""),"",INT(($B1451-$D1451)/365.25))</f>
        <v/>
      </c>
      <c r="I1451" s="25"/>
      <c r="J1451" s="12"/>
      <c r="K1451" s="12"/>
      <c r="L1451" s="14" t="str">
        <f aca="false">IF(OR($C1451="",$D1451="",$B1451=""),"",IF(COUNTIFS($C$5:$C$1504,$C1451,$D$5:$D$1504,$D1451,$B$5:$B$1504,$B1451)&gt;1,"Takror",""))</f>
        <v/>
      </c>
    </row>
    <row r="1452" customFormat="false" ht="15" hidden="false" customHeight="false" outlineLevel="0" collapsed="false">
      <c r="A1452" s="8" t="n">
        <v>1448</v>
      </c>
      <c r="B1452" s="13"/>
      <c r="C1452" s="12"/>
      <c r="D1452" s="13"/>
      <c r="E1452" s="24"/>
      <c r="F1452" s="12"/>
      <c r="G1452" s="25"/>
      <c r="H1452" s="14" t="str">
        <f aca="false">IF(OR($D1452="",$B1452=""),"",INT(($B1452-$D1452)/365.25))</f>
        <v/>
      </c>
      <c r="I1452" s="25"/>
      <c r="J1452" s="12"/>
      <c r="K1452" s="12"/>
      <c r="L1452" s="14" t="str">
        <f aca="false">IF(OR($C1452="",$D1452="",$B1452=""),"",IF(COUNTIFS($C$5:$C$1504,$C1452,$D$5:$D$1504,$D1452,$B$5:$B$1504,$B1452)&gt;1,"Takror",""))</f>
        <v/>
      </c>
    </row>
    <row r="1453" customFormat="false" ht="15" hidden="false" customHeight="false" outlineLevel="0" collapsed="false">
      <c r="A1453" s="8" t="n">
        <v>1449</v>
      </c>
      <c r="B1453" s="13"/>
      <c r="C1453" s="12"/>
      <c r="D1453" s="13"/>
      <c r="E1453" s="24"/>
      <c r="F1453" s="12"/>
      <c r="G1453" s="25"/>
      <c r="H1453" s="14" t="str">
        <f aca="false">IF(OR($D1453="",$B1453=""),"",INT(($B1453-$D1453)/365.25))</f>
        <v/>
      </c>
      <c r="I1453" s="25"/>
      <c r="J1453" s="12"/>
      <c r="K1453" s="12"/>
      <c r="L1453" s="14" t="str">
        <f aca="false">IF(OR($C1453="",$D1453="",$B1453=""),"",IF(COUNTIFS($C$5:$C$1504,$C1453,$D$5:$D$1504,$D1453,$B$5:$B$1504,$B1453)&gt;1,"Takror",""))</f>
        <v/>
      </c>
    </row>
    <row r="1454" customFormat="false" ht="15" hidden="false" customHeight="false" outlineLevel="0" collapsed="false">
      <c r="A1454" s="8" t="n">
        <v>1450</v>
      </c>
      <c r="B1454" s="13"/>
      <c r="C1454" s="12"/>
      <c r="D1454" s="13"/>
      <c r="E1454" s="24"/>
      <c r="F1454" s="12"/>
      <c r="G1454" s="25"/>
      <c r="H1454" s="14" t="str">
        <f aca="false">IF(OR($D1454="",$B1454=""),"",INT(($B1454-$D1454)/365.25))</f>
        <v/>
      </c>
      <c r="I1454" s="25"/>
      <c r="J1454" s="12"/>
      <c r="K1454" s="12"/>
      <c r="L1454" s="14" t="str">
        <f aca="false">IF(OR($C1454="",$D1454="",$B1454=""),"",IF(COUNTIFS($C$5:$C$1504,$C1454,$D$5:$D$1504,$D1454,$B$5:$B$1504,$B1454)&gt;1,"Takror",""))</f>
        <v/>
      </c>
    </row>
    <row r="1455" customFormat="false" ht="15" hidden="false" customHeight="false" outlineLevel="0" collapsed="false">
      <c r="A1455" s="8" t="n">
        <v>1451</v>
      </c>
      <c r="B1455" s="13"/>
      <c r="C1455" s="12"/>
      <c r="D1455" s="13"/>
      <c r="E1455" s="24"/>
      <c r="F1455" s="12"/>
      <c r="G1455" s="25"/>
      <c r="H1455" s="14" t="str">
        <f aca="false">IF(OR($D1455="",$B1455=""),"",INT(($B1455-$D1455)/365.25))</f>
        <v/>
      </c>
      <c r="I1455" s="25"/>
      <c r="J1455" s="12"/>
      <c r="K1455" s="12"/>
      <c r="L1455" s="14" t="str">
        <f aca="false">IF(OR($C1455="",$D1455="",$B1455=""),"",IF(COUNTIFS($C$5:$C$1504,$C1455,$D$5:$D$1504,$D1455,$B$5:$B$1504,$B1455)&gt;1,"Takror",""))</f>
        <v/>
      </c>
    </row>
    <row r="1456" customFormat="false" ht="15" hidden="false" customHeight="false" outlineLevel="0" collapsed="false">
      <c r="A1456" s="8" t="n">
        <v>1452</v>
      </c>
      <c r="B1456" s="13"/>
      <c r="C1456" s="12"/>
      <c r="D1456" s="13"/>
      <c r="E1456" s="24"/>
      <c r="F1456" s="12"/>
      <c r="G1456" s="25"/>
      <c r="H1456" s="14" t="str">
        <f aca="false">IF(OR($D1456="",$B1456=""),"",INT(($B1456-$D1456)/365.25))</f>
        <v/>
      </c>
      <c r="I1456" s="25"/>
      <c r="J1456" s="12"/>
      <c r="K1456" s="12"/>
      <c r="L1456" s="14" t="str">
        <f aca="false">IF(OR($C1456="",$D1456="",$B1456=""),"",IF(COUNTIFS($C$5:$C$1504,$C1456,$D$5:$D$1504,$D1456,$B$5:$B$1504,$B1456)&gt;1,"Takror",""))</f>
        <v/>
      </c>
    </row>
    <row r="1457" customFormat="false" ht="15" hidden="false" customHeight="false" outlineLevel="0" collapsed="false">
      <c r="A1457" s="8" t="n">
        <v>1453</v>
      </c>
      <c r="B1457" s="13"/>
      <c r="C1457" s="12"/>
      <c r="D1457" s="13"/>
      <c r="E1457" s="24"/>
      <c r="F1457" s="12"/>
      <c r="G1457" s="25"/>
      <c r="H1457" s="14" t="str">
        <f aca="false">IF(OR($D1457="",$B1457=""),"",INT(($B1457-$D1457)/365.25))</f>
        <v/>
      </c>
      <c r="I1457" s="25"/>
      <c r="J1457" s="12"/>
      <c r="K1457" s="12"/>
      <c r="L1457" s="14" t="str">
        <f aca="false">IF(OR($C1457="",$D1457="",$B1457=""),"",IF(COUNTIFS($C$5:$C$1504,$C1457,$D$5:$D$1504,$D1457,$B$5:$B$1504,$B1457)&gt;1,"Takror",""))</f>
        <v/>
      </c>
    </row>
    <row r="1458" customFormat="false" ht="15" hidden="false" customHeight="false" outlineLevel="0" collapsed="false">
      <c r="A1458" s="8" t="n">
        <v>1454</v>
      </c>
      <c r="B1458" s="13"/>
      <c r="C1458" s="12"/>
      <c r="D1458" s="13"/>
      <c r="E1458" s="24"/>
      <c r="F1458" s="12"/>
      <c r="G1458" s="25"/>
      <c r="H1458" s="14" t="str">
        <f aca="false">IF(OR($D1458="",$B1458=""),"",INT(($B1458-$D1458)/365.25))</f>
        <v/>
      </c>
      <c r="I1458" s="25"/>
      <c r="J1458" s="12"/>
      <c r="K1458" s="12"/>
      <c r="L1458" s="14" t="str">
        <f aca="false">IF(OR($C1458="",$D1458="",$B1458=""),"",IF(COUNTIFS($C$5:$C$1504,$C1458,$D$5:$D$1504,$D1458,$B$5:$B$1504,$B1458)&gt;1,"Takror",""))</f>
        <v/>
      </c>
    </row>
    <row r="1459" customFormat="false" ht="15" hidden="false" customHeight="false" outlineLevel="0" collapsed="false">
      <c r="A1459" s="8" t="n">
        <v>1455</v>
      </c>
      <c r="B1459" s="13"/>
      <c r="C1459" s="12"/>
      <c r="D1459" s="13"/>
      <c r="E1459" s="24"/>
      <c r="F1459" s="12"/>
      <c r="G1459" s="25"/>
      <c r="H1459" s="14" t="str">
        <f aca="false">IF(OR($D1459="",$B1459=""),"",INT(($B1459-$D1459)/365.25))</f>
        <v/>
      </c>
      <c r="I1459" s="25"/>
      <c r="J1459" s="12"/>
      <c r="K1459" s="12"/>
      <c r="L1459" s="14" t="str">
        <f aca="false">IF(OR($C1459="",$D1459="",$B1459=""),"",IF(COUNTIFS($C$5:$C$1504,$C1459,$D$5:$D$1504,$D1459,$B$5:$B$1504,$B1459)&gt;1,"Takror",""))</f>
        <v/>
      </c>
    </row>
    <row r="1460" customFormat="false" ht="15" hidden="false" customHeight="false" outlineLevel="0" collapsed="false">
      <c r="A1460" s="8" t="n">
        <v>1456</v>
      </c>
      <c r="B1460" s="13"/>
      <c r="C1460" s="12"/>
      <c r="D1460" s="13"/>
      <c r="E1460" s="24"/>
      <c r="F1460" s="12"/>
      <c r="G1460" s="25"/>
      <c r="H1460" s="14" t="str">
        <f aca="false">IF(OR($D1460="",$B1460=""),"",INT(($B1460-$D1460)/365.25))</f>
        <v/>
      </c>
      <c r="I1460" s="25"/>
      <c r="J1460" s="12"/>
      <c r="K1460" s="12"/>
      <c r="L1460" s="14" t="str">
        <f aca="false">IF(OR($C1460="",$D1460="",$B1460=""),"",IF(COUNTIFS($C$5:$C$1504,$C1460,$D$5:$D$1504,$D1460,$B$5:$B$1504,$B1460)&gt;1,"Takror",""))</f>
        <v/>
      </c>
    </row>
    <row r="1461" customFormat="false" ht="15" hidden="false" customHeight="false" outlineLevel="0" collapsed="false">
      <c r="A1461" s="8" t="n">
        <v>1457</v>
      </c>
      <c r="B1461" s="13"/>
      <c r="C1461" s="12"/>
      <c r="D1461" s="13"/>
      <c r="E1461" s="24"/>
      <c r="F1461" s="12"/>
      <c r="G1461" s="25"/>
      <c r="H1461" s="14" t="str">
        <f aca="false">IF(OR($D1461="",$B1461=""),"",INT(($B1461-$D1461)/365.25))</f>
        <v/>
      </c>
      <c r="I1461" s="25"/>
      <c r="J1461" s="12"/>
      <c r="K1461" s="12"/>
      <c r="L1461" s="14" t="str">
        <f aca="false">IF(OR($C1461="",$D1461="",$B1461=""),"",IF(COUNTIFS($C$5:$C$1504,$C1461,$D$5:$D$1504,$D1461,$B$5:$B$1504,$B1461)&gt;1,"Takror",""))</f>
        <v/>
      </c>
    </row>
    <row r="1462" customFormat="false" ht="15" hidden="false" customHeight="false" outlineLevel="0" collapsed="false">
      <c r="A1462" s="8" t="n">
        <v>1458</v>
      </c>
      <c r="B1462" s="13"/>
      <c r="C1462" s="12"/>
      <c r="D1462" s="13"/>
      <c r="E1462" s="24"/>
      <c r="F1462" s="12"/>
      <c r="G1462" s="25"/>
      <c r="H1462" s="14" t="str">
        <f aca="false">IF(OR($D1462="",$B1462=""),"",INT(($B1462-$D1462)/365.25))</f>
        <v/>
      </c>
      <c r="I1462" s="25"/>
      <c r="J1462" s="12"/>
      <c r="K1462" s="12"/>
      <c r="L1462" s="14" t="str">
        <f aca="false">IF(OR($C1462="",$D1462="",$B1462=""),"",IF(COUNTIFS($C$5:$C$1504,$C1462,$D$5:$D$1504,$D1462,$B$5:$B$1504,$B1462)&gt;1,"Takror",""))</f>
        <v/>
      </c>
    </row>
    <row r="1463" customFormat="false" ht="15" hidden="false" customHeight="false" outlineLevel="0" collapsed="false">
      <c r="A1463" s="8" t="n">
        <v>1459</v>
      </c>
      <c r="B1463" s="13"/>
      <c r="C1463" s="12"/>
      <c r="D1463" s="13"/>
      <c r="E1463" s="24"/>
      <c r="F1463" s="12"/>
      <c r="G1463" s="25"/>
      <c r="H1463" s="14" t="str">
        <f aca="false">IF(OR($D1463="",$B1463=""),"",INT(($B1463-$D1463)/365.25))</f>
        <v/>
      </c>
      <c r="I1463" s="25"/>
      <c r="J1463" s="12"/>
      <c r="K1463" s="12"/>
      <c r="L1463" s="14" t="str">
        <f aca="false">IF(OR($C1463="",$D1463="",$B1463=""),"",IF(COUNTIFS($C$5:$C$1504,$C1463,$D$5:$D$1504,$D1463,$B$5:$B$1504,$B1463)&gt;1,"Takror",""))</f>
        <v/>
      </c>
    </row>
    <row r="1464" customFormat="false" ht="15" hidden="false" customHeight="false" outlineLevel="0" collapsed="false">
      <c r="A1464" s="8" t="n">
        <v>1460</v>
      </c>
      <c r="B1464" s="13"/>
      <c r="C1464" s="12"/>
      <c r="D1464" s="13"/>
      <c r="E1464" s="24"/>
      <c r="F1464" s="12"/>
      <c r="G1464" s="25"/>
      <c r="H1464" s="14" t="str">
        <f aca="false">IF(OR($D1464="",$B1464=""),"",INT(($B1464-$D1464)/365.25))</f>
        <v/>
      </c>
      <c r="I1464" s="25"/>
      <c r="J1464" s="12"/>
      <c r="K1464" s="12"/>
      <c r="L1464" s="14" t="str">
        <f aca="false">IF(OR($C1464="",$D1464="",$B1464=""),"",IF(COUNTIFS($C$5:$C$1504,$C1464,$D$5:$D$1504,$D1464,$B$5:$B$1504,$B1464)&gt;1,"Takror",""))</f>
        <v/>
      </c>
    </row>
    <row r="1465" customFormat="false" ht="15" hidden="false" customHeight="false" outlineLevel="0" collapsed="false">
      <c r="A1465" s="8" t="n">
        <v>1461</v>
      </c>
      <c r="B1465" s="13"/>
      <c r="C1465" s="12"/>
      <c r="D1465" s="13"/>
      <c r="E1465" s="24"/>
      <c r="F1465" s="12"/>
      <c r="G1465" s="25"/>
      <c r="H1465" s="14" t="str">
        <f aca="false">IF(OR($D1465="",$B1465=""),"",INT(($B1465-$D1465)/365.25))</f>
        <v/>
      </c>
      <c r="I1465" s="25"/>
      <c r="J1465" s="12"/>
      <c r="K1465" s="12"/>
      <c r="L1465" s="14" t="str">
        <f aca="false">IF(OR($C1465="",$D1465="",$B1465=""),"",IF(COUNTIFS($C$5:$C$1504,$C1465,$D$5:$D$1504,$D1465,$B$5:$B$1504,$B1465)&gt;1,"Takror",""))</f>
        <v/>
      </c>
    </row>
    <row r="1466" customFormat="false" ht="15" hidden="false" customHeight="false" outlineLevel="0" collapsed="false">
      <c r="A1466" s="8" t="n">
        <v>1462</v>
      </c>
      <c r="B1466" s="13"/>
      <c r="C1466" s="12"/>
      <c r="D1466" s="13"/>
      <c r="E1466" s="24"/>
      <c r="F1466" s="12"/>
      <c r="G1466" s="25"/>
      <c r="H1466" s="14" t="str">
        <f aca="false">IF(OR($D1466="",$B1466=""),"",INT(($B1466-$D1466)/365.25))</f>
        <v/>
      </c>
      <c r="I1466" s="25"/>
      <c r="J1466" s="12"/>
      <c r="K1466" s="12"/>
      <c r="L1466" s="14" t="str">
        <f aca="false">IF(OR($C1466="",$D1466="",$B1466=""),"",IF(COUNTIFS($C$5:$C$1504,$C1466,$D$5:$D$1504,$D1466,$B$5:$B$1504,$B1466)&gt;1,"Takror",""))</f>
        <v/>
      </c>
    </row>
    <row r="1467" customFormat="false" ht="15" hidden="false" customHeight="false" outlineLevel="0" collapsed="false">
      <c r="A1467" s="8" t="n">
        <v>1463</v>
      </c>
      <c r="B1467" s="13"/>
      <c r="C1467" s="12"/>
      <c r="D1467" s="13"/>
      <c r="E1467" s="24"/>
      <c r="F1467" s="12"/>
      <c r="G1467" s="25"/>
      <c r="H1467" s="14" t="str">
        <f aca="false">IF(OR($D1467="",$B1467=""),"",INT(($B1467-$D1467)/365.25))</f>
        <v/>
      </c>
      <c r="I1467" s="25"/>
      <c r="J1467" s="12"/>
      <c r="K1467" s="12"/>
      <c r="L1467" s="14" t="str">
        <f aca="false">IF(OR($C1467="",$D1467="",$B1467=""),"",IF(COUNTIFS($C$5:$C$1504,$C1467,$D$5:$D$1504,$D1467,$B$5:$B$1504,$B1467)&gt;1,"Takror",""))</f>
        <v/>
      </c>
    </row>
    <row r="1468" customFormat="false" ht="15" hidden="false" customHeight="false" outlineLevel="0" collapsed="false">
      <c r="A1468" s="8" t="n">
        <v>1464</v>
      </c>
      <c r="B1468" s="13"/>
      <c r="C1468" s="12"/>
      <c r="D1468" s="13"/>
      <c r="E1468" s="24"/>
      <c r="F1468" s="12"/>
      <c r="G1468" s="25"/>
      <c r="H1468" s="14" t="str">
        <f aca="false">IF(OR($D1468="",$B1468=""),"",INT(($B1468-$D1468)/365.25))</f>
        <v/>
      </c>
      <c r="I1468" s="25"/>
      <c r="J1468" s="12"/>
      <c r="K1468" s="12"/>
      <c r="L1468" s="14" t="str">
        <f aca="false">IF(OR($C1468="",$D1468="",$B1468=""),"",IF(COUNTIFS($C$5:$C$1504,$C1468,$D$5:$D$1504,$D1468,$B$5:$B$1504,$B1468)&gt;1,"Takror",""))</f>
        <v/>
      </c>
    </row>
    <row r="1469" customFormat="false" ht="15" hidden="false" customHeight="false" outlineLevel="0" collapsed="false">
      <c r="A1469" s="8" t="n">
        <v>1465</v>
      </c>
      <c r="B1469" s="13"/>
      <c r="C1469" s="12"/>
      <c r="D1469" s="13"/>
      <c r="E1469" s="24"/>
      <c r="F1469" s="12"/>
      <c r="G1469" s="25"/>
      <c r="H1469" s="14" t="str">
        <f aca="false">IF(OR($D1469="",$B1469=""),"",INT(($B1469-$D1469)/365.25))</f>
        <v/>
      </c>
      <c r="I1469" s="25"/>
      <c r="J1469" s="12"/>
      <c r="K1469" s="12"/>
      <c r="L1469" s="14" t="str">
        <f aca="false">IF(OR($C1469="",$D1469="",$B1469=""),"",IF(COUNTIFS($C$5:$C$1504,$C1469,$D$5:$D$1504,$D1469,$B$5:$B$1504,$B1469)&gt;1,"Takror",""))</f>
        <v/>
      </c>
    </row>
    <row r="1470" customFormat="false" ht="15" hidden="false" customHeight="false" outlineLevel="0" collapsed="false">
      <c r="A1470" s="8" t="n">
        <v>1466</v>
      </c>
      <c r="B1470" s="13"/>
      <c r="C1470" s="12"/>
      <c r="D1470" s="13"/>
      <c r="E1470" s="24"/>
      <c r="F1470" s="12"/>
      <c r="G1470" s="25"/>
      <c r="H1470" s="14" t="str">
        <f aca="false">IF(OR($D1470="",$B1470=""),"",INT(($B1470-$D1470)/365.25))</f>
        <v/>
      </c>
      <c r="I1470" s="25"/>
      <c r="J1470" s="12"/>
      <c r="K1470" s="12"/>
      <c r="L1470" s="14" t="str">
        <f aca="false">IF(OR($C1470="",$D1470="",$B1470=""),"",IF(COUNTIFS($C$5:$C$1504,$C1470,$D$5:$D$1504,$D1470,$B$5:$B$1504,$B1470)&gt;1,"Takror",""))</f>
        <v/>
      </c>
    </row>
    <row r="1471" customFormat="false" ht="15" hidden="false" customHeight="false" outlineLevel="0" collapsed="false">
      <c r="A1471" s="8" t="n">
        <v>1467</v>
      </c>
      <c r="B1471" s="13"/>
      <c r="C1471" s="12"/>
      <c r="D1471" s="13"/>
      <c r="E1471" s="24"/>
      <c r="F1471" s="12"/>
      <c r="G1471" s="25"/>
      <c r="H1471" s="14" t="str">
        <f aca="false">IF(OR($D1471="",$B1471=""),"",INT(($B1471-$D1471)/365.25))</f>
        <v/>
      </c>
      <c r="I1471" s="25"/>
      <c r="J1471" s="12"/>
      <c r="K1471" s="12"/>
      <c r="L1471" s="14" t="str">
        <f aca="false">IF(OR($C1471="",$D1471="",$B1471=""),"",IF(COUNTIFS($C$5:$C$1504,$C1471,$D$5:$D$1504,$D1471,$B$5:$B$1504,$B1471)&gt;1,"Takror",""))</f>
        <v/>
      </c>
    </row>
    <row r="1472" customFormat="false" ht="15" hidden="false" customHeight="false" outlineLevel="0" collapsed="false">
      <c r="A1472" s="8" t="n">
        <v>1468</v>
      </c>
      <c r="B1472" s="13"/>
      <c r="C1472" s="12"/>
      <c r="D1472" s="13"/>
      <c r="E1472" s="24"/>
      <c r="F1472" s="12"/>
      <c r="G1472" s="25"/>
      <c r="H1472" s="14" t="str">
        <f aca="false">IF(OR($D1472="",$B1472=""),"",INT(($B1472-$D1472)/365.25))</f>
        <v/>
      </c>
      <c r="I1472" s="25"/>
      <c r="J1472" s="12"/>
      <c r="K1472" s="12"/>
      <c r="L1472" s="14" t="str">
        <f aca="false">IF(OR($C1472="",$D1472="",$B1472=""),"",IF(COUNTIFS($C$5:$C$1504,$C1472,$D$5:$D$1504,$D1472,$B$5:$B$1504,$B1472)&gt;1,"Takror",""))</f>
        <v/>
      </c>
    </row>
    <row r="1473" customFormat="false" ht="15" hidden="false" customHeight="false" outlineLevel="0" collapsed="false">
      <c r="A1473" s="8" t="n">
        <v>1469</v>
      </c>
      <c r="B1473" s="13"/>
      <c r="C1473" s="12"/>
      <c r="D1473" s="13"/>
      <c r="E1473" s="24"/>
      <c r="F1473" s="12"/>
      <c r="G1473" s="25"/>
      <c r="H1473" s="14" t="str">
        <f aca="false">IF(OR($D1473="",$B1473=""),"",INT(($B1473-$D1473)/365.25))</f>
        <v/>
      </c>
      <c r="I1473" s="25"/>
      <c r="J1473" s="12"/>
      <c r="K1473" s="12"/>
      <c r="L1473" s="14" t="str">
        <f aca="false">IF(OR($C1473="",$D1473="",$B1473=""),"",IF(COUNTIFS($C$5:$C$1504,$C1473,$D$5:$D$1504,$D1473,$B$5:$B$1504,$B1473)&gt;1,"Takror",""))</f>
        <v/>
      </c>
    </row>
    <row r="1474" customFormat="false" ht="15" hidden="false" customHeight="false" outlineLevel="0" collapsed="false">
      <c r="A1474" s="8" t="n">
        <v>1470</v>
      </c>
      <c r="B1474" s="13"/>
      <c r="C1474" s="12"/>
      <c r="D1474" s="13"/>
      <c r="E1474" s="24"/>
      <c r="F1474" s="12"/>
      <c r="G1474" s="25"/>
      <c r="H1474" s="14" t="str">
        <f aca="false">IF(OR($D1474="",$B1474=""),"",INT(($B1474-$D1474)/365.25))</f>
        <v/>
      </c>
      <c r="I1474" s="25"/>
      <c r="J1474" s="12"/>
      <c r="K1474" s="12"/>
      <c r="L1474" s="14" t="str">
        <f aca="false">IF(OR($C1474="",$D1474="",$B1474=""),"",IF(COUNTIFS($C$5:$C$1504,$C1474,$D$5:$D$1504,$D1474,$B$5:$B$1504,$B1474)&gt;1,"Takror",""))</f>
        <v/>
      </c>
    </row>
    <row r="1475" customFormat="false" ht="15" hidden="false" customHeight="false" outlineLevel="0" collapsed="false">
      <c r="A1475" s="8" t="n">
        <v>1471</v>
      </c>
      <c r="B1475" s="13"/>
      <c r="C1475" s="12"/>
      <c r="D1475" s="13"/>
      <c r="E1475" s="24"/>
      <c r="F1475" s="12"/>
      <c r="G1475" s="25"/>
      <c r="H1475" s="14" t="str">
        <f aca="false">IF(OR($D1475="",$B1475=""),"",INT(($B1475-$D1475)/365.25))</f>
        <v/>
      </c>
      <c r="I1475" s="25"/>
      <c r="J1475" s="12"/>
      <c r="K1475" s="12"/>
      <c r="L1475" s="14" t="str">
        <f aca="false">IF(OR($C1475="",$D1475="",$B1475=""),"",IF(COUNTIFS($C$5:$C$1504,$C1475,$D$5:$D$1504,$D1475,$B$5:$B$1504,$B1475)&gt;1,"Takror",""))</f>
        <v/>
      </c>
    </row>
    <row r="1476" customFormat="false" ht="15" hidden="false" customHeight="false" outlineLevel="0" collapsed="false">
      <c r="A1476" s="8" t="n">
        <v>1472</v>
      </c>
      <c r="B1476" s="13"/>
      <c r="C1476" s="12"/>
      <c r="D1476" s="13"/>
      <c r="E1476" s="24"/>
      <c r="F1476" s="12"/>
      <c r="G1476" s="25"/>
      <c r="H1476" s="14" t="str">
        <f aca="false">IF(OR($D1476="",$B1476=""),"",INT(($B1476-$D1476)/365.25))</f>
        <v/>
      </c>
      <c r="I1476" s="25"/>
      <c r="J1476" s="12"/>
      <c r="K1476" s="12"/>
      <c r="L1476" s="14" t="str">
        <f aca="false">IF(OR($C1476="",$D1476="",$B1476=""),"",IF(COUNTIFS($C$5:$C$1504,$C1476,$D$5:$D$1504,$D1476,$B$5:$B$1504,$B1476)&gt;1,"Takror",""))</f>
        <v/>
      </c>
    </row>
    <row r="1477" customFormat="false" ht="15" hidden="false" customHeight="false" outlineLevel="0" collapsed="false">
      <c r="A1477" s="8" t="n">
        <v>1473</v>
      </c>
      <c r="B1477" s="13"/>
      <c r="C1477" s="12"/>
      <c r="D1477" s="13"/>
      <c r="E1477" s="24"/>
      <c r="F1477" s="12"/>
      <c r="G1477" s="25"/>
      <c r="H1477" s="14" t="str">
        <f aca="false">IF(OR($D1477="",$B1477=""),"",INT(($B1477-$D1477)/365.25))</f>
        <v/>
      </c>
      <c r="I1477" s="25"/>
      <c r="J1477" s="12"/>
      <c r="K1477" s="12"/>
      <c r="L1477" s="14" t="str">
        <f aca="false">IF(OR($C1477="",$D1477="",$B1477=""),"",IF(COUNTIFS($C$5:$C$1504,$C1477,$D$5:$D$1504,$D1477,$B$5:$B$1504,$B1477)&gt;1,"Takror",""))</f>
        <v/>
      </c>
    </row>
    <row r="1478" customFormat="false" ht="15" hidden="false" customHeight="false" outlineLevel="0" collapsed="false">
      <c r="A1478" s="8" t="n">
        <v>1474</v>
      </c>
      <c r="B1478" s="13"/>
      <c r="C1478" s="12"/>
      <c r="D1478" s="13"/>
      <c r="E1478" s="24"/>
      <c r="F1478" s="12"/>
      <c r="G1478" s="25"/>
      <c r="H1478" s="14" t="str">
        <f aca="false">IF(OR($D1478="",$B1478=""),"",INT(($B1478-$D1478)/365.25))</f>
        <v/>
      </c>
      <c r="I1478" s="25"/>
      <c r="J1478" s="12"/>
      <c r="K1478" s="12"/>
      <c r="L1478" s="14" t="str">
        <f aca="false">IF(OR($C1478="",$D1478="",$B1478=""),"",IF(COUNTIFS($C$5:$C$1504,$C1478,$D$5:$D$1504,$D1478,$B$5:$B$1504,$B1478)&gt;1,"Takror",""))</f>
        <v/>
      </c>
    </row>
    <row r="1479" customFormat="false" ht="15" hidden="false" customHeight="false" outlineLevel="0" collapsed="false">
      <c r="A1479" s="8" t="n">
        <v>1475</v>
      </c>
      <c r="B1479" s="13"/>
      <c r="C1479" s="12"/>
      <c r="D1479" s="13"/>
      <c r="E1479" s="24"/>
      <c r="F1479" s="12"/>
      <c r="G1479" s="25"/>
      <c r="H1479" s="14" t="str">
        <f aca="false">IF(OR($D1479="",$B1479=""),"",INT(($B1479-$D1479)/365.25))</f>
        <v/>
      </c>
      <c r="I1479" s="25"/>
      <c r="J1479" s="12"/>
      <c r="K1479" s="12"/>
      <c r="L1479" s="14" t="str">
        <f aca="false">IF(OR($C1479="",$D1479="",$B1479=""),"",IF(COUNTIFS($C$5:$C$1504,$C1479,$D$5:$D$1504,$D1479,$B$5:$B$1504,$B1479)&gt;1,"Takror",""))</f>
        <v/>
      </c>
    </row>
    <row r="1480" customFormat="false" ht="15" hidden="false" customHeight="false" outlineLevel="0" collapsed="false">
      <c r="A1480" s="8" t="n">
        <v>1476</v>
      </c>
      <c r="B1480" s="13"/>
      <c r="C1480" s="12"/>
      <c r="D1480" s="13"/>
      <c r="E1480" s="24"/>
      <c r="F1480" s="12"/>
      <c r="G1480" s="25"/>
      <c r="H1480" s="14" t="str">
        <f aca="false">IF(OR($D1480="",$B1480=""),"",INT(($B1480-$D1480)/365.25))</f>
        <v/>
      </c>
      <c r="I1480" s="25"/>
      <c r="J1480" s="12"/>
      <c r="K1480" s="12"/>
      <c r="L1480" s="14" t="str">
        <f aca="false">IF(OR($C1480="",$D1480="",$B1480=""),"",IF(COUNTIFS($C$5:$C$1504,$C1480,$D$5:$D$1504,$D1480,$B$5:$B$1504,$B1480)&gt;1,"Takror",""))</f>
        <v/>
      </c>
    </row>
    <row r="1481" customFormat="false" ht="15" hidden="false" customHeight="false" outlineLevel="0" collapsed="false">
      <c r="A1481" s="8" t="n">
        <v>1477</v>
      </c>
      <c r="B1481" s="13"/>
      <c r="C1481" s="12"/>
      <c r="D1481" s="13"/>
      <c r="E1481" s="24"/>
      <c r="F1481" s="12"/>
      <c r="G1481" s="25"/>
      <c r="H1481" s="14" t="str">
        <f aca="false">IF(OR($D1481="",$B1481=""),"",INT(($B1481-$D1481)/365.25))</f>
        <v/>
      </c>
      <c r="I1481" s="25"/>
      <c r="J1481" s="12"/>
      <c r="K1481" s="12"/>
      <c r="L1481" s="14" t="str">
        <f aca="false">IF(OR($C1481="",$D1481="",$B1481=""),"",IF(COUNTIFS($C$5:$C$1504,$C1481,$D$5:$D$1504,$D1481,$B$5:$B$1504,$B1481)&gt;1,"Takror",""))</f>
        <v/>
      </c>
    </row>
    <row r="1482" customFormat="false" ht="15" hidden="false" customHeight="false" outlineLevel="0" collapsed="false">
      <c r="A1482" s="8" t="n">
        <v>1478</v>
      </c>
      <c r="B1482" s="13"/>
      <c r="C1482" s="12"/>
      <c r="D1482" s="13"/>
      <c r="E1482" s="24"/>
      <c r="F1482" s="12"/>
      <c r="G1482" s="25"/>
      <c r="H1482" s="14" t="str">
        <f aca="false">IF(OR($D1482="",$B1482=""),"",INT(($B1482-$D1482)/365.25))</f>
        <v/>
      </c>
      <c r="I1482" s="25"/>
      <c r="J1482" s="12"/>
      <c r="K1482" s="12"/>
      <c r="L1482" s="14" t="str">
        <f aca="false">IF(OR($C1482="",$D1482="",$B1482=""),"",IF(COUNTIFS($C$5:$C$1504,$C1482,$D$5:$D$1504,$D1482,$B$5:$B$1504,$B1482)&gt;1,"Takror",""))</f>
        <v/>
      </c>
    </row>
    <row r="1483" customFormat="false" ht="15" hidden="false" customHeight="false" outlineLevel="0" collapsed="false">
      <c r="A1483" s="8" t="n">
        <v>1479</v>
      </c>
      <c r="B1483" s="13"/>
      <c r="C1483" s="12"/>
      <c r="D1483" s="13"/>
      <c r="E1483" s="24"/>
      <c r="F1483" s="12"/>
      <c r="G1483" s="25"/>
      <c r="H1483" s="14" t="str">
        <f aca="false">IF(OR($D1483="",$B1483=""),"",INT(($B1483-$D1483)/365.25))</f>
        <v/>
      </c>
      <c r="I1483" s="25"/>
      <c r="J1483" s="12"/>
      <c r="K1483" s="12"/>
      <c r="L1483" s="14" t="str">
        <f aca="false">IF(OR($C1483="",$D1483="",$B1483=""),"",IF(COUNTIFS($C$5:$C$1504,$C1483,$D$5:$D$1504,$D1483,$B$5:$B$1504,$B1483)&gt;1,"Takror",""))</f>
        <v/>
      </c>
    </row>
    <row r="1484" customFormat="false" ht="15" hidden="false" customHeight="false" outlineLevel="0" collapsed="false">
      <c r="A1484" s="8" t="n">
        <v>1480</v>
      </c>
      <c r="B1484" s="13"/>
      <c r="C1484" s="12"/>
      <c r="D1484" s="13"/>
      <c r="E1484" s="24"/>
      <c r="F1484" s="12"/>
      <c r="G1484" s="25"/>
      <c r="H1484" s="14" t="str">
        <f aca="false">IF(OR($D1484="",$B1484=""),"",INT(($B1484-$D1484)/365.25))</f>
        <v/>
      </c>
      <c r="I1484" s="25"/>
      <c r="J1484" s="12"/>
      <c r="K1484" s="12"/>
      <c r="L1484" s="14" t="str">
        <f aca="false">IF(OR($C1484="",$D1484="",$B1484=""),"",IF(COUNTIFS($C$5:$C$1504,$C1484,$D$5:$D$1504,$D1484,$B$5:$B$1504,$B1484)&gt;1,"Takror",""))</f>
        <v/>
      </c>
    </row>
    <row r="1485" customFormat="false" ht="15" hidden="false" customHeight="false" outlineLevel="0" collapsed="false">
      <c r="A1485" s="8" t="n">
        <v>1481</v>
      </c>
      <c r="B1485" s="13"/>
      <c r="C1485" s="12"/>
      <c r="D1485" s="13"/>
      <c r="E1485" s="24"/>
      <c r="F1485" s="12"/>
      <c r="G1485" s="25"/>
      <c r="H1485" s="14" t="str">
        <f aca="false">IF(OR($D1485="",$B1485=""),"",INT(($B1485-$D1485)/365.25))</f>
        <v/>
      </c>
      <c r="I1485" s="25"/>
      <c r="J1485" s="12"/>
      <c r="K1485" s="12"/>
      <c r="L1485" s="14" t="str">
        <f aca="false">IF(OR($C1485="",$D1485="",$B1485=""),"",IF(COUNTIFS($C$5:$C$1504,$C1485,$D$5:$D$1504,$D1485,$B$5:$B$1504,$B1485)&gt;1,"Takror",""))</f>
        <v/>
      </c>
    </row>
    <row r="1486" customFormat="false" ht="15" hidden="false" customHeight="false" outlineLevel="0" collapsed="false">
      <c r="A1486" s="8" t="n">
        <v>1482</v>
      </c>
      <c r="B1486" s="13"/>
      <c r="C1486" s="12"/>
      <c r="D1486" s="13"/>
      <c r="E1486" s="24"/>
      <c r="F1486" s="12"/>
      <c r="G1486" s="25"/>
      <c r="H1486" s="14" t="str">
        <f aca="false">IF(OR($D1486="",$B1486=""),"",INT(($B1486-$D1486)/365.25))</f>
        <v/>
      </c>
      <c r="I1486" s="25"/>
      <c r="J1486" s="12"/>
      <c r="K1486" s="12"/>
      <c r="L1486" s="14" t="str">
        <f aca="false">IF(OR($C1486="",$D1486="",$B1486=""),"",IF(COUNTIFS($C$5:$C$1504,$C1486,$D$5:$D$1504,$D1486,$B$5:$B$1504,$B1486)&gt;1,"Takror",""))</f>
        <v/>
      </c>
    </row>
    <row r="1487" customFormat="false" ht="15" hidden="false" customHeight="false" outlineLevel="0" collapsed="false">
      <c r="A1487" s="8" t="n">
        <v>1483</v>
      </c>
      <c r="B1487" s="13"/>
      <c r="C1487" s="12"/>
      <c r="D1487" s="13"/>
      <c r="E1487" s="24"/>
      <c r="F1487" s="12"/>
      <c r="G1487" s="25"/>
      <c r="H1487" s="14" t="str">
        <f aca="false">IF(OR($D1487="",$B1487=""),"",INT(($B1487-$D1487)/365.25))</f>
        <v/>
      </c>
      <c r="I1487" s="25"/>
      <c r="J1487" s="12"/>
      <c r="K1487" s="12"/>
      <c r="L1487" s="14" t="str">
        <f aca="false">IF(OR($C1487="",$D1487="",$B1487=""),"",IF(COUNTIFS($C$5:$C$1504,$C1487,$D$5:$D$1504,$D1487,$B$5:$B$1504,$B1487)&gt;1,"Takror",""))</f>
        <v/>
      </c>
    </row>
    <row r="1488" customFormat="false" ht="15" hidden="false" customHeight="false" outlineLevel="0" collapsed="false">
      <c r="A1488" s="8" t="n">
        <v>1484</v>
      </c>
      <c r="B1488" s="13"/>
      <c r="C1488" s="12"/>
      <c r="D1488" s="13"/>
      <c r="E1488" s="24"/>
      <c r="F1488" s="12"/>
      <c r="G1488" s="25"/>
      <c r="H1488" s="14" t="str">
        <f aca="false">IF(OR($D1488="",$B1488=""),"",INT(($B1488-$D1488)/365.25))</f>
        <v/>
      </c>
      <c r="I1488" s="25"/>
      <c r="J1488" s="12"/>
      <c r="K1488" s="12"/>
      <c r="L1488" s="14" t="str">
        <f aca="false">IF(OR($C1488="",$D1488="",$B1488=""),"",IF(COUNTIFS($C$5:$C$1504,$C1488,$D$5:$D$1504,$D1488,$B$5:$B$1504,$B1488)&gt;1,"Takror",""))</f>
        <v/>
      </c>
    </row>
    <row r="1489" customFormat="false" ht="15" hidden="false" customHeight="false" outlineLevel="0" collapsed="false">
      <c r="A1489" s="8" t="n">
        <v>1485</v>
      </c>
      <c r="B1489" s="13"/>
      <c r="C1489" s="12"/>
      <c r="D1489" s="13"/>
      <c r="E1489" s="24"/>
      <c r="F1489" s="12"/>
      <c r="G1489" s="25"/>
      <c r="H1489" s="14" t="str">
        <f aca="false">IF(OR($D1489="",$B1489=""),"",INT(($B1489-$D1489)/365.25))</f>
        <v/>
      </c>
      <c r="I1489" s="25"/>
      <c r="J1489" s="12"/>
      <c r="K1489" s="12"/>
      <c r="L1489" s="14" t="str">
        <f aca="false">IF(OR($C1489="",$D1489="",$B1489=""),"",IF(COUNTIFS($C$5:$C$1504,$C1489,$D$5:$D$1504,$D1489,$B$5:$B$1504,$B1489)&gt;1,"Takror",""))</f>
        <v/>
      </c>
    </row>
    <row r="1490" customFormat="false" ht="15" hidden="false" customHeight="false" outlineLevel="0" collapsed="false">
      <c r="A1490" s="8" t="n">
        <v>1486</v>
      </c>
      <c r="B1490" s="13"/>
      <c r="C1490" s="12"/>
      <c r="D1490" s="13"/>
      <c r="E1490" s="24"/>
      <c r="F1490" s="12"/>
      <c r="G1490" s="25"/>
      <c r="H1490" s="14" t="str">
        <f aca="false">IF(OR($D1490="",$B1490=""),"",INT(($B1490-$D1490)/365.25))</f>
        <v/>
      </c>
      <c r="I1490" s="25"/>
      <c r="J1490" s="12"/>
      <c r="K1490" s="12"/>
      <c r="L1490" s="14" t="str">
        <f aca="false">IF(OR($C1490="",$D1490="",$B1490=""),"",IF(COUNTIFS($C$5:$C$1504,$C1490,$D$5:$D$1504,$D1490,$B$5:$B$1504,$B1490)&gt;1,"Takror",""))</f>
        <v/>
      </c>
    </row>
    <row r="1491" customFormat="false" ht="15" hidden="false" customHeight="false" outlineLevel="0" collapsed="false">
      <c r="A1491" s="8" t="n">
        <v>1487</v>
      </c>
      <c r="B1491" s="13"/>
      <c r="C1491" s="12"/>
      <c r="D1491" s="13"/>
      <c r="E1491" s="24"/>
      <c r="F1491" s="12"/>
      <c r="G1491" s="25"/>
      <c r="H1491" s="14" t="str">
        <f aca="false">IF(OR($D1491="",$B1491=""),"",INT(($B1491-$D1491)/365.25))</f>
        <v/>
      </c>
      <c r="I1491" s="25"/>
      <c r="J1491" s="12"/>
      <c r="K1491" s="12"/>
      <c r="L1491" s="14" t="str">
        <f aca="false">IF(OR($C1491="",$D1491="",$B1491=""),"",IF(COUNTIFS($C$5:$C$1504,$C1491,$D$5:$D$1504,$D1491,$B$5:$B$1504,$B1491)&gt;1,"Takror",""))</f>
        <v/>
      </c>
    </row>
    <row r="1492" customFormat="false" ht="15" hidden="false" customHeight="false" outlineLevel="0" collapsed="false">
      <c r="A1492" s="8" t="n">
        <v>1488</v>
      </c>
      <c r="B1492" s="13"/>
      <c r="C1492" s="12"/>
      <c r="D1492" s="13"/>
      <c r="E1492" s="24"/>
      <c r="F1492" s="12"/>
      <c r="G1492" s="25"/>
      <c r="H1492" s="14" t="str">
        <f aca="false">IF(OR($D1492="",$B1492=""),"",INT(($B1492-$D1492)/365.25))</f>
        <v/>
      </c>
      <c r="I1492" s="25"/>
      <c r="J1492" s="12"/>
      <c r="K1492" s="12"/>
      <c r="L1492" s="14" t="str">
        <f aca="false">IF(OR($C1492="",$D1492="",$B1492=""),"",IF(COUNTIFS($C$5:$C$1504,$C1492,$D$5:$D$1504,$D1492,$B$5:$B$1504,$B1492)&gt;1,"Takror",""))</f>
        <v/>
      </c>
    </row>
    <row r="1493" customFormat="false" ht="15" hidden="false" customHeight="false" outlineLevel="0" collapsed="false">
      <c r="A1493" s="8" t="n">
        <v>1489</v>
      </c>
      <c r="B1493" s="13"/>
      <c r="C1493" s="12"/>
      <c r="D1493" s="13"/>
      <c r="E1493" s="24"/>
      <c r="F1493" s="12"/>
      <c r="G1493" s="25"/>
      <c r="H1493" s="14" t="str">
        <f aca="false">IF(OR($D1493="",$B1493=""),"",INT(($B1493-$D1493)/365.25))</f>
        <v/>
      </c>
      <c r="I1493" s="25"/>
      <c r="J1493" s="12"/>
      <c r="K1493" s="12"/>
      <c r="L1493" s="14" t="str">
        <f aca="false">IF(OR($C1493="",$D1493="",$B1493=""),"",IF(COUNTIFS($C$5:$C$1504,$C1493,$D$5:$D$1504,$D1493,$B$5:$B$1504,$B1493)&gt;1,"Takror",""))</f>
        <v/>
      </c>
    </row>
    <row r="1494" customFormat="false" ht="15" hidden="false" customHeight="false" outlineLevel="0" collapsed="false">
      <c r="A1494" s="8" t="n">
        <v>1490</v>
      </c>
      <c r="B1494" s="13"/>
      <c r="C1494" s="12"/>
      <c r="D1494" s="13"/>
      <c r="E1494" s="24"/>
      <c r="F1494" s="12"/>
      <c r="G1494" s="25"/>
      <c r="H1494" s="14" t="str">
        <f aca="false">IF(OR($D1494="",$B1494=""),"",INT(($B1494-$D1494)/365.25))</f>
        <v/>
      </c>
      <c r="I1494" s="25"/>
      <c r="J1494" s="12"/>
      <c r="K1494" s="12"/>
      <c r="L1494" s="14" t="str">
        <f aca="false">IF(OR($C1494="",$D1494="",$B1494=""),"",IF(COUNTIFS($C$5:$C$1504,$C1494,$D$5:$D$1504,$D1494,$B$5:$B$1504,$B1494)&gt;1,"Takror",""))</f>
        <v/>
      </c>
    </row>
    <row r="1495" customFormat="false" ht="15" hidden="false" customHeight="false" outlineLevel="0" collapsed="false">
      <c r="A1495" s="8" t="n">
        <v>1491</v>
      </c>
      <c r="B1495" s="13"/>
      <c r="C1495" s="12"/>
      <c r="D1495" s="13"/>
      <c r="E1495" s="24"/>
      <c r="F1495" s="12"/>
      <c r="G1495" s="25"/>
      <c r="H1495" s="14" t="str">
        <f aca="false">IF(OR($D1495="",$B1495=""),"",INT(($B1495-$D1495)/365.25))</f>
        <v/>
      </c>
      <c r="I1495" s="25"/>
      <c r="J1495" s="12"/>
      <c r="K1495" s="12"/>
      <c r="L1495" s="14" t="str">
        <f aca="false">IF(OR($C1495="",$D1495="",$B1495=""),"",IF(COUNTIFS($C$5:$C$1504,$C1495,$D$5:$D$1504,$D1495,$B$5:$B$1504,$B1495)&gt;1,"Takror",""))</f>
        <v/>
      </c>
    </row>
    <row r="1496" customFormat="false" ht="15" hidden="false" customHeight="false" outlineLevel="0" collapsed="false">
      <c r="A1496" s="8" t="n">
        <v>1492</v>
      </c>
      <c r="B1496" s="13"/>
      <c r="C1496" s="12"/>
      <c r="D1496" s="13"/>
      <c r="E1496" s="24"/>
      <c r="F1496" s="12"/>
      <c r="G1496" s="25"/>
      <c r="H1496" s="14" t="str">
        <f aca="false">IF(OR($D1496="",$B1496=""),"",INT(($B1496-$D1496)/365.25))</f>
        <v/>
      </c>
      <c r="I1496" s="25"/>
      <c r="J1496" s="12"/>
      <c r="K1496" s="12"/>
      <c r="L1496" s="14" t="str">
        <f aca="false">IF(OR($C1496="",$D1496="",$B1496=""),"",IF(COUNTIFS($C$5:$C$1504,$C1496,$D$5:$D$1504,$D1496,$B$5:$B$1504,$B1496)&gt;1,"Takror",""))</f>
        <v/>
      </c>
    </row>
    <row r="1497" customFormat="false" ht="15" hidden="false" customHeight="false" outlineLevel="0" collapsed="false">
      <c r="A1497" s="8" t="n">
        <v>1493</v>
      </c>
      <c r="B1497" s="13"/>
      <c r="C1497" s="12"/>
      <c r="D1497" s="13"/>
      <c r="E1497" s="24"/>
      <c r="F1497" s="12"/>
      <c r="G1497" s="25"/>
      <c r="H1497" s="14" t="str">
        <f aca="false">IF(OR($D1497="",$B1497=""),"",INT(($B1497-$D1497)/365.25))</f>
        <v/>
      </c>
      <c r="I1497" s="25"/>
      <c r="J1497" s="12"/>
      <c r="K1497" s="12"/>
      <c r="L1497" s="14" t="str">
        <f aca="false">IF(OR($C1497="",$D1497="",$B1497=""),"",IF(COUNTIFS($C$5:$C$1504,$C1497,$D$5:$D$1504,$D1497,$B$5:$B$1504,$B1497)&gt;1,"Takror",""))</f>
        <v/>
      </c>
    </row>
    <row r="1498" customFormat="false" ht="15" hidden="false" customHeight="false" outlineLevel="0" collapsed="false">
      <c r="A1498" s="8" t="n">
        <v>1494</v>
      </c>
      <c r="B1498" s="13"/>
      <c r="C1498" s="12"/>
      <c r="D1498" s="13"/>
      <c r="E1498" s="24"/>
      <c r="F1498" s="12"/>
      <c r="G1498" s="25"/>
      <c r="H1498" s="14" t="str">
        <f aca="false">IF(OR($D1498="",$B1498=""),"",INT(($B1498-$D1498)/365.25))</f>
        <v/>
      </c>
      <c r="I1498" s="25"/>
      <c r="J1498" s="12"/>
      <c r="K1498" s="12"/>
      <c r="L1498" s="14" t="str">
        <f aca="false">IF(OR($C1498="",$D1498="",$B1498=""),"",IF(COUNTIFS($C$5:$C$1504,$C1498,$D$5:$D$1504,$D1498,$B$5:$B$1504,$B1498)&gt;1,"Takror",""))</f>
        <v/>
      </c>
    </row>
    <row r="1499" customFormat="false" ht="15" hidden="false" customHeight="false" outlineLevel="0" collapsed="false">
      <c r="A1499" s="8" t="n">
        <v>1495</v>
      </c>
      <c r="B1499" s="13"/>
      <c r="C1499" s="12"/>
      <c r="D1499" s="13"/>
      <c r="E1499" s="24"/>
      <c r="F1499" s="12"/>
      <c r="G1499" s="25"/>
      <c r="H1499" s="14" t="str">
        <f aca="false">IF(OR($D1499="",$B1499=""),"",INT(($B1499-$D1499)/365.25))</f>
        <v/>
      </c>
      <c r="I1499" s="25"/>
      <c r="J1499" s="12"/>
      <c r="K1499" s="12"/>
      <c r="L1499" s="14" t="str">
        <f aca="false">IF(OR($C1499="",$D1499="",$B1499=""),"",IF(COUNTIFS($C$5:$C$1504,$C1499,$D$5:$D$1504,$D1499,$B$5:$B$1504,$B1499)&gt;1,"Takror",""))</f>
        <v/>
      </c>
    </row>
    <row r="1500" customFormat="false" ht="15" hidden="false" customHeight="false" outlineLevel="0" collapsed="false">
      <c r="A1500" s="8" t="n">
        <v>1496</v>
      </c>
      <c r="B1500" s="13"/>
      <c r="C1500" s="12"/>
      <c r="D1500" s="13"/>
      <c r="E1500" s="24"/>
      <c r="F1500" s="12"/>
      <c r="G1500" s="25"/>
      <c r="H1500" s="14" t="str">
        <f aca="false">IF(OR($D1500="",$B1500=""),"",INT(($B1500-$D1500)/365.25))</f>
        <v/>
      </c>
      <c r="I1500" s="25"/>
      <c r="J1500" s="12"/>
      <c r="K1500" s="12"/>
      <c r="L1500" s="14" t="str">
        <f aca="false">IF(OR($C1500="",$D1500="",$B1500=""),"",IF(COUNTIFS($C$5:$C$1504,$C1500,$D$5:$D$1504,$D1500,$B$5:$B$1504,$B1500)&gt;1,"Takror",""))</f>
        <v/>
      </c>
    </row>
    <row r="1501" customFormat="false" ht="15" hidden="false" customHeight="false" outlineLevel="0" collapsed="false">
      <c r="A1501" s="8" t="n">
        <v>1497</v>
      </c>
      <c r="B1501" s="13"/>
      <c r="C1501" s="12"/>
      <c r="D1501" s="13"/>
      <c r="E1501" s="24"/>
      <c r="F1501" s="12"/>
      <c r="G1501" s="25"/>
      <c r="H1501" s="14" t="str">
        <f aca="false">IF(OR($D1501="",$B1501=""),"",INT(($B1501-$D1501)/365.25))</f>
        <v/>
      </c>
      <c r="I1501" s="25"/>
      <c r="J1501" s="12"/>
      <c r="K1501" s="12"/>
      <c r="L1501" s="14" t="str">
        <f aca="false">IF(OR($C1501="",$D1501="",$B1501=""),"",IF(COUNTIFS($C$5:$C$1504,$C1501,$D$5:$D$1504,$D1501,$B$5:$B$1504,$B1501)&gt;1,"Takror",""))</f>
        <v/>
      </c>
    </row>
    <row r="1502" customFormat="false" ht="15" hidden="false" customHeight="false" outlineLevel="0" collapsed="false">
      <c r="A1502" s="8" t="n">
        <v>1498</v>
      </c>
      <c r="B1502" s="13"/>
      <c r="C1502" s="12"/>
      <c r="D1502" s="13"/>
      <c r="E1502" s="24"/>
      <c r="F1502" s="12"/>
      <c r="G1502" s="25"/>
      <c r="H1502" s="14" t="str">
        <f aca="false">IF(OR($D1502="",$B1502=""),"",INT(($B1502-$D1502)/365.25))</f>
        <v/>
      </c>
      <c r="I1502" s="25"/>
      <c r="J1502" s="12"/>
      <c r="K1502" s="12"/>
      <c r="L1502" s="14" t="str">
        <f aca="false">IF(OR($C1502="",$D1502="",$B1502=""),"",IF(COUNTIFS($C$5:$C$1504,$C1502,$D$5:$D$1504,$D1502,$B$5:$B$1504,$B1502)&gt;1,"Takror",""))</f>
        <v/>
      </c>
    </row>
    <row r="1503" customFormat="false" ht="15" hidden="false" customHeight="false" outlineLevel="0" collapsed="false">
      <c r="A1503" s="8" t="n">
        <v>1499</v>
      </c>
      <c r="B1503" s="13"/>
      <c r="C1503" s="12"/>
      <c r="D1503" s="13"/>
      <c r="E1503" s="24"/>
      <c r="F1503" s="12"/>
      <c r="G1503" s="25"/>
      <c r="H1503" s="14" t="str">
        <f aca="false">IF(OR($D1503="",$B1503=""),"",INT(($B1503-$D1503)/365.25))</f>
        <v/>
      </c>
      <c r="I1503" s="25"/>
      <c r="J1503" s="12"/>
      <c r="K1503" s="12"/>
      <c r="L1503" s="14" t="str">
        <f aca="false">IF(OR($C1503="",$D1503="",$B1503=""),"",IF(COUNTIFS($C$5:$C$1504,$C1503,$D$5:$D$1504,$D1503,$B$5:$B$1504,$B1503)&gt;1,"Takror",""))</f>
        <v/>
      </c>
    </row>
    <row r="1504" customFormat="false" ht="15" hidden="false" customHeight="false" outlineLevel="0" collapsed="false">
      <c r="A1504" s="8" t="n">
        <v>1500</v>
      </c>
      <c r="B1504" s="13"/>
      <c r="C1504" s="12"/>
      <c r="D1504" s="13"/>
      <c r="E1504" s="24"/>
      <c r="F1504" s="12"/>
      <c r="G1504" s="25"/>
      <c r="H1504" s="14" t="str">
        <f aca="false">IF(OR($D1504="",$B1504=""),"",INT(($B1504-$D1504)/365.25))</f>
        <v/>
      </c>
      <c r="I1504" s="25"/>
      <c r="J1504" s="12"/>
      <c r="K1504" s="12"/>
      <c r="L1504" s="14" t="str">
        <f aca="false">IF(OR($C1504="",$D1504="",$B1504=""),"",IF(COUNTIFS($C$5:$C$1504,$C1504,$D$5:$D$1504,$D1504,$B$5:$B$1504,$B1504)&gt;1,"Takror",""))</f>
        <v/>
      </c>
    </row>
  </sheetData>
  <autoFilter ref="A4:L1504"/>
  <conditionalFormatting sqref="L5:L1504">
    <cfRule type="expression" priority="2" aboveAverage="0" equalAverage="0" bottom="0" percent="0" rank="0" text="" dxfId="0">
      <formula>$L5="Takror"</formula>
    </cfRule>
  </conditionalFormatting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1504 D5:D15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15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1504" type="list">
      <formula1>Spravochnik!$A$5:$A$64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504" type="list">
      <formula1>"Sog'lom,Kasallik aniqlandi"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335</v>
      </c>
    </row>
    <row r="2" customFormat="false" ht="15" hidden="false" customHeight="false" outlineLevel="0" collapsed="false">
      <c r="A2" s="2" t="s">
        <v>336</v>
      </c>
    </row>
    <row r="3" customFormat="false" ht="15" hidden="false" customHeight="false" outlineLevel="0" collapsed="false">
      <c r="A3" s="21" t="s">
        <v>258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customFormat="false" ht="61.5" hidden="false" customHeight="true" outlineLevel="0" collapsed="false">
      <c r="A4" s="7" t="s">
        <v>12</v>
      </c>
      <c r="B4" s="7" t="s">
        <v>337</v>
      </c>
      <c r="C4" s="7" t="s">
        <v>260</v>
      </c>
      <c r="D4" s="7" t="s">
        <v>261</v>
      </c>
      <c r="E4" s="7" t="s">
        <v>262</v>
      </c>
      <c r="F4" s="7" t="s">
        <v>263</v>
      </c>
      <c r="G4" s="23" t="s">
        <v>264</v>
      </c>
      <c r="H4" s="7" t="s">
        <v>338</v>
      </c>
      <c r="I4" s="7" t="s">
        <v>293</v>
      </c>
      <c r="J4" s="7" t="s">
        <v>339</v>
      </c>
      <c r="K4" s="7" t="s">
        <v>340</v>
      </c>
      <c r="L4" s="7" t="s">
        <v>278</v>
      </c>
      <c r="M4" s="23" t="s">
        <v>279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4"/>
      <c r="F5" s="12"/>
      <c r="G5" s="14" t="str">
        <f aca="false">IF(OR($D5="",$B5=""),"",INT(($B5-$D5)/365.25))</f>
        <v/>
      </c>
      <c r="H5" s="12"/>
      <c r="I5" s="12"/>
      <c r="J5" s="25"/>
      <c r="K5" s="13"/>
      <c r="L5" s="12"/>
      <c r="M5" s="14" t="str">
        <f aca="false">IF(OR($C5="",$D5="",$H5="",$B5=""),"",IF(COUNTIFS($C$5:$C$804,$C5,$D$5:$D$804,$D5,$H$5:$H$804,$H5,$B$5:$B$804,$B5)&gt;1,"Takror",""))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4"/>
      <c r="F6" s="12"/>
      <c r="G6" s="14" t="str">
        <f aca="false">IF(OR($D6="",$B6=""),"",INT(($B6-$D6)/365.25))</f>
        <v/>
      </c>
      <c r="H6" s="12"/>
      <c r="I6" s="12"/>
      <c r="J6" s="25"/>
      <c r="K6" s="13"/>
      <c r="L6" s="12"/>
      <c r="M6" s="14" t="str">
        <f aca="false">IF(OR($C6="",$D6="",$H6="",$B6=""),"",IF(COUNTIFS($C$5:$C$804,$C6,$D$5:$D$804,$D6,$H$5:$H$804,$H6,$B$5:$B$804,$B6)&gt;1,"Takror",""))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4"/>
      <c r="F7" s="12"/>
      <c r="G7" s="14" t="str">
        <f aca="false">IF(OR($D7="",$B7=""),"",INT(($B7-$D7)/365.25))</f>
        <v/>
      </c>
      <c r="H7" s="12"/>
      <c r="I7" s="12"/>
      <c r="J7" s="25"/>
      <c r="K7" s="13"/>
      <c r="L7" s="12"/>
      <c r="M7" s="14" t="str">
        <f aca="false">IF(OR($C7="",$D7="",$H7="",$B7=""),"",IF(COUNTIFS($C$5:$C$804,$C7,$D$5:$D$804,$D7,$H$5:$H$804,$H7,$B$5:$B$804,$B7)&gt;1,"Takror",""))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4"/>
      <c r="F8" s="12"/>
      <c r="G8" s="14" t="str">
        <f aca="false">IF(OR($D8="",$B8=""),"",INT(($B8-$D8)/365.25))</f>
        <v/>
      </c>
      <c r="H8" s="12"/>
      <c r="I8" s="12"/>
      <c r="J8" s="25"/>
      <c r="K8" s="13"/>
      <c r="L8" s="12"/>
      <c r="M8" s="14" t="str">
        <f aca="false">IF(OR($C8="",$D8="",$H8="",$B8=""),"",IF(COUNTIFS($C$5:$C$804,$C8,$D$5:$D$804,$D8,$H$5:$H$804,$H8,$B$5:$B$804,$B8)&gt;1,"Takror",""))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4"/>
      <c r="F9" s="12"/>
      <c r="G9" s="14" t="str">
        <f aca="false">IF(OR($D9="",$B9=""),"",INT(($B9-$D9)/365.25))</f>
        <v/>
      </c>
      <c r="H9" s="12"/>
      <c r="I9" s="12"/>
      <c r="J9" s="25"/>
      <c r="K9" s="13"/>
      <c r="L9" s="12"/>
      <c r="M9" s="14" t="str">
        <f aca="false">IF(OR($C9="",$D9="",$H9="",$B9=""),"",IF(COUNTIFS($C$5:$C$804,$C9,$D$5:$D$804,$D9,$H$5:$H$804,$H9,$B$5:$B$804,$B9)&gt;1,"Takror",""))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4"/>
      <c r="F10" s="12"/>
      <c r="G10" s="14" t="str">
        <f aca="false">IF(OR($D10="",$B10=""),"",INT(($B10-$D10)/365.25))</f>
        <v/>
      </c>
      <c r="H10" s="12"/>
      <c r="I10" s="12"/>
      <c r="J10" s="25"/>
      <c r="K10" s="13"/>
      <c r="L10" s="12"/>
      <c r="M10" s="14" t="str">
        <f aca="false">IF(OR($C10="",$D10="",$H10="",$B10=""),"",IF(COUNTIFS($C$5:$C$804,$C10,$D$5:$D$804,$D10,$H$5:$H$804,$H10,$B$5:$B$804,$B10)&gt;1,"Takror",""))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4"/>
      <c r="F11" s="12"/>
      <c r="G11" s="14" t="str">
        <f aca="false">IF(OR($D11="",$B11=""),"",INT(($B11-$D11)/365.25))</f>
        <v/>
      </c>
      <c r="H11" s="12"/>
      <c r="I11" s="12"/>
      <c r="J11" s="25"/>
      <c r="K11" s="13"/>
      <c r="L11" s="12"/>
      <c r="M11" s="14" t="str">
        <f aca="false">IF(OR($C11="",$D11="",$H11="",$B11=""),"",IF(COUNTIFS($C$5:$C$804,$C11,$D$5:$D$804,$D11,$H$5:$H$804,$H11,$B$5:$B$804,$B11)&gt;1,"Takror",""))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4"/>
      <c r="F12" s="12"/>
      <c r="G12" s="14" t="str">
        <f aca="false">IF(OR($D12="",$B12=""),"",INT(($B12-$D12)/365.25))</f>
        <v/>
      </c>
      <c r="H12" s="12"/>
      <c r="I12" s="12"/>
      <c r="J12" s="25"/>
      <c r="K12" s="13"/>
      <c r="L12" s="12"/>
      <c r="M12" s="14" t="str">
        <f aca="false">IF(OR($C12="",$D12="",$H12="",$B12=""),"",IF(COUNTIFS($C$5:$C$804,$C12,$D$5:$D$804,$D12,$H$5:$H$804,$H12,$B$5:$B$804,$B12)&gt;1,"Takror",""))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4"/>
      <c r="F13" s="12"/>
      <c r="G13" s="14" t="str">
        <f aca="false">IF(OR($D13="",$B13=""),"",INT(($B13-$D13)/365.25))</f>
        <v/>
      </c>
      <c r="H13" s="12"/>
      <c r="I13" s="12"/>
      <c r="J13" s="25"/>
      <c r="K13" s="13"/>
      <c r="L13" s="12"/>
      <c r="M13" s="14" t="str">
        <f aca="false">IF(OR($C13="",$D13="",$H13="",$B13=""),"",IF(COUNTIFS($C$5:$C$804,$C13,$D$5:$D$804,$D13,$H$5:$H$804,$H13,$B$5:$B$804,$B13)&gt;1,"Takror",""))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4"/>
      <c r="F14" s="12"/>
      <c r="G14" s="14" t="str">
        <f aca="false">IF(OR($D14="",$B14=""),"",INT(($B14-$D14)/365.25))</f>
        <v/>
      </c>
      <c r="H14" s="12"/>
      <c r="I14" s="12"/>
      <c r="J14" s="25"/>
      <c r="K14" s="13"/>
      <c r="L14" s="12"/>
      <c r="M14" s="14" t="str">
        <f aca="false">IF(OR($C14="",$D14="",$H14="",$B14=""),"",IF(COUNTIFS($C$5:$C$804,$C14,$D$5:$D$804,$D14,$H$5:$H$804,$H14,$B$5:$B$804,$B14)&gt;1,"Takror",""))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4"/>
      <c r="F15" s="12"/>
      <c r="G15" s="14" t="str">
        <f aca="false">IF(OR($D15="",$B15=""),"",INT(($B15-$D15)/365.25))</f>
        <v/>
      </c>
      <c r="H15" s="12"/>
      <c r="I15" s="12"/>
      <c r="J15" s="25"/>
      <c r="K15" s="13"/>
      <c r="L15" s="12"/>
      <c r="M15" s="14" t="str">
        <f aca="false">IF(OR($C15="",$D15="",$H15="",$B15=""),"",IF(COUNTIFS($C$5:$C$804,$C15,$D$5:$D$804,$D15,$H$5:$H$804,$H15,$B$5:$B$804,$B15)&gt;1,"Takror",""))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4"/>
      <c r="F16" s="12"/>
      <c r="G16" s="14" t="str">
        <f aca="false">IF(OR($D16="",$B16=""),"",INT(($B16-$D16)/365.25))</f>
        <v/>
      </c>
      <c r="H16" s="12"/>
      <c r="I16" s="12"/>
      <c r="J16" s="25"/>
      <c r="K16" s="13"/>
      <c r="L16" s="12"/>
      <c r="M16" s="14" t="str">
        <f aca="false">IF(OR($C16="",$D16="",$H16="",$B16=""),"",IF(COUNTIFS($C$5:$C$804,$C16,$D$5:$D$804,$D16,$H$5:$H$804,$H16,$B$5:$B$804,$B16)&gt;1,"Takror",""))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4"/>
      <c r="F17" s="12"/>
      <c r="G17" s="14" t="str">
        <f aca="false">IF(OR($D17="",$B17=""),"",INT(($B17-$D17)/365.25))</f>
        <v/>
      </c>
      <c r="H17" s="12"/>
      <c r="I17" s="12"/>
      <c r="J17" s="25"/>
      <c r="K17" s="13"/>
      <c r="L17" s="12"/>
      <c r="M17" s="14" t="str">
        <f aca="false">IF(OR($C17="",$D17="",$H17="",$B17=""),"",IF(COUNTIFS($C$5:$C$804,$C17,$D$5:$D$804,$D17,$H$5:$H$804,$H17,$B$5:$B$804,$B17)&gt;1,"Takror",""))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4"/>
      <c r="F18" s="12"/>
      <c r="G18" s="14" t="str">
        <f aca="false">IF(OR($D18="",$B18=""),"",INT(($B18-$D18)/365.25))</f>
        <v/>
      </c>
      <c r="H18" s="12"/>
      <c r="I18" s="12"/>
      <c r="J18" s="25"/>
      <c r="K18" s="13"/>
      <c r="L18" s="12"/>
      <c r="M18" s="14" t="str">
        <f aca="false">IF(OR($C18="",$D18="",$H18="",$B18=""),"",IF(COUNTIFS($C$5:$C$804,$C18,$D$5:$D$804,$D18,$H$5:$H$804,$H18,$B$5:$B$804,$B18)&gt;1,"Takror",""))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4"/>
      <c r="F19" s="12"/>
      <c r="G19" s="14" t="str">
        <f aca="false">IF(OR($D19="",$B19=""),"",INT(($B19-$D19)/365.25))</f>
        <v/>
      </c>
      <c r="H19" s="12"/>
      <c r="I19" s="12"/>
      <c r="J19" s="25"/>
      <c r="K19" s="13"/>
      <c r="L19" s="12"/>
      <c r="M19" s="14" t="str">
        <f aca="false">IF(OR($C19="",$D19="",$H19="",$B19=""),"",IF(COUNTIFS($C$5:$C$804,$C19,$D$5:$D$804,$D19,$H$5:$H$804,$H19,$B$5:$B$804,$B19)&gt;1,"Takror",""))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4"/>
      <c r="F20" s="12"/>
      <c r="G20" s="14" t="str">
        <f aca="false">IF(OR($D20="",$B20=""),"",INT(($B20-$D20)/365.25))</f>
        <v/>
      </c>
      <c r="H20" s="12"/>
      <c r="I20" s="12"/>
      <c r="J20" s="25"/>
      <c r="K20" s="13"/>
      <c r="L20" s="12"/>
      <c r="M20" s="14" t="str">
        <f aca="false">IF(OR($C20="",$D20="",$H20="",$B20=""),"",IF(COUNTIFS($C$5:$C$804,$C20,$D$5:$D$804,$D20,$H$5:$H$804,$H20,$B$5:$B$804,$B20)&gt;1,"Takror",""))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4"/>
      <c r="F21" s="12"/>
      <c r="G21" s="14" t="str">
        <f aca="false">IF(OR($D21="",$B21=""),"",INT(($B21-$D21)/365.25))</f>
        <v/>
      </c>
      <c r="H21" s="12"/>
      <c r="I21" s="12"/>
      <c r="J21" s="25"/>
      <c r="K21" s="13"/>
      <c r="L21" s="12"/>
      <c r="M21" s="14" t="str">
        <f aca="false">IF(OR($C21="",$D21="",$H21="",$B21=""),"",IF(COUNTIFS($C$5:$C$804,$C21,$D$5:$D$804,$D21,$H$5:$H$804,$H21,$B$5:$B$804,$B21)&gt;1,"Takror",""))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4"/>
      <c r="F22" s="12"/>
      <c r="G22" s="14" t="str">
        <f aca="false">IF(OR($D22="",$B22=""),"",INT(($B22-$D22)/365.25))</f>
        <v/>
      </c>
      <c r="H22" s="12"/>
      <c r="I22" s="12"/>
      <c r="J22" s="25"/>
      <c r="K22" s="13"/>
      <c r="L22" s="12"/>
      <c r="M22" s="14" t="str">
        <f aca="false">IF(OR($C22="",$D22="",$H22="",$B22=""),"",IF(COUNTIFS($C$5:$C$804,$C22,$D$5:$D$804,$D22,$H$5:$H$804,$H22,$B$5:$B$804,$B22)&gt;1,"Takror",""))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4"/>
      <c r="F23" s="12"/>
      <c r="G23" s="14" t="str">
        <f aca="false">IF(OR($D23="",$B23=""),"",INT(($B23-$D23)/365.25))</f>
        <v/>
      </c>
      <c r="H23" s="12"/>
      <c r="I23" s="12"/>
      <c r="J23" s="25"/>
      <c r="K23" s="13"/>
      <c r="L23" s="12"/>
      <c r="M23" s="14" t="str">
        <f aca="false">IF(OR($C23="",$D23="",$H23="",$B23=""),"",IF(COUNTIFS($C$5:$C$804,$C23,$D$5:$D$804,$D23,$H$5:$H$804,$H23,$B$5:$B$804,$B23)&gt;1,"Takror",""))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4"/>
      <c r="F24" s="12"/>
      <c r="G24" s="14" t="str">
        <f aca="false">IF(OR($D24="",$B24=""),"",INT(($B24-$D24)/365.25))</f>
        <v/>
      </c>
      <c r="H24" s="12"/>
      <c r="I24" s="12"/>
      <c r="J24" s="25"/>
      <c r="K24" s="13"/>
      <c r="L24" s="12"/>
      <c r="M24" s="14" t="str">
        <f aca="false">IF(OR($C24="",$D24="",$H24="",$B24=""),"",IF(COUNTIFS($C$5:$C$804,$C24,$D$5:$D$804,$D24,$H$5:$H$804,$H24,$B$5:$B$804,$B24)&gt;1,"Takror",""))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4"/>
      <c r="F25" s="12"/>
      <c r="G25" s="14" t="str">
        <f aca="false">IF(OR($D25="",$B25=""),"",INT(($B25-$D25)/365.25))</f>
        <v/>
      </c>
      <c r="H25" s="12"/>
      <c r="I25" s="12"/>
      <c r="J25" s="25"/>
      <c r="K25" s="13"/>
      <c r="L25" s="12"/>
      <c r="M25" s="14" t="str">
        <f aca="false">IF(OR($C25="",$D25="",$H25="",$B25=""),"",IF(COUNTIFS($C$5:$C$804,$C25,$D$5:$D$804,$D25,$H$5:$H$804,$H25,$B$5:$B$804,$B25)&gt;1,"Takror",""))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4"/>
      <c r="F26" s="12"/>
      <c r="G26" s="14" t="str">
        <f aca="false">IF(OR($D26="",$B26=""),"",INT(($B26-$D26)/365.25))</f>
        <v/>
      </c>
      <c r="H26" s="12"/>
      <c r="I26" s="12"/>
      <c r="J26" s="25"/>
      <c r="K26" s="13"/>
      <c r="L26" s="12"/>
      <c r="M26" s="14" t="str">
        <f aca="false">IF(OR($C26="",$D26="",$H26="",$B26=""),"",IF(COUNTIFS($C$5:$C$804,$C26,$D$5:$D$804,$D26,$H$5:$H$804,$H26,$B$5:$B$804,$B26)&gt;1,"Takror",""))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4"/>
      <c r="F27" s="12"/>
      <c r="G27" s="14" t="str">
        <f aca="false">IF(OR($D27="",$B27=""),"",INT(($B27-$D27)/365.25))</f>
        <v/>
      </c>
      <c r="H27" s="12"/>
      <c r="I27" s="12"/>
      <c r="J27" s="25"/>
      <c r="K27" s="13"/>
      <c r="L27" s="12"/>
      <c r="M27" s="14" t="str">
        <f aca="false">IF(OR($C27="",$D27="",$H27="",$B27=""),"",IF(COUNTIFS($C$5:$C$804,$C27,$D$5:$D$804,$D27,$H$5:$H$804,$H27,$B$5:$B$804,$B27)&gt;1,"Takror",""))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4"/>
      <c r="F28" s="12"/>
      <c r="G28" s="14" t="str">
        <f aca="false">IF(OR($D28="",$B28=""),"",INT(($B28-$D28)/365.25))</f>
        <v/>
      </c>
      <c r="H28" s="12"/>
      <c r="I28" s="12"/>
      <c r="J28" s="25"/>
      <c r="K28" s="13"/>
      <c r="L28" s="12"/>
      <c r="M28" s="14" t="str">
        <f aca="false">IF(OR($C28="",$D28="",$H28="",$B28=""),"",IF(COUNTIFS($C$5:$C$804,$C28,$D$5:$D$804,$D28,$H$5:$H$804,$H28,$B$5:$B$804,$B28)&gt;1,"Takror",""))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4"/>
      <c r="F29" s="12"/>
      <c r="G29" s="14" t="str">
        <f aca="false">IF(OR($D29="",$B29=""),"",INT(($B29-$D29)/365.25))</f>
        <v/>
      </c>
      <c r="H29" s="12"/>
      <c r="I29" s="12"/>
      <c r="J29" s="25"/>
      <c r="K29" s="13"/>
      <c r="L29" s="12"/>
      <c r="M29" s="14" t="str">
        <f aca="false">IF(OR($C29="",$D29="",$H29="",$B29=""),"",IF(COUNTIFS($C$5:$C$804,$C29,$D$5:$D$804,$D29,$H$5:$H$804,$H29,$B$5:$B$804,$B29)&gt;1,"Takror",""))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4"/>
      <c r="F30" s="12"/>
      <c r="G30" s="14" t="str">
        <f aca="false">IF(OR($D30="",$B30=""),"",INT(($B30-$D30)/365.25))</f>
        <v/>
      </c>
      <c r="H30" s="12"/>
      <c r="I30" s="12"/>
      <c r="J30" s="25"/>
      <c r="K30" s="13"/>
      <c r="L30" s="12"/>
      <c r="M30" s="14" t="str">
        <f aca="false">IF(OR($C30="",$D30="",$H30="",$B30=""),"",IF(COUNTIFS($C$5:$C$804,$C30,$D$5:$D$804,$D30,$H$5:$H$804,$H30,$B$5:$B$804,$B30)&gt;1,"Takror",""))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4"/>
      <c r="F31" s="12"/>
      <c r="G31" s="14" t="str">
        <f aca="false">IF(OR($D31="",$B31=""),"",INT(($B31-$D31)/365.25))</f>
        <v/>
      </c>
      <c r="H31" s="12"/>
      <c r="I31" s="12"/>
      <c r="J31" s="25"/>
      <c r="K31" s="13"/>
      <c r="L31" s="12"/>
      <c r="M31" s="14" t="str">
        <f aca="false">IF(OR($C31="",$D31="",$H31="",$B31=""),"",IF(COUNTIFS($C$5:$C$804,$C31,$D$5:$D$804,$D31,$H$5:$H$804,$H31,$B$5:$B$804,$B31)&gt;1,"Takror",""))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4"/>
      <c r="F32" s="12"/>
      <c r="G32" s="14" t="str">
        <f aca="false">IF(OR($D32="",$B32=""),"",INT(($B32-$D32)/365.25))</f>
        <v/>
      </c>
      <c r="H32" s="12"/>
      <c r="I32" s="12"/>
      <c r="J32" s="25"/>
      <c r="K32" s="13"/>
      <c r="L32" s="12"/>
      <c r="M32" s="14" t="str">
        <f aca="false">IF(OR($C32="",$D32="",$H32="",$B32=""),"",IF(COUNTIFS($C$5:$C$804,$C32,$D$5:$D$804,$D32,$H$5:$H$804,$H32,$B$5:$B$804,$B32)&gt;1,"Takror",""))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4"/>
      <c r="F33" s="12"/>
      <c r="G33" s="14" t="str">
        <f aca="false">IF(OR($D33="",$B33=""),"",INT(($B33-$D33)/365.25))</f>
        <v/>
      </c>
      <c r="H33" s="12"/>
      <c r="I33" s="12"/>
      <c r="J33" s="25"/>
      <c r="K33" s="13"/>
      <c r="L33" s="12"/>
      <c r="M33" s="14" t="str">
        <f aca="false">IF(OR($C33="",$D33="",$H33="",$B33=""),"",IF(COUNTIFS($C$5:$C$804,$C33,$D$5:$D$804,$D33,$H$5:$H$804,$H33,$B$5:$B$804,$B33)&gt;1,"Takror",""))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4"/>
      <c r="F34" s="12"/>
      <c r="G34" s="14" t="str">
        <f aca="false">IF(OR($D34="",$B34=""),"",INT(($B34-$D34)/365.25))</f>
        <v/>
      </c>
      <c r="H34" s="12"/>
      <c r="I34" s="12"/>
      <c r="J34" s="25"/>
      <c r="K34" s="13"/>
      <c r="L34" s="12"/>
      <c r="M34" s="14" t="str">
        <f aca="false">IF(OR($C34="",$D34="",$H34="",$B34=""),"",IF(COUNTIFS($C$5:$C$804,$C34,$D$5:$D$804,$D34,$H$5:$H$804,$H34,$B$5:$B$804,$B34)&gt;1,"Takror",""))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4"/>
      <c r="F35" s="12"/>
      <c r="G35" s="14" t="str">
        <f aca="false">IF(OR($D35="",$B35=""),"",INT(($B35-$D35)/365.25))</f>
        <v/>
      </c>
      <c r="H35" s="12"/>
      <c r="I35" s="12"/>
      <c r="J35" s="25"/>
      <c r="K35" s="13"/>
      <c r="L35" s="12"/>
      <c r="M35" s="14" t="str">
        <f aca="false">IF(OR($C35="",$D35="",$H35="",$B35=""),"",IF(COUNTIFS($C$5:$C$804,$C35,$D$5:$D$804,$D35,$H$5:$H$804,$H35,$B$5:$B$804,$B35)&gt;1,"Takror",""))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4"/>
      <c r="F36" s="12"/>
      <c r="G36" s="14" t="str">
        <f aca="false">IF(OR($D36="",$B36=""),"",INT(($B36-$D36)/365.25))</f>
        <v/>
      </c>
      <c r="H36" s="12"/>
      <c r="I36" s="12"/>
      <c r="J36" s="25"/>
      <c r="K36" s="13"/>
      <c r="L36" s="12"/>
      <c r="M36" s="14" t="str">
        <f aca="false">IF(OR($C36="",$D36="",$H36="",$B36=""),"",IF(COUNTIFS($C$5:$C$804,$C36,$D$5:$D$804,$D36,$H$5:$H$804,$H36,$B$5:$B$804,$B36)&gt;1,"Takror",""))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4"/>
      <c r="F37" s="12"/>
      <c r="G37" s="14" t="str">
        <f aca="false">IF(OR($D37="",$B37=""),"",INT(($B37-$D37)/365.25))</f>
        <v/>
      </c>
      <c r="H37" s="12"/>
      <c r="I37" s="12"/>
      <c r="J37" s="25"/>
      <c r="K37" s="13"/>
      <c r="L37" s="12"/>
      <c r="M37" s="14" t="str">
        <f aca="false">IF(OR($C37="",$D37="",$H37="",$B37=""),"",IF(COUNTIFS($C$5:$C$804,$C37,$D$5:$D$804,$D37,$H$5:$H$804,$H37,$B$5:$B$804,$B37)&gt;1,"Takror",""))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4"/>
      <c r="F38" s="12"/>
      <c r="G38" s="14" t="str">
        <f aca="false">IF(OR($D38="",$B38=""),"",INT(($B38-$D38)/365.25))</f>
        <v/>
      </c>
      <c r="H38" s="12"/>
      <c r="I38" s="12"/>
      <c r="J38" s="25"/>
      <c r="K38" s="13"/>
      <c r="L38" s="12"/>
      <c r="M38" s="14" t="str">
        <f aca="false">IF(OR($C38="",$D38="",$H38="",$B38=""),"",IF(COUNTIFS($C$5:$C$804,$C38,$D$5:$D$804,$D38,$H$5:$H$804,$H38,$B$5:$B$804,$B38)&gt;1,"Takror",""))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4"/>
      <c r="F39" s="12"/>
      <c r="G39" s="14" t="str">
        <f aca="false">IF(OR($D39="",$B39=""),"",INT(($B39-$D39)/365.25))</f>
        <v/>
      </c>
      <c r="H39" s="12"/>
      <c r="I39" s="12"/>
      <c r="J39" s="25"/>
      <c r="K39" s="13"/>
      <c r="L39" s="12"/>
      <c r="M39" s="14" t="str">
        <f aca="false">IF(OR($C39="",$D39="",$H39="",$B39=""),"",IF(COUNTIFS($C$5:$C$804,$C39,$D$5:$D$804,$D39,$H$5:$H$804,$H39,$B$5:$B$804,$B39)&gt;1,"Takror",""))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4"/>
      <c r="F40" s="12"/>
      <c r="G40" s="14" t="str">
        <f aca="false">IF(OR($D40="",$B40=""),"",INT(($B40-$D40)/365.25))</f>
        <v/>
      </c>
      <c r="H40" s="12"/>
      <c r="I40" s="12"/>
      <c r="J40" s="25"/>
      <c r="K40" s="13"/>
      <c r="L40" s="12"/>
      <c r="M40" s="14" t="str">
        <f aca="false">IF(OR($C40="",$D40="",$H40="",$B40=""),"",IF(COUNTIFS($C$5:$C$804,$C40,$D$5:$D$804,$D40,$H$5:$H$804,$H40,$B$5:$B$804,$B40)&gt;1,"Takror",""))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4"/>
      <c r="F41" s="12"/>
      <c r="G41" s="14" t="str">
        <f aca="false">IF(OR($D41="",$B41=""),"",INT(($B41-$D41)/365.25))</f>
        <v/>
      </c>
      <c r="H41" s="12"/>
      <c r="I41" s="12"/>
      <c r="J41" s="25"/>
      <c r="K41" s="13"/>
      <c r="L41" s="12"/>
      <c r="M41" s="14" t="str">
        <f aca="false">IF(OR($C41="",$D41="",$H41="",$B41=""),"",IF(COUNTIFS($C$5:$C$804,$C41,$D$5:$D$804,$D41,$H$5:$H$804,$H41,$B$5:$B$804,$B41)&gt;1,"Takror",""))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4"/>
      <c r="F42" s="12"/>
      <c r="G42" s="14" t="str">
        <f aca="false">IF(OR($D42="",$B42=""),"",INT(($B42-$D42)/365.25))</f>
        <v/>
      </c>
      <c r="H42" s="12"/>
      <c r="I42" s="12"/>
      <c r="J42" s="25"/>
      <c r="K42" s="13"/>
      <c r="L42" s="12"/>
      <c r="M42" s="14" t="str">
        <f aca="false">IF(OR($C42="",$D42="",$H42="",$B42=""),"",IF(COUNTIFS($C$5:$C$804,$C42,$D$5:$D$804,$D42,$H$5:$H$804,$H42,$B$5:$B$804,$B42)&gt;1,"Takror",""))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4"/>
      <c r="F43" s="12"/>
      <c r="G43" s="14" t="str">
        <f aca="false">IF(OR($D43="",$B43=""),"",INT(($B43-$D43)/365.25))</f>
        <v/>
      </c>
      <c r="H43" s="12"/>
      <c r="I43" s="12"/>
      <c r="J43" s="25"/>
      <c r="K43" s="13"/>
      <c r="L43" s="12"/>
      <c r="M43" s="14" t="str">
        <f aca="false">IF(OR($C43="",$D43="",$H43="",$B43=""),"",IF(COUNTIFS($C$5:$C$804,$C43,$D$5:$D$804,$D43,$H$5:$H$804,$H43,$B$5:$B$804,$B43)&gt;1,"Takror",""))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4"/>
      <c r="F44" s="12"/>
      <c r="G44" s="14" t="str">
        <f aca="false">IF(OR($D44="",$B44=""),"",INT(($B44-$D44)/365.25))</f>
        <v/>
      </c>
      <c r="H44" s="12"/>
      <c r="I44" s="12"/>
      <c r="J44" s="25"/>
      <c r="K44" s="13"/>
      <c r="L44" s="12"/>
      <c r="M44" s="14" t="str">
        <f aca="false">IF(OR($C44="",$D44="",$H44="",$B44=""),"",IF(COUNTIFS($C$5:$C$804,$C44,$D$5:$D$804,$D44,$H$5:$H$804,$H44,$B$5:$B$804,$B44)&gt;1,"Takror",""))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4"/>
      <c r="F45" s="12"/>
      <c r="G45" s="14" t="str">
        <f aca="false">IF(OR($D45="",$B45=""),"",INT(($B45-$D45)/365.25))</f>
        <v/>
      </c>
      <c r="H45" s="12"/>
      <c r="I45" s="12"/>
      <c r="J45" s="25"/>
      <c r="K45" s="13"/>
      <c r="L45" s="12"/>
      <c r="M45" s="14" t="str">
        <f aca="false">IF(OR($C45="",$D45="",$H45="",$B45=""),"",IF(COUNTIFS($C$5:$C$804,$C45,$D$5:$D$804,$D45,$H$5:$H$804,$H45,$B$5:$B$804,$B45)&gt;1,"Takror",""))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4"/>
      <c r="F46" s="12"/>
      <c r="G46" s="14" t="str">
        <f aca="false">IF(OR($D46="",$B46=""),"",INT(($B46-$D46)/365.25))</f>
        <v/>
      </c>
      <c r="H46" s="12"/>
      <c r="I46" s="12"/>
      <c r="J46" s="25"/>
      <c r="K46" s="13"/>
      <c r="L46" s="12"/>
      <c r="M46" s="14" t="str">
        <f aca="false">IF(OR($C46="",$D46="",$H46="",$B46=""),"",IF(COUNTIFS($C$5:$C$804,$C46,$D$5:$D$804,$D46,$H$5:$H$804,$H46,$B$5:$B$804,$B46)&gt;1,"Takror",""))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4"/>
      <c r="F47" s="12"/>
      <c r="G47" s="14" t="str">
        <f aca="false">IF(OR($D47="",$B47=""),"",INT(($B47-$D47)/365.25))</f>
        <v/>
      </c>
      <c r="H47" s="12"/>
      <c r="I47" s="12"/>
      <c r="J47" s="25"/>
      <c r="K47" s="13"/>
      <c r="L47" s="12"/>
      <c r="M47" s="14" t="str">
        <f aca="false">IF(OR($C47="",$D47="",$H47="",$B47=""),"",IF(COUNTIFS($C$5:$C$804,$C47,$D$5:$D$804,$D47,$H$5:$H$804,$H47,$B$5:$B$804,$B47)&gt;1,"Takror",""))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4"/>
      <c r="F48" s="12"/>
      <c r="G48" s="14" t="str">
        <f aca="false">IF(OR($D48="",$B48=""),"",INT(($B48-$D48)/365.25))</f>
        <v/>
      </c>
      <c r="H48" s="12"/>
      <c r="I48" s="12"/>
      <c r="J48" s="25"/>
      <c r="K48" s="13"/>
      <c r="L48" s="12"/>
      <c r="M48" s="14" t="str">
        <f aca="false">IF(OR($C48="",$D48="",$H48="",$B48=""),"",IF(COUNTIFS($C$5:$C$804,$C48,$D$5:$D$804,$D48,$H$5:$H$804,$H48,$B$5:$B$804,$B48)&gt;1,"Takror",""))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4"/>
      <c r="F49" s="12"/>
      <c r="G49" s="14" t="str">
        <f aca="false">IF(OR($D49="",$B49=""),"",INT(($B49-$D49)/365.25))</f>
        <v/>
      </c>
      <c r="H49" s="12"/>
      <c r="I49" s="12"/>
      <c r="J49" s="25"/>
      <c r="K49" s="13"/>
      <c r="L49" s="12"/>
      <c r="M49" s="14" t="str">
        <f aca="false">IF(OR($C49="",$D49="",$H49="",$B49=""),"",IF(COUNTIFS($C$5:$C$804,$C49,$D$5:$D$804,$D49,$H$5:$H$804,$H49,$B$5:$B$804,$B49)&gt;1,"Takror",""))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4"/>
      <c r="F50" s="12"/>
      <c r="G50" s="14" t="str">
        <f aca="false">IF(OR($D50="",$B50=""),"",INT(($B50-$D50)/365.25))</f>
        <v/>
      </c>
      <c r="H50" s="12"/>
      <c r="I50" s="12"/>
      <c r="J50" s="25"/>
      <c r="K50" s="13"/>
      <c r="L50" s="12"/>
      <c r="M50" s="14" t="str">
        <f aca="false">IF(OR($C50="",$D50="",$H50="",$B50=""),"",IF(COUNTIFS($C$5:$C$804,$C50,$D$5:$D$804,$D50,$H$5:$H$804,$H50,$B$5:$B$804,$B50)&gt;1,"Takror",""))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4"/>
      <c r="F51" s="12"/>
      <c r="G51" s="14" t="str">
        <f aca="false">IF(OR($D51="",$B51=""),"",INT(($B51-$D51)/365.25))</f>
        <v/>
      </c>
      <c r="H51" s="12"/>
      <c r="I51" s="12"/>
      <c r="J51" s="25"/>
      <c r="K51" s="13"/>
      <c r="L51" s="12"/>
      <c r="M51" s="14" t="str">
        <f aca="false">IF(OR($C51="",$D51="",$H51="",$B51=""),"",IF(COUNTIFS($C$5:$C$804,$C51,$D$5:$D$804,$D51,$H$5:$H$804,$H51,$B$5:$B$804,$B51)&gt;1,"Takror",""))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4"/>
      <c r="F52" s="12"/>
      <c r="G52" s="14" t="str">
        <f aca="false">IF(OR($D52="",$B52=""),"",INT(($B52-$D52)/365.25))</f>
        <v/>
      </c>
      <c r="H52" s="12"/>
      <c r="I52" s="12"/>
      <c r="J52" s="25"/>
      <c r="K52" s="13"/>
      <c r="L52" s="12"/>
      <c r="M52" s="14" t="str">
        <f aca="false">IF(OR($C52="",$D52="",$H52="",$B52=""),"",IF(COUNTIFS($C$5:$C$804,$C52,$D$5:$D$804,$D52,$H$5:$H$804,$H52,$B$5:$B$804,$B52)&gt;1,"Takror",""))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4"/>
      <c r="F53" s="12"/>
      <c r="G53" s="14" t="str">
        <f aca="false">IF(OR($D53="",$B53=""),"",INT(($B53-$D53)/365.25))</f>
        <v/>
      </c>
      <c r="H53" s="12"/>
      <c r="I53" s="12"/>
      <c r="J53" s="25"/>
      <c r="K53" s="13"/>
      <c r="L53" s="12"/>
      <c r="M53" s="14" t="str">
        <f aca="false">IF(OR($C53="",$D53="",$H53="",$B53=""),"",IF(COUNTIFS($C$5:$C$804,$C53,$D$5:$D$804,$D53,$H$5:$H$804,$H53,$B$5:$B$804,$B53)&gt;1,"Takror",""))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4"/>
      <c r="F54" s="12"/>
      <c r="G54" s="14" t="str">
        <f aca="false">IF(OR($D54="",$B54=""),"",INT(($B54-$D54)/365.25))</f>
        <v/>
      </c>
      <c r="H54" s="12"/>
      <c r="I54" s="12"/>
      <c r="J54" s="25"/>
      <c r="K54" s="13"/>
      <c r="L54" s="12"/>
      <c r="M54" s="14" t="str">
        <f aca="false">IF(OR($C54="",$D54="",$H54="",$B54=""),"",IF(COUNTIFS($C$5:$C$804,$C54,$D$5:$D$804,$D54,$H$5:$H$804,$H54,$B$5:$B$804,$B54)&gt;1,"Takror",""))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4"/>
      <c r="F55" s="12"/>
      <c r="G55" s="14" t="str">
        <f aca="false">IF(OR($D55="",$B55=""),"",INT(($B55-$D55)/365.25))</f>
        <v/>
      </c>
      <c r="H55" s="12"/>
      <c r="I55" s="12"/>
      <c r="J55" s="25"/>
      <c r="K55" s="13"/>
      <c r="L55" s="12"/>
      <c r="M55" s="14" t="str">
        <f aca="false">IF(OR($C55="",$D55="",$H55="",$B55=""),"",IF(COUNTIFS($C$5:$C$804,$C55,$D$5:$D$804,$D55,$H$5:$H$804,$H55,$B$5:$B$804,$B55)&gt;1,"Takror",""))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4"/>
      <c r="F56" s="12"/>
      <c r="G56" s="14" t="str">
        <f aca="false">IF(OR($D56="",$B56=""),"",INT(($B56-$D56)/365.25))</f>
        <v/>
      </c>
      <c r="H56" s="12"/>
      <c r="I56" s="12"/>
      <c r="J56" s="25"/>
      <c r="K56" s="13"/>
      <c r="L56" s="12"/>
      <c r="M56" s="14" t="str">
        <f aca="false">IF(OR($C56="",$D56="",$H56="",$B56=""),"",IF(COUNTIFS($C$5:$C$804,$C56,$D$5:$D$804,$D56,$H$5:$H$804,$H56,$B$5:$B$804,$B56)&gt;1,"Takror",""))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4"/>
      <c r="F57" s="12"/>
      <c r="G57" s="14" t="str">
        <f aca="false">IF(OR($D57="",$B57=""),"",INT(($B57-$D57)/365.25))</f>
        <v/>
      </c>
      <c r="H57" s="12"/>
      <c r="I57" s="12"/>
      <c r="J57" s="25"/>
      <c r="K57" s="13"/>
      <c r="L57" s="12"/>
      <c r="M57" s="14" t="str">
        <f aca="false">IF(OR($C57="",$D57="",$H57="",$B57=""),"",IF(COUNTIFS($C$5:$C$804,$C57,$D$5:$D$804,$D57,$H$5:$H$804,$H57,$B$5:$B$804,$B57)&gt;1,"Takror",""))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4"/>
      <c r="F58" s="12"/>
      <c r="G58" s="14" t="str">
        <f aca="false">IF(OR($D58="",$B58=""),"",INT(($B58-$D58)/365.25))</f>
        <v/>
      </c>
      <c r="H58" s="12"/>
      <c r="I58" s="12"/>
      <c r="J58" s="25"/>
      <c r="K58" s="13"/>
      <c r="L58" s="12"/>
      <c r="M58" s="14" t="str">
        <f aca="false">IF(OR($C58="",$D58="",$H58="",$B58=""),"",IF(COUNTIFS($C$5:$C$804,$C58,$D$5:$D$804,$D58,$H$5:$H$804,$H58,$B$5:$B$804,$B58)&gt;1,"Takror",""))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4"/>
      <c r="F59" s="12"/>
      <c r="G59" s="14" t="str">
        <f aca="false">IF(OR($D59="",$B59=""),"",INT(($B59-$D59)/365.25))</f>
        <v/>
      </c>
      <c r="H59" s="12"/>
      <c r="I59" s="12"/>
      <c r="J59" s="25"/>
      <c r="K59" s="13"/>
      <c r="L59" s="12"/>
      <c r="M59" s="14" t="str">
        <f aca="false">IF(OR($C59="",$D59="",$H59="",$B59=""),"",IF(COUNTIFS($C$5:$C$804,$C59,$D$5:$D$804,$D59,$H$5:$H$804,$H59,$B$5:$B$804,$B59)&gt;1,"Takror",""))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4"/>
      <c r="F60" s="12"/>
      <c r="G60" s="14" t="str">
        <f aca="false">IF(OR($D60="",$B60=""),"",INT(($B60-$D60)/365.25))</f>
        <v/>
      </c>
      <c r="H60" s="12"/>
      <c r="I60" s="12"/>
      <c r="J60" s="25"/>
      <c r="K60" s="13"/>
      <c r="L60" s="12"/>
      <c r="M60" s="14" t="str">
        <f aca="false">IF(OR($C60="",$D60="",$H60="",$B60=""),"",IF(COUNTIFS($C$5:$C$804,$C60,$D$5:$D$804,$D60,$H$5:$H$804,$H60,$B$5:$B$804,$B60)&gt;1,"Takror",""))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4"/>
      <c r="F61" s="12"/>
      <c r="G61" s="14" t="str">
        <f aca="false">IF(OR($D61="",$B61=""),"",INT(($B61-$D61)/365.25))</f>
        <v/>
      </c>
      <c r="H61" s="12"/>
      <c r="I61" s="12"/>
      <c r="J61" s="25"/>
      <c r="K61" s="13"/>
      <c r="L61" s="12"/>
      <c r="M61" s="14" t="str">
        <f aca="false">IF(OR($C61="",$D61="",$H61="",$B61=""),"",IF(COUNTIFS($C$5:$C$804,$C61,$D$5:$D$804,$D61,$H$5:$H$804,$H61,$B$5:$B$804,$B61)&gt;1,"Takror",""))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4"/>
      <c r="F62" s="12"/>
      <c r="G62" s="14" t="str">
        <f aca="false">IF(OR($D62="",$B62=""),"",INT(($B62-$D62)/365.25))</f>
        <v/>
      </c>
      <c r="H62" s="12"/>
      <c r="I62" s="12"/>
      <c r="J62" s="25"/>
      <c r="K62" s="13"/>
      <c r="L62" s="12"/>
      <c r="M62" s="14" t="str">
        <f aca="false">IF(OR($C62="",$D62="",$H62="",$B62=""),"",IF(COUNTIFS($C$5:$C$804,$C62,$D$5:$D$804,$D62,$H$5:$H$804,$H62,$B$5:$B$804,$B62)&gt;1,"Takror",""))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4"/>
      <c r="F63" s="12"/>
      <c r="G63" s="14" t="str">
        <f aca="false">IF(OR($D63="",$B63=""),"",INT(($B63-$D63)/365.25))</f>
        <v/>
      </c>
      <c r="H63" s="12"/>
      <c r="I63" s="12"/>
      <c r="J63" s="25"/>
      <c r="K63" s="13"/>
      <c r="L63" s="12"/>
      <c r="M63" s="14" t="str">
        <f aca="false">IF(OR($C63="",$D63="",$H63="",$B63=""),"",IF(COUNTIFS($C$5:$C$804,$C63,$D$5:$D$804,$D63,$H$5:$H$804,$H63,$B$5:$B$804,$B63)&gt;1,"Takror",""))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4"/>
      <c r="F64" s="12"/>
      <c r="G64" s="14" t="str">
        <f aca="false">IF(OR($D64="",$B64=""),"",INT(($B64-$D64)/365.25))</f>
        <v/>
      </c>
      <c r="H64" s="12"/>
      <c r="I64" s="12"/>
      <c r="J64" s="25"/>
      <c r="K64" s="13"/>
      <c r="L64" s="12"/>
      <c r="M64" s="14" t="str">
        <f aca="false">IF(OR($C64="",$D64="",$H64="",$B64=""),"",IF(COUNTIFS($C$5:$C$804,$C64,$D$5:$D$804,$D64,$H$5:$H$804,$H64,$B$5:$B$804,$B64)&gt;1,"Takror",""))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4"/>
      <c r="F65" s="12"/>
      <c r="G65" s="14" t="str">
        <f aca="false">IF(OR($D65="",$B65=""),"",INT(($B65-$D65)/365.25))</f>
        <v/>
      </c>
      <c r="H65" s="12"/>
      <c r="I65" s="12"/>
      <c r="J65" s="25"/>
      <c r="K65" s="13"/>
      <c r="L65" s="12"/>
      <c r="M65" s="14" t="str">
        <f aca="false">IF(OR($C65="",$D65="",$H65="",$B65=""),"",IF(COUNTIFS($C$5:$C$804,$C65,$D$5:$D$804,$D65,$H$5:$H$804,$H65,$B$5:$B$804,$B65)&gt;1,"Takror",""))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4"/>
      <c r="F66" s="12"/>
      <c r="G66" s="14" t="str">
        <f aca="false">IF(OR($D66="",$B66=""),"",INT(($B66-$D66)/365.25))</f>
        <v/>
      </c>
      <c r="H66" s="12"/>
      <c r="I66" s="12"/>
      <c r="J66" s="25"/>
      <c r="K66" s="13"/>
      <c r="L66" s="12"/>
      <c r="M66" s="14" t="str">
        <f aca="false">IF(OR($C66="",$D66="",$H66="",$B66=""),"",IF(COUNTIFS($C$5:$C$804,$C66,$D$5:$D$804,$D66,$H$5:$H$804,$H66,$B$5:$B$804,$B66)&gt;1,"Takror",""))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4"/>
      <c r="F67" s="12"/>
      <c r="G67" s="14" t="str">
        <f aca="false">IF(OR($D67="",$B67=""),"",INT(($B67-$D67)/365.25))</f>
        <v/>
      </c>
      <c r="H67" s="12"/>
      <c r="I67" s="12"/>
      <c r="J67" s="25"/>
      <c r="K67" s="13"/>
      <c r="L67" s="12"/>
      <c r="M67" s="14" t="str">
        <f aca="false">IF(OR($C67="",$D67="",$H67="",$B67=""),"",IF(COUNTIFS($C$5:$C$804,$C67,$D$5:$D$804,$D67,$H$5:$H$804,$H67,$B$5:$B$804,$B67)&gt;1,"Takror",""))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4"/>
      <c r="F68" s="12"/>
      <c r="G68" s="14" t="str">
        <f aca="false">IF(OR($D68="",$B68=""),"",INT(($B68-$D68)/365.25))</f>
        <v/>
      </c>
      <c r="H68" s="12"/>
      <c r="I68" s="12"/>
      <c r="J68" s="25"/>
      <c r="K68" s="13"/>
      <c r="L68" s="12"/>
      <c r="M68" s="14" t="str">
        <f aca="false">IF(OR($C68="",$D68="",$H68="",$B68=""),"",IF(COUNTIFS($C$5:$C$804,$C68,$D$5:$D$804,$D68,$H$5:$H$804,$H68,$B$5:$B$804,$B68)&gt;1,"Takror",""))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4"/>
      <c r="F69" s="12"/>
      <c r="G69" s="14" t="str">
        <f aca="false">IF(OR($D69="",$B69=""),"",INT(($B69-$D69)/365.25))</f>
        <v/>
      </c>
      <c r="H69" s="12"/>
      <c r="I69" s="12"/>
      <c r="J69" s="25"/>
      <c r="K69" s="13"/>
      <c r="L69" s="12"/>
      <c r="M69" s="14" t="str">
        <f aca="false">IF(OR($C69="",$D69="",$H69="",$B69=""),"",IF(COUNTIFS($C$5:$C$804,$C69,$D$5:$D$804,$D69,$H$5:$H$804,$H69,$B$5:$B$804,$B69)&gt;1,"Takror",""))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4"/>
      <c r="F70" s="12"/>
      <c r="G70" s="14" t="str">
        <f aca="false">IF(OR($D70="",$B70=""),"",INT(($B70-$D70)/365.25))</f>
        <v/>
      </c>
      <c r="H70" s="12"/>
      <c r="I70" s="12"/>
      <c r="J70" s="25"/>
      <c r="K70" s="13"/>
      <c r="L70" s="12"/>
      <c r="M70" s="14" t="str">
        <f aca="false">IF(OR($C70="",$D70="",$H70="",$B70=""),"",IF(COUNTIFS($C$5:$C$804,$C70,$D$5:$D$804,$D70,$H$5:$H$804,$H70,$B$5:$B$804,$B70)&gt;1,"Takror",""))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4"/>
      <c r="F71" s="12"/>
      <c r="G71" s="14" t="str">
        <f aca="false">IF(OR($D71="",$B71=""),"",INT(($B71-$D71)/365.25))</f>
        <v/>
      </c>
      <c r="H71" s="12"/>
      <c r="I71" s="12"/>
      <c r="J71" s="25"/>
      <c r="K71" s="13"/>
      <c r="L71" s="12"/>
      <c r="M71" s="14" t="str">
        <f aca="false">IF(OR($C71="",$D71="",$H71="",$B71=""),"",IF(COUNTIFS($C$5:$C$804,$C71,$D$5:$D$804,$D71,$H$5:$H$804,$H71,$B$5:$B$804,$B71)&gt;1,"Takror",""))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4"/>
      <c r="F72" s="12"/>
      <c r="G72" s="14" t="str">
        <f aca="false">IF(OR($D72="",$B72=""),"",INT(($B72-$D72)/365.25))</f>
        <v/>
      </c>
      <c r="H72" s="12"/>
      <c r="I72" s="12"/>
      <c r="J72" s="25"/>
      <c r="K72" s="13"/>
      <c r="L72" s="12"/>
      <c r="M72" s="14" t="str">
        <f aca="false">IF(OR($C72="",$D72="",$H72="",$B72=""),"",IF(COUNTIFS($C$5:$C$804,$C72,$D$5:$D$804,$D72,$H$5:$H$804,$H72,$B$5:$B$804,$B72)&gt;1,"Takror",""))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4"/>
      <c r="F73" s="12"/>
      <c r="G73" s="14" t="str">
        <f aca="false">IF(OR($D73="",$B73=""),"",INT(($B73-$D73)/365.25))</f>
        <v/>
      </c>
      <c r="H73" s="12"/>
      <c r="I73" s="12"/>
      <c r="J73" s="25"/>
      <c r="K73" s="13"/>
      <c r="L73" s="12"/>
      <c r="M73" s="14" t="str">
        <f aca="false">IF(OR($C73="",$D73="",$H73="",$B73=""),"",IF(COUNTIFS($C$5:$C$804,$C73,$D$5:$D$804,$D73,$H$5:$H$804,$H73,$B$5:$B$804,$B73)&gt;1,"Takror",""))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4"/>
      <c r="F74" s="12"/>
      <c r="G74" s="14" t="str">
        <f aca="false">IF(OR($D74="",$B74=""),"",INT(($B74-$D74)/365.25))</f>
        <v/>
      </c>
      <c r="H74" s="12"/>
      <c r="I74" s="12"/>
      <c r="J74" s="25"/>
      <c r="K74" s="13"/>
      <c r="L74" s="12"/>
      <c r="M74" s="14" t="str">
        <f aca="false">IF(OR($C74="",$D74="",$H74="",$B74=""),"",IF(COUNTIFS($C$5:$C$804,$C74,$D$5:$D$804,$D74,$H$5:$H$804,$H74,$B$5:$B$804,$B74)&gt;1,"Takror",""))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4"/>
      <c r="F75" s="12"/>
      <c r="G75" s="14" t="str">
        <f aca="false">IF(OR($D75="",$B75=""),"",INT(($B75-$D75)/365.25))</f>
        <v/>
      </c>
      <c r="H75" s="12"/>
      <c r="I75" s="12"/>
      <c r="J75" s="25"/>
      <c r="K75" s="13"/>
      <c r="L75" s="12"/>
      <c r="M75" s="14" t="str">
        <f aca="false">IF(OR($C75="",$D75="",$H75="",$B75=""),"",IF(COUNTIFS($C$5:$C$804,$C75,$D$5:$D$804,$D75,$H$5:$H$804,$H75,$B$5:$B$804,$B75)&gt;1,"Takror",""))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4"/>
      <c r="F76" s="12"/>
      <c r="G76" s="14" t="str">
        <f aca="false">IF(OR($D76="",$B76=""),"",INT(($B76-$D76)/365.25))</f>
        <v/>
      </c>
      <c r="H76" s="12"/>
      <c r="I76" s="12"/>
      <c r="J76" s="25"/>
      <c r="K76" s="13"/>
      <c r="L76" s="12"/>
      <c r="M76" s="14" t="str">
        <f aca="false">IF(OR($C76="",$D76="",$H76="",$B76=""),"",IF(COUNTIFS($C$5:$C$804,$C76,$D$5:$D$804,$D76,$H$5:$H$804,$H76,$B$5:$B$804,$B76)&gt;1,"Takror",""))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4"/>
      <c r="F77" s="12"/>
      <c r="G77" s="14" t="str">
        <f aca="false">IF(OR($D77="",$B77=""),"",INT(($B77-$D77)/365.25))</f>
        <v/>
      </c>
      <c r="H77" s="12"/>
      <c r="I77" s="12"/>
      <c r="J77" s="25"/>
      <c r="K77" s="13"/>
      <c r="L77" s="12"/>
      <c r="M77" s="14" t="str">
        <f aca="false">IF(OR($C77="",$D77="",$H77="",$B77=""),"",IF(COUNTIFS($C$5:$C$804,$C77,$D$5:$D$804,$D77,$H$5:$H$804,$H77,$B$5:$B$804,$B77)&gt;1,"Takror",""))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4"/>
      <c r="F78" s="12"/>
      <c r="G78" s="14" t="str">
        <f aca="false">IF(OR($D78="",$B78=""),"",INT(($B78-$D78)/365.25))</f>
        <v/>
      </c>
      <c r="H78" s="12"/>
      <c r="I78" s="12"/>
      <c r="J78" s="25"/>
      <c r="K78" s="13"/>
      <c r="L78" s="12"/>
      <c r="M78" s="14" t="str">
        <f aca="false">IF(OR($C78="",$D78="",$H78="",$B78=""),"",IF(COUNTIFS($C$5:$C$804,$C78,$D$5:$D$804,$D78,$H$5:$H$804,$H78,$B$5:$B$804,$B78)&gt;1,"Takror",""))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4"/>
      <c r="F79" s="12"/>
      <c r="G79" s="14" t="str">
        <f aca="false">IF(OR($D79="",$B79=""),"",INT(($B79-$D79)/365.25))</f>
        <v/>
      </c>
      <c r="H79" s="12"/>
      <c r="I79" s="12"/>
      <c r="J79" s="25"/>
      <c r="K79" s="13"/>
      <c r="L79" s="12"/>
      <c r="M79" s="14" t="str">
        <f aca="false">IF(OR($C79="",$D79="",$H79="",$B79=""),"",IF(COUNTIFS($C$5:$C$804,$C79,$D$5:$D$804,$D79,$H$5:$H$804,$H79,$B$5:$B$804,$B79)&gt;1,"Takror",""))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4"/>
      <c r="F80" s="12"/>
      <c r="G80" s="14" t="str">
        <f aca="false">IF(OR($D80="",$B80=""),"",INT(($B80-$D80)/365.25))</f>
        <v/>
      </c>
      <c r="H80" s="12"/>
      <c r="I80" s="12"/>
      <c r="J80" s="25"/>
      <c r="K80" s="13"/>
      <c r="L80" s="12"/>
      <c r="M80" s="14" t="str">
        <f aca="false">IF(OR($C80="",$D80="",$H80="",$B80=""),"",IF(COUNTIFS($C$5:$C$804,$C80,$D$5:$D$804,$D80,$H$5:$H$804,$H80,$B$5:$B$804,$B80)&gt;1,"Takror",""))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4"/>
      <c r="F81" s="12"/>
      <c r="G81" s="14" t="str">
        <f aca="false">IF(OR($D81="",$B81=""),"",INT(($B81-$D81)/365.25))</f>
        <v/>
      </c>
      <c r="H81" s="12"/>
      <c r="I81" s="12"/>
      <c r="J81" s="25"/>
      <c r="K81" s="13"/>
      <c r="L81" s="12"/>
      <c r="M81" s="14" t="str">
        <f aca="false">IF(OR($C81="",$D81="",$H81="",$B81=""),"",IF(COUNTIFS($C$5:$C$804,$C81,$D$5:$D$804,$D81,$H$5:$H$804,$H81,$B$5:$B$804,$B81)&gt;1,"Takror",""))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4"/>
      <c r="F82" s="12"/>
      <c r="G82" s="14" t="str">
        <f aca="false">IF(OR($D82="",$B82=""),"",INT(($B82-$D82)/365.25))</f>
        <v/>
      </c>
      <c r="H82" s="12"/>
      <c r="I82" s="12"/>
      <c r="J82" s="25"/>
      <c r="K82" s="13"/>
      <c r="L82" s="12"/>
      <c r="M82" s="14" t="str">
        <f aca="false">IF(OR($C82="",$D82="",$H82="",$B82=""),"",IF(COUNTIFS($C$5:$C$804,$C82,$D$5:$D$804,$D82,$H$5:$H$804,$H82,$B$5:$B$804,$B82)&gt;1,"Takror",""))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4"/>
      <c r="F83" s="12"/>
      <c r="G83" s="14" t="str">
        <f aca="false">IF(OR($D83="",$B83=""),"",INT(($B83-$D83)/365.25))</f>
        <v/>
      </c>
      <c r="H83" s="12"/>
      <c r="I83" s="12"/>
      <c r="J83" s="25"/>
      <c r="K83" s="13"/>
      <c r="L83" s="12"/>
      <c r="M83" s="14" t="str">
        <f aca="false">IF(OR($C83="",$D83="",$H83="",$B83=""),"",IF(COUNTIFS($C$5:$C$804,$C83,$D$5:$D$804,$D83,$H$5:$H$804,$H83,$B$5:$B$804,$B83)&gt;1,"Takror",""))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4"/>
      <c r="F84" s="12"/>
      <c r="G84" s="14" t="str">
        <f aca="false">IF(OR($D84="",$B84=""),"",INT(($B84-$D84)/365.25))</f>
        <v/>
      </c>
      <c r="H84" s="12"/>
      <c r="I84" s="12"/>
      <c r="J84" s="25"/>
      <c r="K84" s="13"/>
      <c r="L84" s="12"/>
      <c r="M84" s="14" t="str">
        <f aca="false">IF(OR($C84="",$D84="",$H84="",$B84=""),"",IF(COUNTIFS($C$5:$C$804,$C84,$D$5:$D$804,$D84,$H$5:$H$804,$H84,$B$5:$B$804,$B84)&gt;1,"Takror",""))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4"/>
      <c r="F85" s="12"/>
      <c r="G85" s="14" t="str">
        <f aca="false">IF(OR($D85="",$B85=""),"",INT(($B85-$D85)/365.25))</f>
        <v/>
      </c>
      <c r="H85" s="12"/>
      <c r="I85" s="12"/>
      <c r="J85" s="25"/>
      <c r="K85" s="13"/>
      <c r="L85" s="12"/>
      <c r="M85" s="14" t="str">
        <f aca="false">IF(OR($C85="",$D85="",$H85="",$B85=""),"",IF(COUNTIFS($C$5:$C$804,$C85,$D$5:$D$804,$D85,$H$5:$H$804,$H85,$B$5:$B$804,$B85)&gt;1,"Takror",""))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4"/>
      <c r="F86" s="12"/>
      <c r="G86" s="14" t="str">
        <f aca="false">IF(OR($D86="",$B86=""),"",INT(($B86-$D86)/365.25))</f>
        <v/>
      </c>
      <c r="H86" s="12"/>
      <c r="I86" s="12"/>
      <c r="J86" s="25"/>
      <c r="K86" s="13"/>
      <c r="L86" s="12"/>
      <c r="M86" s="14" t="str">
        <f aca="false">IF(OR($C86="",$D86="",$H86="",$B86=""),"",IF(COUNTIFS($C$5:$C$804,$C86,$D$5:$D$804,$D86,$H$5:$H$804,$H86,$B$5:$B$804,$B86)&gt;1,"Takror",""))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4"/>
      <c r="F87" s="12"/>
      <c r="G87" s="14" t="str">
        <f aca="false">IF(OR($D87="",$B87=""),"",INT(($B87-$D87)/365.25))</f>
        <v/>
      </c>
      <c r="H87" s="12"/>
      <c r="I87" s="12"/>
      <c r="J87" s="25"/>
      <c r="K87" s="13"/>
      <c r="L87" s="12"/>
      <c r="M87" s="14" t="str">
        <f aca="false">IF(OR($C87="",$D87="",$H87="",$B87=""),"",IF(COUNTIFS($C$5:$C$804,$C87,$D$5:$D$804,$D87,$H$5:$H$804,$H87,$B$5:$B$804,$B87)&gt;1,"Takror",""))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4"/>
      <c r="F88" s="12"/>
      <c r="G88" s="14" t="str">
        <f aca="false">IF(OR($D88="",$B88=""),"",INT(($B88-$D88)/365.25))</f>
        <v/>
      </c>
      <c r="H88" s="12"/>
      <c r="I88" s="12"/>
      <c r="J88" s="25"/>
      <c r="K88" s="13"/>
      <c r="L88" s="12"/>
      <c r="M88" s="14" t="str">
        <f aca="false">IF(OR($C88="",$D88="",$H88="",$B88=""),"",IF(COUNTIFS($C$5:$C$804,$C88,$D$5:$D$804,$D88,$H$5:$H$804,$H88,$B$5:$B$804,$B88)&gt;1,"Takror",""))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4"/>
      <c r="F89" s="12"/>
      <c r="G89" s="14" t="str">
        <f aca="false">IF(OR($D89="",$B89=""),"",INT(($B89-$D89)/365.25))</f>
        <v/>
      </c>
      <c r="H89" s="12"/>
      <c r="I89" s="12"/>
      <c r="J89" s="25"/>
      <c r="K89" s="13"/>
      <c r="L89" s="12"/>
      <c r="M89" s="14" t="str">
        <f aca="false">IF(OR($C89="",$D89="",$H89="",$B89=""),"",IF(COUNTIFS($C$5:$C$804,$C89,$D$5:$D$804,$D89,$H$5:$H$804,$H89,$B$5:$B$804,$B89)&gt;1,"Takror",""))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4"/>
      <c r="F90" s="12"/>
      <c r="G90" s="14" t="str">
        <f aca="false">IF(OR($D90="",$B90=""),"",INT(($B90-$D90)/365.25))</f>
        <v/>
      </c>
      <c r="H90" s="12"/>
      <c r="I90" s="12"/>
      <c r="J90" s="25"/>
      <c r="K90" s="13"/>
      <c r="L90" s="12"/>
      <c r="M90" s="14" t="str">
        <f aca="false">IF(OR($C90="",$D90="",$H90="",$B90=""),"",IF(COUNTIFS($C$5:$C$804,$C90,$D$5:$D$804,$D90,$H$5:$H$804,$H90,$B$5:$B$804,$B90)&gt;1,"Takror",""))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4"/>
      <c r="F91" s="12"/>
      <c r="G91" s="14" t="str">
        <f aca="false">IF(OR($D91="",$B91=""),"",INT(($B91-$D91)/365.25))</f>
        <v/>
      </c>
      <c r="H91" s="12"/>
      <c r="I91" s="12"/>
      <c r="J91" s="25"/>
      <c r="K91" s="13"/>
      <c r="L91" s="12"/>
      <c r="M91" s="14" t="str">
        <f aca="false">IF(OR($C91="",$D91="",$H91="",$B91=""),"",IF(COUNTIFS($C$5:$C$804,$C91,$D$5:$D$804,$D91,$H$5:$H$804,$H91,$B$5:$B$804,$B91)&gt;1,"Takror",""))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4"/>
      <c r="F92" s="12"/>
      <c r="G92" s="14" t="str">
        <f aca="false">IF(OR($D92="",$B92=""),"",INT(($B92-$D92)/365.25))</f>
        <v/>
      </c>
      <c r="H92" s="12"/>
      <c r="I92" s="12"/>
      <c r="J92" s="25"/>
      <c r="K92" s="13"/>
      <c r="L92" s="12"/>
      <c r="M92" s="14" t="str">
        <f aca="false">IF(OR($C92="",$D92="",$H92="",$B92=""),"",IF(COUNTIFS($C$5:$C$804,$C92,$D$5:$D$804,$D92,$H$5:$H$804,$H92,$B$5:$B$804,$B92)&gt;1,"Takror",""))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4"/>
      <c r="F93" s="12"/>
      <c r="G93" s="14" t="str">
        <f aca="false">IF(OR($D93="",$B93=""),"",INT(($B93-$D93)/365.25))</f>
        <v/>
      </c>
      <c r="H93" s="12"/>
      <c r="I93" s="12"/>
      <c r="J93" s="25"/>
      <c r="K93" s="13"/>
      <c r="L93" s="12"/>
      <c r="M93" s="14" t="str">
        <f aca="false">IF(OR($C93="",$D93="",$H93="",$B93=""),"",IF(COUNTIFS($C$5:$C$804,$C93,$D$5:$D$804,$D93,$H$5:$H$804,$H93,$B$5:$B$804,$B93)&gt;1,"Takror",""))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4"/>
      <c r="F94" s="12"/>
      <c r="G94" s="14" t="str">
        <f aca="false">IF(OR($D94="",$B94=""),"",INT(($B94-$D94)/365.25))</f>
        <v/>
      </c>
      <c r="H94" s="12"/>
      <c r="I94" s="12"/>
      <c r="J94" s="25"/>
      <c r="K94" s="13"/>
      <c r="L94" s="12"/>
      <c r="M94" s="14" t="str">
        <f aca="false">IF(OR($C94="",$D94="",$H94="",$B94=""),"",IF(COUNTIFS($C$5:$C$804,$C94,$D$5:$D$804,$D94,$H$5:$H$804,$H94,$B$5:$B$804,$B94)&gt;1,"Takror",""))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4"/>
      <c r="F95" s="12"/>
      <c r="G95" s="14" t="str">
        <f aca="false">IF(OR($D95="",$B95=""),"",INT(($B95-$D95)/365.25))</f>
        <v/>
      </c>
      <c r="H95" s="12"/>
      <c r="I95" s="12"/>
      <c r="J95" s="25"/>
      <c r="K95" s="13"/>
      <c r="L95" s="12"/>
      <c r="M95" s="14" t="str">
        <f aca="false">IF(OR($C95="",$D95="",$H95="",$B95=""),"",IF(COUNTIFS($C$5:$C$804,$C95,$D$5:$D$804,$D95,$H$5:$H$804,$H95,$B$5:$B$804,$B95)&gt;1,"Takror",""))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4"/>
      <c r="F96" s="12"/>
      <c r="G96" s="14" t="str">
        <f aca="false">IF(OR($D96="",$B96=""),"",INT(($B96-$D96)/365.25))</f>
        <v/>
      </c>
      <c r="H96" s="12"/>
      <c r="I96" s="12"/>
      <c r="J96" s="25"/>
      <c r="K96" s="13"/>
      <c r="L96" s="12"/>
      <c r="M96" s="14" t="str">
        <f aca="false">IF(OR($C96="",$D96="",$H96="",$B96=""),"",IF(COUNTIFS($C$5:$C$804,$C96,$D$5:$D$804,$D96,$H$5:$H$804,$H96,$B$5:$B$804,$B96)&gt;1,"Takror",""))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4"/>
      <c r="F97" s="12"/>
      <c r="G97" s="14" t="str">
        <f aca="false">IF(OR($D97="",$B97=""),"",INT(($B97-$D97)/365.25))</f>
        <v/>
      </c>
      <c r="H97" s="12"/>
      <c r="I97" s="12"/>
      <c r="J97" s="25"/>
      <c r="K97" s="13"/>
      <c r="L97" s="12"/>
      <c r="M97" s="14" t="str">
        <f aca="false">IF(OR($C97="",$D97="",$H97="",$B97=""),"",IF(COUNTIFS($C$5:$C$804,$C97,$D$5:$D$804,$D97,$H$5:$H$804,$H97,$B$5:$B$804,$B97)&gt;1,"Takror",""))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4"/>
      <c r="F98" s="12"/>
      <c r="G98" s="14" t="str">
        <f aca="false">IF(OR($D98="",$B98=""),"",INT(($B98-$D98)/365.25))</f>
        <v/>
      </c>
      <c r="H98" s="12"/>
      <c r="I98" s="12"/>
      <c r="J98" s="25"/>
      <c r="K98" s="13"/>
      <c r="L98" s="12"/>
      <c r="M98" s="14" t="str">
        <f aca="false">IF(OR($C98="",$D98="",$H98="",$B98=""),"",IF(COUNTIFS($C$5:$C$804,$C98,$D$5:$D$804,$D98,$H$5:$H$804,$H98,$B$5:$B$804,$B98)&gt;1,"Takror",""))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4"/>
      <c r="F99" s="12"/>
      <c r="G99" s="14" t="str">
        <f aca="false">IF(OR($D99="",$B99=""),"",INT(($B99-$D99)/365.25))</f>
        <v/>
      </c>
      <c r="H99" s="12"/>
      <c r="I99" s="12"/>
      <c r="J99" s="25"/>
      <c r="K99" s="13"/>
      <c r="L99" s="12"/>
      <c r="M99" s="14" t="str">
        <f aca="false">IF(OR($C99="",$D99="",$H99="",$B99=""),"",IF(COUNTIFS($C$5:$C$804,$C99,$D$5:$D$804,$D99,$H$5:$H$804,$H99,$B$5:$B$804,$B99)&gt;1,"Takror",""))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4"/>
      <c r="F100" s="12"/>
      <c r="G100" s="14" t="str">
        <f aca="false">IF(OR($D100="",$B100=""),"",INT(($B100-$D100)/365.25))</f>
        <v/>
      </c>
      <c r="H100" s="12"/>
      <c r="I100" s="12"/>
      <c r="J100" s="25"/>
      <c r="K100" s="13"/>
      <c r="L100" s="12"/>
      <c r="M100" s="14" t="str">
        <f aca="false">IF(OR($C100="",$D100="",$H100="",$B100=""),"",IF(COUNTIFS($C$5:$C$804,$C100,$D$5:$D$804,$D100,$H$5:$H$804,$H100,$B$5:$B$804,$B100)&gt;1,"Takror",""))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4"/>
      <c r="F101" s="12"/>
      <c r="G101" s="14" t="str">
        <f aca="false">IF(OR($D101="",$B101=""),"",INT(($B101-$D101)/365.25))</f>
        <v/>
      </c>
      <c r="H101" s="12"/>
      <c r="I101" s="12"/>
      <c r="J101" s="25"/>
      <c r="K101" s="13"/>
      <c r="L101" s="12"/>
      <c r="M101" s="14" t="str">
        <f aca="false">IF(OR($C101="",$D101="",$H101="",$B101=""),"",IF(COUNTIFS($C$5:$C$804,$C101,$D$5:$D$804,$D101,$H$5:$H$804,$H101,$B$5:$B$804,$B101)&gt;1,"Takror",""))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4"/>
      <c r="F102" s="12"/>
      <c r="G102" s="14" t="str">
        <f aca="false">IF(OR($D102="",$B102=""),"",INT(($B102-$D102)/365.25))</f>
        <v/>
      </c>
      <c r="H102" s="12"/>
      <c r="I102" s="12"/>
      <c r="J102" s="25"/>
      <c r="K102" s="13"/>
      <c r="L102" s="12"/>
      <c r="M102" s="14" t="str">
        <f aca="false">IF(OR($C102="",$D102="",$H102="",$B102=""),"",IF(COUNTIFS($C$5:$C$804,$C102,$D$5:$D$804,$D102,$H$5:$H$804,$H102,$B$5:$B$804,$B102)&gt;1,"Takror",""))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4"/>
      <c r="F103" s="12"/>
      <c r="G103" s="14" t="str">
        <f aca="false">IF(OR($D103="",$B103=""),"",INT(($B103-$D103)/365.25))</f>
        <v/>
      </c>
      <c r="H103" s="12"/>
      <c r="I103" s="12"/>
      <c r="J103" s="25"/>
      <c r="K103" s="13"/>
      <c r="L103" s="12"/>
      <c r="M103" s="14" t="str">
        <f aca="false">IF(OR($C103="",$D103="",$H103="",$B103=""),"",IF(COUNTIFS($C$5:$C$804,$C103,$D$5:$D$804,$D103,$H$5:$H$804,$H103,$B$5:$B$804,$B103)&gt;1,"Takror",""))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4"/>
      <c r="F104" s="12"/>
      <c r="G104" s="14" t="str">
        <f aca="false">IF(OR($D104="",$B104=""),"",INT(($B104-$D104)/365.25))</f>
        <v/>
      </c>
      <c r="H104" s="12"/>
      <c r="I104" s="12"/>
      <c r="J104" s="25"/>
      <c r="K104" s="13"/>
      <c r="L104" s="12"/>
      <c r="M104" s="14" t="str">
        <f aca="false">IF(OR($C104="",$D104="",$H104="",$B104=""),"",IF(COUNTIFS($C$5:$C$804,$C104,$D$5:$D$804,$D104,$H$5:$H$804,$H104,$B$5:$B$804,$B104)&gt;1,"Takror",""))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4"/>
      <c r="F105" s="12"/>
      <c r="G105" s="14" t="str">
        <f aca="false">IF(OR($D105="",$B105=""),"",INT(($B105-$D105)/365.25))</f>
        <v/>
      </c>
      <c r="H105" s="12"/>
      <c r="I105" s="12"/>
      <c r="J105" s="25"/>
      <c r="K105" s="13"/>
      <c r="L105" s="12"/>
      <c r="M105" s="14" t="str">
        <f aca="false">IF(OR($C105="",$D105="",$H105="",$B105=""),"",IF(COUNTIFS($C$5:$C$804,$C105,$D$5:$D$804,$D105,$H$5:$H$804,$H105,$B$5:$B$804,$B105)&gt;1,"Takror",""))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4"/>
      <c r="F106" s="12"/>
      <c r="G106" s="14" t="str">
        <f aca="false">IF(OR($D106="",$B106=""),"",INT(($B106-$D106)/365.25))</f>
        <v/>
      </c>
      <c r="H106" s="12"/>
      <c r="I106" s="12"/>
      <c r="J106" s="25"/>
      <c r="K106" s="13"/>
      <c r="L106" s="12"/>
      <c r="M106" s="14" t="str">
        <f aca="false">IF(OR($C106="",$D106="",$H106="",$B106=""),"",IF(COUNTIFS($C$5:$C$804,$C106,$D$5:$D$804,$D106,$H$5:$H$804,$H106,$B$5:$B$804,$B106)&gt;1,"Takror",""))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4"/>
      <c r="F107" s="12"/>
      <c r="G107" s="14" t="str">
        <f aca="false">IF(OR($D107="",$B107=""),"",INT(($B107-$D107)/365.25))</f>
        <v/>
      </c>
      <c r="H107" s="12"/>
      <c r="I107" s="12"/>
      <c r="J107" s="25"/>
      <c r="K107" s="13"/>
      <c r="L107" s="12"/>
      <c r="M107" s="14" t="str">
        <f aca="false">IF(OR($C107="",$D107="",$H107="",$B107=""),"",IF(COUNTIFS($C$5:$C$804,$C107,$D$5:$D$804,$D107,$H$5:$H$804,$H107,$B$5:$B$804,$B107)&gt;1,"Takror",""))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4"/>
      <c r="F108" s="12"/>
      <c r="G108" s="14" t="str">
        <f aca="false">IF(OR($D108="",$B108=""),"",INT(($B108-$D108)/365.25))</f>
        <v/>
      </c>
      <c r="H108" s="12"/>
      <c r="I108" s="12"/>
      <c r="J108" s="25"/>
      <c r="K108" s="13"/>
      <c r="L108" s="12"/>
      <c r="M108" s="14" t="str">
        <f aca="false">IF(OR($C108="",$D108="",$H108="",$B108=""),"",IF(COUNTIFS($C$5:$C$804,$C108,$D$5:$D$804,$D108,$H$5:$H$804,$H108,$B$5:$B$804,$B108)&gt;1,"Takror",""))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4"/>
      <c r="F109" s="12"/>
      <c r="G109" s="14" t="str">
        <f aca="false">IF(OR($D109="",$B109=""),"",INT(($B109-$D109)/365.25))</f>
        <v/>
      </c>
      <c r="H109" s="12"/>
      <c r="I109" s="12"/>
      <c r="J109" s="25"/>
      <c r="K109" s="13"/>
      <c r="L109" s="12"/>
      <c r="M109" s="14" t="str">
        <f aca="false">IF(OR($C109="",$D109="",$H109="",$B109=""),"",IF(COUNTIFS($C$5:$C$804,$C109,$D$5:$D$804,$D109,$H$5:$H$804,$H109,$B$5:$B$804,$B109)&gt;1,"Takror",""))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4"/>
      <c r="F110" s="12"/>
      <c r="G110" s="14" t="str">
        <f aca="false">IF(OR($D110="",$B110=""),"",INT(($B110-$D110)/365.25))</f>
        <v/>
      </c>
      <c r="H110" s="12"/>
      <c r="I110" s="12"/>
      <c r="J110" s="25"/>
      <c r="K110" s="13"/>
      <c r="L110" s="12"/>
      <c r="M110" s="14" t="str">
        <f aca="false">IF(OR($C110="",$D110="",$H110="",$B110=""),"",IF(COUNTIFS($C$5:$C$804,$C110,$D$5:$D$804,$D110,$H$5:$H$804,$H110,$B$5:$B$804,$B110)&gt;1,"Takror",""))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4"/>
      <c r="F111" s="12"/>
      <c r="G111" s="14" t="str">
        <f aca="false">IF(OR($D111="",$B111=""),"",INT(($B111-$D111)/365.25))</f>
        <v/>
      </c>
      <c r="H111" s="12"/>
      <c r="I111" s="12"/>
      <c r="J111" s="25"/>
      <c r="K111" s="13"/>
      <c r="L111" s="12"/>
      <c r="M111" s="14" t="str">
        <f aca="false">IF(OR($C111="",$D111="",$H111="",$B111=""),"",IF(COUNTIFS($C$5:$C$804,$C111,$D$5:$D$804,$D111,$H$5:$H$804,$H111,$B$5:$B$804,$B111)&gt;1,"Takror",""))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4"/>
      <c r="F112" s="12"/>
      <c r="G112" s="14" t="str">
        <f aca="false">IF(OR($D112="",$B112=""),"",INT(($B112-$D112)/365.25))</f>
        <v/>
      </c>
      <c r="H112" s="12"/>
      <c r="I112" s="12"/>
      <c r="J112" s="25"/>
      <c r="K112" s="13"/>
      <c r="L112" s="12"/>
      <c r="M112" s="14" t="str">
        <f aca="false">IF(OR($C112="",$D112="",$H112="",$B112=""),"",IF(COUNTIFS($C$5:$C$804,$C112,$D$5:$D$804,$D112,$H$5:$H$804,$H112,$B$5:$B$804,$B112)&gt;1,"Takror",""))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4"/>
      <c r="F113" s="12"/>
      <c r="G113" s="14" t="str">
        <f aca="false">IF(OR($D113="",$B113=""),"",INT(($B113-$D113)/365.25))</f>
        <v/>
      </c>
      <c r="H113" s="12"/>
      <c r="I113" s="12"/>
      <c r="J113" s="25"/>
      <c r="K113" s="13"/>
      <c r="L113" s="12"/>
      <c r="M113" s="14" t="str">
        <f aca="false">IF(OR($C113="",$D113="",$H113="",$B113=""),"",IF(COUNTIFS($C$5:$C$804,$C113,$D$5:$D$804,$D113,$H$5:$H$804,$H113,$B$5:$B$804,$B113)&gt;1,"Takror",""))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4"/>
      <c r="F114" s="12"/>
      <c r="G114" s="14" t="str">
        <f aca="false">IF(OR($D114="",$B114=""),"",INT(($B114-$D114)/365.25))</f>
        <v/>
      </c>
      <c r="H114" s="12"/>
      <c r="I114" s="12"/>
      <c r="J114" s="25"/>
      <c r="K114" s="13"/>
      <c r="L114" s="12"/>
      <c r="M114" s="14" t="str">
        <f aca="false">IF(OR($C114="",$D114="",$H114="",$B114=""),"",IF(COUNTIFS($C$5:$C$804,$C114,$D$5:$D$804,$D114,$H$5:$H$804,$H114,$B$5:$B$804,$B114)&gt;1,"Takror",""))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4"/>
      <c r="F115" s="12"/>
      <c r="G115" s="14" t="str">
        <f aca="false">IF(OR($D115="",$B115=""),"",INT(($B115-$D115)/365.25))</f>
        <v/>
      </c>
      <c r="H115" s="12"/>
      <c r="I115" s="12"/>
      <c r="J115" s="25"/>
      <c r="K115" s="13"/>
      <c r="L115" s="12"/>
      <c r="M115" s="14" t="str">
        <f aca="false">IF(OR($C115="",$D115="",$H115="",$B115=""),"",IF(COUNTIFS($C$5:$C$804,$C115,$D$5:$D$804,$D115,$H$5:$H$804,$H115,$B$5:$B$804,$B115)&gt;1,"Takror",""))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4"/>
      <c r="F116" s="12"/>
      <c r="G116" s="14" t="str">
        <f aca="false">IF(OR($D116="",$B116=""),"",INT(($B116-$D116)/365.25))</f>
        <v/>
      </c>
      <c r="H116" s="12"/>
      <c r="I116" s="12"/>
      <c r="J116" s="25"/>
      <c r="K116" s="13"/>
      <c r="L116" s="12"/>
      <c r="M116" s="14" t="str">
        <f aca="false">IF(OR($C116="",$D116="",$H116="",$B116=""),"",IF(COUNTIFS($C$5:$C$804,$C116,$D$5:$D$804,$D116,$H$5:$H$804,$H116,$B$5:$B$804,$B116)&gt;1,"Takror",""))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4"/>
      <c r="F117" s="12"/>
      <c r="G117" s="14" t="str">
        <f aca="false">IF(OR($D117="",$B117=""),"",INT(($B117-$D117)/365.25))</f>
        <v/>
      </c>
      <c r="H117" s="12"/>
      <c r="I117" s="12"/>
      <c r="J117" s="25"/>
      <c r="K117" s="13"/>
      <c r="L117" s="12"/>
      <c r="M117" s="14" t="str">
        <f aca="false">IF(OR($C117="",$D117="",$H117="",$B117=""),"",IF(COUNTIFS($C$5:$C$804,$C117,$D$5:$D$804,$D117,$H$5:$H$804,$H117,$B$5:$B$804,$B117)&gt;1,"Takror",""))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4"/>
      <c r="F118" s="12"/>
      <c r="G118" s="14" t="str">
        <f aca="false">IF(OR($D118="",$B118=""),"",INT(($B118-$D118)/365.25))</f>
        <v/>
      </c>
      <c r="H118" s="12"/>
      <c r="I118" s="12"/>
      <c r="J118" s="25"/>
      <c r="K118" s="13"/>
      <c r="L118" s="12"/>
      <c r="M118" s="14" t="str">
        <f aca="false">IF(OR($C118="",$D118="",$H118="",$B118=""),"",IF(COUNTIFS($C$5:$C$804,$C118,$D$5:$D$804,$D118,$H$5:$H$804,$H118,$B$5:$B$804,$B118)&gt;1,"Takror",""))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4"/>
      <c r="F119" s="12"/>
      <c r="G119" s="14" t="str">
        <f aca="false">IF(OR($D119="",$B119=""),"",INT(($B119-$D119)/365.25))</f>
        <v/>
      </c>
      <c r="H119" s="12"/>
      <c r="I119" s="12"/>
      <c r="J119" s="25"/>
      <c r="K119" s="13"/>
      <c r="L119" s="12"/>
      <c r="M119" s="14" t="str">
        <f aca="false">IF(OR($C119="",$D119="",$H119="",$B119=""),"",IF(COUNTIFS($C$5:$C$804,$C119,$D$5:$D$804,$D119,$H$5:$H$804,$H119,$B$5:$B$804,$B119)&gt;1,"Takror",""))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4"/>
      <c r="F120" s="12"/>
      <c r="G120" s="14" t="str">
        <f aca="false">IF(OR($D120="",$B120=""),"",INT(($B120-$D120)/365.25))</f>
        <v/>
      </c>
      <c r="H120" s="12"/>
      <c r="I120" s="12"/>
      <c r="J120" s="25"/>
      <c r="K120" s="13"/>
      <c r="L120" s="12"/>
      <c r="M120" s="14" t="str">
        <f aca="false">IF(OR($C120="",$D120="",$H120="",$B120=""),"",IF(COUNTIFS($C$5:$C$804,$C120,$D$5:$D$804,$D120,$H$5:$H$804,$H120,$B$5:$B$804,$B120)&gt;1,"Takror",""))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4"/>
      <c r="F121" s="12"/>
      <c r="G121" s="14" t="str">
        <f aca="false">IF(OR($D121="",$B121=""),"",INT(($B121-$D121)/365.25))</f>
        <v/>
      </c>
      <c r="H121" s="12"/>
      <c r="I121" s="12"/>
      <c r="J121" s="25"/>
      <c r="K121" s="13"/>
      <c r="L121" s="12"/>
      <c r="M121" s="14" t="str">
        <f aca="false">IF(OR($C121="",$D121="",$H121="",$B121=""),"",IF(COUNTIFS($C$5:$C$804,$C121,$D$5:$D$804,$D121,$H$5:$H$804,$H121,$B$5:$B$804,$B121)&gt;1,"Takror",""))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4"/>
      <c r="F122" s="12"/>
      <c r="G122" s="14" t="str">
        <f aca="false">IF(OR($D122="",$B122=""),"",INT(($B122-$D122)/365.25))</f>
        <v/>
      </c>
      <c r="H122" s="12"/>
      <c r="I122" s="12"/>
      <c r="J122" s="25"/>
      <c r="K122" s="13"/>
      <c r="L122" s="12"/>
      <c r="M122" s="14" t="str">
        <f aca="false">IF(OR($C122="",$D122="",$H122="",$B122=""),"",IF(COUNTIFS($C$5:$C$804,$C122,$D$5:$D$804,$D122,$H$5:$H$804,$H122,$B$5:$B$804,$B122)&gt;1,"Takror",""))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4"/>
      <c r="F123" s="12"/>
      <c r="G123" s="14" t="str">
        <f aca="false">IF(OR($D123="",$B123=""),"",INT(($B123-$D123)/365.25))</f>
        <v/>
      </c>
      <c r="H123" s="12"/>
      <c r="I123" s="12"/>
      <c r="J123" s="25"/>
      <c r="K123" s="13"/>
      <c r="L123" s="12"/>
      <c r="M123" s="14" t="str">
        <f aca="false">IF(OR($C123="",$D123="",$H123="",$B123=""),"",IF(COUNTIFS($C$5:$C$804,$C123,$D$5:$D$804,$D123,$H$5:$H$804,$H123,$B$5:$B$804,$B123)&gt;1,"Takror",""))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4"/>
      <c r="F124" s="12"/>
      <c r="G124" s="14" t="str">
        <f aca="false">IF(OR($D124="",$B124=""),"",INT(($B124-$D124)/365.25))</f>
        <v/>
      </c>
      <c r="H124" s="12"/>
      <c r="I124" s="12"/>
      <c r="J124" s="25"/>
      <c r="K124" s="13"/>
      <c r="L124" s="12"/>
      <c r="M124" s="14" t="str">
        <f aca="false">IF(OR($C124="",$D124="",$H124="",$B124=""),"",IF(COUNTIFS($C$5:$C$804,$C124,$D$5:$D$804,$D124,$H$5:$H$804,$H124,$B$5:$B$804,$B124)&gt;1,"Takror",""))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4"/>
      <c r="F125" s="12"/>
      <c r="G125" s="14" t="str">
        <f aca="false">IF(OR($D125="",$B125=""),"",INT(($B125-$D125)/365.25))</f>
        <v/>
      </c>
      <c r="H125" s="12"/>
      <c r="I125" s="12"/>
      <c r="J125" s="25"/>
      <c r="K125" s="13"/>
      <c r="L125" s="12"/>
      <c r="M125" s="14" t="str">
        <f aca="false">IF(OR($C125="",$D125="",$H125="",$B125=""),"",IF(COUNTIFS($C$5:$C$804,$C125,$D$5:$D$804,$D125,$H$5:$H$804,$H125,$B$5:$B$804,$B125)&gt;1,"Takror",""))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4"/>
      <c r="F126" s="12"/>
      <c r="G126" s="14" t="str">
        <f aca="false">IF(OR($D126="",$B126=""),"",INT(($B126-$D126)/365.25))</f>
        <v/>
      </c>
      <c r="H126" s="12"/>
      <c r="I126" s="12"/>
      <c r="J126" s="25"/>
      <c r="K126" s="13"/>
      <c r="L126" s="12"/>
      <c r="M126" s="14" t="str">
        <f aca="false">IF(OR($C126="",$D126="",$H126="",$B126=""),"",IF(COUNTIFS($C$5:$C$804,$C126,$D$5:$D$804,$D126,$H$5:$H$804,$H126,$B$5:$B$804,$B126)&gt;1,"Takror",""))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4"/>
      <c r="F127" s="12"/>
      <c r="G127" s="14" t="str">
        <f aca="false">IF(OR($D127="",$B127=""),"",INT(($B127-$D127)/365.25))</f>
        <v/>
      </c>
      <c r="H127" s="12"/>
      <c r="I127" s="12"/>
      <c r="J127" s="25"/>
      <c r="K127" s="13"/>
      <c r="L127" s="12"/>
      <c r="M127" s="14" t="str">
        <f aca="false">IF(OR($C127="",$D127="",$H127="",$B127=""),"",IF(COUNTIFS($C$5:$C$804,$C127,$D$5:$D$804,$D127,$H$5:$H$804,$H127,$B$5:$B$804,$B127)&gt;1,"Takror",""))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4"/>
      <c r="F128" s="12"/>
      <c r="G128" s="14" t="str">
        <f aca="false">IF(OR($D128="",$B128=""),"",INT(($B128-$D128)/365.25))</f>
        <v/>
      </c>
      <c r="H128" s="12"/>
      <c r="I128" s="12"/>
      <c r="J128" s="25"/>
      <c r="K128" s="13"/>
      <c r="L128" s="12"/>
      <c r="M128" s="14" t="str">
        <f aca="false">IF(OR($C128="",$D128="",$H128="",$B128=""),"",IF(COUNTIFS($C$5:$C$804,$C128,$D$5:$D$804,$D128,$H$5:$H$804,$H128,$B$5:$B$804,$B128)&gt;1,"Takror",""))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4"/>
      <c r="F129" s="12"/>
      <c r="G129" s="14" t="str">
        <f aca="false">IF(OR($D129="",$B129=""),"",INT(($B129-$D129)/365.25))</f>
        <v/>
      </c>
      <c r="H129" s="12"/>
      <c r="I129" s="12"/>
      <c r="J129" s="25"/>
      <c r="K129" s="13"/>
      <c r="L129" s="12"/>
      <c r="M129" s="14" t="str">
        <f aca="false">IF(OR($C129="",$D129="",$H129="",$B129=""),"",IF(COUNTIFS($C$5:$C$804,$C129,$D$5:$D$804,$D129,$H$5:$H$804,$H129,$B$5:$B$804,$B129)&gt;1,"Takror",""))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4"/>
      <c r="F130" s="12"/>
      <c r="G130" s="14" t="str">
        <f aca="false">IF(OR($D130="",$B130=""),"",INT(($B130-$D130)/365.25))</f>
        <v/>
      </c>
      <c r="H130" s="12"/>
      <c r="I130" s="12"/>
      <c r="J130" s="25"/>
      <c r="K130" s="13"/>
      <c r="L130" s="12"/>
      <c r="M130" s="14" t="str">
        <f aca="false">IF(OR($C130="",$D130="",$H130="",$B130=""),"",IF(COUNTIFS($C$5:$C$804,$C130,$D$5:$D$804,$D130,$H$5:$H$804,$H130,$B$5:$B$804,$B130)&gt;1,"Takror",""))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4"/>
      <c r="F131" s="12"/>
      <c r="G131" s="14" t="str">
        <f aca="false">IF(OR($D131="",$B131=""),"",INT(($B131-$D131)/365.25))</f>
        <v/>
      </c>
      <c r="H131" s="12"/>
      <c r="I131" s="12"/>
      <c r="J131" s="25"/>
      <c r="K131" s="13"/>
      <c r="L131" s="12"/>
      <c r="M131" s="14" t="str">
        <f aca="false">IF(OR($C131="",$D131="",$H131="",$B131=""),"",IF(COUNTIFS($C$5:$C$804,$C131,$D$5:$D$804,$D131,$H$5:$H$804,$H131,$B$5:$B$804,$B131)&gt;1,"Takror",""))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4"/>
      <c r="F132" s="12"/>
      <c r="G132" s="14" t="str">
        <f aca="false">IF(OR($D132="",$B132=""),"",INT(($B132-$D132)/365.25))</f>
        <v/>
      </c>
      <c r="H132" s="12"/>
      <c r="I132" s="12"/>
      <c r="J132" s="25"/>
      <c r="K132" s="13"/>
      <c r="L132" s="12"/>
      <c r="M132" s="14" t="str">
        <f aca="false">IF(OR($C132="",$D132="",$H132="",$B132=""),"",IF(COUNTIFS($C$5:$C$804,$C132,$D$5:$D$804,$D132,$H$5:$H$804,$H132,$B$5:$B$804,$B132)&gt;1,"Takror",""))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4"/>
      <c r="F133" s="12"/>
      <c r="G133" s="14" t="str">
        <f aca="false">IF(OR($D133="",$B133=""),"",INT(($B133-$D133)/365.25))</f>
        <v/>
      </c>
      <c r="H133" s="12"/>
      <c r="I133" s="12"/>
      <c r="J133" s="25"/>
      <c r="K133" s="13"/>
      <c r="L133" s="12"/>
      <c r="M133" s="14" t="str">
        <f aca="false">IF(OR($C133="",$D133="",$H133="",$B133=""),"",IF(COUNTIFS($C$5:$C$804,$C133,$D$5:$D$804,$D133,$H$5:$H$804,$H133,$B$5:$B$804,$B133)&gt;1,"Takror",""))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4"/>
      <c r="F134" s="12"/>
      <c r="G134" s="14" t="str">
        <f aca="false">IF(OR($D134="",$B134=""),"",INT(($B134-$D134)/365.25))</f>
        <v/>
      </c>
      <c r="H134" s="12"/>
      <c r="I134" s="12"/>
      <c r="J134" s="25"/>
      <c r="K134" s="13"/>
      <c r="L134" s="12"/>
      <c r="M134" s="14" t="str">
        <f aca="false">IF(OR($C134="",$D134="",$H134="",$B134=""),"",IF(COUNTIFS($C$5:$C$804,$C134,$D$5:$D$804,$D134,$H$5:$H$804,$H134,$B$5:$B$804,$B134)&gt;1,"Takror",""))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4"/>
      <c r="F135" s="12"/>
      <c r="G135" s="14" t="str">
        <f aca="false">IF(OR($D135="",$B135=""),"",INT(($B135-$D135)/365.25))</f>
        <v/>
      </c>
      <c r="H135" s="12"/>
      <c r="I135" s="12"/>
      <c r="J135" s="25"/>
      <c r="K135" s="13"/>
      <c r="L135" s="12"/>
      <c r="M135" s="14" t="str">
        <f aca="false">IF(OR($C135="",$D135="",$H135="",$B135=""),"",IF(COUNTIFS($C$5:$C$804,$C135,$D$5:$D$804,$D135,$H$5:$H$804,$H135,$B$5:$B$804,$B135)&gt;1,"Takror",""))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4"/>
      <c r="F136" s="12"/>
      <c r="G136" s="14" t="str">
        <f aca="false">IF(OR($D136="",$B136=""),"",INT(($B136-$D136)/365.25))</f>
        <v/>
      </c>
      <c r="H136" s="12"/>
      <c r="I136" s="12"/>
      <c r="J136" s="25"/>
      <c r="K136" s="13"/>
      <c r="L136" s="12"/>
      <c r="M136" s="14" t="str">
        <f aca="false">IF(OR($C136="",$D136="",$H136="",$B136=""),"",IF(COUNTIFS($C$5:$C$804,$C136,$D$5:$D$804,$D136,$H$5:$H$804,$H136,$B$5:$B$804,$B136)&gt;1,"Takror",""))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4"/>
      <c r="F137" s="12"/>
      <c r="G137" s="14" t="str">
        <f aca="false">IF(OR($D137="",$B137=""),"",INT(($B137-$D137)/365.25))</f>
        <v/>
      </c>
      <c r="H137" s="12"/>
      <c r="I137" s="12"/>
      <c r="J137" s="25"/>
      <c r="K137" s="13"/>
      <c r="L137" s="12"/>
      <c r="M137" s="14" t="str">
        <f aca="false">IF(OR($C137="",$D137="",$H137="",$B137=""),"",IF(COUNTIFS($C$5:$C$804,$C137,$D$5:$D$804,$D137,$H$5:$H$804,$H137,$B$5:$B$804,$B137)&gt;1,"Takror",""))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4"/>
      <c r="F138" s="12"/>
      <c r="G138" s="14" t="str">
        <f aca="false">IF(OR($D138="",$B138=""),"",INT(($B138-$D138)/365.25))</f>
        <v/>
      </c>
      <c r="H138" s="12"/>
      <c r="I138" s="12"/>
      <c r="J138" s="25"/>
      <c r="K138" s="13"/>
      <c r="L138" s="12"/>
      <c r="M138" s="14" t="str">
        <f aca="false">IF(OR($C138="",$D138="",$H138="",$B138=""),"",IF(COUNTIFS($C$5:$C$804,$C138,$D$5:$D$804,$D138,$H$5:$H$804,$H138,$B$5:$B$804,$B138)&gt;1,"Takror",""))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4"/>
      <c r="F139" s="12"/>
      <c r="G139" s="14" t="str">
        <f aca="false">IF(OR($D139="",$B139=""),"",INT(($B139-$D139)/365.25))</f>
        <v/>
      </c>
      <c r="H139" s="12"/>
      <c r="I139" s="12"/>
      <c r="J139" s="25"/>
      <c r="K139" s="13"/>
      <c r="L139" s="12"/>
      <c r="M139" s="14" t="str">
        <f aca="false">IF(OR($C139="",$D139="",$H139="",$B139=""),"",IF(COUNTIFS($C$5:$C$804,$C139,$D$5:$D$804,$D139,$H$5:$H$804,$H139,$B$5:$B$804,$B139)&gt;1,"Takror",""))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4"/>
      <c r="F140" s="12"/>
      <c r="G140" s="14" t="str">
        <f aca="false">IF(OR($D140="",$B140=""),"",INT(($B140-$D140)/365.25))</f>
        <v/>
      </c>
      <c r="H140" s="12"/>
      <c r="I140" s="12"/>
      <c r="J140" s="25"/>
      <c r="K140" s="13"/>
      <c r="L140" s="12"/>
      <c r="M140" s="14" t="str">
        <f aca="false">IF(OR($C140="",$D140="",$H140="",$B140=""),"",IF(COUNTIFS($C$5:$C$804,$C140,$D$5:$D$804,$D140,$H$5:$H$804,$H140,$B$5:$B$804,$B140)&gt;1,"Takror",""))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4"/>
      <c r="F141" s="12"/>
      <c r="G141" s="14" t="str">
        <f aca="false">IF(OR($D141="",$B141=""),"",INT(($B141-$D141)/365.25))</f>
        <v/>
      </c>
      <c r="H141" s="12"/>
      <c r="I141" s="12"/>
      <c r="J141" s="25"/>
      <c r="K141" s="13"/>
      <c r="L141" s="12"/>
      <c r="M141" s="14" t="str">
        <f aca="false">IF(OR($C141="",$D141="",$H141="",$B141=""),"",IF(COUNTIFS($C$5:$C$804,$C141,$D$5:$D$804,$D141,$H$5:$H$804,$H141,$B$5:$B$804,$B141)&gt;1,"Takror",""))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4"/>
      <c r="F142" s="12"/>
      <c r="G142" s="14" t="str">
        <f aca="false">IF(OR($D142="",$B142=""),"",INT(($B142-$D142)/365.25))</f>
        <v/>
      </c>
      <c r="H142" s="12"/>
      <c r="I142" s="12"/>
      <c r="J142" s="25"/>
      <c r="K142" s="13"/>
      <c r="L142" s="12"/>
      <c r="M142" s="14" t="str">
        <f aca="false">IF(OR($C142="",$D142="",$H142="",$B142=""),"",IF(COUNTIFS($C$5:$C$804,$C142,$D$5:$D$804,$D142,$H$5:$H$804,$H142,$B$5:$B$804,$B142)&gt;1,"Takror",""))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4"/>
      <c r="F143" s="12"/>
      <c r="G143" s="14" t="str">
        <f aca="false">IF(OR($D143="",$B143=""),"",INT(($B143-$D143)/365.25))</f>
        <v/>
      </c>
      <c r="H143" s="12"/>
      <c r="I143" s="12"/>
      <c r="J143" s="25"/>
      <c r="K143" s="13"/>
      <c r="L143" s="12"/>
      <c r="M143" s="14" t="str">
        <f aca="false">IF(OR($C143="",$D143="",$H143="",$B143=""),"",IF(COUNTIFS($C$5:$C$804,$C143,$D$5:$D$804,$D143,$H$5:$H$804,$H143,$B$5:$B$804,$B143)&gt;1,"Takror",""))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4"/>
      <c r="F144" s="12"/>
      <c r="G144" s="14" t="str">
        <f aca="false">IF(OR($D144="",$B144=""),"",INT(($B144-$D144)/365.25))</f>
        <v/>
      </c>
      <c r="H144" s="12"/>
      <c r="I144" s="12"/>
      <c r="J144" s="25"/>
      <c r="K144" s="13"/>
      <c r="L144" s="12"/>
      <c r="M144" s="14" t="str">
        <f aca="false">IF(OR($C144="",$D144="",$H144="",$B144=""),"",IF(COUNTIFS($C$5:$C$804,$C144,$D$5:$D$804,$D144,$H$5:$H$804,$H144,$B$5:$B$804,$B144)&gt;1,"Takror",""))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4"/>
      <c r="F145" s="12"/>
      <c r="G145" s="14" t="str">
        <f aca="false">IF(OR($D145="",$B145=""),"",INT(($B145-$D145)/365.25))</f>
        <v/>
      </c>
      <c r="H145" s="12"/>
      <c r="I145" s="12"/>
      <c r="J145" s="25"/>
      <c r="K145" s="13"/>
      <c r="L145" s="12"/>
      <c r="M145" s="14" t="str">
        <f aca="false">IF(OR($C145="",$D145="",$H145="",$B145=""),"",IF(COUNTIFS($C$5:$C$804,$C145,$D$5:$D$804,$D145,$H$5:$H$804,$H145,$B$5:$B$804,$B145)&gt;1,"Takror",""))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4"/>
      <c r="F146" s="12"/>
      <c r="G146" s="14" t="str">
        <f aca="false">IF(OR($D146="",$B146=""),"",INT(($B146-$D146)/365.25))</f>
        <v/>
      </c>
      <c r="H146" s="12"/>
      <c r="I146" s="12"/>
      <c r="J146" s="25"/>
      <c r="K146" s="13"/>
      <c r="L146" s="12"/>
      <c r="M146" s="14" t="str">
        <f aca="false">IF(OR($C146="",$D146="",$H146="",$B146=""),"",IF(COUNTIFS($C$5:$C$804,$C146,$D$5:$D$804,$D146,$H$5:$H$804,$H146,$B$5:$B$804,$B146)&gt;1,"Takror",""))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4"/>
      <c r="F147" s="12"/>
      <c r="G147" s="14" t="str">
        <f aca="false">IF(OR($D147="",$B147=""),"",INT(($B147-$D147)/365.25))</f>
        <v/>
      </c>
      <c r="H147" s="12"/>
      <c r="I147" s="12"/>
      <c r="J147" s="25"/>
      <c r="K147" s="13"/>
      <c r="L147" s="12"/>
      <c r="M147" s="14" t="str">
        <f aca="false">IF(OR($C147="",$D147="",$H147="",$B147=""),"",IF(COUNTIFS($C$5:$C$804,$C147,$D$5:$D$804,$D147,$H$5:$H$804,$H147,$B$5:$B$804,$B147)&gt;1,"Takror",""))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4"/>
      <c r="F148" s="12"/>
      <c r="G148" s="14" t="str">
        <f aca="false">IF(OR($D148="",$B148=""),"",INT(($B148-$D148)/365.25))</f>
        <v/>
      </c>
      <c r="H148" s="12"/>
      <c r="I148" s="12"/>
      <c r="J148" s="25"/>
      <c r="K148" s="13"/>
      <c r="L148" s="12"/>
      <c r="M148" s="14" t="str">
        <f aca="false">IF(OR($C148="",$D148="",$H148="",$B148=""),"",IF(COUNTIFS($C$5:$C$804,$C148,$D$5:$D$804,$D148,$H$5:$H$804,$H148,$B$5:$B$804,$B148)&gt;1,"Takror",""))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4"/>
      <c r="F149" s="12"/>
      <c r="G149" s="14" t="str">
        <f aca="false">IF(OR($D149="",$B149=""),"",INT(($B149-$D149)/365.25))</f>
        <v/>
      </c>
      <c r="H149" s="12"/>
      <c r="I149" s="12"/>
      <c r="J149" s="25"/>
      <c r="K149" s="13"/>
      <c r="L149" s="12"/>
      <c r="M149" s="14" t="str">
        <f aca="false">IF(OR($C149="",$D149="",$H149="",$B149=""),"",IF(COUNTIFS($C$5:$C$804,$C149,$D$5:$D$804,$D149,$H$5:$H$804,$H149,$B$5:$B$804,$B149)&gt;1,"Takror",""))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4"/>
      <c r="F150" s="12"/>
      <c r="G150" s="14" t="str">
        <f aca="false">IF(OR($D150="",$B150=""),"",INT(($B150-$D150)/365.25))</f>
        <v/>
      </c>
      <c r="H150" s="12"/>
      <c r="I150" s="12"/>
      <c r="J150" s="25"/>
      <c r="K150" s="13"/>
      <c r="L150" s="12"/>
      <c r="M150" s="14" t="str">
        <f aca="false">IF(OR($C150="",$D150="",$H150="",$B150=""),"",IF(COUNTIFS($C$5:$C$804,$C150,$D$5:$D$804,$D150,$H$5:$H$804,$H150,$B$5:$B$804,$B150)&gt;1,"Takror",""))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4"/>
      <c r="F151" s="12"/>
      <c r="G151" s="14" t="str">
        <f aca="false">IF(OR($D151="",$B151=""),"",INT(($B151-$D151)/365.25))</f>
        <v/>
      </c>
      <c r="H151" s="12"/>
      <c r="I151" s="12"/>
      <c r="J151" s="25"/>
      <c r="K151" s="13"/>
      <c r="L151" s="12"/>
      <c r="M151" s="14" t="str">
        <f aca="false">IF(OR($C151="",$D151="",$H151="",$B151=""),"",IF(COUNTIFS($C$5:$C$804,$C151,$D$5:$D$804,$D151,$H$5:$H$804,$H151,$B$5:$B$804,$B151)&gt;1,"Takror",""))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4"/>
      <c r="F152" s="12"/>
      <c r="G152" s="14" t="str">
        <f aca="false">IF(OR($D152="",$B152=""),"",INT(($B152-$D152)/365.25))</f>
        <v/>
      </c>
      <c r="H152" s="12"/>
      <c r="I152" s="12"/>
      <c r="J152" s="25"/>
      <c r="K152" s="13"/>
      <c r="L152" s="12"/>
      <c r="M152" s="14" t="str">
        <f aca="false">IF(OR($C152="",$D152="",$H152="",$B152=""),"",IF(COUNTIFS($C$5:$C$804,$C152,$D$5:$D$804,$D152,$H$5:$H$804,$H152,$B$5:$B$804,$B152)&gt;1,"Takror",""))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4"/>
      <c r="F153" s="12"/>
      <c r="G153" s="14" t="str">
        <f aca="false">IF(OR($D153="",$B153=""),"",INT(($B153-$D153)/365.25))</f>
        <v/>
      </c>
      <c r="H153" s="12"/>
      <c r="I153" s="12"/>
      <c r="J153" s="25"/>
      <c r="K153" s="13"/>
      <c r="L153" s="12"/>
      <c r="M153" s="14" t="str">
        <f aca="false">IF(OR($C153="",$D153="",$H153="",$B153=""),"",IF(COUNTIFS($C$5:$C$804,$C153,$D$5:$D$804,$D153,$H$5:$H$804,$H153,$B$5:$B$804,$B153)&gt;1,"Takror",""))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4"/>
      <c r="F154" s="12"/>
      <c r="G154" s="14" t="str">
        <f aca="false">IF(OR($D154="",$B154=""),"",INT(($B154-$D154)/365.25))</f>
        <v/>
      </c>
      <c r="H154" s="12"/>
      <c r="I154" s="12"/>
      <c r="J154" s="25"/>
      <c r="K154" s="13"/>
      <c r="L154" s="12"/>
      <c r="M154" s="14" t="str">
        <f aca="false">IF(OR($C154="",$D154="",$H154="",$B154=""),"",IF(COUNTIFS($C$5:$C$804,$C154,$D$5:$D$804,$D154,$H$5:$H$804,$H154,$B$5:$B$804,$B154)&gt;1,"Takror",""))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4"/>
      <c r="F155" s="12"/>
      <c r="G155" s="14" t="str">
        <f aca="false">IF(OR($D155="",$B155=""),"",INT(($B155-$D155)/365.25))</f>
        <v/>
      </c>
      <c r="H155" s="12"/>
      <c r="I155" s="12"/>
      <c r="J155" s="25"/>
      <c r="K155" s="13"/>
      <c r="L155" s="12"/>
      <c r="M155" s="14" t="str">
        <f aca="false">IF(OR($C155="",$D155="",$H155="",$B155=""),"",IF(COUNTIFS($C$5:$C$804,$C155,$D$5:$D$804,$D155,$H$5:$H$804,$H155,$B$5:$B$804,$B155)&gt;1,"Takror",""))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4"/>
      <c r="F156" s="12"/>
      <c r="G156" s="14" t="str">
        <f aca="false">IF(OR($D156="",$B156=""),"",INT(($B156-$D156)/365.25))</f>
        <v/>
      </c>
      <c r="H156" s="12"/>
      <c r="I156" s="12"/>
      <c r="J156" s="25"/>
      <c r="K156" s="13"/>
      <c r="L156" s="12"/>
      <c r="M156" s="14" t="str">
        <f aca="false">IF(OR($C156="",$D156="",$H156="",$B156=""),"",IF(COUNTIFS($C$5:$C$804,$C156,$D$5:$D$804,$D156,$H$5:$H$804,$H156,$B$5:$B$804,$B156)&gt;1,"Takror",""))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4"/>
      <c r="F157" s="12"/>
      <c r="G157" s="14" t="str">
        <f aca="false">IF(OR($D157="",$B157=""),"",INT(($B157-$D157)/365.25))</f>
        <v/>
      </c>
      <c r="H157" s="12"/>
      <c r="I157" s="12"/>
      <c r="J157" s="25"/>
      <c r="K157" s="13"/>
      <c r="L157" s="12"/>
      <c r="M157" s="14" t="str">
        <f aca="false">IF(OR($C157="",$D157="",$H157="",$B157=""),"",IF(COUNTIFS($C$5:$C$804,$C157,$D$5:$D$804,$D157,$H$5:$H$804,$H157,$B$5:$B$804,$B157)&gt;1,"Takror",""))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4"/>
      <c r="F158" s="12"/>
      <c r="G158" s="14" t="str">
        <f aca="false">IF(OR($D158="",$B158=""),"",INT(($B158-$D158)/365.25))</f>
        <v/>
      </c>
      <c r="H158" s="12"/>
      <c r="I158" s="12"/>
      <c r="J158" s="25"/>
      <c r="K158" s="13"/>
      <c r="L158" s="12"/>
      <c r="M158" s="14" t="str">
        <f aca="false">IF(OR($C158="",$D158="",$H158="",$B158=""),"",IF(COUNTIFS($C$5:$C$804,$C158,$D$5:$D$804,$D158,$H$5:$H$804,$H158,$B$5:$B$804,$B158)&gt;1,"Takror",""))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4"/>
      <c r="F159" s="12"/>
      <c r="G159" s="14" t="str">
        <f aca="false">IF(OR($D159="",$B159=""),"",INT(($B159-$D159)/365.25))</f>
        <v/>
      </c>
      <c r="H159" s="12"/>
      <c r="I159" s="12"/>
      <c r="J159" s="25"/>
      <c r="K159" s="13"/>
      <c r="L159" s="12"/>
      <c r="M159" s="14" t="str">
        <f aca="false">IF(OR($C159="",$D159="",$H159="",$B159=""),"",IF(COUNTIFS($C$5:$C$804,$C159,$D$5:$D$804,$D159,$H$5:$H$804,$H159,$B$5:$B$804,$B159)&gt;1,"Takror",""))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4"/>
      <c r="F160" s="12"/>
      <c r="G160" s="14" t="str">
        <f aca="false">IF(OR($D160="",$B160=""),"",INT(($B160-$D160)/365.25))</f>
        <v/>
      </c>
      <c r="H160" s="12"/>
      <c r="I160" s="12"/>
      <c r="J160" s="25"/>
      <c r="K160" s="13"/>
      <c r="L160" s="12"/>
      <c r="M160" s="14" t="str">
        <f aca="false">IF(OR($C160="",$D160="",$H160="",$B160=""),"",IF(COUNTIFS($C$5:$C$804,$C160,$D$5:$D$804,$D160,$H$5:$H$804,$H160,$B$5:$B$804,$B160)&gt;1,"Takror",""))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4"/>
      <c r="F161" s="12"/>
      <c r="G161" s="14" t="str">
        <f aca="false">IF(OR($D161="",$B161=""),"",INT(($B161-$D161)/365.25))</f>
        <v/>
      </c>
      <c r="H161" s="12"/>
      <c r="I161" s="12"/>
      <c r="J161" s="25"/>
      <c r="K161" s="13"/>
      <c r="L161" s="12"/>
      <c r="M161" s="14" t="str">
        <f aca="false">IF(OR($C161="",$D161="",$H161="",$B161=""),"",IF(COUNTIFS($C$5:$C$804,$C161,$D$5:$D$804,$D161,$H$5:$H$804,$H161,$B$5:$B$804,$B161)&gt;1,"Takror",""))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4"/>
      <c r="F162" s="12"/>
      <c r="G162" s="14" t="str">
        <f aca="false">IF(OR($D162="",$B162=""),"",INT(($B162-$D162)/365.25))</f>
        <v/>
      </c>
      <c r="H162" s="12"/>
      <c r="I162" s="12"/>
      <c r="J162" s="25"/>
      <c r="K162" s="13"/>
      <c r="L162" s="12"/>
      <c r="M162" s="14" t="str">
        <f aca="false">IF(OR($C162="",$D162="",$H162="",$B162=""),"",IF(COUNTIFS($C$5:$C$804,$C162,$D$5:$D$804,$D162,$H$5:$H$804,$H162,$B$5:$B$804,$B162)&gt;1,"Takror",""))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4"/>
      <c r="F163" s="12"/>
      <c r="G163" s="14" t="str">
        <f aca="false">IF(OR($D163="",$B163=""),"",INT(($B163-$D163)/365.25))</f>
        <v/>
      </c>
      <c r="H163" s="12"/>
      <c r="I163" s="12"/>
      <c r="J163" s="25"/>
      <c r="K163" s="13"/>
      <c r="L163" s="12"/>
      <c r="M163" s="14" t="str">
        <f aca="false">IF(OR($C163="",$D163="",$H163="",$B163=""),"",IF(COUNTIFS($C$5:$C$804,$C163,$D$5:$D$804,$D163,$H$5:$H$804,$H163,$B$5:$B$804,$B163)&gt;1,"Takror",""))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4"/>
      <c r="F164" s="12"/>
      <c r="G164" s="14" t="str">
        <f aca="false">IF(OR($D164="",$B164=""),"",INT(($B164-$D164)/365.25))</f>
        <v/>
      </c>
      <c r="H164" s="12"/>
      <c r="I164" s="12"/>
      <c r="J164" s="25"/>
      <c r="K164" s="13"/>
      <c r="L164" s="12"/>
      <c r="M164" s="14" t="str">
        <f aca="false">IF(OR($C164="",$D164="",$H164="",$B164=""),"",IF(COUNTIFS($C$5:$C$804,$C164,$D$5:$D$804,$D164,$H$5:$H$804,$H164,$B$5:$B$804,$B164)&gt;1,"Takror",""))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4"/>
      <c r="F165" s="12"/>
      <c r="G165" s="14" t="str">
        <f aca="false">IF(OR($D165="",$B165=""),"",INT(($B165-$D165)/365.25))</f>
        <v/>
      </c>
      <c r="H165" s="12"/>
      <c r="I165" s="12"/>
      <c r="J165" s="25"/>
      <c r="K165" s="13"/>
      <c r="L165" s="12"/>
      <c r="M165" s="14" t="str">
        <f aca="false">IF(OR($C165="",$D165="",$H165="",$B165=""),"",IF(COUNTIFS($C$5:$C$804,$C165,$D$5:$D$804,$D165,$H$5:$H$804,$H165,$B$5:$B$804,$B165)&gt;1,"Takror",""))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4"/>
      <c r="F166" s="12"/>
      <c r="G166" s="14" t="str">
        <f aca="false">IF(OR($D166="",$B166=""),"",INT(($B166-$D166)/365.25))</f>
        <v/>
      </c>
      <c r="H166" s="12"/>
      <c r="I166" s="12"/>
      <c r="J166" s="25"/>
      <c r="K166" s="13"/>
      <c r="L166" s="12"/>
      <c r="M166" s="14" t="str">
        <f aca="false">IF(OR($C166="",$D166="",$H166="",$B166=""),"",IF(COUNTIFS($C$5:$C$804,$C166,$D$5:$D$804,$D166,$H$5:$H$804,$H166,$B$5:$B$804,$B166)&gt;1,"Takror",""))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4"/>
      <c r="F167" s="12"/>
      <c r="G167" s="14" t="str">
        <f aca="false">IF(OR($D167="",$B167=""),"",INT(($B167-$D167)/365.25))</f>
        <v/>
      </c>
      <c r="H167" s="12"/>
      <c r="I167" s="12"/>
      <c r="J167" s="25"/>
      <c r="K167" s="13"/>
      <c r="L167" s="12"/>
      <c r="M167" s="14" t="str">
        <f aca="false">IF(OR($C167="",$D167="",$H167="",$B167=""),"",IF(COUNTIFS($C$5:$C$804,$C167,$D$5:$D$804,$D167,$H$5:$H$804,$H167,$B$5:$B$804,$B167)&gt;1,"Takror",""))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4"/>
      <c r="F168" s="12"/>
      <c r="G168" s="14" t="str">
        <f aca="false">IF(OR($D168="",$B168=""),"",INT(($B168-$D168)/365.25))</f>
        <v/>
      </c>
      <c r="H168" s="12"/>
      <c r="I168" s="12"/>
      <c r="J168" s="25"/>
      <c r="K168" s="13"/>
      <c r="L168" s="12"/>
      <c r="M168" s="14" t="str">
        <f aca="false">IF(OR($C168="",$D168="",$H168="",$B168=""),"",IF(COUNTIFS($C$5:$C$804,$C168,$D$5:$D$804,$D168,$H$5:$H$804,$H168,$B$5:$B$804,$B168)&gt;1,"Takror",""))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4"/>
      <c r="F169" s="12"/>
      <c r="G169" s="14" t="str">
        <f aca="false">IF(OR($D169="",$B169=""),"",INT(($B169-$D169)/365.25))</f>
        <v/>
      </c>
      <c r="H169" s="12"/>
      <c r="I169" s="12"/>
      <c r="J169" s="25"/>
      <c r="K169" s="13"/>
      <c r="L169" s="12"/>
      <c r="M169" s="14" t="str">
        <f aca="false">IF(OR($C169="",$D169="",$H169="",$B169=""),"",IF(COUNTIFS($C$5:$C$804,$C169,$D$5:$D$804,$D169,$H$5:$H$804,$H169,$B$5:$B$804,$B169)&gt;1,"Takror",""))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4"/>
      <c r="F170" s="12"/>
      <c r="G170" s="14" t="str">
        <f aca="false">IF(OR($D170="",$B170=""),"",INT(($B170-$D170)/365.25))</f>
        <v/>
      </c>
      <c r="H170" s="12"/>
      <c r="I170" s="12"/>
      <c r="J170" s="25"/>
      <c r="K170" s="13"/>
      <c r="L170" s="12"/>
      <c r="M170" s="14" t="str">
        <f aca="false">IF(OR($C170="",$D170="",$H170="",$B170=""),"",IF(COUNTIFS($C$5:$C$804,$C170,$D$5:$D$804,$D170,$H$5:$H$804,$H170,$B$5:$B$804,$B170)&gt;1,"Takror",""))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4"/>
      <c r="F171" s="12"/>
      <c r="G171" s="14" t="str">
        <f aca="false">IF(OR($D171="",$B171=""),"",INT(($B171-$D171)/365.25))</f>
        <v/>
      </c>
      <c r="H171" s="12"/>
      <c r="I171" s="12"/>
      <c r="J171" s="25"/>
      <c r="K171" s="13"/>
      <c r="L171" s="12"/>
      <c r="M171" s="14" t="str">
        <f aca="false">IF(OR($C171="",$D171="",$H171="",$B171=""),"",IF(COUNTIFS($C$5:$C$804,$C171,$D$5:$D$804,$D171,$H$5:$H$804,$H171,$B$5:$B$804,$B171)&gt;1,"Takror",""))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4"/>
      <c r="F172" s="12"/>
      <c r="G172" s="14" t="str">
        <f aca="false">IF(OR($D172="",$B172=""),"",INT(($B172-$D172)/365.25))</f>
        <v/>
      </c>
      <c r="H172" s="12"/>
      <c r="I172" s="12"/>
      <c r="J172" s="25"/>
      <c r="K172" s="13"/>
      <c r="L172" s="12"/>
      <c r="M172" s="14" t="str">
        <f aca="false">IF(OR($C172="",$D172="",$H172="",$B172=""),"",IF(COUNTIFS($C$5:$C$804,$C172,$D$5:$D$804,$D172,$H$5:$H$804,$H172,$B$5:$B$804,$B172)&gt;1,"Takror",""))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4"/>
      <c r="F173" s="12"/>
      <c r="G173" s="14" t="str">
        <f aca="false">IF(OR($D173="",$B173=""),"",INT(($B173-$D173)/365.25))</f>
        <v/>
      </c>
      <c r="H173" s="12"/>
      <c r="I173" s="12"/>
      <c r="J173" s="25"/>
      <c r="K173" s="13"/>
      <c r="L173" s="12"/>
      <c r="M173" s="14" t="str">
        <f aca="false">IF(OR($C173="",$D173="",$H173="",$B173=""),"",IF(COUNTIFS($C$5:$C$804,$C173,$D$5:$D$804,$D173,$H$5:$H$804,$H173,$B$5:$B$804,$B173)&gt;1,"Takror",""))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4"/>
      <c r="F174" s="12"/>
      <c r="G174" s="14" t="str">
        <f aca="false">IF(OR($D174="",$B174=""),"",INT(($B174-$D174)/365.25))</f>
        <v/>
      </c>
      <c r="H174" s="12"/>
      <c r="I174" s="12"/>
      <c r="J174" s="25"/>
      <c r="K174" s="13"/>
      <c r="L174" s="12"/>
      <c r="M174" s="14" t="str">
        <f aca="false">IF(OR($C174="",$D174="",$H174="",$B174=""),"",IF(COUNTIFS($C$5:$C$804,$C174,$D$5:$D$804,$D174,$H$5:$H$804,$H174,$B$5:$B$804,$B174)&gt;1,"Takror",""))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4"/>
      <c r="F175" s="12"/>
      <c r="G175" s="14" t="str">
        <f aca="false">IF(OR($D175="",$B175=""),"",INT(($B175-$D175)/365.25))</f>
        <v/>
      </c>
      <c r="H175" s="12"/>
      <c r="I175" s="12"/>
      <c r="J175" s="25"/>
      <c r="K175" s="13"/>
      <c r="L175" s="12"/>
      <c r="M175" s="14" t="str">
        <f aca="false">IF(OR($C175="",$D175="",$H175="",$B175=""),"",IF(COUNTIFS($C$5:$C$804,$C175,$D$5:$D$804,$D175,$H$5:$H$804,$H175,$B$5:$B$804,$B175)&gt;1,"Takror",""))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4"/>
      <c r="F176" s="12"/>
      <c r="G176" s="14" t="str">
        <f aca="false">IF(OR($D176="",$B176=""),"",INT(($B176-$D176)/365.25))</f>
        <v/>
      </c>
      <c r="H176" s="12"/>
      <c r="I176" s="12"/>
      <c r="J176" s="25"/>
      <c r="K176" s="13"/>
      <c r="L176" s="12"/>
      <c r="M176" s="14" t="str">
        <f aca="false">IF(OR($C176="",$D176="",$H176="",$B176=""),"",IF(COUNTIFS($C$5:$C$804,$C176,$D$5:$D$804,$D176,$H$5:$H$804,$H176,$B$5:$B$804,$B176)&gt;1,"Takror",""))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4"/>
      <c r="F177" s="12"/>
      <c r="G177" s="14" t="str">
        <f aca="false">IF(OR($D177="",$B177=""),"",INT(($B177-$D177)/365.25))</f>
        <v/>
      </c>
      <c r="H177" s="12"/>
      <c r="I177" s="12"/>
      <c r="J177" s="25"/>
      <c r="K177" s="13"/>
      <c r="L177" s="12"/>
      <c r="M177" s="14" t="str">
        <f aca="false">IF(OR($C177="",$D177="",$H177="",$B177=""),"",IF(COUNTIFS($C$5:$C$804,$C177,$D$5:$D$804,$D177,$H$5:$H$804,$H177,$B$5:$B$804,$B177)&gt;1,"Takror",""))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4"/>
      <c r="F178" s="12"/>
      <c r="G178" s="14" t="str">
        <f aca="false">IF(OR($D178="",$B178=""),"",INT(($B178-$D178)/365.25))</f>
        <v/>
      </c>
      <c r="H178" s="12"/>
      <c r="I178" s="12"/>
      <c r="J178" s="25"/>
      <c r="K178" s="13"/>
      <c r="L178" s="12"/>
      <c r="M178" s="14" t="str">
        <f aca="false">IF(OR($C178="",$D178="",$H178="",$B178=""),"",IF(COUNTIFS($C$5:$C$804,$C178,$D$5:$D$804,$D178,$H$5:$H$804,$H178,$B$5:$B$804,$B178)&gt;1,"Takror",""))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4"/>
      <c r="F179" s="12"/>
      <c r="G179" s="14" t="str">
        <f aca="false">IF(OR($D179="",$B179=""),"",INT(($B179-$D179)/365.25))</f>
        <v/>
      </c>
      <c r="H179" s="12"/>
      <c r="I179" s="12"/>
      <c r="J179" s="25"/>
      <c r="K179" s="13"/>
      <c r="L179" s="12"/>
      <c r="M179" s="14" t="str">
        <f aca="false">IF(OR($C179="",$D179="",$H179="",$B179=""),"",IF(COUNTIFS($C$5:$C$804,$C179,$D$5:$D$804,$D179,$H$5:$H$804,$H179,$B$5:$B$804,$B179)&gt;1,"Takror",""))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4"/>
      <c r="F180" s="12"/>
      <c r="G180" s="14" t="str">
        <f aca="false">IF(OR($D180="",$B180=""),"",INT(($B180-$D180)/365.25))</f>
        <v/>
      </c>
      <c r="H180" s="12"/>
      <c r="I180" s="12"/>
      <c r="J180" s="25"/>
      <c r="K180" s="13"/>
      <c r="L180" s="12"/>
      <c r="M180" s="14" t="str">
        <f aca="false">IF(OR($C180="",$D180="",$H180="",$B180=""),"",IF(COUNTIFS($C$5:$C$804,$C180,$D$5:$D$804,$D180,$H$5:$H$804,$H180,$B$5:$B$804,$B180)&gt;1,"Takror",""))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4"/>
      <c r="F181" s="12"/>
      <c r="G181" s="14" t="str">
        <f aca="false">IF(OR($D181="",$B181=""),"",INT(($B181-$D181)/365.25))</f>
        <v/>
      </c>
      <c r="H181" s="12"/>
      <c r="I181" s="12"/>
      <c r="J181" s="25"/>
      <c r="K181" s="13"/>
      <c r="L181" s="12"/>
      <c r="M181" s="14" t="str">
        <f aca="false">IF(OR($C181="",$D181="",$H181="",$B181=""),"",IF(COUNTIFS($C$5:$C$804,$C181,$D$5:$D$804,$D181,$H$5:$H$804,$H181,$B$5:$B$804,$B181)&gt;1,"Takror",""))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4"/>
      <c r="F182" s="12"/>
      <c r="G182" s="14" t="str">
        <f aca="false">IF(OR($D182="",$B182=""),"",INT(($B182-$D182)/365.25))</f>
        <v/>
      </c>
      <c r="H182" s="12"/>
      <c r="I182" s="12"/>
      <c r="J182" s="25"/>
      <c r="K182" s="13"/>
      <c r="L182" s="12"/>
      <c r="M182" s="14" t="str">
        <f aca="false">IF(OR($C182="",$D182="",$H182="",$B182=""),"",IF(COUNTIFS($C$5:$C$804,$C182,$D$5:$D$804,$D182,$H$5:$H$804,$H182,$B$5:$B$804,$B182)&gt;1,"Takror",""))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4"/>
      <c r="F183" s="12"/>
      <c r="G183" s="14" t="str">
        <f aca="false">IF(OR($D183="",$B183=""),"",INT(($B183-$D183)/365.25))</f>
        <v/>
      </c>
      <c r="H183" s="12"/>
      <c r="I183" s="12"/>
      <c r="J183" s="25"/>
      <c r="K183" s="13"/>
      <c r="L183" s="12"/>
      <c r="M183" s="14" t="str">
        <f aca="false">IF(OR($C183="",$D183="",$H183="",$B183=""),"",IF(COUNTIFS($C$5:$C$804,$C183,$D$5:$D$804,$D183,$H$5:$H$804,$H183,$B$5:$B$804,$B183)&gt;1,"Takror",""))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4"/>
      <c r="F184" s="12"/>
      <c r="G184" s="14" t="str">
        <f aca="false">IF(OR($D184="",$B184=""),"",INT(($B184-$D184)/365.25))</f>
        <v/>
      </c>
      <c r="H184" s="12"/>
      <c r="I184" s="12"/>
      <c r="J184" s="25"/>
      <c r="K184" s="13"/>
      <c r="L184" s="12"/>
      <c r="M184" s="14" t="str">
        <f aca="false">IF(OR($C184="",$D184="",$H184="",$B184=""),"",IF(COUNTIFS($C$5:$C$804,$C184,$D$5:$D$804,$D184,$H$5:$H$804,$H184,$B$5:$B$804,$B184)&gt;1,"Takror",""))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4"/>
      <c r="F185" s="12"/>
      <c r="G185" s="14" t="str">
        <f aca="false">IF(OR($D185="",$B185=""),"",INT(($B185-$D185)/365.25))</f>
        <v/>
      </c>
      <c r="H185" s="12"/>
      <c r="I185" s="12"/>
      <c r="J185" s="25"/>
      <c r="K185" s="13"/>
      <c r="L185" s="12"/>
      <c r="M185" s="14" t="str">
        <f aca="false">IF(OR($C185="",$D185="",$H185="",$B185=""),"",IF(COUNTIFS($C$5:$C$804,$C185,$D$5:$D$804,$D185,$H$5:$H$804,$H185,$B$5:$B$804,$B185)&gt;1,"Takror",""))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4"/>
      <c r="F186" s="12"/>
      <c r="G186" s="14" t="str">
        <f aca="false">IF(OR($D186="",$B186=""),"",INT(($B186-$D186)/365.25))</f>
        <v/>
      </c>
      <c r="H186" s="12"/>
      <c r="I186" s="12"/>
      <c r="J186" s="25"/>
      <c r="K186" s="13"/>
      <c r="L186" s="12"/>
      <c r="M186" s="14" t="str">
        <f aca="false">IF(OR($C186="",$D186="",$H186="",$B186=""),"",IF(COUNTIFS($C$5:$C$804,$C186,$D$5:$D$804,$D186,$H$5:$H$804,$H186,$B$5:$B$804,$B186)&gt;1,"Takror",""))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4"/>
      <c r="F187" s="12"/>
      <c r="G187" s="14" t="str">
        <f aca="false">IF(OR($D187="",$B187=""),"",INT(($B187-$D187)/365.25))</f>
        <v/>
      </c>
      <c r="H187" s="12"/>
      <c r="I187" s="12"/>
      <c r="J187" s="25"/>
      <c r="K187" s="13"/>
      <c r="L187" s="12"/>
      <c r="M187" s="14" t="str">
        <f aca="false">IF(OR($C187="",$D187="",$H187="",$B187=""),"",IF(COUNTIFS($C$5:$C$804,$C187,$D$5:$D$804,$D187,$H$5:$H$804,$H187,$B$5:$B$804,$B187)&gt;1,"Takror",""))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4"/>
      <c r="F188" s="12"/>
      <c r="G188" s="14" t="str">
        <f aca="false">IF(OR($D188="",$B188=""),"",INT(($B188-$D188)/365.25))</f>
        <v/>
      </c>
      <c r="H188" s="12"/>
      <c r="I188" s="12"/>
      <c r="J188" s="25"/>
      <c r="K188" s="13"/>
      <c r="L188" s="12"/>
      <c r="M188" s="14" t="str">
        <f aca="false">IF(OR($C188="",$D188="",$H188="",$B188=""),"",IF(COUNTIFS($C$5:$C$804,$C188,$D$5:$D$804,$D188,$H$5:$H$804,$H188,$B$5:$B$804,$B188)&gt;1,"Takror",""))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4"/>
      <c r="F189" s="12"/>
      <c r="G189" s="14" t="str">
        <f aca="false">IF(OR($D189="",$B189=""),"",INT(($B189-$D189)/365.25))</f>
        <v/>
      </c>
      <c r="H189" s="12"/>
      <c r="I189" s="12"/>
      <c r="J189" s="25"/>
      <c r="K189" s="13"/>
      <c r="L189" s="12"/>
      <c r="M189" s="14" t="str">
        <f aca="false">IF(OR($C189="",$D189="",$H189="",$B189=""),"",IF(COUNTIFS($C$5:$C$804,$C189,$D$5:$D$804,$D189,$H$5:$H$804,$H189,$B$5:$B$804,$B189)&gt;1,"Takror",""))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4"/>
      <c r="F190" s="12"/>
      <c r="G190" s="14" t="str">
        <f aca="false">IF(OR($D190="",$B190=""),"",INT(($B190-$D190)/365.25))</f>
        <v/>
      </c>
      <c r="H190" s="12"/>
      <c r="I190" s="12"/>
      <c r="J190" s="25"/>
      <c r="K190" s="13"/>
      <c r="L190" s="12"/>
      <c r="M190" s="14" t="str">
        <f aca="false">IF(OR($C190="",$D190="",$H190="",$B190=""),"",IF(COUNTIFS($C$5:$C$804,$C190,$D$5:$D$804,$D190,$H$5:$H$804,$H190,$B$5:$B$804,$B190)&gt;1,"Takror",""))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4"/>
      <c r="F191" s="12"/>
      <c r="G191" s="14" t="str">
        <f aca="false">IF(OR($D191="",$B191=""),"",INT(($B191-$D191)/365.25))</f>
        <v/>
      </c>
      <c r="H191" s="12"/>
      <c r="I191" s="12"/>
      <c r="J191" s="25"/>
      <c r="K191" s="13"/>
      <c r="L191" s="12"/>
      <c r="M191" s="14" t="str">
        <f aca="false">IF(OR($C191="",$D191="",$H191="",$B191=""),"",IF(COUNTIFS($C$5:$C$804,$C191,$D$5:$D$804,$D191,$H$5:$H$804,$H191,$B$5:$B$804,$B191)&gt;1,"Takror",""))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4"/>
      <c r="F192" s="12"/>
      <c r="G192" s="14" t="str">
        <f aca="false">IF(OR($D192="",$B192=""),"",INT(($B192-$D192)/365.25))</f>
        <v/>
      </c>
      <c r="H192" s="12"/>
      <c r="I192" s="12"/>
      <c r="J192" s="25"/>
      <c r="K192" s="13"/>
      <c r="L192" s="12"/>
      <c r="M192" s="14" t="str">
        <f aca="false">IF(OR($C192="",$D192="",$H192="",$B192=""),"",IF(COUNTIFS($C$5:$C$804,$C192,$D$5:$D$804,$D192,$H$5:$H$804,$H192,$B$5:$B$804,$B192)&gt;1,"Takror",""))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4"/>
      <c r="F193" s="12"/>
      <c r="G193" s="14" t="str">
        <f aca="false">IF(OR($D193="",$B193=""),"",INT(($B193-$D193)/365.25))</f>
        <v/>
      </c>
      <c r="H193" s="12"/>
      <c r="I193" s="12"/>
      <c r="J193" s="25"/>
      <c r="K193" s="13"/>
      <c r="L193" s="12"/>
      <c r="M193" s="14" t="str">
        <f aca="false">IF(OR($C193="",$D193="",$H193="",$B193=""),"",IF(COUNTIFS($C$5:$C$804,$C193,$D$5:$D$804,$D193,$H$5:$H$804,$H193,$B$5:$B$804,$B193)&gt;1,"Takror",""))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4"/>
      <c r="F194" s="12"/>
      <c r="G194" s="14" t="str">
        <f aca="false">IF(OR($D194="",$B194=""),"",INT(($B194-$D194)/365.25))</f>
        <v/>
      </c>
      <c r="H194" s="12"/>
      <c r="I194" s="12"/>
      <c r="J194" s="25"/>
      <c r="K194" s="13"/>
      <c r="L194" s="12"/>
      <c r="M194" s="14" t="str">
        <f aca="false">IF(OR($C194="",$D194="",$H194="",$B194=""),"",IF(COUNTIFS($C$5:$C$804,$C194,$D$5:$D$804,$D194,$H$5:$H$804,$H194,$B$5:$B$804,$B194)&gt;1,"Takror",""))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4"/>
      <c r="F195" s="12"/>
      <c r="G195" s="14" t="str">
        <f aca="false">IF(OR($D195="",$B195=""),"",INT(($B195-$D195)/365.25))</f>
        <v/>
      </c>
      <c r="H195" s="12"/>
      <c r="I195" s="12"/>
      <c r="J195" s="25"/>
      <c r="K195" s="13"/>
      <c r="L195" s="12"/>
      <c r="M195" s="14" t="str">
        <f aca="false">IF(OR($C195="",$D195="",$H195="",$B195=""),"",IF(COUNTIFS($C$5:$C$804,$C195,$D$5:$D$804,$D195,$H$5:$H$804,$H195,$B$5:$B$804,$B195)&gt;1,"Takror",""))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4"/>
      <c r="F196" s="12"/>
      <c r="G196" s="14" t="str">
        <f aca="false">IF(OR($D196="",$B196=""),"",INT(($B196-$D196)/365.25))</f>
        <v/>
      </c>
      <c r="H196" s="12"/>
      <c r="I196" s="12"/>
      <c r="J196" s="25"/>
      <c r="K196" s="13"/>
      <c r="L196" s="12"/>
      <c r="M196" s="14" t="str">
        <f aca="false">IF(OR($C196="",$D196="",$H196="",$B196=""),"",IF(COUNTIFS($C$5:$C$804,$C196,$D$5:$D$804,$D196,$H$5:$H$804,$H196,$B$5:$B$804,$B196)&gt;1,"Takror",""))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4"/>
      <c r="F197" s="12"/>
      <c r="G197" s="14" t="str">
        <f aca="false">IF(OR($D197="",$B197=""),"",INT(($B197-$D197)/365.25))</f>
        <v/>
      </c>
      <c r="H197" s="12"/>
      <c r="I197" s="12"/>
      <c r="J197" s="25"/>
      <c r="K197" s="13"/>
      <c r="L197" s="12"/>
      <c r="M197" s="14" t="str">
        <f aca="false">IF(OR($C197="",$D197="",$H197="",$B197=""),"",IF(COUNTIFS($C$5:$C$804,$C197,$D$5:$D$804,$D197,$H$5:$H$804,$H197,$B$5:$B$804,$B197)&gt;1,"Takror",""))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4"/>
      <c r="F198" s="12"/>
      <c r="G198" s="14" t="str">
        <f aca="false">IF(OR($D198="",$B198=""),"",INT(($B198-$D198)/365.25))</f>
        <v/>
      </c>
      <c r="H198" s="12"/>
      <c r="I198" s="12"/>
      <c r="J198" s="25"/>
      <c r="K198" s="13"/>
      <c r="L198" s="12"/>
      <c r="M198" s="14" t="str">
        <f aca="false">IF(OR($C198="",$D198="",$H198="",$B198=""),"",IF(COUNTIFS($C$5:$C$804,$C198,$D$5:$D$804,$D198,$H$5:$H$804,$H198,$B$5:$B$804,$B198)&gt;1,"Takror",""))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4"/>
      <c r="F199" s="12"/>
      <c r="G199" s="14" t="str">
        <f aca="false">IF(OR($D199="",$B199=""),"",INT(($B199-$D199)/365.25))</f>
        <v/>
      </c>
      <c r="H199" s="12"/>
      <c r="I199" s="12"/>
      <c r="J199" s="25"/>
      <c r="K199" s="13"/>
      <c r="L199" s="12"/>
      <c r="M199" s="14" t="str">
        <f aca="false">IF(OR($C199="",$D199="",$H199="",$B199=""),"",IF(COUNTIFS($C$5:$C$804,$C199,$D$5:$D$804,$D199,$H$5:$H$804,$H199,$B$5:$B$804,$B199)&gt;1,"Takror",""))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4"/>
      <c r="F200" s="12"/>
      <c r="G200" s="14" t="str">
        <f aca="false">IF(OR($D200="",$B200=""),"",INT(($B200-$D200)/365.25))</f>
        <v/>
      </c>
      <c r="H200" s="12"/>
      <c r="I200" s="12"/>
      <c r="J200" s="25"/>
      <c r="K200" s="13"/>
      <c r="L200" s="12"/>
      <c r="M200" s="14" t="str">
        <f aca="false">IF(OR($C200="",$D200="",$H200="",$B200=""),"",IF(COUNTIFS($C$5:$C$804,$C200,$D$5:$D$804,$D200,$H$5:$H$804,$H200,$B$5:$B$804,$B200)&gt;1,"Takror",""))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4"/>
      <c r="F201" s="12"/>
      <c r="G201" s="14" t="str">
        <f aca="false">IF(OR($D201="",$B201=""),"",INT(($B201-$D201)/365.25))</f>
        <v/>
      </c>
      <c r="H201" s="12"/>
      <c r="I201" s="12"/>
      <c r="J201" s="25"/>
      <c r="K201" s="13"/>
      <c r="L201" s="12"/>
      <c r="M201" s="14" t="str">
        <f aca="false">IF(OR($C201="",$D201="",$H201="",$B201=""),"",IF(COUNTIFS($C$5:$C$804,$C201,$D$5:$D$804,$D201,$H$5:$H$804,$H201,$B$5:$B$804,$B201)&gt;1,"Takror",""))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4"/>
      <c r="F202" s="12"/>
      <c r="G202" s="14" t="str">
        <f aca="false">IF(OR($D202="",$B202=""),"",INT(($B202-$D202)/365.25))</f>
        <v/>
      </c>
      <c r="H202" s="12"/>
      <c r="I202" s="12"/>
      <c r="J202" s="25"/>
      <c r="K202" s="13"/>
      <c r="L202" s="12"/>
      <c r="M202" s="14" t="str">
        <f aca="false">IF(OR($C202="",$D202="",$H202="",$B202=""),"",IF(COUNTIFS($C$5:$C$804,$C202,$D$5:$D$804,$D202,$H$5:$H$804,$H202,$B$5:$B$804,$B202)&gt;1,"Takror",""))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4"/>
      <c r="F203" s="12"/>
      <c r="G203" s="14" t="str">
        <f aca="false">IF(OR($D203="",$B203=""),"",INT(($B203-$D203)/365.25))</f>
        <v/>
      </c>
      <c r="H203" s="12"/>
      <c r="I203" s="12"/>
      <c r="J203" s="25"/>
      <c r="K203" s="13"/>
      <c r="L203" s="12"/>
      <c r="M203" s="14" t="str">
        <f aca="false">IF(OR($C203="",$D203="",$H203="",$B203=""),"",IF(COUNTIFS($C$5:$C$804,$C203,$D$5:$D$804,$D203,$H$5:$H$804,$H203,$B$5:$B$804,$B203)&gt;1,"Takror",""))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4"/>
      <c r="F204" s="12"/>
      <c r="G204" s="14" t="str">
        <f aca="false">IF(OR($D204="",$B204=""),"",INT(($B204-$D204)/365.25))</f>
        <v/>
      </c>
      <c r="H204" s="12"/>
      <c r="I204" s="12"/>
      <c r="J204" s="25"/>
      <c r="K204" s="13"/>
      <c r="L204" s="12"/>
      <c r="M204" s="14" t="str">
        <f aca="false">IF(OR($C204="",$D204="",$H204="",$B204=""),"",IF(COUNTIFS($C$5:$C$804,$C204,$D$5:$D$804,$D204,$H$5:$H$804,$H204,$B$5:$B$804,$B204)&gt;1,"Takror",""))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4"/>
      <c r="F205" s="12"/>
      <c r="G205" s="14" t="str">
        <f aca="false">IF(OR($D205="",$B205=""),"",INT(($B205-$D205)/365.25))</f>
        <v/>
      </c>
      <c r="H205" s="12"/>
      <c r="I205" s="12"/>
      <c r="J205" s="25"/>
      <c r="K205" s="13"/>
      <c r="L205" s="12"/>
      <c r="M205" s="14" t="str">
        <f aca="false">IF(OR($C205="",$D205="",$H205="",$B205=""),"",IF(COUNTIFS($C$5:$C$804,$C205,$D$5:$D$804,$D205,$H$5:$H$804,$H205,$B$5:$B$804,$B205)&gt;1,"Takror",""))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4"/>
      <c r="F206" s="12"/>
      <c r="G206" s="14" t="str">
        <f aca="false">IF(OR($D206="",$B206=""),"",INT(($B206-$D206)/365.25))</f>
        <v/>
      </c>
      <c r="H206" s="12"/>
      <c r="I206" s="12"/>
      <c r="J206" s="25"/>
      <c r="K206" s="13"/>
      <c r="L206" s="12"/>
      <c r="M206" s="14" t="str">
        <f aca="false">IF(OR($C206="",$D206="",$H206="",$B206=""),"",IF(COUNTIFS($C$5:$C$804,$C206,$D$5:$D$804,$D206,$H$5:$H$804,$H206,$B$5:$B$804,$B206)&gt;1,"Takror",""))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4"/>
      <c r="F207" s="12"/>
      <c r="G207" s="14" t="str">
        <f aca="false">IF(OR($D207="",$B207=""),"",INT(($B207-$D207)/365.25))</f>
        <v/>
      </c>
      <c r="H207" s="12"/>
      <c r="I207" s="12"/>
      <c r="J207" s="25"/>
      <c r="K207" s="13"/>
      <c r="L207" s="12"/>
      <c r="M207" s="14" t="str">
        <f aca="false">IF(OR($C207="",$D207="",$H207="",$B207=""),"",IF(COUNTIFS($C$5:$C$804,$C207,$D$5:$D$804,$D207,$H$5:$H$804,$H207,$B$5:$B$804,$B207)&gt;1,"Takror",""))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4"/>
      <c r="F208" s="12"/>
      <c r="G208" s="14" t="str">
        <f aca="false">IF(OR($D208="",$B208=""),"",INT(($B208-$D208)/365.25))</f>
        <v/>
      </c>
      <c r="H208" s="12"/>
      <c r="I208" s="12"/>
      <c r="J208" s="25"/>
      <c r="K208" s="13"/>
      <c r="L208" s="12"/>
      <c r="M208" s="14" t="str">
        <f aca="false">IF(OR($C208="",$D208="",$H208="",$B208=""),"",IF(COUNTIFS($C$5:$C$804,$C208,$D$5:$D$804,$D208,$H$5:$H$804,$H208,$B$5:$B$804,$B208)&gt;1,"Takror",""))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4"/>
      <c r="F209" s="12"/>
      <c r="G209" s="14" t="str">
        <f aca="false">IF(OR($D209="",$B209=""),"",INT(($B209-$D209)/365.25))</f>
        <v/>
      </c>
      <c r="H209" s="12"/>
      <c r="I209" s="12"/>
      <c r="J209" s="25"/>
      <c r="K209" s="13"/>
      <c r="L209" s="12"/>
      <c r="M209" s="14" t="str">
        <f aca="false">IF(OR($C209="",$D209="",$H209="",$B209=""),"",IF(COUNTIFS($C$5:$C$804,$C209,$D$5:$D$804,$D209,$H$5:$H$804,$H209,$B$5:$B$804,$B209)&gt;1,"Takror",""))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4"/>
      <c r="F210" s="12"/>
      <c r="G210" s="14" t="str">
        <f aca="false">IF(OR($D210="",$B210=""),"",INT(($B210-$D210)/365.25))</f>
        <v/>
      </c>
      <c r="H210" s="12"/>
      <c r="I210" s="12"/>
      <c r="J210" s="25"/>
      <c r="K210" s="13"/>
      <c r="L210" s="12"/>
      <c r="M210" s="14" t="str">
        <f aca="false">IF(OR($C210="",$D210="",$H210="",$B210=""),"",IF(COUNTIFS($C$5:$C$804,$C210,$D$5:$D$804,$D210,$H$5:$H$804,$H210,$B$5:$B$804,$B210)&gt;1,"Takror",""))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4"/>
      <c r="F211" s="12"/>
      <c r="G211" s="14" t="str">
        <f aca="false">IF(OR($D211="",$B211=""),"",INT(($B211-$D211)/365.25))</f>
        <v/>
      </c>
      <c r="H211" s="12"/>
      <c r="I211" s="12"/>
      <c r="J211" s="25"/>
      <c r="K211" s="13"/>
      <c r="L211" s="12"/>
      <c r="M211" s="14" t="str">
        <f aca="false">IF(OR($C211="",$D211="",$H211="",$B211=""),"",IF(COUNTIFS($C$5:$C$804,$C211,$D$5:$D$804,$D211,$H$5:$H$804,$H211,$B$5:$B$804,$B211)&gt;1,"Takror",""))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4"/>
      <c r="F212" s="12"/>
      <c r="G212" s="14" t="str">
        <f aca="false">IF(OR($D212="",$B212=""),"",INT(($B212-$D212)/365.25))</f>
        <v/>
      </c>
      <c r="H212" s="12"/>
      <c r="I212" s="12"/>
      <c r="J212" s="25"/>
      <c r="K212" s="13"/>
      <c r="L212" s="12"/>
      <c r="M212" s="14" t="str">
        <f aca="false">IF(OR($C212="",$D212="",$H212="",$B212=""),"",IF(COUNTIFS($C$5:$C$804,$C212,$D$5:$D$804,$D212,$H$5:$H$804,$H212,$B$5:$B$804,$B212)&gt;1,"Takror",""))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4"/>
      <c r="F213" s="12"/>
      <c r="G213" s="14" t="str">
        <f aca="false">IF(OR($D213="",$B213=""),"",INT(($B213-$D213)/365.25))</f>
        <v/>
      </c>
      <c r="H213" s="12"/>
      <c r="I213" s="12"/>
      <c r="J213" s="25"/>
      <c r="K213" s="13"/>
      <c r="L213" s="12"/>
      <c r="M213" s="14" t="str">
        <f aca="false">IF(OR($C213="",$D213="",$H213="",$B213=""),"",IF(COUNTIFS($C$5:$C$804,$C213,$D$5:$D$804,$D213,$H$5:$H$804,$H213,$B$5:$B$804,$B213)&gt;1,"Takror",""))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4"/>
      <c r="F214" s="12"/>
      <c r="G214" s="14" t="str">
        <f aca="false">IF(OR($D214="",$B214=""),"",INT(($B214-$D214)/365.25))</f>
        <v/>
      </c>
      <c r="H214" s="12"/>
      <c r="I214" s="12"/>
      <c r="J214" s="25"/>
      <c r="K214" s="13"/>
      <c r="L214" s="12"/>
      <c r="M214" s="14" t="str">
        <f aca="false">IF(OR($C214="",$D214="",$H214="",$B214=""),"",IF(COUNTIFS($C$5:$C$804,$C214,$D$5:$D$804,$D214,$H$5:$H$804,$H214,$B$5:$B$804,$B214)&gt;1,"Takror",""))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4"/>
      <c r="F215" s="12"/>
      <c r="G215" s="14" t="str">
        <f aca="false">IF(OR($D215="",$B215=""),"",INT(($B215-$D215)/365.25))</f>
        <v/>
      </c>
      <c r="H215" s="12"/>
      <c r="I215" s="12"/>
      <c r="J215" s="25"/>
      <c r="K215" s="13"/>
      <c r="L215" s="12"/>
      <c r="M215" s="14" t="str">
        <f aca="false">IF(OR($C215="",$D215="",$H215="",$B215=""),"",IF(COUNTIFS($C$5:$C$804,$C215,$D$5:$D$804,$D215,$H$5:$H$804,$H215,$B$5:$B$804,$B215)&gt;1,"Takror",""))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4"/>
      <c r="F216" s="12"/>
      <c r="G216" s="14" t="str">
        <f aca="false">IF(OR($D216="",$B216=""),"",INT(($B216-$D216)/365.25))</f>
        <v/>
      </c>
      <c r="H216" s="12"/>
      <c r="I216" s="12"/>
      <c r="J216" s="25"/>
      <c r="K216" s="13"/>
      <c r="L216" s="12"/>
      <c r="M216" s="14" t="str">
        <f aca="false">IF(OR($C216="",$D216="",$H216="",$B216=""),"",IF(COUNTIFS($C$5:$C$804,$C216,$D$5:$D$804,$D216,$H$5:$H$804,$H216,$B$5:$B$804,$B216)&gt;1,"Takror",""))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4"/>
      <c r="F217" s="12"/>
      <c r="G217" s="14" t="str">
        <f aca="false">IF(OR($D217="",$B217=""),"",INT(($B217-$D217)/365.25))</f>
        <v/>
      </c>
      <c r="H217" s="12"/>
      <c r="I217" s="12"/>
      <c r="J217" s="25"/>
      <c r="K217" s="13"/>
      <c r="L217" s="12"/>
      <c r="M217" s="14" t="str">
        <f aca="false">IF(OR($C217="",$D217="",$H217="",$B217=""),"",IF(COUNTIFS($C$5:$C$804,$C217,$D$5:$D$804,$D217,$H$5:$H$804,$H217,$B$5:$B$804,$B217)&gt;1,"Takror",""))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4"/>
      <c r="F218" s="12"/>
      <c r="G218" s="14" t="str">
        <f aca="false">IF(OR($D218="",$B218=""),"",INT(($B218-$D218)/365.25))</f>
        <v/>
      </c>
      <c r="H218" s="12"/>
      <c r="I218" s="12"/>
      <c r="J218" s="25"/>
      <c r="K218" s="13"/>
      <c r="L218" s="12"/>
      <c r="M218" s="14" t="str">
        <f aca="false">IF(OR($C218="",$D218="",$H218="",$B218=""),"",IF(COUNTIFS($C$5:$C$804,$C218,$D$5:$D$804,$D218,$H$5:$H$804,$H218,$B$5:$B$804,$B218)&gt;1,"Takror",""))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4"/>
      <c r="F219" s="12"/>
      <c r="G219" s="14" t="str">
        <f aca="false">IF(OR($D219="",$B219=""),"",INT(($B219-$D219)/365.25))</f>
        <v/>
      </c>
      <c r="H219" s="12"/>
      <c r="I219" s="12"/>
      <c r="J219" s="25"/>
      <c r="K219" s="13"/>
      <c r="L219" s="12"/>
      <c r="M219" s="14" t="str">
        <f aca="false">IF(OR($C219="",$D219="",$H219="",$B219=""),"",IF(COUNTIFS($C$5:$C$804,$C219,$D$5:$D$804,$D219,$H$5:$H$804,$H219,$B$5:$B$804,$B219)&gt;1,"Takror",""))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4"/>
      <c r="F220" s="12"/>
      <c r="G220" s="14" t="str">
        <f aca="false">IF(OR($D220="",$B220=""),"",INT(($B220-$D220)/365.25))</f>
        <v/>
      </c>
      <c r="H220" s="12"/>
      <c r="I220" s="12"/>
      <c r="J220" s="25"/>
      <c r="K220" s="13"/>
      <c r="L220" s="12"/>
      <c r="M220" s="14" t="str">
        <f aca="false">IF(OR($C220="",$D220="",$H220="",$B220=""),"",IF(COUNTIFS($C$5:$C$804,$C220,$D$5:$D$804,$D220,$H$5:$H$804,$H220,$B$5:$B$804,$B220)&gt;1,"Takror",""))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4"/>
      <c r="F221" s="12"/>
      <c r="G221" s="14" t="str">
        <f aca="false">IF(OR($D221="",$B221=""),"",INT(($B221-$D221)/365.25))</f>
        <v/>
      </c>
      <c r="H221" s="12"/>
      <c r="I221" s="12"/>
      <c r="J221" s="25"/>
      <c r="K221" s="13"/>
      <c r="L221" s="12"/>
      <c r="M221" s="14" t="str">
        <f aca="false">IF(OR($C221="",$D221="",$H221="",$B221=""),"",IF(COUNTIFS($C$5:$C$804,$C221,$D$5:$D$804,$D221,$H$5:$H$804,$H221,$B$5:$B$804,$B221)&gt;1,"Takror",""))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4"/>
      <c r="F222" s="12"/>
      <c r="G222" s="14" t="str">
        <f aca="false">IF(OR($D222="",$B222=""),"",INT(($B222-$D222)/365.25))</f>
        <v/>
      </c>
      <c r="H222" s="12"/>
      <c r="I222" s="12"/>
      <c r="J222" s="25"/>
      <c r="K222" s="13"/>
      <c r="L222" s="12"/>
      <c r="M222" s="14" t="str">
        <f aca="false">IF(OR($C222="",$D222="",$H222="",$B222=""),"",IF(COUNTIFS($C$5:$C$804,$C222,$D$5:$D$804,$D222,$H$5:$H$804,$H222,$B$5:$B$804,$B222)&gt;1,"Takror",""))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4"/>
      <c r="F223" s="12"/>
      <c r="G223" s="14" t="str">
        <f aca="false">IF(OR($D223="",$B223=""),"",INT(($B223-$D223)/365.25))</f>
        <v/>
      </c>
      <c r="H223" s="12"/>
      <c r="I223" s="12"/>
      <c r="J223" s="25"/>
      <c r="K223" s="13"/>
      <c r="L223" s="12"/>
      <c r="M223" s="14" t="str">
        <f aca="false">IF(OR($C223="",$D223="",$H223="",$B223=""),"",IF(COUNTIFS($C$5:$C$804,$C223,$D$5:$D$804,$D223,$H$5:$H$804,$H223,$B$5:$B$804,$B223)&gt;1,"Takror",""))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4"/>
      <c r="F224" s="12"/>
      <c r="G224" s="14" t="str">
        <f aca="false">IF(OR($D224="",$B224=""),"",INT(($B224-$D224)/365.25))</f>
        <v/>
      </c>
      <c r="H224" s="12"/>
      <c r="I224" s="12"/>
      <c r="J224" s="25"/>
      <c r="K224" s="13"/>
      <c r="L224" s="12"/>
      <c r="M224" s="14" t="str">
        <f aca="false">IF(OR($C224="",$D224="",$H224="",$B224=""),"",IF(COUNTIFS($C$5:$C$804,$C224,$D$5:$D$804,$D224,$H$5:$H$804,$H224,$B$5:$B$804,$B224)&gt;1,"Takror",""))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4"/>
      <c r="F225" s="12"/>
      <c r="G225" s="14" t="str">
        <f aca="false">IF(OR($D225="",$B225=""),"",INT(($B225-$D225)/365.25))</f>
        <v/>
      </c>
      <c r="H225" s="12"/>
      <c r="I225" s="12"/>
      <c r="J225" s="25"/>
      <c r="K225" s="13"/>
      <c r="L225" s="12"/>
      <c r="M225" s="14" t="str">
        <f aca="false">IF(OR($C225="",$D225="",$H225="",$B225=""),"",IF(COUNTIFS($C$5:$C$804,$C225,$D$5:$D$804,$D225,$H$5:$H$804,$H225,$B$5:$B$804,$B225)&gt;1,"Takror",""))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4"/>
      <c r="F226" s="12"/>
      <c r="G226" s="14" t="str">
        <f aca="false">IF(OR($D226="",$B226=""),"",INT(($B226-$D226)/365.25))</f>
        <v/>
      </c>
      <c r="H226" s="12"/>
      <c r="I226" s="12"/>
      <c r="J226" s="25"/>
      <c r="K226" s="13"/>
      <c r="L226" s="12"/>
      <c r="M226" s="14" t="str">
        <f aca="false">IF(OR($C226="",$D226="",$H226="",$B226=""),"",IF(COUNTIFS($C$5:$C$804,$C226,$D$5:$D$804,$D226,$H$5:$H$804,$H226,$B$5:$B$804,$B226)&gt;1,"Takror",""))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4"/>
      <c r="F227" s="12"/>
      <c r="G227" s="14" t="str">
        <f aca="false">IF(OR($D227="",$B227=""),"",INT(($B227-$D227)/365.25))</f>
        <v/>
      </c>
      <c r="H227" s="12"/>
      <c r="I227" s="12"/>
      <c r="J227" s="25"/>
      <c r="K227" s="13"/>
      <c r="L227" s="12"/>
      <c r="M227" s="14" t="str">
        <f aca="false">IF(OR($C227="",$D227="",$H227="",$B227=""),"",IF(COUNTIFS($C$5:$C$804,$C227,$D$5:$D$804,$D227,$H$5:$H$804,$H227,$B$5:$B$804,$B227)&gt;1,"Takror",""))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4"/>
      <c r="F228" s="12"/>
      <c r="G228" s="14" t="str">
        <f aca="false">IF(OR($D228="",$B228=""),"",INT(($B228-$D228)/365.25))</f>
        <v/>
      </c>
      <c r="H228" s="12"/>
      <c r="I228" s="12"/>
      <c r="J228" s="25"/>
      <c r="K228" s="13"/>
      <c r="L228" s="12"/>
      <c r="M228" s="14" t="str">
        <f aca="false">IF(OR($C228="",$D228="",$H228="",$B228=""),"",IF(COUNTIFS($C$5:$C$804,$C228,$D$5:$D$804,$D228,$H$5:$H$804,$H228,$B$5:$B$804,$B228)&gt;1,"Takror",""))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4"/>
      <c r="F229" s="12"/>
      <c r="G229" s="14" t="str">
        <f aca="false">IF(OR($D229="",$B229=""),"",INT(($B229-$D229)/365.25))</f>
        <v/>
      </c>
      <c r="H229" s="12"/>
      <c r="I229" s="12"/>
      <c r="J229" s="25"/>
      <c r="K229" s="13"/>
      <c r="L229" s="12"/>
      <c r="M229" s="14" t="str">
        <f aca="false">IF(OR($C229="",$D229="",$H229="",$B229=""),"",IF(COUNTIFS($C$5:$C$804,$C229,$D$5:$D$804,$D229,$H$5:$H$804,$H229,$B$5:$B$804,$B229)&gt;1,"Takror",""))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4"/>
      <c r="F230" s="12"/>
      <c r="G230" s="14" t="str">
        <f aca="false">IF(OR($D230="",$B230=""),"",INT(($B230-$D230)/365.25))</f>
        <v/>
      </c>
      <c r="H230" s="12"/>
      <c r="I230" s="12"/>
      <c r="J230" s="25"/>
      <c r="K230" s="13"/>
      <c r="L230" s="12"/>
      <c r="M230" s="14" t="str">
        <f aca="false">IF(OR($C230="",$D230="",$H230="",$B230=""),"",IF(COUNTIFS($C$5:$C$804,$C230,$D$5:$D$804,$D230,$H$5:$H$804,$H230,$B$5:$B$804,$B230)&gt;1,"Takror",""))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4"/>
      <c r="F231" s="12"/>
      <c r="G231" s="14" t="str">
        <f aca="false">IF(OR($D231="",$B231=""),"",INT(($B231-$D231)/365.25))</f>
        <v/>
      </c>
      <c r="H231" s="12"/>
      <c r="I231" s="12"/>
      <c r="J231" s="25"/>
      <c r="K231" s="13"/>
      <c r="L231" s="12"/>
      <c r="M231" s="14" t="str">
        <f aca="false">IF(OR($C231="",$D231="",$H231="",$B231=""),"",IF(COUNTIFS($C$5:$C$804,$C231,$D$5:$D$804,$D231,$H$5:$H$804,$H231,$B$5:$B$804,$B231)&gt;1,"Takror",""))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4"/>
      <c r="F232" s="12"/>
      <c r="G232" s="14" t="str">
        <f aca="false">IF(OR($D232="",$B232=""),"",INT(($B232-$D232)/365.25))</f>
        <v/>
      </c>
      <c r="H232" s="12"/>
      <c r="I232" s="12"/>
      <c r="J232" s="25"/>
      <c r="K232" s="13"/>
      <c r="L232" s="12"/>
      <c r="M232" s="14" t="str">
        <f aca="false">IF(OR($C232="",$D232="",$H232="",$B232=""),"",IF(COUNTIFS($C$5:$C$804,$C232,$D$5:$D$804,$D232,$H$5:$H$804,$H232,$B$5:$B$804,$B232)&gt;1,"Takror",""))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4"/>
      <c r="F233" s="12"/>
      <c r="G233" s="14" t="str">
        <f aca="false">IF(OR($D233="",$B233=""),"",INT(($B233-$D233)/365.25))</f>
        <v/>
      </c>
      <c r="H233" s="12"/>
      <c r="I233" s="12"/>
      <c r="J233" s="25"/>
      <c r="K233" s="13"/>
      <c r="L233" s="12"/>
      <c r="M233" s="14" t="str">
        <f aca="false">IF(OR($C233="",$D233="",$H233="",$B233=""),"",IF(COUNTIFS($C$5:$C$804,$C233,$D$5:$D$804,$D233,$H$5:$H$804,$H233,$B$5:$B$804,$B233)&gt;1,"Takror",""))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4"/>
      <c r="F234" s="12"/>
      <c r="G234" s="14" t="str">
        <f aca="false">IF(OR($D234="",$B234=""),"",INT(($B234-$D234)/365.25))</f>
        <v/>
      </c>
      <c r="H234" s="12"/>
      <c r="I234" s="12"/>
      <c r="J234" s="25"/>
      <c r="K234" s="13"/>
      <c r="L234" s="12"/>
      <c r="M234" s="14" t="str">
        <f aca="false">IF(OR($C234="",$D234="",$H234="",$B234=""),"",IF(COUNTIFS($C$5:$C$804,$C234,$D$5:$D$804,$D234,$H$5:$H$804,$H234,$B$5:$B$804,$B234)&gt;1,"Takror",""))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4"/>
      <c r="F235" s="12"/>
      <c r="G235" s="14" t="str">
        <f aca="false">IF(OR($D235="",$B235=""),"",INT(($B235-$D235)/365.25))</f>
        <v/>
      </c>
      <c r="H235" s="12"/>
      <c r="I235" s="12"/>
      <c r="J235" s="25"/>
      <c r="K235" s="13"/>
      <c r="L235" s="12"/>
      <c r="M235" s="14" t="str">
        <f aca="false">IF(OR($C235="",$D235="",$H235="",$B235=""),"",IF(COUNTIFS($C$5:$C$804,$C235,$D$5:$D$804,$D235,$H$5:$H$804,$H235,$B$5:$B$804,$B235)&gt;1,"Takror",""))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4"/>
      <c r="F236" s="12"/>
      <c r="G236" s="14" t="str">
        <f aca="false">IF(OR($D236="",$B236=""),"",INT(($B236-$D236)/365.25))</f>
        <v/>
      </c>
      <c r="H236" s="12"/>
      <c r="I236" s="12"/>
      <c r="J236" s="25"/>
      <c r="K236" s="13"/>
      <c r="L236" s="12"/>
      <c r="M236" s="14" t="str">
        <f aca="false">IF(OR($C236="",$D236="",$H236="",$B236=""),"",IF(COUNTIFS($C$5:$C$804,$C236,$D$5:$D$804,$D236,$H$5:$H$804,$H236,$B$5:$B$804,$B236)&gt;1,"Takror",""))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4"/>
      <c r="F237" s="12"/>
      <c r="G237" s="14" t="str">
        <f aca="false">IF(OR($D237="",$B237=""),"",INT(($B237-$D237)/365.25))</f>
        <v/>
      </c>
      <c r="H237" s="12"/>
      <c r="I237" s="12"/>
      <c r="J237" s="25"/>
      <c r="K237" s="13"/>
      <c r="L237" s="12"/>
      <c r="M237" s="14" t="str">
        <f aca="false">IF(OR($C237="",$D237="",$H237="",$B237=""),"",IF(COUNTIFS($C$5:$C$804,$C237,$D$5:$D$804,$D237,$H$5:$H$804,$H237,$B$5:$B$804,$B237)&gt;1,"Takror",""))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4"/>
      <c r="F238" s="12"/>
      <c r="G238" s="14" t="str">
        <f aca="false">IF(OR($D238="",$B238=""),"",INT(($B238-$D238)/365.25))</f>
        <v/>
      </c>
      <c r="H238" s="12"/>
      <c r="I238" s="12"/>
      <c r="J238" s="25"/>
      <c r="K238" s="13"/>
      <c r="L238" s="12"/>
      <c r="M238" s="14" t="str">
        <f aca="false">IF(OR($C238="",$D238="",$H238="",$B238=""),"",IF(COUNTIFS($C$5:$C$804,$C238,$D$5:$D$804,$D238,$H$5:$H$804,$H238,$B$5:$B$804,$B238)&gt;1,"Takror",""))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4"/>
      <c r="F239" s="12"/>
      <c r="G239" s="14" t="str">
        <f aca="false">IF(OR($D239="",$B239=""),"",INT(($B239-$D239)/365.25))</f>
        <v/>
      </c>
      <c r="H239" s="12"/>
      <c r="I239" s="12"/>
      <c r="J239" s="25"/>
      <c r="K239" s="13"/>
      <c r="L239" s="12"/>
      <c r="M239" s="14" t="str">
        <f aca="false">IF(OR($C239="",$D239="",$H239="",$B239=""),"",IF(COUNTIFS($C$5:$C$804,$C239,$D$5:$D$804,$D239,$H$5:$H$804,$H239,$B$5:$B$804,$B239)&gt;1,"Takror",""))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4"/>
      <c r="F240" s="12"/>
      <c r="G240" s="14" t="str">
        <f aca="false">IF(OR($D240="",$B240=""),"",INT(($B240-$D240)/365.25))</f>
        <v/>
      </c>
      <c r="H240" s="12"/>
      <c r="I240" s="12"/>
      <c r="J240" s="25"/>
      <c r="K240" s="13"/>
      <c r="L240" s="12"/>
      <c r="M240" s="14" t="str">
        <f aca="false">IF(OR($C240="",$D240="",$H240="",$B240=""),"",IF(COUNTIFS($C$5:$C$804,$C240,$D$5:$D$804,$D240,$H$5:$H$804,$H240,$B$5:$B$804,$B240)&gt;1,"Takror",""))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4"/>
      <c r="F241" s="12"/>
      <c r="G241" s="14" t="str">
        <f aca="false">IF(OR($D241="",$B241=""),"",INT(($B241-$D241)/365.25))</f>
        <v/>
      </c>
      <c r="H241" s="12"/>
      <c r="I241" s="12"/>
      <c r="J241" s="25"/>
      <c r="K241" s="13"/>
      <c r="L241" s="12"/>
      <c r="M241" s="14" t="str">
        <f aca="false">IF(OR($C241="",$D241="",$H241="",$B241=""),"",IF(COUNTIFS($C$5:$C$804,$C241,$D$5:$D$804,$D241,$H$5:$H$804,$H241,$B$5:$B$804,$B241)&gt;1,"Takror",""))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4"/>
      <c r="F242" s="12"/>
      <c r="G242" s="14" t="str">
        <f aca="false">IF(OR($D242="",$B242=""),"",INT(($B242-$D242)/365.25))</f>
        <v/>
      </c>
      <c r="H242" s="12"/>
      <c r="I242" s="12"/>
      <c r="J242" s="25"/>
      <c r="K242" s="13"/>
      <c r="L242" s="12"/>
      <c r="M242" s="14" t="str">
        <f aca="false">IF(OR($C242="",$D242="",$H242="",$B242=""),"",IF(COUNTIFS($C$5:$C$804,$C242,$D$5:$D$804,$D242,$H$5:$H$804,$H242,$B$5:$B$804,$B242)&gt;1,"Takror",""))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4"/>
      <c r="F243" s="12"/>
      <c r="G243" s="14" t="str">
        <f aca="false">IF(OR($D243="",$B243=""),"",INT(($B243-$D243)/365.25))</f>
        <v/>
      </c>
      <c r="H243" s="12"/>
      <c r="I243" s="12"/>
      <c r="J243" s="25"/>
      <c r="K243" s="13"/>
      <c r="L243" s="12"/>
      <c r="M243" s="14" t="str">
        <f aca="false">IF(OR($C243="",$D243="",$H243="",$B243=""),"",IF(COUNTIFS($C$5:$C$804,$C243,$D$5:$D$804,$D243,$H$5:$H$804,$H243,$B$5:$B$804,$B243)&gt;1,"Takror",""))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4"/>
      <c r="F244" s="12"/>
      <c r="G244" s="14" t="str">
        <f aca="false">IF(OR($D244="",$B244=""),"",INT(($B244-$D244)/365.25))</f>
        <v/>
      </c>
      <c r="H244" s="12"/>
      <c r="I244" s="12"/>
      <c r="J244" s="25"/>
      <c r="K244" s="13"/>
      <c r="L244" s="12"/>
      <c r="M244" s="14" t="str">
        <f aca="false">IF(OR($C244="",$D244="",$H244="",$B244=""),"",IF(COUNTIFS($C$5:$C$804,$C244,$D$5:$D$804,$D244,$H$5:$H$804,$H244,$B$5:$B$804,$B244)&gt;1,"Takror",""))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4"/>
      <c r="F245" s="12"/>
      <c r="G245" s="14" t="str">
        <f aca="false">IF(OR($D245="",$B245=""),"",INT(($B245-$D245)/365.25))</f>
        <v/>
      </c>
      <c r="H245" s="12"/>
      <c r="I245" s="12"/>
      <c r="J245" s="25"/>
      <c r="K245" s="13"/>
      <c r="L245" s="12"/>
      <c r="M245" s="14" t="str">
        <f aca="false">IF(OR($C245="",$D245="",$H245="",$B245=""),"",IF(COUNTIFS($C$5:$C$804,$C245,$D$5:$D$804,$D245,$H$5:$H$804,$H245,$B$5:$B$804,$B245)&gt;1,"Takror",""))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4"/>
      <c r="F246" s="12"/>
      <c r="G246" s="14" t="str">
        <f aca="false">IF(OR($D246="",$B246=""),"",INT(($B246-$D246)/365.25))</f>
        <v/>
      </c>
      <c r="H246" s="12"/>
      <c r="I246" s="12"/>
      <c r="J246" s="25"/>
      <c r="K246" s="13"/>
      <c r="L246" s="12"/>
      <c r="M246" s="14" t="str">
        <f aca="false">IF(OR($C246="",$D246="",$H246="",$B246=""),"",IF(COUNTIFS($C$5:$C$804,$C246,$D$5:$D$804,$D246,$H$5:$H$804,$H246,$B$5:$B$804,$B246)&gt;1,"Takror",""))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4"/>
      <c r="F247" s="12"/>
      <c r="G247" s="14" t="str">
        <f aca="false">IF(OR($D247="",$B247=""),"",INT(($B247-$D247)/365.25))</f>
        <v/>
      </c>
      <c r="H247" s="12"/>
      <c r="I247" s="12"/>
      <c r="J247" s="25"/>
      <c r="K247" s="13"/>
      <c r="L247" s="12"/>
      <c r="M247" s="14" t="str">
        <f aca="false">IF(OR($C247="",$D247="",$H247="",$B247=""),"",IF(COUNTIFS($C$5:$C$804,$C247,$D$5:$D$804,$D247,$H$5:$H$804,$H247,$B$5:$B$804,$B247)&gt;1,"Takror",""))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4"/>
      <c r="F248" s="12"/>
      <c r="G248" s="14" t="str">
        <f aca="false">IF(OR($D248="",$B248=""),"",INT(($B248-$D248)/365.25))</f>
        <v/>
      </c>
      <c r="H248" s="12"/>
      <c r="I248" s="12"/>
      <c r="J248" s="25"/>
      <c r="K248" s="13"/>
      <c r="L248" s="12"/>
      <c r="M248" s="14" t="str">
        <f aca="false">IF(OR($C248="",$D248="",$H248="",$B248=""),"",IF(COUNTIFS($C$5:$C$804,$C248,$D$5:$D$804,$D248,$H$5:$H$804,$H248,$B$5:$B$804,$B248)&gt;1,"Takror",""))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4"/>
      <c r="F249" s="12"/>
      <c r="G249" s="14" t="str">
        <f aca="false">IF(OR($D249="",$B249=""),"",INT(($B249-$D249)/365.25))</f>
        <v/>
      </c>
      <c r="H249" s="12"/>
      <c r="I249" s="12"/>
      <c r="J249" s="25"/>
      <c r="K249" s="13"/>
      <c r="L249" s="12"/>
      <c r="M249" s="14" t="str">
        <f aca="false">IF(OR($C249="",$D249="",$H249="",$B249=""),"",IF(COUNTIFS($C$5:$C$804,$C249,$D$5:$D$804,$D249,$H$5:$H$804,$H249,$B$5:$B$804,$B249)&gt;1,"Takror",""))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4"/>
      <c r="F250" s="12"/>
      <c r="G250" s="14" t="str">
        <f aca="false">IF(OR($D250="",$B250=""),"",INT(($B250-$D250)/365.25))</f>
        <v/>
      </c>
      <c r="H250" s="12"/>
      <c r="I250" s="12"/>
      <c r="J250" s="25"/>
      <c r="K250" s="13"/>
      <c r="L250" s="12"/>
      <c r="M250" s="14" t="str">
        <f aca="false">IF(OR($C250="",$D250="",$H250="",$B250=""),"",IF(COUNTIFS($C$5:$C$804,$C250,$D$5:$D$804,$D250,$H$5:$H$804,$H250,$B$5:$B$804,$B250)&gt;1,"Takror",""))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4"/>
      <c r="F251" s="12"/>
      <c r="G251" s="14" t="str">
        <f aca="false">IF(OR($D251="",$B251=""),"",INT(($B251-$D251)/365.25))</f>
        <v/>
      </c>
      <c r="H251" s="12"/>
      <c r="I251" s="12"/>
      <c r="J251" s="25"/>
      <c r="K251" s="13"/>
      <c r="L251" s="12"/>
      <c r="M251" s="14" t="str">
        <f aca="false">IF(OR($C251="",$D251="",$H251="",$B251=""),"",IF(COUNTIFS($C$5:$C$804,$C251,$D$5:$D$804,$D251,$H$5:$H$804,$H251,$B$5:$B$804,$B251)&gt;1,"Takror",""))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4"/>
      <c r="F252" s="12"/>
      <c r="G252" s="14" t="str">
        <f aca="false">IF(OR($D252="",$B252=""),"",INT(($B252-$D252)/365.25))</f>
        <v/>
      </c>
      <c r="H252" s="12"/>
      <c r="I252" s="12"/>
      <c r="J252" s="25"/>
      <c r="K252" s="13"/>
      <c r="L252" s="12"/>
      <c r="M252" s="14" t="str">
        <f aca="false">IF(OR($C252="",$D252="",$H252="",$B252=""),"",IF(COUNTIFS($C$5:$C$804,$C252,$D$5:$D$804,$D252,$H$5:$H$804,$H252,$B$5:$B$804,$B252)&gt;1,"Takror",""))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4"/>
      <c r="F253" s="12"/>
      <c r="G253" s="14" t="str">
        <f aca="false">IF(OR($D253="",$B253=""),"",INT(($B253-$D253)/365.25))</f>
        <v/>
      </c>
      <c r="H253" s="12"/>
      <c r="I253" s="12"/>
      <c r="J253" s="25"/>
      <c r="K253" s="13"/>
      <c r="L253" s="12"/>
      <c r="M253" s="14" t="str">
        <f aca="false">IF(OR($C253="",$D253="",$H253="",$B253=""),"",IF(COUNTIFS($C$5:$C$804,$C253,$D$5:$D$804,$D253,$H$5:$H$804,$H253,$B$5:$B$804,$B253)&gt;1,"Takror",""))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4"/>
      <c r="F254" s="12"/>
      <c r="G254" s="14" t="str">
        <f aca="false">IF(OR($D254="",$B254=""),"",INT(($B254-$D254)/365.25))</f>
        <v/>
      </c>
      <c r="H254" s="12"/>
      <c r="I254" s="12"/>
      <c r="J254" s="25"/>
      <c r="K254" s="13"/>
      <c r="L254" s="12"/>
      <c r="M254" s="14" t="str">
        <f aca="false">IF(OR($C254="",$D254="",$H254="",$B254=""),"",IF(COUNTIFS($C$5:$C$804,$C254,$D$5:$D$804,$D254,$H$5:$H$804,$H254,$B$5:$B$804,$B254)&gt;1,"Takror",""))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4"/>
      <c r="F255" s="12"/>
      <c r="G255" s="14" t="str">
        <f aca="false">IF(OR($D255="",$B255=""),"",INT(($B255-$D255)/365.25))</f>
        <v/>
      </c>
      <c r="H255" s="12"/>
      <c r="I255" s="12"/>
      <c r="J255" s="25"/>
      <c r="K255" s="13"/>
      <c r="L255" s="12"/>
      <c r="M255" s="14" t="str">
        <f aca="false">IF(OR($C255="",$D255="",$H255="",$B255=""),"",IF(COUNTIFS($C$5:$C$804,$C255,$D$5:$D$804,$D255,$H$5:$H$804,$H255,$B$5:$B$804,$B255)&gt;1,"Takror",""))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4"/>
      <c r="F256" s="12"/>
      <c r="G256" s="14" t="str">
        <f aca="false">IF(OR($D256="",$B256=""),"",INT(($B256-$D256)/365.25))</f>
        <v/>
      </c>
      <c r="H256" s="12"/>
      <c r="I256" s="12"/>
      <c r="J256" s="25"/>
      <c r="K256" s="13"/>
      <c r="L256" s="12"/>
      <c r="M256" s="14" t="str">
        <f aca="false">IF(OR($C256="",$D256="",$H256="",$B256=""),"",IF(COUNTIFS($C$5:$C$804,$C256,$D$5:$D$804,$D256,$H$5:$H$804,$H256,$B$5:$B$804,$B256)&gt;1,"Takror",""))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4"/>
      <c r="F257" s="12"/>
      <c r="G257" s="14" t="str">
        <f aca="false">IF(OR($D257="",$B257=""),"",INT(($B257-$D257)/365.25))</f>
        <v/>
      </c>
      <c r="H257" s="12"/>
      <c r="I257" s="12"/>
      <c r="J257" s="25"/>
      <c r="K257" s="13"/>
      <c r="L257" s="12"/>
      <c r="M257" s="14" t="str">
        <f aca="false">IF(OR($C257="",$D257="",$H257="",$B257=""),"",IF(COUNTIFS($C$5:$C$804,$C257,$D$5:$D$804,$D257,$H$5:$H$804,$H257,$B$5:$B$804,$B257)&gt;1,"Takror",""))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4"/>
      <c r="F258" s="12"/>
      <c r="G258" s="14" t="str">
        <f aca="false">IF(OR($D258="",$B258=""),"",INT(($B258-$D258)/365.25))</f>
        <v/>
      </c>
      <c r="H258" s="12"/>
      <c r="I258" s="12"/>
      <c r="J258" s="25"/>
      <c r="K258" s="13"/>
      <c r="L258" s="12"/>
      <c r="M258" s="14" t="str">
        <f aca="false">IF(OR($C258="",$D258="",$H258="",$B258=""),"",IF(COUNTIFS($C$5:$C$804,$C258,$D$5:$D$804,$D258,$H$5:$H$804,$H258,$B$5:$B$804,$B258)&gt;1,"Takror",""))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4"/>
      <c r="F259" s="12"/>
      <c r="G259" s="14" t="str">
        <f aca="false">IF(OR($D259="",$B259=""),"",INT(($B259-$D259)/365.25))</f>
        <v/>
      </c>
      <c r="H259" s="12"/>
      <c r="I259" s="12"/>
      <c r="J259" s="25"/>
      <c r="K259" s="13"/>
      <c r="L259" s="12"/>
      <c r="M259" s="14" t="str">
        <f aca="false">IF(OR($C259="",$D259="",$H259="",$B259=""),"",IF(COUNTIFS($C$5:$C$804,$C259,$D$5:$D$804,$D259,$H$5:$H$804,$H259,$B$5:$B$804,$B259)&gt;1,"Takror",""))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4"/>
      <c r="F260" s="12"/>
      <c r="G260" s="14" t="str">
        <f aca="false">IF(OR($D260="",$B260=""),"",INT(($B260-$D260)/365.25))</f>
        <v/>
      </c>
      <c r="H260" s="12"/>
      <c r="I260" s="12"/>
      <c r="J260" s="25"/>
      <c r="K260" s="13"/>
      <c r="L260" s="12"/>
      <c r="M260" s="14" t="str">
        <f aca="false">IF(OR($C260="",$D260="",$H260="",$B260=""),"",IF(COUNTIFS($C$5:$C$804,$C260,$D$5:$D$804,$D260,$H$5:$H$804,$H260,$B$5:$B$804,$B260)&gt;1,"Takror",""))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4"/>
      <c r="F261" s="12"/>
      <c r="G261" s="14" t="str">
        <f aca="false">IF(OR($D261="",$B261=""),"",INT(($B261-$D261)/365.25))</f>
        <v/>
      </c>
      <c r="H261" s="12"/>
      <c r="I261" s="12"/>
      <c r="J261" s="25"/>
      <c r="K261" s="13"/>
      <c r="L261" s="12"/>
      <c r="M261" s="14" t="str">
        <f aca="false">IF(OR($C261="",$D261="",$H261="",$B261=""),"",IF(COUNTIFS($C$5:$C$804,$C261,$D$5:$D$804,$D261,$H$5:$H$804,$H261,$B$5:$B$804,$B261)&gt;1,"Takror",""))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4"/>
      <c r="F262" s="12"/>
      <c r="G262" s="14" t="str">
        <f aca="false">IF(OR($D262="",$B262=""),"",INT(($B262-$D262)/365.25))</f>
        <v/>
      </c>
      <c r="H262" s="12"/>
      <c r="I262" s="12"/>
      <c r="J262" s="25"/>
      <c r="K262" s="13"/>
      <c r="L262" s="12"/>
      <c r="M262" s="14" t="str">
        <f aca="false">IF(OR($C262="",$D262="",$H262="",$B262=""),"",IF(COUNTIFS($C$5:$C$804,$C262,$D$5:$D$804,$D262,$H$5:$H$804,$H262,$B$5:$B$804,$B262)&gt;1,"Takror",""))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4"/>
      <c r="F263" s="12"/>
      <c r="G263" s="14" t="str">
        <f aca="false">IF(OR($D263="",$B263=""),"",INT(($B263-$D263)/365.25))</f>
        <v/>
      </c>
      <c r="H263" s="12"/>
      <c r="I263" s="12"/>
      <c r="J263" s="25"/>
      <c r="K263" s="13"/>
      <c r="L263" s="12"/>
      <c r="M263" s="14" t="str">
        <f aca="false">IF(OR($C263="",$D263="",$H263="",$B263=""),"",IF(COUNTIFS($C$5:$C$804,$C263,$D$5:$D$804,$D263,$H$5:$H$804,$H263,$B$5:$B$804,$B263)&gt;1,"Takror",""))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4"/>
      <c r="F264" s="12"/>
      <c r="G264" s="14" t="str">
        <f aca="false">IF(OR($D264="",$B264=""),"",INT(($B264-$D264)/365.25))</f>
        <v/>
      </c>
      <c r="H264" s="12"/>
      <c r="I264" s="12"/>
      <c r="J264" s="25"/>
      <c r="K264" s="13"/>
      <c r="L264" s="12"/>
      <c r="M264" s="14" t="str">
        <f aca="false">IF(OR($C264="",$D264="",$H264="",$B264=""),"",IF(COUNTIFS($C$5:$C$804,$C264,$D$5:$D$804,$D264,$H$5:$H$804,$H264,$B$5:$B$804,$B264)&gt;1,"Takror",""))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4"/>
      <c r="F265" s="12"/>
      <c r="G265" s="14" t="str">
        <f aca="false">IF(OR($D265="",$B265=""),"",INT(($B265-$D265)/365.25))</f>
        <v/>
      </c>
      <c r="H265" s="12"/>
      <c r="I265" s="12"/>
      <c r="J265" s="25"/>
      <c r="K265" s="13"/>
      <c r="L265" s="12"/>
      <c r="M265" s="14" t="str">
        <f aca="false">IF(OR($C265="",$D265="",$H265="",$B265=""),"",IF(COUNTIFS($C$5:$C$804,$C265,$D$5:$D$804,$D265,$H$5:$H$804,$H265,$B$5:$B$804,$B265)&gt;1,"Takror",""))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4"/>
      <c r="F266" s="12"/>
      <c r="G266" s="14" t="str">
        <f aca="false">IF(OR($D266="",$B266=""),"",INT(($B266-$D266)/365.25))</f>
        <v/>
      </c>
      <c r="H266" s="12"/>
      <c r="I266" s="12"/>
      <c r="J266" s="25"/>
      <c r="K266" s="13"/>
      <c r="L266" s="12"/>
      <c r="M266" s="14" t="str">
        <f aca="false">IF(OR($C266="",$D266="",$H266="",$B266=""),"",IF(COUNTIFS($C$5:$C$804,$C266,$D$5:$D$804,$D266,$H$5:$H$804,$H266,$B$5:$B$804,$B266)&gt;1,"Takror",""))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4"/>
      <c r="F267" s="12"/>
      <c r="G267" s="14" t="str">
        <f aca="false">IF(OR($D267="",$B267=""),"",INT(($B267-$D267)/365.25))</f>
        <v/>
      </c>
      <c r="H267" s="12"/>
      <c r="I267" s="12"/>
      <c r="J267" s="25"/>
      <c r="K267" s="13"/>
      <c r="L267" s="12"/>
      <c r="M267" s="14" t="str">
        <f aca="false">IF(OR($C267="",$D267="",$H267="",$B267=""),"",IF(COUNTIFS($C$5:$C$804,$C267,$D$5:$D$804,$D267,$H$5:$H$804,$H267,$B$5:$B$804,$B267)&gt;1,"Takror",""))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4"/>
      <c r="F268" s="12"/>
      <c r="G268" s="14" t="str">
        <f aca="false">IF(OR($D268="",$B268=""),"",INT(($B268-$D268)/365.25))</f>
        <v/>
      </c>
      <c r="H268" s="12"/>
      <c r="I268" s="12"/>
      <c r="J268" s="25"/>
      <c r="K268" s="13"/>
      <c r="L268" s="12"/>
      <c r="M268" s="14" t="str">
        <f aca="false">IF(OR($C268="",$D268="",$H268="",$B268=""),"",IF(COUNTIFS($C$5:$C$804,$C268,$D$5:$D$804,$D268,$H$5:$H$804,$H268,$B$5:$B$804,$B268)&gt;1,"Takror",""))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4"/>
      <c r="F269" s="12"/>
      <c r="G269" s="14" t="str">
        <f aca="false">IF(OR($D269="",$B269=""),"",INT(($B269-$D269)/365.25))</f>
        <v/>
      </c>
      <c r="H269" s="12"/>
      <c r="I269" s="12"/>
      <c r="J269" s="25"/>
      <c r="K269" s="13"/>
      <c r="L269" s="12"/>
      <c r="M269" s="14" t="str">
        <f aca="false">IF(OR($C269="",$D269="",$H269="",$B269=""),"",IF(COUNTIFS($C$5:$C$804,$C269,$D$5:$D$804,$D269,$H$5:$H$804,$H269,$B$5:$B$804,$B269)&gt;1,"Takror",""))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4"/>
      <c r="F270" s="12"/>
      <c r="G270" s="14" t="str">
        <f aca="false">IF(OR($D270="",$B270=""),"",INT(($B270-$D270)/365.25))</f>
        <v/>
      </c>
      <c r="H270" s="12"/>
      <c r="I270" s="12"/>
      <c r="J270" s="25"/>
      <c r="K270" s="13"/>
      <c r="L270" s="12"/>
      <c r="M270" s="14" t="str">
        <f aca="false">IF(OR($C270="",$D270="",$H270="",$B270=""),"",IF(COUNTIFS($C$5:$C$804,$C270,$D$5:$D$804,$D270,$H$5:$H$804,$H270,$B$5:$B$804,$B270)&gt;1,"Takror",""))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4"/>
      <c r="F271" s="12"/>
      <c r="G271" s="14" t="str">
        <f aca="false">IF(OR($D271="",$B271=""),"",INT(($B271-$D271)/365.25))</f>
        <v/>
      </c>
      <c r="H271" s="12"/>
      <c r="I271" s="12"/>
      <c r="J271" s="25"/>
      <c r="K271" s="13"/>
      <c r="L271" s="12"/>
      <c r="M271" s="14" t="str">
        <f aca="false">IF(OR($C271="",$D271="",$H271="",$B271=""),"",IF(COUNTIFS($C$5:$C$804,$C271,$D$5:$D$804,$D271,$H$5:$H$804,$H271,$B$5:$B$804,$B271)&gt;1,"Takror",""))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4"/>
      <c r="F272" s="12"/>
      <c r="G272" s="14" t="str">
        <f aca="false">IF(OR($D272="",$B272=""),"",INT(($B272-$D272)/365.25))</f>
        <v/>
      </c>
      <c r="H272" s="12"/>
      <c r="I272" s="12"/>
      <c r="J272" s="25"/>
      <c r="K272" s="13"/>
      <c r="L272" s="12"/>
      <c r="M272" s="14" t="str">
        <f aca="false">IF(OR($C272="",$D272="",$H272="",$B272=""),"",IF(COUNTIFS($C$5:$C$804,$C272,$D$5:$D$804,$D272,$H$5:$H$804,$H272,$B$5:$B$804,$B272)&gt;1,"Takror",""))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4"/>
      <c r="F273" s="12"/>
      <c r="G273" s="14" t="str">
        <f aca="false">IF(OR($D273="",$B273=""),"",INT(($B273-$D273)/365.25))</f>
        <v/>
      </c>
      <c r="H273" s="12"/>
      <c r="I273" s="12"/>
      <c r="J273" s="25"/>
      <c r="K273" s="13"/>
      <c r="L273" s="12"/>
      <c r="M273" s="14" t="str">
        <f aca="false">IF(OR($C273="",$D273="",$H273="",$B273=""),"",IF(COUNTIFS($C$5:$C$804,$C273,$D$5:$D$804,$D273,$H$5:$H$804,$H273,$B$5:$B$804,$B273)&gt;1,"Takror",""))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4"/>
      <c r="F274" s="12"/>
      <c r="G274" s="14" t="str">
        <f aca="false">IF(OR($D274="",$B274=""),"",INT(($B274-$D274)/365.25))</f>
        <v/>
      </c>
      <c r="H274" s="12"/>
      <c r="I274" s="12"/>
      <c r="J274" s="25"/>
      <c r="K274" s="13"/>
      <c r="L274" s="12"/>
      <c r="M274" s="14" t="str">
        <f aca="false">IF(OR($C274="",$D274="",$H274="",$B274=""),"",IF(COUNTIFS($C$5:$C$804,$C274,$D$5:$D$804,$D274,$H$5:$H$804,$H274,$B$5:$B$804,$B274)&gt;1,"Takror",""))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4"/>
      <c r="F275" s="12"/>
      <c r="G275" s="14" t="str">
        <f aca="false">IF(OR($D275="",$B275=""),"",INT(($B275-$D275)/365.25))</f>
        <v/>
      </c>
      <c r="H275" s="12"/>
      <c r="I275" s="12"/>
      <c r="J275" s="25"/>
      <c r="K275" s="13"/>
      <c r="L275" s="12"/>
      <c r="M275" s="14" t="str">
        <f aca="false">IF(OR($C275="",$D275="",$H275="",$B275=""),"",IF(COUNTIFS($C$5:$C$804,$C275,$D$5:$D$804,$D275,$H$5:$H$804,$H275,$B$5:$B$804,$B275)&gt;1,"Takror",""))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4"/>
      <c r="F276" s="12"/>
      <c r="G276" s="14" t="str">
        <f aca="false">IF(OR($D276="",$B276=""),"",INT(($B276-$D276)/365.25))</f>
        <v/>
      </c>
      <c r="H276" s="12"/>
      <c r="I276" s="12"/>
      <c r="J276" s="25"/>
      <c r="K276" s="13"/>
      <c r="L276" s="12"/>
      <c r="M276" s="14" t="str">
        <f aca="false">IF(OR($C276="",$D276="",$H276="",$B276=""),"",IF(COUNTIFS($C$5:$C$804,$C276,$D$5:$D$804,$D276,$H$5:$H$804,$H276,$B$5:$B$804,$B276)&gt;1,"Takror",""))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4"/>
      <c r="F277" s="12"/>
      <c r="G277" s="14" t="str">
        <f aca="false">IF(OR($D277="",$B277=""),"",INT(($B277-$D277)/365.25))</f>
        <v/>
      </c>
      <c r="H277" s="12"/>
      <c r="I277" s="12"/>
      <c r="J277" s="25"/>
      <c r="K277" s="13"/>
      <c r="L277" s="12"/>
      <c r="M277" s="14" t="str">
        <f aca="false">IF(OR($C277="",$D277="",$H277="",$B277=""),"",IF(COUNTIFS($C$5:$C$804,$C277,$D$5:$D$804,$D277,$H$5:$H$804,$H277,$B$5:$B$804,$B277)&gt;1,"Takror",""))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4"/>
      <c r="F278" s="12"/>
      <c r="G278" s="14" t="str">
        <f aca="false">IF(OR($D278="",$B278=""),"",INT(($B278-$D278)/365.25))</f>
        <v/>
      </c>
      <c r="H278" s="12"/>
      <c r="I278" s="12"/>
      <c r="J278" s="25"/>
      <c r="K278" s="13"/>
      <c r="L278" s="12"/>
      <c r="M278" s="14" t="str">
        <f aca="false">IF(OR($C278="",$D278="",$H278="",$B278=""),"",IF(COUNTIFS($C$5:$C$804,$C278,$D$5:$D$804,$D278,$H$5:$H$804,$H278,$B$5:$B$804,$B278)&gt;1,"Takror",""))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4"/>
      <c r="F279" s="12"/>
      <c r="G279" s="14" t="str">
        <f aca="false">IF(OR($D279="",$B279=""),"",INT(($B279-$D279)/365.25))</f>
        <v/>
      </c>
      <c r="H279" s="12"/>
      <c r="I279" s="12"/>
      <c r="J279" s="25"/>
      <c r="K279" s="13"/>
      <c r="L279" s="12"/>
      <c r="M279" s="14" t="str">
        <f aca="false">IF(OR($C279="",$D279="",$H279="",$B279=""),"",IF(COUNTIFS($C$5:$C$804,$C279,$D$5:$D$804,$D279,$H$5:$H$804,$H279,$B$5:$B$804,$B279)&gt;1,"Takror",""))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4"/>
      <c r="F280" s="12"/>
      <c r="G280" s="14" t="str">
        <f aca="false">IF(OR($D280="",$B280=""),"",INT(($B280-$D280)/365.25))</f>
        <v/>
      </c>
      <c r="H280" s="12"/>
      <c r="I280" s="12"/>
      <c r="J280" s="25"/>
      <c r="K280" s="13"/>
      <c r="L280" s="12"/>
      <c r="M280" s="14" t="str">
        <f aca="false">IF(OR($C280="",$D280="",$H280="",$B280=""),"",IF(COUNTIFS($C$5:$C$804,$C280,$D$5:$D$804,$D280,$H$5:$H$804,$H280,$B$5:$B$804,$B280)&gt;1,"Takror",""))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4"/>
      <c r="F281" s="12"/>
      <c r="G281" s="14" t="str">
        <f aca="false">IF(OR($D281="",$B281=""),"",INT(($B281-$D281)/365.25))</f>
        <v/>
      </c>
      <c r="H281" s="12"/>
      <c r="I281" s="12"/>
      <c r="J281" s="25"/>
      <c r="K281" s="13"/>
      <c r="L281" s="12"/>
      <c r="M281" s="14" t="str">
        <f aca="false">IF(OR($C281="",$D281="",$H281="",$B281=""),"",IF(COUNTIFS($C$5:$C$804,$C281,$D$5:$D$804,$D281,$H$5:$H$804,$H281,$B$5:$B$804,$B281)&gt;1,"Takror",""))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4"/>
      <c r="F282" s="12"/>
      <c r="G282" s="14" t="str">
        <f aca="false">IF(OR($D282="",$B282=""),"",INT(($B282-$D282)/365.25))</f>
        <v/>
      </c>
      <c r="H282" s="12"/>
      <c r="I282" s="12"/>
      <c r="J282" s="25"/>
      <c r="K282" s="13"/>
      <c r="L282" s="12"/>
      <c r="M282" s="14" t="str">
        <f aca="false">IF(OR($C282="",$D282="",$H282="",$B282=""),"",IF(COUNTIFS($C$5:$C$804,$C282,$D$5:$D$804,$D282,$H$5:$H$804,$H282,$B$5:$B$804,$B282)&gt;1,"Takror",""))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4"/>
      <c r="F283" s="12"/>
      <c r="G283" s="14" t="str">
        <f aca="false">IF(OR($D283="",$B283=""),"",INT(($B283-$D283)/365.25))</f>
        <v/>
      </c>
      <c r="H283" s="12"/>
      <c r="I283" s="12"/>
      <c r="J283" s="25"/>
      <c r="K283" s="13"/>
      <c r="L283" s="12"/>
      <c r="M283" s="14" t="str">
        <f aca="false">IF(OR($C283="",$D283="",$H283="",$B283=""),"",IF(COUNTIFS($C$5:$C$804,$C283,$D$5:$D$804,$D283,$H$5:$H$804,$H283,$B$5:$B$804,$B283)&gt;1,"Takror",""))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4"/>
      <c r="F284" s="12"/>
      <c r="G284" s="14" t="str">
        <f aca="false">IF(OR($D284="",$B284=""),"",INT(($B284-$D284)/365.25))</f>
        <v/>
      </c>
      <c r="H284" s="12"/>
      <c r="I284" s="12"/>
      <c r="J284" s="25"/>
      <c r="K284" s="13"/>
      <c r="L284" s="12"/>
      <c r="M284" s="14" t="str">
        <f aca="false">IF(OR($C284="",$D284="",$H284="",$B284=""),"",IF(COUNTIFS($C$5:$C$804,$C284,$D$5:$D$804,$D284,$H$5:$H$804,$H284,$B$5:$B$804,$B284)&gt;1,"Takror",""))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4"/>
      <c r="F285" s="12"/>
      <c r="G285" s="14" t="str">
        <f aca="false">IF(OR($D285="",$B285=""),"",INT(($B285-$D285)/365.25))</f>
        <v/>
      </c>
      <c r="H285" s="12"/>
      <c r="I285" s="12"/>
      <c r="J285" s="25"/>
      <c r="K285" s="13"/>
      <c r="L285" s="12"/>
      <c r="M285" s="14" t="str">
        <f aca="false">IF(OR($C285="",$D285="",$H285="",$B285=""),"",IF(COUNTIFS($C$5:$C$804,$C285,$D$5:$D$804,$D285,$H$5:$H$804,$H285,$B$5:$B$804,$B285)&gt;1,"Takror",""))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4"/>
      <c r="F286" s="12"/>
      <c r="G286" s="14" t="str">
        <f aca="false">IF(OR($D286="",$B286=""),"",INT(($B286-$D286)/365.25))</f>
        <v/>
      </c>
      <c r="H286" s="12"/>
      <c r="I286" s="12"/>
      <c r="J286" s="25"/>
      <c r="K286" s="13"/>
      <c r="L286" s="12"/>
      <c r="M286" s="14" t="str">
        <f aca="false">IF(OR($C286="",$D286="",$H286="",$B286=""),"",IF(COUNTIFS($C$5:$C$804,$C286,$D$5:$D$804,$D286,$H$5:$H$804,$H286,$B$5:$B$804,$B286)&gt;1,"Takror",""))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4"/>
      <c r="F287" s="12"/>
      <c r="G287" s="14" t="str">
        <f aca="false">IF(OR($D287="",$B287=""),"",INT(($B287-$D287)/365.25))</f>
        <v/>
      </c>
      <c r="H287" s="12"/>
      <c r="I287" s="12"/>
      <c r="J287" s="25"/>
      <c r="K287" s="13"/>
      <c r="L287" s="12"/>
      <c r="M287" s="14" t="str">
        <f aca="false">IF(OR($C287="",$D287="",$H287="",$B287=""),"",IF(COUNTIFS($C$5:$C$804,$C287,$D$5:$D$804,$D287,$H$5:$H$804,$H287,$B$5:$B$804,$B287)&gt;1,"Takror",""))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4"/>
      <c r="F288" s="12"/>
      <c r="G288" s="14" t="str">
        <f aca="false">IF(OR($D288="",$B288=""),"",INT(($B288-$D288)/365.25))</f>
        <v/>
      </c>
      <c r="H288" s="12"/>
      <c r="I288" s="12"/>
      <c r="J288" s="25"/>
      <c r="K288" s="13"/>
      <c r="L288" s="12"/>
      <c r="M288" s="14" t="str">
        <f aca="false">IF(OR($C288="",$D288="",$H288="",$B288=""),"",IF(COUNTIFS($C$5:$C$804,$C288,$D$5:$D$804,$D288,$H$5:$H$804,$H288,$B$5:$B$804,$B288)&gt;1,"Takror",""))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4"/>
      <c r="F289" s="12"/>
      <c r="G289" s="14" t="str">
        <f aca="false">IF(OR($D289="",$B289=""),"",INT(($B289-$D289)/365.25))</f>
        <v/>
      </c>
      <c r="H289" s="12"/>
      <c r="I289" s="12"/>
      <c r="J289" s="25"/>
      <c r="K289" s="13"/>
      <c r="L289" s="12"/>
      <c r="M289" s="14" t="str">
        <f aca="false">IF(OR($C289="",$D289="",$H289="",$B289=""),"",IF(COUNTIFS($C$5:$C$804,$C289,$D$5:$D$804,$D289,$H$5:$H$804,$H289,$B$5:$B$804,$B289)&gt;1,"Takror",""))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4"/>
      <c r="F290" s="12"/>
      <c r="G290" s="14" t="str">
        <f aca="false">IF(OR($D290="",$B290=""),"",INT(($B290-$D290)/365.25))</f>
        <v/>
      </c>
      <c r="H290" s="12"/>
      <c r="I290" s="12"/>
      <c r="J290" s="25"/>
      <c r="K290" s="13"/>
      <c r="L290" s="12"/>
      <c r="M290" s="14" t="str">
        <f aca="false">IF(OR($C290="",$D290="",$H290="",$B290=""),"",IF(COUNTIFS($C$5:$C$804,$C290,$D$5:$D$804,$D290,$H$5:$H$804,$H290,$B$5:$B$804,$B290)&gt;1,"Takror",""))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4"/>
      <c r="F291" s="12"/>
      <c r="G291" s="14" t="str">
        <f aca="false">IF(OR($D291="",$B291=""),"",INT(($B291-$D291)/365.25))</f>
        <v/>
      </c>
      <c r="H291" s="12"/>
      <c r="I291" s="12"/>
      <c r="J291" s="25"/>
      <c r="K291" s="13"/>
      <c r="L291" s="12"/>
      <c r="M291" s="14" t="str">
        <f aca="false">IF(OR($C291="",$D291="",$H291="",$B291=""),"",IF(COUNTIFS($C$5:$C$804,$C291,$D$5:$D$804,$D291,$H$5:$H$804,$H291,$B$5:$B$804,$B291)&gt;1,"Takror",""))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4"/>
      <c r="F292" s="12"/>
      <c r="G292" s="14" t="str">
        <f aca="false">IF(OR($D292="",$B292=""),"",INT(($B292-$D292)/365.25))</f>
        <v/>
      </c>
      <c r="H292" s="12"/>
      <c r="I292" s="12"/>
      <c r="J292" s="25"/>
      <c r="K292" s="13"/>
      <c r="L292" s="12"/>
      <c r="M292" s="14" t="str">
        <f aca="false">IF(OR($C292="",$D292="",$H292="",$B292=""),"",IF(COUNTIFS($C$5:$C$804,$C292,$D$5:$D$804,$D292,$H$5:$H$804,$H292,$B$5:$B$804,$B292)&gt;1,"Takror",""))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4"/>
      <c r="F293" s="12"/>
      <c r="G293" s="14" t="str">
        <f aca="false">IF(OR($D293="",$B293=""),"",INT(($B293-$D293)/365.25))</f>
        <v/>
      </c>
      <c r="H293" s="12"/>
      <c r="I293" s="12"/>
      <c r="J293" s="25"/>
      <c r="K293" s="13"/>
      <c r="L293" s="12"/>
      <c r="M293" s="14" t="str">
        <f aca="false">IF(OR($C293="",$D293="",$H293="",$B293=""),"",IF(COUNTIFS($C$5:$C$804,$C293,$D$5:$D$804,$D293,$H$5:$H$804,$H293,$B$5:$B$804,$B293)&gt;1,"Takror",""))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4"/>
      <c r="F294" s="12"/>
      <c r="G294" s="14" t="str">
        <f aca="false">IF(OR($D294="",$B294=""),"",INT(($B294-$D294)/365.25))</f>
        <v/>
      </c>
      <c r="H294" s="12"/>
      <c r="I294" s="12"/>
      <c r="J294" s="25"/>
      <c r="K294" s="13"/>
      <c r="L294" s="12"/>
      <c r="M294" s="14" t="str">
        <f aca="false">IF(OR($C294="",$D294="",$H294="",$B294=""),"",IF(COUNTIFS($C$5:$C$804,$C294,$D$5:$D$804,$D294,$H$5:$H$804,$H294,$B$5:$B$804,$B294)&gt;1,"Takror",""))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4"/>
      <c r="F295" s="12"/>
      <c r="G295" s="14" t="str">
        <f aca="false">IF(OR($D295="",$B295=""),"",INT(($B295-$D295)/365.25))</f>
        <v/>
      </c>
      <c r="H295" s="12"/>
      <c r="I295" s="12"/>
      <c r="J295" s="25"/>
      <c r="K295" s="13"/>
      <c r="L295" s="12"/>
      <c r="M295" s="14" t="str">
        <f aca="false">IF(OR($C295="",$D295="",$H295="",$B295=""),"",IF(COUNTIFS($C$5:$C$804,$C295,$D$5:$D$804,$D295,$H$5:$H$804,$H295,$B$5:$B$804,$B295)&gt;1,"Takror",""))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4"/>
      <c r="F296" s="12"/>
      <c r="G296" s="14" t="str">
        <f aca="false">IF(OR($D296="",$B296=""),"",INT(($B296-$D296)/365.25))</f>
        <v/>
      </c>
      <c r="H296" s="12"/>
      <c r="I296" s="12"/>
      <c r="J296" s="25"/>
      <c r="K296" s="13"/>
      <c r="L296" s="12"/>
      <c r="M296" s="14" t="str">
        <f aca="false">IF(OR($C296="",$D296="",$H296="",$B296=""),"",IF(COUNTIFS($C$5:$C$804,$C296,$D$5:$D$804,$D296,$H$5:$H$804,$H296,$B$5:$B$804,$B296)&gt;1,"Takror",""))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4"/>
      <c r="F297" s="12"/>
      <c r="G297" s="14" t="str">
        <f aca="false">IF(OR($D297="",$B297=""),"",INT(($B297-$D297)/365.25))</f>
        <v/>
      </c>
      <c r="H297" s="12"/>
      <c r="I297" s="12"/>
      <c r="J297" s="25"/>
      <c r="K297" s="13"/>
      <c r="L297" s="12"/>
      <c r="M297" s="14" t="str">
        <f aca="false">IF(OR($C297="",$D297="",$H297="",$B297=""),"",IF(COUNTIFS($C$5:$C$804,$C297,$D$5:$D$804,$D297,$H$5:$H$804,$H297,$B$5:$B$804,$B297)&gt;1,"Takror",""))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4"/>
      <c r="F298" s="12"/>
      <c r="G298" s="14" t="str">
        <f aca="false">IF(OR($D298="",$B298=""),"",INT(($B298-$D298)/365.25))</f>
        <v/>
      </c>
      <c r="H298" s="12"/>
      <c r="I298" s="12"/>
      <c r="J298" s="25"/>
      <c r="K298" s="13"/>
      <c r="L298" s="12"/>
      <c r="M298" s="14" t="str">
        <f aca="false">IF(OR($C298="",$D298="",$H298="",$B298=""),"",IF(COUNTIFS($C$5:$C$804,$C298,$D$5:$D$804,$D298,$H$5:$H$804,$H298,$B$5:$B$804,$B298)&gt;1,"Takror",""))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4"/>
      <c r="F299" s="12"/>
      <c r="G299" s="14" t="str">
        <f aca="false">IF(OR($D299="",$B299=""),"",INT(($B299-$D299)/365.25))</f>
        <v/>
      </c>
      <c r="H299" s="12"/>
      <c r="I299" s="12"/>
      <c r="J299" s="25"/>
      <c r="K299" s="13"/>
      <c r="L299" s="12"/>
      <c r="M299" s="14" t="str">
        <f aca="false">IF(OR($C299="",$D299="",$H299="",$B299=""),"",IF(COUNTIFS($C$5:$C$804,$C299,$D$5:$D$804,$D299,$H$5:$H$804,$H299,$B$5:$B$804,$B299)&gt;1,"Takror",""))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4"/>
      <c r="F300" s="12"/>
      <c r="G300" s="14" t="str">
        <f aca="false">IF(OR($D300="",$B300=""),"",INT(($B300-$D300)/365.25))</f>
        <v/>
      </c>
      <c r="H300" s="12"/>
      <c r="I300" s="12"/>
      <c r="J300" s="25"/>
      <c r="K300" s="13"/>
      <c r="L300" s="12"/>
      <c r="M300" s="14" t="str">
        <f aca="false">IF(OR($C300="",$D300="",$H300="",$B300=""),"",IF(COUNTIFS($C$5:$C$804,$C300,$D$5:$D$804,$D300,$H$5:$H$804,$H300,$B$5:$B$804,$B300)&gt;1,"Takror",""))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4"/>
      <c r="F301" s="12"/>
      <c r="G301" s="14" t="str">
        <f aca="false">IF(OR($D301="",$B301=""),"",INT(($B301-$D301)/365.25))</f>
        <v/>
      </c>
      <c r="H301" s="12"/>
      <c r="I301" s="12"/>
      <c r="J301" s="25"/>
      <c r="K301" s="13"/>
      <c r="L301" s="12"/>
      <c r="M301" s="14" t="str">
        <f aca="false">IF(OR($C301="",$D301="",$H301="",$B301=""),"",IF(COUNTIFS($C$5:$C$804,$C301,$D$5:$D$804,$D301,$H$5:$H$804,$H301,$B$5:$B$804,$B301)&gt;1,"Takror",""))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4"/>
      <c r="F302" s="12"/>
      <c r="G302" s="14" t="str">
        <f aca="false">IF(OR($D302="",$B302=""),"",INT(($B302-$D302)/365.25))</f>
        <v/>
      </c>
      <c r="H302" s="12"/>
      <c r="I302" s="12"/>
      <c r="J302" s="25"/>
      <c r="K302" s="13"/>
      <c r="L302" s="12"/>
      <c r="M302" s="14" t="str">
        <f aca="false">IF(OR($C302="",$D302="",$H302="",$B302=""),"",IF(COUNTIFS($C$5:$C$804,$C302,$D$5:$D$804,$D302,$H$5:$H$804,$H302,$B$5:$B$804,$B302)&gt;1,"Takror",""))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4"/>
      <c r="F303" s="12"/>
      <c r="G303" s="14" t="str">
        <f aca="false">IF(OR($D303="",$B303=""),"",INT(($B303-$D303)/365.25))</f>
        <v/>
      </c>
      <c r="H303" s="12"/>
      <c r="I303" s="12"/>
      <c r="J303" s="25"/>
      <c r="K303" s="13"/>
      <c r="L303" s="12"/>
      <c r="M303" s="14" t="str">
        <f aca="false">IF(OR($C303="",$D303="",$H303="",$B303=""),"",IF(COUNTIFS($C$5:$C$804,$C303,$D$5:$D$804,$D303,$H$5:$H$804,$H303,$B$5:$B$804,$B303)&gt;1,"Takror",""))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4"/>
      <c r="F304" s="12"/>
      <c r="G304" s="14" t="str">
        <f aca="false">IF(OR($D304="",$B304=""),"",INT(($B304-$D304)/365.25))</f>
        <v/>
      </c>
      <c r="H304" s="12"/>
      <c r="I304" s="12"/>
      <c r="J304" s="25"/>
      <c r="K304" s="13"/>
      <c r="L304" s="12"/>
      <c r="M304" s="14" t="str">
        <f aca="false">IF(OR($C304="",$D304="",$H304="",$B304=""),"",IF(COUNTIFS($C$5:$C$804,$C304,$D$5:$D$804,$D304,$H$5:$H$804,$H304,$B$5:$B$804,$B304)&gt;1,"Takror",""))</f>
        <v/>
      </c>
    </row>
    <row r="305" customFormat="false" ht="15" hidden="false" customHeight="false" outlineLevel="0" collapsed="false">
      <c r="A305" s="8" t="n">
        <v>301</v>
      </c>
      <c r="B305" s="13"/>
      <c r="C305" s="12"/>
      <c r="D305" s="13"/>
      <c r="E305" s="24"/>
      <c r="F305" s="12"/>
      <c r="G305" s="14" t="str">
        <f aca="false">IF(OR($D305="",$B305=""),"",INT(($B305-$D305)/365.25))</f>
        <v/>
      </c>
      <c r="H305" s="12"/>
      <c r="I305" s="12"/>
      <c r="J305" s="25"/>
      <c r="K305" s="13"/>
      <c r="L305" s="12"/>
      <c r="M305" s="14" t="str">
        <f aca="false">IF(OR($C305="",$D305="",$H305="",$B305=""),"",IF(COUNTIFS($C$5:$C$804,$C305,$D$5:$D$804,$D305,$H$5:$H$804,$H305,$B$5:$B$804,$B305)&gt;1,"Takror",""))</f>
        <v/>
      </c>
    </row>
    <row r="306" customFormat="false" ht="15" hidden="false" customHeight="false" outlineLevel="0" collapsed="false">
      <c r="A306" s="8" t="n">
        <v>302</v>
      </c>
      <c r="B306" s="13"/>
      <c r="C306" s="12"/>
      <c r="D306" s="13"/>
      <c r="E306" s="24"/>
      <c r="F306" s="12"/>
      <c r="G306" s="14" t="str">
        <f aca="false">IF(OR($D306="",$B306=""),"",INT(($B306-$D306)/365.25))</f>
        <v/>
      </c>
      <c r="H306" s="12"/>
      <c r="I306" s="12"/>
      <c r="J306" s="25"/>
      <c r="K306" s="13"/>
      <c r="L306" s="12"/>
      <c r="M306" s="14" t="str">
        <f aca="false">IF(OR($C306="",$D306="",$H306="",$B306=""),"",IF(COUNTIFS($C$5:$C$804,$C306,$D$5:$D$804,$D306,$H$5:$H$804,$H306,$B$5:$B$804,$B306)&gt;1,"Takror",""))</f>
        <v/>
      </c>
    </row>
    <row r="307" customFormat="false" ht="15" hidden="false" customHeight="false" outlineLevel="0" collapsed="false">
      <c r="A307" s="8" t="n">
        <v>303</v>
      </c>
      <c r="B307" s="13"/>
      <c r="C307" s="12"/>
      <c r="D307" s="13"/>
      <c r="E307" s="24"/>
      <c r="F307" s="12"/>
      <c r="G307" s="14" t="str">
        <f aca="false">IF(OR($D307="",$B307=""),"",INT(($B307-$D307)/365.25))</f>
        <v/>
      </c>
      <c r="H307" s="12"/>
      <c r="I307" s="12"/>
      <c r="J307" s="25"/>
      <c r="K307" s="13"/>
      <c r="L307" s="12"/>
      <c r="M307" s="14" t="str">
        <f aca="false">IF(OR($C307="",$D307="",$H307="",$B307=""),"",IF(COUNTIFS($C$5:$C$804,$C307,$D$5:$D$804,$D307,$H$5:$H$804,$H307,$B$5:$B$804,$B307)&gt;1,"Takror",""))</f>
        <v/>
      </c>
    </row>
    <row r="308" customFormat="false" ht="15" hidden="false" customHeight="false" outlineLevel="0" collapsed="false">
      <c r="A308" s="8" t="n">
        <v>304</v>
      </c>
      <c r="B308" s="13"/>
      <c r="C308" s="12"/>
      <c r="D308" s="13"/>
      <c r="E308" s="24"/>
      <c r="F308" s="12"/>
      <c r="G308" s="14" t="str">
        <f aca="false">IF(OR($D308="",$B308=""),"",INT(($B308-$D308)/365.25))</f>
        <v/>
      </c>
      <c r="H308" s="12"/>
      <c r="I308" s="12"/>
      <c r="J308" s="25"/>
      <c r="K308" s="13"/>
      <c r="L308" s="12"/>
      <c r="M308" s="14" t="str">
        <f aca="false">IF(OR($C308="",$D308="",$H308="",$B308=""),"",IF(COUNTIFS($C$5:$C$804,$C308,$D$5:$D$804,$D308,$H$5:$H$804,$H308,$B$5:$B$804,$B308)&gt;1,"Takror",""))</f>
        <v/>
      </c>
    </row>
    <row r="309" customFormat="false" ht="15" hidden="false" customHeight="false" outlineLevel="0" collapsed="false">
      <c r="A309" s="8" t="n">
        <v>305</v>
      </c>
      <c r="B309" s="13"/>
      <c r="C309" s="12"/>
      <c r="D309" s="13"/>
      <c r="E309" s="24"/>
      <c r="F309" s="12"/>
      <c r="G309" s="14" t="str">
        <f aca="false">IF(OR($D309="",$B309=""),"",INT(($B309-$D309)/365.25))</f>
        <v/>
      </c>
      <c r="H309" s="12"/>
      <c r="I309" s="12"/>
      <c r="J309" s="25"/>
      <c r="K309" s="13"/>
      <c r="L309" s="12"/>
      <c r="M309" s="14" t="str">
        <f aca="false">IF(OR($C309="",$D309="",$H309="",$B309=""),"",IF(COUNTIFS($C$5:$C$804,$C309,$D$5:$D$804,$D309,$H$5:$H$804,$H309,$B$5:$B$804,$B309)&gt;1,"Takror",""))</f>
        <v/>
      </c>
    </row>
    <row r="310" customFormat="false" ht="15" hidden="false" customHeight="false" outlineLevel="0" collapsed="false">
      <c r="A310" s="8" t="n">
        <v>306</v>
      </c>
      <c r="B310" s="13"/>
      <c r="C310" s="12"/>
      <c r="D310" s="13"/>
      <c r="E310" s="24"/>
      <c r="F310" s="12"/>
      <c r="G310" s="14" t="str">
        <f aca="false">IF(OR($D310="",$B310=""),"",INT(($B310-$D310)/365.25))</f>
        <v/>
      </c>
      <c r="H310" s="12"/>
      <c r="I310" s="12"/>
      <c r="J310" s="25"/>
      <c r="K310" s="13"/>
      <c r="L310" s="12"/>
      <c r="M310" s="14" t="str">
        <f aca="false">IF(OR($C310="",$D310="",$H310="",$B310=""),"",IF(COUNTIFS($C$5:$C$804,$C310,$D$5:$D$804,$D310,$H$5:$H$804,$H310,$B$5:$B$804,$B310)&gt;1,"Takror",""))</f>
        <v/>
      </c>
    </row>
    <row r="311" customFormat="false" ht="15" hidden="false" customHeight="false" outlineLevel="0" collapsed="false">
      <c r="A311" s="8" t="n">
        <v>307</v>
      </c>
      <c r="B311" s="13"/>
      <c r="C311" s="12"/>
      <c r="D311" s="13"/>
      <c r="E311" s="24"/>
      <c r="F311" s="12"/>
      <c r="G311" s="14" t="str">
        <f aca="false">IF(OR($D311="",$B311=""),"",INT(($B311-$D311)/365.25))</f>
        <v/>
      </c>
      <c r="H311" s="12"/>
      <c r="I311" s="12"/>
      <c r="J311" s="25"/>
      <c r="K311" s="13"/>
      <c r="L311" s="12"/>
      <c r="M311" s="14" t="str">
        <f aca="false">IF(OR($C311="",$D311="",$H311="",$B311=""),"",IF(COUNTIFS($C$5:$C$804,$C311,$D$5:$D$804,$D311,$H$5:$H$804,$H311,$B$5:$B$804,$B311)&gt;1,"Takror",""))</f>
        <v/>
      </c>
    </row>
    <row r="312" customFormat="false" ht="15" hidden="false" customHeight="false" outlineLevel="0" collapsed="false">
      <c r="A312" s="8" t="n">
        <v>308</v>
      </c>
      <c r="B312" s="13"/>
      <c r="C312" s="12"/>
      <c r="D312" s="13"/>
      <c r="E312" s="24"/>
      <c r="F312" s="12"/>
      <c r="G312" s="14" t="str">
        <f aca="false">IF(OR($D312="",$B312=""),"",INT(($B312-$D312)/365.25))</f>
        <v/>
      </c>
      <c r="H312" s="12"/>
      <c r="I312" s="12"/>
      <c r="J312" s="25"/>
      <c r="K312" s="13"/>
      <c r="L312" s="12"/>
      <c r="M312" s="14" t="str">
        <f aca="false">IF(OR($C312="",$D312="",$H312="",$B312=""),"",IF(COUNTIFS($C$5:$C$804,$C312,$D$5:$D$804,$D312,$H$5:$H$804,$H312,$B$5:$B$804,$B312)&gt;1,"Takror",""))</f>
        <v/>
      </c>
    </row>
    <row r="313" customFormat="false" ht="15" hidden="false" customHeight="false" outlineLevel="0" collapsed="false">
      <c r="A313" s="8" t="n">
        <v>309</v>
      </c>
      <c r="B313" s="13"/>
      <c r="C313" s="12"/>
      <c r="D313" s="13"/>
      <c r="E313" s="24"/>
      <c r="F313" s="12"/>
      <c r="G313" s="14" t="str">
        <f aca="false">IF(OR($D313="",$B313=""),"",INT(($B313-$D313)/365.25))</f>
        <v/>
      </c>
      <c r="H313" s="12"/>
      <c r="I313" s="12"/>
      <c r="J313" s="25"/>
      <c r="K313" s="13"/>
      <c r="L313" s="12"/>
      <c r="M313" s="14" t="str">
        <f aca="false">IF(OR($C313="",$D313="",$H313="",$B313=""),"",IF(COUNTIFS($C$5:$C$804,$C313,$D$5:$D$804,$D313,$H$5:$H$804,$H313,$B$5:$B$804,$B313)&gt;1,"Takror",""))</f>
        <v/>
      </c>
    </row>
    <row r="314" customFormat="false" ht="15" hidden="false" customHeight="false" outlineLevel="0" collapsed="false">
      <c r="A314" s="8" t="n">
        <v>310</v>
      </c>
      <c r="B314" s="13"/>
      <c r="C314" s="12"/>
      <c r="D314" s="13"/>
      <c r="E314" s="24"/>
      <c r="F314" s="12"/>
      <c r="G314" s="14" t="str">
        <f aca="false">IF(OR($D314="",$B314=""),"",INT(($B314-$D314)/365.25))</f>
        <v/>
      </c>
      <c r="H314" s="12"/>
      <c r="I314" s="12"/>
      <c r="J314" s="25"/>
      <c r="K314" s="13"/>
      <c r="L314" s="12"/>
      <c r="M314" s="14" t="str">
        <f aca="false">IF(OR($C314="",$D314="",$H314="",$B314=""),"",IF(COUNTIFS($C$5:$C$804,$C314,$D$5:$D$804,$D314,$H$5:$H$804,$H314,$B$5:$B$804,$B314)&gt;1,"Takror",""))</f>
        <v/>
      </c>
    </row>
    <row r="315" customFormat="false" ht="15" hidden="false" customHeight="false" outlineLevel="0" collapsed="false">
      <c r="A315" s="8" t="n">
        <v>311</v>
      </c>
      <c r="B315" s="13"/>
      <c r="C315" s="12"/>
      <c r="D315" s="13"/>
      <c r="E315" s="24"/>
      <c r="F315" s="12"/>
      <c r="G315" s="14" t="str">
        <f aca="false">IF(OR($D315="",$B315=""),"",INT(($B315-$D315)/365.25))</f>
        <v/>
      </c>
      <c r="H315" s="12"/>
      <c r="I315" s="12"/>
      <c r="J315" s="25"/>
      <c r="K315" s="13"/>
      <c r="L315" s="12"/>
      <c r="M315" s="14" t="str">
        <f aca="false">IF(OR($C315="",$D315="",$H315="",$B315=""),"",IF(COUNTIFS($C$5:$C$804,$C315,$D$5:$D$804,$D315,$H$5:$H$804,$H315,$B$5:$B$804,$B315)&gt;1,"Takror",""))</f>
        <v/>
      </c>
    </row>
    <row r="316" customFormat="false" ht="15" hidden="false" customHeight="false" outlineLevel="0" collapsed="false">
      <c r="A316" s="8" t="n">
        <v>312</v>
      </c>
      <c r="B316" s="13"/>
      <c r="C316" s="12"/>
      <c r="D316" s="13"/>
      <c r="E316" s="24"/>
      <c r="F316" s="12"/>
      <c r="G316" s="14" t="str">
        <f aca="false">IF(OR($D316="",$B316=""),"",INT(($B316-$D316)/365.25))</f>
        <v/>
      </c>
      <c r="H316" s="12"/>
      <c r="I316" s="12"/>
      <c r="J316" s="25"/>
      <c r="K316" s="13"/>
      <c r="L316" s="12"/>
      <c r="M316" s="14" t="str">
        <f aca="false">IF(OR($C316="",$D316="",$H316="",$B316=""),"",IF(COUNTIFS($C$5:$C$804,$C316,$D$5:$D$804,$D316,$H$5:$H$804,$H316,$B$5:$B$804,$B316)&gt;1,"Takror",""))</f>
        <v/>
      </c>
    </row>
    <row r="317" customFormat="false" ht="15" hidden="false" customHeight="false" outlineLevel="0" collapsed="false">
      <c r="A317" s="8" t="n">
        <v>313</v>
      </c>
      <c r="B317" s="13"/>
      <c r="C317" s="12"/>
      <c r="D317" s="13"/>
      <c r="E317" s="24"/>
      <c r="F317" s="12"/>
      <c r="G317" s="14" t="str">
        <f aca="false">IF(OR($D317="",$B317=""),"",INT(($B317-$D317)/365.25))</f>
        <v/>
      </c>
      <c r="H317" s="12"/>
      <c r="I317" s="12"/>
      <c r="J317" s="25"/>
      <c r="K317" s="13"/>
      <c r="L317" s="12"/>
      <c r="M317" s="14" t="str">
        <f aca="false">IF(OR($C317="",$D317="",$H317="",$B317=""),"",IF(COUNTIFS($C$5:$C$804,$C317,$D$5:$D$804,$D317,$H$5:$H$804,$H317,$B$5:$B$804,$B317)&gt;1,"Takror",""))</f>
        <v/>
      </c>
    </row>
    <row r="318" customFormat="false" ht="15" hidden="false" customHeight="false" outlineLevel="0" collapsed="false">
      <c r="A318" s="8" t="n">
        <v>314</v>
      </c>
      <c r="B318" s="13"/>
      <c r="C318" s="12"/>
      <c r="D318" s="13"/>
      <c r="E318" s="24"/>
      <c r="F318" s="12"/>
      <c r="G318" s="14" t="str">
        <f aca="false">IF(OR($D318="",$B318=""),"",INT(($B318-$D318)/365.25))</f>
        <v/>
      </c>
      <c r="H318" s="12"/>
      <c r="I318" s="12"/>
      <c r="J318" s="25"/>
      <c r="K318" s="13"/>
      <c r="L318" s="12"/>
      <c r="M318" s="14" t="str">
        <f aca="false">IF(OR($C318="",$D318="",$H318="",$B318=""),"",IF(COUNTIFS($C$5:$C$804,$C318,$D$5:$D$804,$D318,$H$5:$H$804,$H318,$B$5:$B$804,$B318)&gt;1,"Takror",""))</f>
        <v/>
      </c>
    </row>
    <row r="319" customFormat="false" ht="15" hidden="false" customHeight="false" outlineLevel="0" collapsed="false">
      <c r="A319" s="8" t="n">
        <v>315</v>
      </c>
      <c r="B319" s="13"/>
      <c r="C319" s="12"/>
      <c r="D319" s="13"/>
      <c r="E319" s="24"/>
      <c r="F319" s="12"/>
      <c r="G319" s="14" t="str">
        <f aca="false">IF(OR($D319="",$B319=""),"",INT(($B319-$D319)/365.25))</f>
        <v/>
      </c>
      <c r="H319" s="12"/>
      <c r="I319" s="12"/>
      <c r="J319" s="25"/>
      <c r="K319" s="13"/>
      <c r="L319" s="12"/>
      <c r="M319" s="14" t="str">
        <f aca="false">IF(OR($C319="",$D319="",$H319="",$B319=""),"",IF(COUNTIFS($C$5:$C$804,$C319,$D$5:$D$804,$D319,$H$5:$H$804,$H319,$B$5:$B$804,$B319)&gt;1,"Takror",""))</f>
        <v/>
      </c>
    </row>
    <row r="320" customFormat="false" ht="15" hidden="false" customHeight="false" outlineLevel="0" collapsed="false">
      <c r="A320" s="8" t="n">
        <v>316</v>
      </c>
      <c r="B320" s="13"/>
      <c r="C320" s="12"/>
      <c r="D320" s="13"/>
      <c r="E320" s="24"/>
      <c r="F320" s="12"/>
      <c r="G320" s="14" t="str">
        <f aca="false">IF(OR($D320="",$B320=""),"",INT(($B320-$D320)/365.25))</f>
        <v/>
      </c>
      <c r="H320" s="12"/>
      <c r="I320" s="12"/>
      <c r="J320" s="25"/>
      <c r="K320" s="13"/>
      <c r="L320" s="12"/>
      <c r="M320" s="14" t="str">
        <f aca="false">IF(OR($C320="",$D320="",$H320="",$B320=""),"",IF(COUNTIFS($C$5:$C$804,$C320,$D$5:$D$804,$D320,$H$5:$H$804,$H320,$B$5:$B$804,$B320)&gt;1,"Takror",""))</f>
        <v/>
      </c>
    </row>
    <row r="321" customFormat="false" ht="15" hidden="false" customHeight="false" outlineLevel="0" collapsed="false">
      <c r="A321" s="8" t="n">
        <v>317</v>
      </c>
      <c r="B321" s="13"/>
      <c r="C321" s="12"/>
      <c r="D321" s="13"/>
      <c r="E321" s="24"/>
      <c r="F321" s="12"/>
      <c r="G321" s="14" t="str">
        <f aca="false">IF(OR($D321="",$B321=""),"",INT(($B321-$D321)/365.25))</f>
        <v/>
      </c>
      <c r="H321" s="12"/>
      <c r="I321" s="12"/>
      <c r="J321" s="25"/>
      <c r="K321" s="13"/>
      <c r="L321" s="12"/>
      <c r="M321" s="14" t="str">
        <f aca="false">IF(OR($C321="",$D321="",$H321="",$B321=""),"",IF(COUNTIFS($C$5:$C$804,$C321,$D$5:$D$804,$D321,$H$5:$H$804,$H321,$B$5:$B$804,$B321)&gt;1,"Takror",""))</f>
        <v/>
      </c>
    </row>
    <row r="322" customFormat="false" ht="15" hidden="false" customHeight="false" outlineLevel="0" collapsed="false">
      <c r="A322" s="8" t="n">
        <v>318</v>
      </c>
      <c r="B322" s="13"/>
      <c r="C322" s="12"/>
      <c r="D322" s="13"/>
      <c r="E322" s="24"/>
      <c r="F322" s="12"/>
      <c r="G322" s="14" t="str">
        <f aca="false">IF(OR($D322="",$B322=""),"",INT(($B322-$D322)/365.25))</f>
        <v/>
      </c>
      <c r="H322" s="12"/>
      <c r="I322" s="12"/>
      <c r="J322" s="25"/>
      <c r="K322" s="13"/>
      <c r="L322" s="12"/>
      <c r="M322" s="14" t="str">
        <f aca="false">IF(OR($C322="",$D322="",$H322="",$B322=""),"",IF(COUNTIFS($C$5:$C$804,$C322,$D$5:$D$804,$D322,$H$5:$H$804,$H322,$B$5:$B$804,$B322)&gt;1,"Takror",""))</f>
        <v/>
      </c>
    </row>
    <row r="323" customFormat="false" ht="15" hidden="false" customHeight="false" outlineLevel="0" collapsed="false">
      <c r="A323" s="8" t="n">
        <v>319</v>
      </c>
      <c r="B323" s="13"/>
      <c r="C323" s="12"/>
      <c r="D323" s="13"/>
      <c r="E323" s="24"/>
      <c r="F323" s="12"/>
      <c r="G323" s="14" t="str">
        <f aca="false">IF(OR($D323="",$B323=""),"",INT(($B323-$D323)/365.25))</f>
        <v/>
      </c>
      <c r="H323" s="12"/>
      <c r="I323" s="12"/>
      <c r="J323" s="25"/>
      <c r="K323" s="13"/>
      <c r="L323" s="12"/>
      <c r="M323" s="14" t="str">
        <f aca="false">IF(OR($C323="",$D323="",$H323="",$B323=""),"",IF(COUNTIFS($C$5:$C$804,$C323,$D$5:$D$804,$D323,$H$5:$H$804,$H323,$B$5:$B$804,$B323)&gt;1,"Takror",""))</f>
        <v/>
      </c>
    </row>
    <row r="324" customFormat="false" ht="15" hidden="false" customHeight="false" outlineLevel="0" collapsed="false">
      <c r="A324" s="8" t="n">
        <v>320</v>
      </c>
      <c r="B324" s="13"/>
      <c r="C324" s="12"/>
      <c r="D324" s="13"/>
      <c r="E324" s="24"/>
      <c r="F324" s="12"/>
      <c r="G324" s="14" t="str">
        <f aca="false">IF(OR($D324="",$B324=""),"",INT(($B324-$D324)/365.25))</f>
        <v/>
      </c>
      <c r="H324" s="12"/>
      <c r="I324" s="12"/>
      <c r="J324" s="25"/>
      <c r="K324" s="13"/>
      <c r="L324" s="12"/>
      <c r="M324" s="14" t="str">
        <f aca="false">IF(OR($C324="",$D324="",$H324="",$B324=""),"",IF(COUNTIFS($C$5:$C$804,$C324,$D$5:$D$804,$D324,$H$5:$H$804,$H324,$B$5:$B$804,$B324)&gt;1,"Takror",""))</f>
        <v/>
      </c>
    </row>
    <row r="325" customFormat="false" ht="15" hidden="false" customHeight="false" outlineLevel="0" collapsed="false">
      <c r="A325" s="8" t="n">
        <v>321</v>
      </c>
      <c r="B325" s="13"/>
      <c r="C325" s="12"/>
      <c r="D325" s="13"/>
      <c r="E325" s="24"/>
      <c r="F325" s="12"/>
      <c r="G325" s="14" t="str">
        <f aca="false">IF(OR($D325="",$B325=""),"",INT(($B325-$D325)/365.25))</f>
        <v/>
      </c>
      <c r="H325" s="12"/>
      <c r="I325" s="12"/>
      <c r="J325" s="25"/>
      <c r="K325" s="13"/>
      <c r="L325" s="12"/>
      <c r="M325" s="14" t="str">
        <f aca="false">IF(OR($C325="",$D325="",$H325="",$B325=""),"",IF(COUNTIFS($C$5:$C$804,$C325,$D$5:$D$804,$D325,$H$5:$H$804,$H325,$B$5:$B$804,$B325)&gt;1,"Takror",""))</f>
        <v/>
      </c>
    </row>
    <row r="326" customFormat="false" ht="15" hidden="false" customHeight="false" outlineLevel="0" collapsed="false">
      <c r="A326" s="8" t="n">
        <v>322</v>
      </c>
      <c r="B326" s="13"/>
      <c r="C326" s="12"/>
      <c r="D326" s="13"/>
      <c r="E326" s="24"/>
      <c r="F326" s="12"/>
      <c r="G326" s="14" t="str">
        <f aca="false">IF(OR($D326="",$B326=""),"",INT(($B326-$D326)/365.25))</f>
        <v/>
      </c>
      <c r="H326" s="12"/>
      <c r="I326" s="12"/>
      <c r="J326" s="25"/>
      <c r="K326" s="13"/>
      <c r="L326" s="12"/>
      <c r="M326" s="14" t="str">
        <f aca="false">IF(OR($C326="",$D326="",$H326="",$B326=""),"",IF(COUNTIFS($C$5:$C$804,$C326,$D$5:$D$804,$D326,$H$5:$H$804,$H326,$B$5:$B$804,$B326)&gt;1,"Takror",""))</f>
        <v/>
      </c>
    </row>
    <row r="327" customFormat="false" ht="15" hidden="false" customHeight="false" outlineLevel="0" collapsed="false">
      <c r="A327" s="8" t="n">
        <v>323</v>
      </c>
      <c r="B327" s="13"/>
      <c r="C327" s="12"/>
      <c r="D327" s="13"/>
      <c r="E327" s="24"/>
      <c r="F327" s="12"/>
      <c r="G327" s="14" t="str">
        <f aca="false">IF(OR($D327="",$B327=""),"",INT(($B327-$D327)/365.25))</f>
        <v/>
      </c>
      <c r="H327" s="12"/>
      <c r="I327" s="12"/>
      <c r="J327" s="25"/>
      <c r="K327" s="13"/>
      <c r="L327" s="12"/>
      <c r="M327" s="14" t="str">
        <f aca="false">IF(OR($C327="",$D327="",$H327="",$B327=""),"",IF(COUNTIFS($C$5:$C$804,$C327,$D$5:$D$804,$D327,$H$5:$H$804,$H327,$B$5:$B$804,$B327)&gt;1,"Takror",""))</f>
        <v/>
      </c>
    </row>
    <row r="328" customFormat="false" ht="15" hidden="false" customHeight="false" outlineLevel="0" collapsed="false">
      <c r="A328" s="8" t="n">
        <v>324</v>
      </c>
      <c r="B328" s="13"/>
      <c r="C328" s="12"/>
      <c r="D328" s="13"/>
      <c r="E328" s="24"/>
      <c r="F328" s="12"/>
      <c r="G328" s="14" t="str">
        <f aca="false">IF(OR($D328="",$B328=""),"",INT(($B328-$D328)/365.25))</f>
        <v/>
      </c>
      <c r="H328" s="12"/>
      <c r="I328" s="12"/>
      <c r="J328" s="25"/>
      <c r="K328" s="13"/>
      <c r="L328" s="12"/>
      <c r="M328" s="14" t="str">
        <f aca="false">IF(OR($C328="",$D328="",$H328="",$B328=""),"",IF(COUNTIFS($C$5:$C$804,$C328,$D$5:$D$804,$D328,$H$5:$H$804,$H328,$B$5:$B$804,$B328)&gt;1,"Takror",""))</f>
        <v/>
      </c>
    </row>
    <row r="329" customFormat="false" ht="15" hidden="false" customHeight="false" outlineLevel="0" collapsed="false">
      <c r="A329" s="8" t="n">
        <v>325</v>
      </c>
      <c r="B329" s="13"/>
      <c r="C329" s="12"/>
      <c r="D329" s="13"/>
      <c r="E329" s="24"/>
      <c r="F329" s="12"/>
      <c r="G329" s="14" t="str">
        <f aca="false">IF(OR($D329="",$B329=""),"",INT(($B329-$D329)/365.25))</f>
        <v/>
      </c>
      <c r="H329" s="12"/>
      <c r="I329" s="12"/>
      <c r="J329" s="25"/>
      <c r="K329" s="13"/>
      <c r="L329" s="12"/>
      <c r="M329" s="14" t="str">
        <f aca="false">IF(OR($C329="",$D329="",$H329="",$B329=""),"",IF(COUNTIFS($C$5:$C$804,$C329,$D$5:$D$804,$D329,$H$5:$H$804,$H329,$B$5:$B$804,$B329)&gt;1,"Takror",""))</f>
        <v/>
      </c>
    </row>
    <row r="330" customFormat="false" ht="15" hidden="false" customHeight="false" outlineLevel="0" collapsed="false">
      <c r="A330" s="8" t="n">
        <v>326</v>
      </c>
      <c r="B330" s="13"/>
      <c r="C330" s="12"/>
      <c r="D330" s="13"/>
      <c r="E330" s="24"/>
      <c r="F330" s="12"/>
      <c r="G330" s="14" t="str">
        <f aca="false">IF(OR($D330="",$B330=""),"",INT(($B330-$D330)/365.25))</f>
        <v/>
      </c>
      <c r="H330" s="12"/>
      <c r="I330" s="12"/>
      <c r="J330" s="25"/>
      <c r="K330" s="13"/>
      <c r="L330" s="12"/>
      <c r="M330" s="14" t="str">
        <f aca="false">IF(OR($C330="",$D330="",$H330="",$B330=""),"",IF(COUNTIFS($C$5:$C$804,$C330,$D$5:$D$804,$D330,$H$5:$H$804,$H330,$B$5:$B$804,$B330)&gt;1,"Takror",""))</f>
        <v/>
      </c>
    </row>
    <row r="331" customFormat="false" ht="15" hidden="false" customHeight="false" outlineLevel="0" collapsed="false">
      <c r="A331" s="8" t="n">
        <v>327</v>
      </c>
      <c r="B331" s="13"/>
      <c r="C331" s="12"/>
      <c r="D331" s="13"/>
      <c r="E331" s="24"/>
      <c r="F331" s="12"/>
      <c r="G331" s="14" t="str">
        <f aca="false">IF(OR($D331="",$B331=""),"",INT(($B331-$D331)/365.25))</f>
        <v/>
      </c>
      <c r="H331" s="12"/>
      <c r="I331" s="12"/>
      <c r="J331" s="25"/>
      <c r="K331" s="13"/>
      <c r="L331" s="12"/>
      <c r="M331" s="14" t="str">
        <f aca="false">IF(OR($C331="",$D331="",$H331="",$B331=""),"",IF(COUNTIFS($C$5:$C$804,$C331,$D$5:$D$804,$D331,$H$5:$H$804,$H331,$B$5:$B$804,$B331)&gt;1,"Takror",""))</f>
        <v/>
      </c>
    </row>
    <row r="332" customFormat="false" ht="15" hidden="false" customHeight="false" outlineLevel="0" collapsed="false">
      <c r="A332" s="8" t="n">
        <v>328</v>
      </c>
      <c r="B332" s="13"/>
      <c r="C332" s="12"/>
      <c r="D332" s="13"/>
      <c r="E332" s="24"/>
      <c r="F332" s="12"/>
      <c r="G332" s="14" t="str">
        <f aca="false">IF(OR($D332="",$B332=""),"",INT(($B332-$D332)/365.25))</f>
        <v/>
      </c>
      <c r="H332" s="12"/>
      <c r="I332" s="12"/>
      <c r="J332" s="25"/>
      <c r="K332" s="13"/>
      <c r="L332" s="12"/>
      <c r="M332" s="14" t="str">
        <f aca="false">IF(OR($C332="",$D332="",$H332="",$B332=""),"",IF(COUNTIFS($C$5:$C$804,$C332,$D$5:$D$804,$D332,$H$5:$H$804,$H332,$B$5:$B$804,$B332)&gt;1,"Takror",""))</f>
        <v/>
      </c>
    </row>
    <row r="333" customFormat="false" ht="15" hidden="false" customHeight="false" outlineLevel="0" collapsed="false">
      <c r="A333" s="8" t="n">
        <v>329</v>
      </c>
      <c r="B333" s="13"/>
      <c r="C333" s="12"/>
      <c r="D333" s="13"/>
      <c r="E333" s="24"/>
      <c r="F333" s="12"/>
      <c r="G333" s="14" t="str">
        <f aca="false">IF(OR($D333="",$B333=""),"",INT(($B333-$D333)/365.25))</f>
        <v/>
      </c>
      <c r="H333" s="12"/>
      <c r="I333" s="12"/>
      <c r="J333" s="25"/>
      <c r="K333" s="13"/>
      <c r="L333" s="12"/>
      <c r="M333" s="14" t="str">
        <f aca="false">IF(OR($C333="",$D333="",$H333="",$B333=""),"",IF(COUNTIFS($C$5:$C$804,$C333,$D$5:$D$804,$D333,$H$5:$H$804,$H333,$B$5:$B$804,$B333)&gt;1,"Takror",""))</f>
        <v/>
      </c>
    </row>
    <row r="334" customFormat="false" ht="15" hidden="false" customHeight="false" outlineLevel="0" collapsed="false">
      <c r="A334" s="8" t="n">
        <v>330</v>
      </c>
      <c r="B334" s="13"/>
      <c r="C334" s="12"/>
      <c r="D334" s="13"/>
      <c r="E334" s="24"/>
      <c r="F334" s="12"/>
      <c r="G334" s="14" t="str">
        <f aca="false">IF(OR($D334="",$B334=""),"",INT(($B334-$D334)/365.25))</f>
        <v/>
      </c>
      <c r="H334" s="12"/>
      <c r="I334" s="12"/>
      <c r="J334" s="25"/>
      <c r="K334" s="13"/>
      <c r="L334" s="12"/>
      <c r="M334" s="14" t="str">
        <f aca="false">IF(OR($C334="",$D334="",$H334="",$B334=""),"",IF(COUNTIFS($C$5:$C$804,$C334,$D$5:$D$804,$D334,$H$5:$H$804,$H334,$B$5:$B$804,$B334)&gt;1,"Takror",""))</f>
        <v/>
      </c>
    </row>
    <row r="335" customFormat="false" ht="15" hidden="false" customHeight="false" outlineLevel="0" collapsed="false">
      <c r="A335" s="8" t="n">
        <v>331</v>
      </c>
      <c r="B335" s="13"/>
      <c r="C335" s="12"/>
      <c r="D335" s="13"/>
      <c r="E335" s="24"/>
      <c r="F335" s="12"/>
      <c r="G335" s="14" t="str">
        <f aca="false">IF(OR($D335="",$B335=""),"",INT(($B335-$D335)/365.25))</f>
        <v/>
      </c>
      <c r="H335" s="12"/>
      <c r="I335" s="12"/>
      <c r="J335" s="25"/>
      <c r="K335" s="13"/>
      <c r="L335" s="12"/>
      <c r="M335" s="14" t="str">
        <f aca="false">IF(OR($C335="",$D335="",$H335="",$B335=""),"",IF(COUNTIFS($C$5:$C$804,$C335,$D$5:$D$804,$D335,$H$5:$H$804,$H335,$B$5:$B$804,$B335)&gt;1,"Takror",""))</f>
        <v/>
      </c>
    </row>
    <row r="336" customFormat="false" ht="15" hidden="false" customHeight="false" outlineLevel="0" collapsed="false">
      <c r="A336" s="8" t="n">
        <v>332</v>
      </c>
      <c r="B336" s="13"/>
      <c r="C336" s="12"/>
      <c r="D336" s="13"/>
      <c r="E336" s="24"/>
      <c r="F336" s="12"/>
      <c r="G336" s="14" t="str">
        <f aca="false">IF(OR($D336="",$B336=""),"",INT(($B336-$D336)/365.25))</f>
        <v/>
      </c>
      <c r="H336" s="12"/>
      <c r="I336" s="12"/>
      <c r="J336" s="25"/>
      <c r="K336" s="13"/>
      <c r="L336" s="12"/>
      <c r="M336" s="14" t="str">
        <f aca="false">IF(OR($C336="",$D336="",$H336="",$B336=""),"",IF(COUNTIFS($C$5:$C$804,$C336,$D$5:$D$804,$D336,$H$5:$H$804,$H336,$B$5:$B$804,$B336)&gt;1,"Takror",""))</f>
        <v/>
      </c>
    </row>
    <row r="337" customFormat="false" ht="15" hidden="false" customHeight="false" outlineLevel="0" collapsed="false">
      <c r="A337" s="8" t="n">
        <v>333</v>
      </c>
      <c r="B337" s="13"/>
      <c r="C337" s="12"/>
      <c r="D337" s="13"/>
      <c r="E337" s="24"/>
      <c r="F337" s="12"/>
      <c r="G337" s="14" t="str">
        <f aca="false">IF(OR($D337="",$B337=""),"",INT(($B337-$D337)/365.25))</f>
        <v/>
      </c>
      <c r="H337" s="12"/>
      <c r="I337" s="12"/>
      <c r="J337" s="25"/>
      <c r="K337" s="13"/>
      <c r="L337" s="12"/>
      <c r="M337" s="14" t="str">
        <f aca="false">IF(OR($C337="",$D337="",$H337="",$B337=""),"",IF(COUNTIFS($C$5:$C$804,$C337,$D$5:$D$804,$D337,$H$5:$H$804,$H337,$B$5:$B$804,$B337)&gt;1,"Takror",""))</f>
        <v/>
      </c>
    </row>
    <row r="338" customFormat="false" ht="15" hidden="false" customHeight="false" outlineLevel="0" collapsed="false">
      <c r="A338" s="8" t="n">
        <v>334</v>
      </c>
      <c r="B338" s="13"/>
      <c r="C338" s="12"/>
      <c r="D338" s="13"/>
      <c r="E338" s="24"/>
      <c r="F338" s="12"/>
      <c r="G338" s="14" t="str">
        <f aca="false">IF(OR($D338="",$B338=""),"",INT(($B338-$D338)/365.25))</f>
        <v/>
      </c>
      <c r="H338" s="12"/>
      <c r="I338" s="12"/>
      <c r="J338" s="25"/>
      <c r="K338" s="13"/>
      <c r="L338" s="12"/>
      <c r="M338" s="14" t="str">
        <f aca="false">IF(OR($C338="",$D338="",$H338="",$B338=""),"",IF(COUNTIFS($C$5:$C$804,$C338,$D$5:$D$804,$D338,$H$5:$H$804,$H338,$B$5:$B$804,$B338)&gt;1,"Takror",""))</f>
        <v/>
      </c>
    </row>
    <row r="339" customFormat="false" ht="15" hidden="false" customHeight="false" outlineLevel="0" collapsed="false">
      <c r="A339" s="8" t="n">
        <v>335</v>
      </c>
      <c r="B339" s="13"/>
      <c r="C339" s="12"/>
      <c r="D339" s="13"/>
      <c r="E339" s="24"/>
      <c r="F339" s="12"/>
      <c r="G339" s="14" t="str">
        <f aca="false">IF(OR($D339="",$B339=""),"",INT(($B339-$D339)/365.25))</f>
        <v/>
      </c>
      <c r="H339" s="12"/>
      <c r="I339" s="12"/>
      <c r="J339" s="25"/>
      <c r="K339" s="13"/>
      <c r="L339" s="12"/>
      <c r="M339" s="14" t="str">
        <f aca="false">IF(OR($C339="",$D339="",$H339="",$B339=""),"",IF(COUNTIFS($C$5:$C$804,$C339,$D$5:$D$804,$D339,$H$5:$H$804,$H339,$B$5:$B$804,$B339)&gt;1,"Takror",""))</f>
        <v/>
      </c>
    </row>
    <row r="340" customFormat="false" ht="15" hidden="false" customHeight="false" outlineLevel="0" collapsed="false">
      <c r="A340" s="8" t="n">
        <v>336</v>
      </c>
      <c r="B340" s="13"/>
      <c r="C340" s="12"/>
      <c r="D340" s="13"/>
      <c r="E340" s="24"/>
      <c r="F340" s="12"/>
      <c r="G340" s="14" t="str">
        <f aca="false">IF(OR($D340="",$B340=""),"",INT(($B340-$D340)/365.25))</f>
        <v/>
      </c>
      <c r="H340" s="12"/>
      <c r="I340" s="12"/>
      <c r="J340" s="25"/>
      <c r="K340" s="13"/>
      <c r="L340" s="12"/>
      <c r="M340" s="14" t="str">
        <f aca="false">IF(OR($C340="",$D340="",$H340="",$B340=""),"",IF(COUNTIFS($C$5:$C$804,$C340,$D$5:$D$804,$D340,$H$5:$H$804,$H340,$B$5:$B$804,$B340)&gt;1,"Takror",""))</f>
        <v/>
      </c>
    </row>
    <row r="341" customFormat="false" ht="15" hidden="false" customHeight="false" outlineLevel="0" collapsed="false">
      <c r="A341" s="8" t="n">
        <v>337</v>
      </c>
      <c r="B341" s="13"/>
      <c r="C341" s="12"/>
      <c r="D341" s="13"/>
      <c r="E341" s="24"/>
      <c r="F341" s="12"/>
      <c r="G341" s="14" t="str">
        <f aca="false">IF(OR($D341="",$B341=""),"",INT(($B341-$D341)/365.25))</f>
        <v/>
      </c>
      <c r="H341" s="12"/>
      <c r="I341" s="12"/>
      <c r="J341" s="25"/>
      <c r="K341" s="13"/>
      <c r="L341" s="12"/>
      <c r="M341" s="14" t="str">
        <f aca="false">IF(OR($C341="",$D341="",$H341="",$B341=""),"",IF(COUNTIFS($C$5:$C$804,$C341,$D$5:$D$804,$D341,$H$5:$H$804,$H341,$B$5:$B$804,$B341)&gt;1,"Takror",""))</f>
        <v/>
      </c>
    </row>
    <row r="342" customFormat="false" ht="15" hidden="false" customHeight="false" outlineLevel="0" collapsed="false">
      <c r="A342" s="8" t="n">
        <v>338</v>
      </c>
      <c r="B342" s="13"/>
      <c r="C342" s="12"/>
      <c r="D342" s="13"/>
      <c r="E342" s="24"/>
      <c r="F342" s="12"/>
      <c r="G342" s="14" t="str">
        <f aca="false">IF(OR($D342="",$B342=""),"",INT(($B342-$D342)/365.25))</f>
        <v/>
      </c>
      <c r="H342" s="12"/>
      <c r="I342" s="12"/>
      <c r="J342" s="25"/>
      <c r="K342" s="13"/>
      <c r="L342" s="12"/>
      <c r="M342" s="14" t="str">
        <f aca="false">IF(OR($C342="",$D342="",$H342="",$B342=""),"",IF(COUNTIFS($C$5:$C$804,$C342,$D$5:$D$804,$D342,$H$5:$H$804,$H342,$B$5:$B$804,$B342)&gt;1,"Takror",""))</f>
        <v/>
      </c>
    </row>
    <row r="343" customFormat="false" ht="15" hidden="false" customHeight="false" outlineLevel="0" collapsed="false">
      <c r="A343" s="8" t="n">
        <v>339</v>
      </c>
      <c r="B343" s="13"/>
      <c r="C343" s="12"/>
      <c r="D343" s="13"/>
      <c r="E343" s="24"/>
      <c r="F343" s="12"/>
      <c r="G343" s="14" t="str">
        <f aca="false">IF(OR($D343="",$B343=""),"",INT(($B343-$D343)/365.25))</f>
        <v/>
      </c>
      <c r="H343" s="12"/>
      <c r="I343" s="12"/>
      <c r="J343" s="25"/>
      <c r="K343" s="13"/>
      <c r="L343" s="12"/>
      <c r="M343" s="14" t="str">
        <f aca="false">IF(OR($C343="",$D343="",$H343="",$B343=""),"",IF(COUNTIFS($C$5:$C$804,$C343,$D$5:$D$804,$D343,$H$5:$H$804,$H343,$B$5:$B$804,$B343)&gt;1,"Takror",""))</f>
        <v/>
      </c>
    </row>
    <row r="344" customFormat="false" ht="15" hidden="false" customHeight="false" outlineLevel="0" collapsed="false">
      <c r="A344" s="8" t="n">
        <v>340</v>
      </c>
      <c r="B344" s="13"/>
      <c r="C344" s="12"/>
      <c r="D344" s="13"/>
      <c r="E344" s="24"/>
      <c r="F344" s="12"/>
      <c r="G344" s="14" t="str">
        <f aca="false">IF(OR($D344="",$B344=""),"",INT(($B344-$D344)/365.25))</f>
        <v/>
      </c>
      <c r="H344" s="12"/>
      <c r="I344" s="12"/>
      <c r="J344" s="25"/>
      <c r="K344" s="13"/>
      <c r="L344" s="12"/>
      <c r="M344" s="14" t="str">
        <f aca="false">IF(OR($C344="",$D344="",$H344="",$B344=""),"",IF(COUNTIFS($C$5:$C$804,$C344,$D$5:$D$804,$D344,$H$5:$H$804,$H344,$B$5:$B$804,$B344)&gt;1,"Takror",""))</f>
        <v/>
      </c>
    </row>
    <row r="345" customFormat="false" ht="15" hidden="false" customHeight="false" outlineLevel="0" collapsed="false">
      <c r="A345" s="8" t="n">
        <v>341</v>
      </c>
      <c r="B345" s="13"/>
      <c r="C345" s="12"/>
      <c r="D345" s="13"/>
      <c r="E345" s="24"/>
      <c r="F345" s="12"/>
      <c r="G345" s="14" t="str">
        <f aca="false">IF(OR($D345="",$B345=""),"",INT(($B345-$D345)/365.25))</f>
        <v/>
      </c>
      <c r="H345" s="12"/>
      <c r="I345" s="12"/>
      <c r="J345" s="25"/>
      <c r="K345" s="13"/>
      <c r="L345" s="12"/>
      <c r="M345" s="14" t="str">
        <f aca="false">IF(OR($C345="",$D345="",$H345="",$B345=""),"",IF(COUNTIFS($C$5:$C$804,$C345,$D$5:$D$804,$D345,$H$5:$H$804,$H345,$B$5:$B$804,$B345)&gt;1,"Takror",""))</f>
        <v/>
      </c>
    </row>
    <row r="346" customFormat="false" ht="15" hidden="false" customHeight="false" outlineLevel="0" collapsed="false">
      <c r="A346" s="8" t="n">
        <v>342</v>
      </c>
      <c r="B346" s="13"/>
      <c r="C346" s="12"/>
      <c r="D346" s="13"/>
      <c r="E346" s="24"/>
      <c r="F346" s="12"/>
      <c r="G346" s="14" t="str">
        <f aca="false">IF(OR($D346="",$B346=""),"",INT(($B346-$D346)/365.25))</f>
        <v/>
      </c>
      <c r="H346" s="12"/>
      <c r="I346" s="12"/>
      <c r="J346" s="25"/>
      <c r="K346" s="13"/>
      <c r="L346" s="12"/>
      <c r="M346" s="14" t="str">
        <f aca="false">IF(OR($C346="",$D346="",$H346="",$B346=""),"",IF(COUNTIFS($C$5:$C$804,$C346,$D$5:$D$804,$D346,$H$5:$H$804,$H346,$B$5:$B$804,$B346)&gt;1,"Takror",""))</f>
        <v/>
      </c>
    </row>
    <row r="347" customFormat="false" ht="15" hidden="false" customHeight="false" outlineLevel="0" collapsed="false">
      <c r="A347" s="8" t="n">
        <v>343</v>
      </c>
      <c r="B347" s="13"/>
      <c r="C347" s="12"/>
      <c r="D347" s="13"/>
      <c r="E347" s="24"/>
      <c r="F347" s="12"/>
      <c r="G347" s="14" t="str">
        <f aca="false">IF(OR($D347="",$B347=""),"",INT(($B347-$D347)/365.25))</f>
        <v/>
      </c>
      <c r="H347" s="12"/>
      <c r="I347" s="12"/>
      <c r="J347" s="25"/>
      <c r="K347" s="13"/>
      <c r="L347" s="12"/>
      <c r="M347" s="14" t="str">
        <f aca="false">IF(OR($C347="",$D347="",$H347="",$B347=""),"",IF(COUNTIFS($C$5:$C$804,$C347,$D$5:$D$804,$D347,$H$5:$H$804,$H347,$B$5:$B$804,$B347)&gt;1,"Takror",""))</f>
        <v/>
      </c>
    </row>
    <row r="348" customFormat="false" ht="15" hidden="false" customHeight="false" outlineLevel="0" collapsed="false">
      <c r="A348" s="8" t="n">
        <v>344</v>
      </c>
      <c r="B348" s="13"/>
      <c r="C348" s="12"/>
      <c r="D348" s="13"/>
      <c r="E348" s="24"/>
      <c r="F348" s="12"/>
      <c r="G348" s="14" t="str">
        <f aca="false">IF(OR($D348="",$B348=""),"",INT(($B348-$D348)/365.25))</f>
        <v/>
      </c>
      <c r="H348" s="12"/>
      <c r="I348" s="12"/>
      <c r="J348" s="25"/>
      <c r="K348" s="13"/>
      <c r="L348" s="12"/>
      <c r="M348" s="14" t="str">
        <f aca="false">IF(OR($C348="",$D348="",$H348="",$B348=""),"",IF(COUNTIFS($C$5:$C$804,$C348,$D$5:$D$804,$D348,$H$5:$H$804,$H348,$B$5:$B$804,$B348)&gt;1,"Takror",""))</f>
        <v/>
      </c>
    </row>
    <row r="349" customFormat="false" ht="15" hidden="false" customHeight="false" outlineLevel="0" collapsed="false">
      <c r="A349" s="8" t="n">
        <v>345</v>
      </c>
      <c r="B349" s="13"/>
      <c r="C349" s="12"/>
      <c r="D349" s="13"/>
      <c r="E349" s="24"/>
      <c r="F349" s="12"/>
      <c r="G349" s="14" t="str">
        <f aca="false">IF(OR($D349="",$B349=""),"",INT(($B349-$D349)/365.25))</f>
        <v/>
      </c>
      <c r="H349" s="12"/>
      <c r="I349" s="12"/>
      <c r="J349" s="25"/>
      <c r="K349" s="13"/>
      <c r="L349" s="12"/>
      <c r="M349" s="14" t="str">
        <f aca="false">IF(OR($C349="",$D349="",$H349="",$B349=""),"",IF(COUNTIFS($C$5:$C$804,$C349,$D$5:$D$804,$D349,$H$5:$H$804,$H349,$B$5:$B$804,$B349)&gt;1,"Takror",""))</f>
        <v/>
      </c>
    </row>
    <row r="350" customFormat="false" ht="15" hidden="false" customHeight="false" outlineLevel="0" collapsed="false">
      <c r="A350" s="8" t="n">
        <v>346</v>
      </c>
      <c r="B350" s="13"/>
      <c r="C350" s="12"/>
      <c r="D350" s="13"/>
      <c r="E350" s="24"/>
      <c r="F350" s="12"/>
      <c r="G350" s="14" t="str">
        <f aca="false">IF(OR($D350="",$B350=""),"",INT(($B350-$D350)/365.25))</f>
        <v/>
      </c>
      <c r="H350" s="12"/>
      <c r="I350" s="12"/>
      <c r="J350" s="25"/>
      <c r="K350" s="13"/>
      <c r="L350" s="12"/>
      <c r="M350" s="14" t="str">
        <f aca="false">IF(OR($C350="",$D350="",$H350="",$B350=""),"",IF(COUNTIFS($C$5:$C$804,$C350,$D$5:$D$804,$D350,$H$5:$H$804,$H350,$B$5:$B$804,$B350)&gt;1,"Takror",""))</f>
        <v/>
      </c>
    </row>
    <row r="351" customFormat="false" ht="15" hidden="false" customHeight="false" outlineLevel="0" collapsed="false">
      <c r="A351" s="8" t="n">
        <v>347</v>
      </c>
      <c r="B351" s="13"/>
      <c r="C351" s="12"/>
      <c r="D351" s="13"/>
      <c r="E351" s="24"/>
      <c r="F351" s="12"/>
      <c r="G351" s="14" t="str">
        <f aca="false">IF(OR($D351="",$B351=""),"",INT(($B351-$D351)/365.25))</f>
        <v/>
      </c>
      <c r="H351" s="12"/>
      <c r="I351" s="12"/>
      <c r="J351" s="25"/>
      <c r="K351" s="13"/>
      <c r="L351" s="12"/>
      <c r="M351" s="14" t="str">
        <f aca="false">IF(OR($C351="",$D351="",$H351="",$B351=""),"",IF(COUNTIFS($C$5:$C$804,$C351,$D$5:$D$804,$D351,$H$5:$H$804,$H351,$B$5:$B$804,$B351)&gt;1,"Takror",""))</f>
        <v/>
      </c>
    </row>
    <row r="352" customFormat="false" ht="15" hidden="false" customHeight="false" outlineLevel="0" collapsed="false">
      <c r="A352" s="8" t="n">
        <v>348</v>
      </c>
      <c r="B352" s="13"/>
      <c r="C352" s="12"/>
      <c r="D352" s="13"/>
      <c r="E352" s="24"/>
      <c r="F352" s="12"/>
      <c r="G352" s="14" t="str">
        <f aca="false">IF(OR($D352="",$B352=""),"",INT(($B352-$D352)/365.25))</f>
        <v/>
      </c>
      <c r="H352" s="12"/>
      <c r="I352" s="12"/>
      <c r="J352" s="25"/>
      <c r="K352" s="13"/>
      <c r="L352" s="12"/>
      <c r="M352" s="14" t="str">
        <f aca="false">IF(OR($C352="",$D352="",$H352="",$B352=""),"",IF(COUNTIFS($C$5:$C$804,$C352,$D$5:$D$804,$D352,$H$5:$H$804,$H352,$B$5:$B$804,$B352)&gt;1,"Takror",""))</f>
        <v/>
      </c>
    </row>
    <row r="353" customFormat="false" ht="15" hidden="false" customHeight="false" outlineLevel="0" collapsed="false">
      <c r="A353" s="8" t="n">
        <v>349</v>
      </c>
      <c r="B353" s="13"/>
      <c r="C353" s="12"/>
      <c r="D353" s="13"/>
      <c r="E353" s="24"/>
      <c r="F353" s="12"/>
      <c r="G353" s="14" t="str">
        <f aca="false">IF(OR($D353="",$B353=""),"",INT(($B353-$D353)/365.25))</f>
        <v/>
      </c>
      <c r="H353" s="12"/>
      <c r="I353" s="12"/>
      <c r="J353" s="25"/>
      <c r="K353" s="13"/>
      <c r="L353" s="12"/>
      <c r="M353" s="14" t="str">
        <f aca="false">IF(OR($C353="",$D353="",$H353="",$B353=""),"",IF(COUNTIFS($C$5:$C$804,$C353,$D$5:$D$804,$D353,$H$5:$H$804,$H353,$B$5:$B$804,$B353)&gt;1,"Takror",""))</f>
        <v/>
      </c>
    </row>
    <row r="354" customFormat="false" ht="15" hidden="false" customHeight="false" outlineLevel="0" collapsed="false">
      <c r="A354" s="8" t="n">
        <v>350</v>
      </c>
      <c r="B354" s="13"/>
      <c r="C354" s="12"/>
      <c r="D354" s="13"/>
      <c r="E354" s="24"/>
      <c r="F354" s="12"/>
      <c r="G354" s="14" t="str">
        <f aca="false">IF(OR($D354="",$B354=""),"",INT(($B354-$D354)/365.25))</f>
        <v/>
      </c>
      <c r="H354" s="12"/>
      <c r="I354" s="12"/>
      <c r="J354" s="25"/>
      <c r="K354" s="13"/>
      <c r="L354" s="12"/>
      <c r="M354" s="14" t="str">
        <f aca="false">IF(OR($C354="",$D354="",$H354="",$B354=""),"",IF(COUNTIFS($C$5:$C$804,$C354,$D$5:$D$804,$D354,$H$5:$H$804,$H354,$B$5:$B$804,$B354)&gt;1,"Takror",""))</f>
        <v/>
      </c>
    </row>
    <row r="355" customFormat="false" ht="15" hidden="false" customHeight="false" outlineLevel="0" collapsed="false">
      <c r="A355" s="8" t="n">
        <v>351</v>
      </c>
      <c r="B355" s="13"/>
      <c r="C355" s="12"/>
      <c r="D355" s="13"/>
      <c r="E355" s="24"/>
      <c r="F355" s="12"/>
      <c r="G355" s="14" t="str">
        <f aca="false">IF(OR($D355="",$B355=""),"",INT(($B355-$D355)/365.25))</f>
        <v/>
      </c>
      <c r="H355" s="12"/>
      <c r="I355" s="12"/>
      <c r="J355" s="25"/>
      <c r="K355" s="13"/>
      <c r="L355" s="12"/>
      <c r="M355" s="14" t="str">
        <f aca="false">IF(OR($C355="",$D355="",$H355="",$B355=""),"",IF(COUNTIFS($C$5:$C$804,$C355,$D$5:$D$804,$D355,$H$5:$H$804,$H355,$B$5:$B$804,$B355)&gt;1,"Takror",""))</f>
        <v/>
      </c>
    </row>
    <row r="356" customFormat="false" ht="15" hidden="false" customHeight="false" outlineLevel="0" collapsed="false">
      <c r="A356" s="8" t="n">
        <v>352</v>
      </c>
      <c r="B356" s="13"/>
      <c r="C356" s="12"/>
      <c r="D356" s="13"/>
      <c r="E356" s="24"/>
      <c r="F356" s="12"/>
      <c r="G356" s="14" t="str">
        <f aca="false">IF(OR($D356="",$B356=""),"",INT(($B356-$D356)/365.25))</f>
        <v/>
      </c>
      <c r="H356" s="12"/>
      <c r="I356" s="12"/>
      <c r="J356" s="25"/>
      <c r="K356" s="13"/>
      <c r="L356" s="12"/>
      <c r="M356" s="14" t="str">
        <f aca="false">IF(OR($C356="",$D356="",$H356="",$B356=""),"",IF(COUNTIFS($C$5:$C$804,$C356,$D$5:$D$804,$D356,$H$5:$H$804,$H356,$B$5:$B$804,$B356)&gt;1,"Takror",""))</f>
        <v/>
      </c>
    </row>
    <row r="357" customFormat="false" ht="15" hidden="false" customHeight="false" outlineLevel="0" collapsed="false">
      <c r="A357" s="8" t="n">
        <v>353</v>
      </c>
      <c r="B357" s="13"/>
      <c r="C357" s="12"/>
      <c r="D357" s="13"/>
      <c r="E357" s="24"/>
      <c r="F357" s="12"/>
      <c r="G357" s="14" t="str">
        <f aca="false">IF(OR($D357="",$B357=""),"",INT(($B357-$D357)/365.25))</f>
        <v/>
      </c>
      <c r="H357" s="12"/>
      <c r="I357" s="12"/>
      <c r="J357" s="25"/>
      <c r="K357" s="13"/>
      <c r="L357" s="12"/>
      <c r="M357" s="14" t="str">
        <f aca="false">IF(OR($C357="",$D357="",$H357="",$B357=""),"",IF(COUNTIFS($C$5:$C$804,$C357,$D$5:$D$804,$D357,$H$5:$H$804,$H357,$B$5:$B$804,$B357)&gt;1,"Takror",""))</f>
        <v/>
      </c>
    </row>
    <row r="358" customFormat="false" ht="15" hidden="false" customHeight="false" outlineLevel="0" collapsed="false">
      <c r="A358" s="8" t="n">
        <v>354</v>
      </c>
      <c r="B358" s="13"/>
      <c r="C358" s="12"/>
      <c r="D358" s="13"/>
      <c r="E358" s="24"/>
      <c r="F358" s="12"/>
      <c r="G358" s="14" t="str">
        <f aca="false">IF(OR($D358="",$B358=""),"",INT(($B358-$D358)/365.25))</f>
        <v/>
      </c>
      <c r="H358" s="12"/>
      <c r="I358" s="12"/>
      <c r="J358" s="25"/>
      <c r="K358" s="13"/>
      <c r="L358" s="12"/>
      <c r="M358" s="14" t="str">
        <f aca="false">IF(OR($C358="",$D358="",$H358="",$B358=""),"",IF(COUNTIFS($C$5:$C$804,$C358,$D$5:$D$804,$D358,$H$5:$H$804,$H358,$B$5:$B$804,$B358)&gt;1,"Takror",""))</f>
        <v/>
      </c>
    </row>
    <row r="359" customFormat="false" ht="15" hidden="false" customHeight="false" outlineLevel="0" collapsed="false">
      <c r="A359" s="8" t="n">
        <v>355</v>
      </c>
      <c r="B359" s="13"/>
      <c r="C359" s="12"/>
      <c r="D359" s="13"/>
      <c r="E359" s="24"/>
      <c r="F359" s="12"/>
      <c r="G359" s="14" t="str">
        <f aca="false">IF(OR($D359="",$B359=""),"",INT(($B359-$D359)/365.25))</f>
        <v/>
      </c>
      <c r="H359" s="12"/>
      <c r="I359" s="12"/>
      <c r="J359" s="25"/>
      <c r="K359" s="13"/>
      <c r="L359" s="12"/>
      <c r="M359" s="14" t="str">
        <f aca="false">IF(OR($C359="",$D359="",$H359="",$B359=""),"",IF(COUNTIFS($C$5:$C$804,$C359,$D$5:$D$804,$D359,$H$5:$H$804,$H359,$B$5:$B$804,$B359)&gt;1,"Takror",""))</f>
        <v/>
      </c>
    </row>
    <row r="360" customFormat="false" ht="15" hidden="false" customHeight="false" outlineLevel="0" collapsed="false">
      <c r="A360" s="8" t="n">
        <v>356</v>
      </c>
      <c r="B360" s="13"/>
      <c r="C360" s="12"/>
      <c r="D360" s="13"/>
      <c r="E360" s="24"/>
      <c r="F360" s="12"/>
      <c r="G360" s="14" t="str">
        <f aca="false">IF(OR($D360="",$B360=""),"",INT(($B360-$D360)/365.25))</f>
        <v/>
      </c>
      <c r="H360" s="12"/>
      <c r="I360" s="12"/>
      <c r="J360" s="25"/>
      <c r="K360" s="13"/>
      <c r="L360" s="12"/>
      <c r="M360" s="14" t="str">
        <f aca="false">IF(OR($C360="",$D360="",$H360="",$B360=""),"",IF(COUNTIFS($C$5:$C$804,$C360,$D$5:$D$804,$D360,$H$5:$H$804,$H360,$B$5:$B$804,$B360)&gt;1,"Takror",""))</f>
        <v/>
      </c>
    </row>
    <row r="361" customFormat="false" ht="15" hidden="false" customHeight="false" outlineLevel="0" collapsed="false">
      <c r="A361" s="8" t="n">
        <v>357</v>
      </c>
      <c r="B361" s="13"/>
      <c r="C361" s="12"/>
      <c r="D361" s="13"/>
      <c r="E361" s="24"/>
      <c r="F361" s="12"/>
      <c r="G361" s="14" t="str">
        <f aca="false">IF(OR($D361="",$B361=""),"",INT(($B361-$D361)/365.25))</f>
        <v/>
      </c>
      <c r="H361" s="12"/>
      <c r="I361" s="12"/>
      <c r="J361" s="25"/>
      <c r="K361" s="13"/>
      <c r="L361" s="12"/>
      <c r="M361" s="14" t="str">
        <f aca="false">IF(OR($C361="",$D361="",$H361="",$B361=""),"",IF(COUNTIFS($C$5:$C$804,$C361,$D$5:$D$804,$D361,$H$5:$H$804,$H361,$B$5:$B$804,$B361)&gt;1,"Takror",""))</f>
        <v/>
      </c>
    </row>
    <row r="362" customFormat="false" ht="15" hidden="false" customHeight="false" outlineLevel="0" collapsed="false">
      <c r="A362" s="8" t="n">
        <v>358</v>
      </c>
      <c r="B362" s="13"/>
      <c r="C362" s="12"/>
      <c r="D362" s="13"/>
      <c r="E362" s="24"/>
      <c r="F362" s="12"/>
      <c r="G362" s="14" t="str">
        <f aca="false">IF(OR($D362="",$B362=""),"",INT(($B362-$D362)/365.25))</f>
        <v/>
      </c>
      <c r="H362" s="12"/>
      <c r="I362" s="12"/>
      <c r="J362" s="25"/>
      <c r="K362" s="13"/>
      <c r="L362" s="12"/>
      <c r="M362" s="14" t="str">
        <f aca="false">IF(OR($C362="",$D362="",$H362="",$B362=""),"",IF(COUNTIFS($C$5:$C$804,$C362,$D$5:$D$804,$D362,$H$5:$H$804,$H362,$B$5:$B$804,$B362)&gt;1,"Takror",""))</f>
        <v/>
      </c>
    </row>
    <row r="363" customFormat="false" ht="15" hidden="false" customHeight="false" outlineLevel="0" collapsed="false">
      <c r="A363" s="8" t="n">
        <v>359</v>
      </c>
      <c r="B363" s="13"/>
      <c r="C363" s="12"/>
      <c r="D363" s="13"/>
      <c r="E363" s="24"/>
      <c r="F363" s="12"/>
      <c r="G363" s="14" t="str">
        <f aca="false">IF(OR($D363="",$B363=""),"",INT(($B363-$D363)/365.25))</f>
        <v/>
      </c>
      <c r="H363" s="12"/>
      <c r="I363" s="12"/>
      <c r="J363" s="25"/>
      <c r="K363" s="13"/>
      <c r="L363" s="12"/>
      <c r="M363" s="14" t="str">
        <f aca="false">IF(OR($C363="",$D363="",$H363="",$B363=""),"",IF(COUNTIFS($C$5:$C$804,$C363,$D$5:$D$804,$D363,$H$5:$H$804,$H363,$B$5:$B$804,$B363)&gt;1,"Takror",""))</f>
        <v/>
      </c>
    </row>
    <row r="364" customFormat="false" ht="15" hidden="false" customHeight="false" outlineLevel="0" collapsed="false">
      <c r="A364" s="8" t="n">
        <v>360</v>
      </c>
      <c r="B364" s="13"/>
      <c r="C364" s="12"/>
      <c r="D364" s="13"/>
      <c r="E364" s="24"/>
      <c r="F364" s="12"/>
      <c r="G364" s="14" t="str">
        <f aca="false">IF(OR($D364="",$B364=""),"",INT(($B364-$D364)/365.25))</f>
        <v/>
      </c>
      <c r="H364" s="12"/>
      <c r="I364" s="12"/>
      <c r="J364" s="25"/>
      <c r="K364" s="13"/>
      <c r="L364" s="12"/>
      <c r="M364" s="14" t="str">
        <f aca="false">IF(OR($C364="",$D364="",$H364="",$B364=""),"",IF(COUNTIFS($C$5:$C$804,$C364,$D$5:$D$804,$D364,$H$5:$H$804,$H364,$B$5:$B$804,$B364)&gt;1,"Takror",""))</f>
        <v/>
      </c>
    </row>
    <row r="365" customFormat="false" ht="15" hidden="false" customHeight="false" outlineLevel="0" collapsed="false">
      <c r="A365" s="8" t="n">
        <v>361</v>
      </c>
      <c r="B365" s="13"/>
      <c r="C365" s="12"/>
      <c r="D365" s="13"/>
      <c r="E365" s="24"/>
      <c r="F365" s="12"/>
      <c r="G365" s="14" t="str">
        <f aca="false">IF(OR($D365="",$B365=""),"",INT(($B365-$D365)/365.25))</f>
        <v/>
      </c>
      <c r="H365" s="12"/>
      <c r="I365" s="12"/>
      <c r="J365" s="25"/>
      <c r="K365" s="13"/>
      <c r="L365" s="12"/>
      <c r="M365" s="14" t="str">
        <f aca="false">IF(OR($C365="",$D365="",$H365="",$B365=""),"",IF(COUNTIFS($C$5:$C$804,$C365,$D$5:$D$804,$D365,$H$5:$H$804,$H365,$B$5:$B$804,$B365)&gt;1,"Takror",""))</f>
        <v/>
      </c>
    </row>
    <row r="366" customFormat="false" ht="15" hidden="false" customHeight="false" outlineLevel="0" collapsed="false">
      <c r="A366" s="8" t="n">
        <v>362</v>
      </c>
      <c r="B366" s="13"/>
      <c r="C366" s="12"/>
      <c r="D366" s="13"/>
      <c r="E366" s="24"/>
      <c r="F366" s="12"/>
      <c r="G366" s="14" t="str">
        <f aca="false">IF(OR($D366="",$B366=""),"",INT(($B366-$D366)/365.25))</f>
        <v/>
      </c>
      <c r="H366" s="12"/>
      <c r="I366" s="12"/>
      <c r="J366" s="25"/>
      <c r="K366" s="13"/>
      <c r="L366" s="12"/>
      <c r="M366" s="14" t="str">
        <f aca="false">IF(OR($C366="",$D366="",$H366="",$B366=""),"",IF(COUNTIFS($C$5:$C$804,$C366,$D$5:$D$804,$D366,$H$5:$H$804,$H366,$B$5:$B$804,$B366)&gt;1,"Takror",""))</f>
        <v/>
      </c>
    </row>
    <row r="367" customFormat="false" ht="15" hidden="false" customHeight="false" outlineLevel="0" collapsed="false">
      <c r="A367" s="8" t="n">
        <v>363</v>
      </c>
      <c r="B367" s="13"/>
      <c r="C367" s="12"/>
      <c r="D367" s="13"/>
      <c r="E367" s="24"/>
      <c r="F367" s="12"/>
      <c r="G367" s="14" t="str">
        <f aca="false">IF(OR($D367="",$B367=""),"",INT(($B367-$D367)/365.25))</f>
        <v/>
      </c>
      <c r="H367" s="12"/>
      <c r="I367" s="12"/>
      <c r="J367" s="25"/>
      <c r="K367" s="13"/>
      <c r="L367" s="12"/>
      <c r="M367" s="14" t="str">
        <f aca="false">IF(OR($C367="",$D367="",$H367="",$B367=""),"",IF(COUNTIFS($C$5:$C$804,$C367,$D$5:$D$804,$D367,$H$5:$H$804,$H367,$B$5:$B$804,$B367)&gt;1,"Takror",""))</f>
        <v/>
      </c>
    </row>
    <row r="368" customFormat="false" ht="15" hidden="false" customHeight="false" outlineLevel="0" collapsed="false">
      <c r="A368" s="8" t="n">
        <v>364</v>
      </c>
      <c r="B368" s="13"/>
      <c r="C368" s="12"/>
      <c r="D368" s="13"/>
      <c r="E368" s="24"/>
      <c r="F368" s="12"/>
      <c r="G368" s="14" t="str">
        <f aca="false">IF(OR($D368="",$B368=""),"",INT(($B368-$D368)/365.25))</f>
        <v/>
      </c>
      <c r="H368" s="12"/>
      <c r="I368" s="12"/>
      <c r="J368" s="25"/>
      <c r="K368" s="13"/>
      <c r="L368" s="12"/>
      <c r="M368" s="14" t="str">
        <f aca="false">IF(OR($C368="",$D368="",$H368="",$B368=""),"",IF(COUNTIFS($C$5:$C$804,$C368,$D$5:$D$804,$D368,$H$5:$H$804,$H368,$B$5:$B$804,$B368)&gt;1,"Takror",""))</f>
        <v/>
      </c>
    </row>
    <row r="369" customFormat="false" ht="15" hidden="false" customHeight="false" outlineLevel="0" collapsed="false">
      <c r="A369" s="8" t="n">
        <v>365</v>
      </c>
      <c r="B369" s="13"/>
      <c r="C369" s="12"/>
      <c r="D369" s="13"/>
      <c r="E369" s="24"/>
      <c r="F369" s="12"/>
      <c r="G369" s="14" t="str">
        <f aca="false">IF(OR($D369="",$B369=""),"",INT(($B369-$D369)/365.25))</f>
        <v/>
      </c>
      <c r="H369" s="12"/>
      <c r="I369" s="12"/>
      <c r="J369" s="25"/>
      <c r="K369" s="13"/>
      <c r="L369" s="12"/>
      <c r="M369" s="14" t="str">
        <f aca="false">IF(OR($C369="",$D369="",$H369="",$B369=""),"",IF(COUNTIFS($C$5:$C$804,$C369,$D$5:$D$804,$D369,$H$5:$H$804,$H369,$B$5:$B$804,$B369)&gt;1,"Takror",""))</f>
        <v/>
      </c>
    </row>
    <row r="370" customFormat="false" ht="15" hidden="false" customHeight="false" outlineLevel="0" collapsed="false">
      <c r="A370" s="8" t="n">
        <v>366</v>
      </c>
      <c r="B370" s="13"/>
      <c r="C370" s="12"/>
      <c r="D370" s="13"/>
      <c r="E370" s="24"/>
      <c r="F370" s="12"/>
      <c r="G370" s="14" t="str">
        <f aca="false">IF(OR($D370="",$B370=""),"",INT(($B370-$D370)/365.25))</f>
        <v/>
      </c>
      <c r="H370" s="12"/>
      <c r="I370" s="12"/>
      <c r="J370" s="25"/>
      <c r="K370" s="13"/>
      <c r="L370" s="12"/>
      <c r="M370" s="14" t="str">
        <f aca="false">IF(OR($C370="",$D370="",$H370="",$B370=""),"",IF(COUNTIFS($C$5:$C$804,$C370,$D$5:$D$804,$D370,$H$5:$H$804,$H370,$B$5:$B$804,$B370)&gt;1,"Takror",""))</f>
        <v/>
      </c>
    </row>
    <row r="371" customFormat="false" ht="15" hidden="false" customHeight="false" outlineLevel="0" collapsed="false">
      <c r="A371" s="8" t="n">
        <v>367</v>
      </c>
      <c r="B371" s="13"/>
      <c r="C371" s="12"/>
      <c r="D371" s="13"/>
      <c r="E371" s="24"/>
      <c r="F371" s="12"/>
      <c r="G371" s="14" t="str">
        <f aca="false">IF(OR($D371="",$B371=""),"",INT(($B371-$D371)/365.25))</f>
        <v/>
      </c>
      <c r="H371" s="12"/>
      <c r="I371" s="12"/>
      <c r="J371" s="25"/>
      <c r="K371" s="13"/>
      <c r="L371" s="12"/>
      <c r="M371" s="14" t="str">
        <f aca="false">IF(OR($C371="",$D371="",$H371="",$B371=""),"",IF(COUNTIFS($C$5:$C$804,$C371,$D$5:$D$804,$D371,$H$5:$H$804,$H371,$B$5:$B$804,$B371)&gt;1,"Takror",""))</f>
        <v/>
      </c>
    </row>
    <row r="372" customFormat="false" ht="15" hidden="false" customHeight="false" outlineLevel="0" collapsed="false">
      <c r="A372" s="8" t="n">
        <v>368</v>
      </c>
      <c r="B372" s="13"/>
      <c r="C372" s="12"/>
      <c r="D372" s="13"/>
      <c r="E372" s="24"/>
      <c r="F372" s="12"/>
      <c r="G372" s="14" t="str">
        <f aca="false">IF(OR($D372="",$B372=""),"",INT(($B372-$D372)/365.25))</f>
        <v/>
      </c>
      <c r="H372" s="12"/>
      <c r="I372" s="12"/>
      <c r="J372" s="25"/>
      <c r="K372" s="13"/>
      <c r="L372" s="12"/>
      <c r="M372" s="14" t="str">
        <f aca="false">IF(OR($C372="",$D372="",$H372="",$B372=""),"",IF(COUNTIFS($C$5:$C$804,$C372,$D$5:$D$804,$D372,$H$5:$H$804,$H372,$B$5:$B$804,$B372)&gt;1,"Takror",""))</f>
        <v/>
      </c>
    </row>
    <row r="373" customFormat="false" ht="15" hidden="false" customHeight="false" outlineLevel="0" collapsed="false">
      <c r="A373" s="8" t="n">
        <v>369</v>
      </c>
      <c r="B373" s="13"/>
      <c r="C373" s="12"/>
      <c r="D373" s="13"/>
      <c r="E373" s="24"/>
      <c r="F373" s="12"/>
      <c r="G373" s="14" t="str">
        <f aca="false">IF(OR($D373="",$B373=""),"",INT(($B373-$D373)/365.25))</f>
        <v/>
      </c>
      <c r="H373" s="12"/>
      <c r="I373" s="12"/>
      <c r="J373" s="25"/>
      <c r="K373" s="13"/>
      <c r="L373" s="12"/>
      <c r="M373" s="14" t="str">
        <f aca="false">IF(OR($C373="",$D373="",$H373="",$B373=""),"",IF(COUNTIFS($C$5:$C$804,$C373,$D$5:$D$804,$D373,$H$5:$H$804,$H373,$B$5:$B$804,$B373)&gt;1,"Takror",""))</f>
        <v/>
      </c>
    </row>
    <row r="374" customFormat="false" ht="15" hidden="false" customHeight="false" outlineLevel="0" collapsed="false">
      <c r="A374" s="8" t="n">
        <v>370</v>
      </c>
      <c r="B374" s="13"/>
      <c r="C374" s="12"/>
      <c r="D374" s="13"/>
      <c r="E374" s="24"/>
      <c r="F374" s="12"/>
      <c r="G374" s="14" t="str">
        <f aca="false">IF(OR($D374="",$B374=""),"",INT(($B374-$D374)/365.25))</f>
        <v/>
      </c>
      <c r="H374" s="12"/>
      <c r="I374" s="12"/>
      <c r="J374" s="25"/>
      <c r="K374" s="13"/>
      <c r="L374" s="12"/>
      <c r="M374" s="14" t="str">
        <f aca="false">IF(OR($C374="",$D374="",$H374="",$B374=""),"",IF(COUNTIFS($C$5:$C$804,$C374,$D$5:$D$804,$D374,$H$5:$H$804,$H374,$B$5:$B$804,$B374)&gt;1,"Takror",""))</f>
        <v/>
      </c>
    </row>
    <row r="375" customFormat="false" ht="15" hidden="false" customHeight="false" outlineLevel="0" collapsed="false">
      <c r="A375" s="8" t="n">
        <v>371</v>
      </c>
      <c r="B375" s="13"/>
      <c r="C375" s="12"/>
      <c r="D375" s="13"/>
      <c r="E375" s="24"/>
      <c r="F375" s="12"/>
      <c r="G375" s="14" t="str">
        <f aca="false">IF(OR($D375="",$B375=""),"",INT(($B375-$D375)/365.25))</f>
        <v/>
      </c>
      <c r="H375" s="12"/>
      <c r="I375" s="12"/>
      <c r="J375" s="25"/>
      <c r="K375" s="13"/>
      <c r="L375" s="12"/>
      <c r="M375" s="14" t="str">
        <f aca="false">IF(OR($C375="",$D375="",$H375="",$B375=""),"",IF(COUNTIFS($C$5:$C$804,$C375,$D$5:$D$804,$D375,$H$5:$H$804,$H375,$B$5:$B$804,$B375)&gt;1,"Takror",""))</f>
        <v/>
      </c>
    </row>
    <row r="376" customFormat="false" ht="15" hidden="false" customHeight="false" outlineLevel="0" collapsed="false">
      <c r="A376" s="8" t="n">
        <v>372</v>
      </c>
      <c r="B376" s="13"/>
      <c r="C376" s="12"/>
      <c r="D376" s="13"/>
      <c r="E376" s="24"/>
      <c r="F376" s="12"/>
      <c r="G376" s="14" t="str">
        <f aca="false">IF(OR($D376="",$B376=""),"",INT(($B376-$D376)/365.25))</f>
        <v/>
      </c>
      <c r="H376" s="12"/>
      <c r="I376" s="12"/>
      <c r="J376" s="25"/>
      <c r="K376" s="13"/>
      <c r="L376" s="12"/>
      <c r="M376" s="14" t="str">
        <f aca="false">IF(OR($C376="",$D376="",$H376="",$B376=""),"",IF(COUNTIFS($C$5:$C$804,$C376,$D$5:$D$804,$D376,$H$5:$H$804,$H376,$B$5:$B$804,$B376)&gt;1,"Takror",""))</f>
        <v/>
      </c>
    </row>
    <row r="377" customFormat="false" ht="15" hidden="false" customHeight="false" outlineLevel="0" collapsed="false">
      <c r="A377" s="8" t="n">
        <v>373</v>
      </c>
      <c r="B377" s="13"/>
      <c r="C377" s="12"/>
      <c r="D377" s="13"/>
      <c r="E377" s="24"/>
      <c r="F377" s="12"/>
      <c r="G377" s="14" t="str">
        <f aca="false">IF(OR($D377="",$B377=""),"",INT(($B377-$D377)/365.25))</f>
        <v/>
      </c>
      <c r="H377" s="12"/>
      <c r="I377" s="12"/>
      <c r="J377" s="25"/>
      <c r="K377" s="13"/>
      <c r="L377" s="12"/>
      <c r="M377" s="14" t="str">
        <f aca="false">IF(OR($C377="",$D377="",$H377="",$B377=""),"",IF(COUNTIFS($C$5:$C$804,$C377,$D$5:$D$804,$D377,$H$5:$H$804,$H377,$B$5:$B$804,$B377)&gt;1,"Takror",""))</f>
        <v/>
      </c>
    </row>
    <row r="378" customFormat="false" ht="15" hidden="false" customHeight="false" outlineLevel="0" collapsed="false">
      <c r="A378" s="8" t="n">
        <v>374</v>
      </c>
      <c r="B378" s="13"/>
      <c r="C378" s="12"/>
      <c r="D378" s="13"/>
      <c r="E378" s="24"/>
      <c r="F378" s="12"/>
      <c r="G378" s="14" t="str">
        <f aca="false">IF(OR($D378="",$B378=""),"",INT(($B378-$D378)/365.25))</f>
        <v/>
      </c>
      <c r="H378" s="12"/>
      <c r="I378" s="12"/>
      <c r="J378" s="25"/>
      <c r="K378" s="13"/>
      <c r="L378" s="12"/>
      <c r="M378" s="14" t="str">
        <f aca="false">IF(OR($C378="",$D378="",$H378="",$B378=""),"",IF(COUNTIFS($C$5:$C$804,$C378,$D$5:$D$804,$D378,$H$5:$H$804,$H378,$B$5:$B$804,$B378)&gt;1,"Takror",""))</f>
        <v/>
      </c>
    </row>
    <row r="379" customFormat="false" ht="15" hidden="false" customHeight="false" outlineLevel="0" collapsed="false">
      <c r="A379" s="8" t="n">
        <v>375</v>
      </c>
      <c r="B379" s="13"/>
      <c r="C379" s="12"/>
      <c r="D379" s="13"/>
      <c r="E379" s="24"/>
      <c r="F379" s="12"/>
      <c r="G379" s="14" t="str">
        <f aca="false">IF(OR($D379="",$B379=""),"",INT(($B379-$D379)/365.25))</f>
        <v/>
      </c>
      <c r="H379" s="12"/>
      <c r="I379" s="12"/>
      <c r="J379" s="25"/>
      <c r="K379" s="13"/>
      <c r="L379" s="12"/>
      <c r="M379" s="14" t="str">
        <f aca="false">IF(OR($C379="",$D379="",$H379="",$B379=""),"",IF(COUNTIFS($C$5:$C$804,$C379,$D$5:$D$804,$D379,$H$5:$H$804,$H379,$B$5:$B$804,$B379)&gt;1,"Takror",""))</f>
        <v/>
      </c>
    </row>
    <row r="380" customFormat="false" ht="15" hidden="false" customHeight="false" outlineLevel="0" collapsed="false">
      <c r="A380" s="8" t="n">
        <v>376</v>
      </c>
      <c r="B380" s="13"/>
      <c r="C380" s="12"/>
      <c r="D380" s="13"/>
      <c r="E380" s="24"/>
      <c r="F380" s="12"/>
      <c r="G380" s="14" t="str">
        <f aca="false">IF(OR($D380="",$B380=""),"",INT(($B380-$D380)/365.25))</f>
        <v/>
      </c>
      <c r="H380" s="12"/>
      <c r="I380" s="12"/>
      <c r="J380" s="25"/>
      <c r="K380" s="13"/>
      <c r="L380" s="12"/>
      <c r="M380" s="14" t="str">
        <f aca="false">IF(OR($C380="",$D380="",$H380="",$B380=""),"",IF(COUNTIFS($C$5:$C$804,$C380,$D$5:$D$804,$D380,$H$5:$H$804,$H380,$B$5:$B$804,$B380)&gt;1,"Takror",""))</f>
        <v/>
      </c>
    </row>
    <row r="381" customFormat="false" ht="15" hidden="false" customHeight="false" outlineLevel="0" collapsed="false">
      <c r="A381" s="8" t="n">
        <v>377</v>
      </c>
      <c r="B381" s="13"/>
      <c r="C381" s="12"/>
      <c r="D381" s="13"/>
      <c r="E381" s="24"/>
      <c r="F381" s="12"/>
      <c r="G381" s="14" t="str">
        <f aca="false">IF(OR($D381="",$B381=""),"",INT(($B381-$D381)/365.25))</f>
        <v/>
      </c>
      <c r="H381" s="12"/>
      <c r="I381" s="12"/>
      <c r="J381" s="25"/>
      <c r="K381" s="13"/>
      <c r="L381" s="12"/>
      <c r="M381" s="14" t="str">
        <f aca="false">IF(OR($C381="",$D381="",$H381="",$B381=""),"",IF(COUNTIFS($C$5:$C$804,$C381,$D$5:$D$804,$D381,$H$5:$H$804,$H381,$B$5:$B$804,$B381)&gt;1,"Takror",""))</f>
        <v/>
      </c>
    </row>
    <row r="382" customFormat="false" ht="15" hidden="false" customHeight="false" outlineLevel="0" collapsed="false">
      <c r="A382" s="8" t="n">
        <v>378</v>
      </c>
      <c r="B382" s="13"/>
      <c r="C382" s="12"/>
      <c r="D382" s="13"/>
      <c r="E382" s="24"/>
      <c r="F382" s="12"/>
      <c r="G382" s="14" t="str">
        <f aca="false">IF(OR($D382="",$B382=""),"",INT(($B382-$D382)/365.25))</f>
        <v/>
      </c>
      <c r="H382" s="12"/>
      <c r="I382" s="12"/>
      <c r="J382" s="25"/>
      <c r="K382" s="13"/>
      <c r="L382" s="12"/>
      <c r="M382" s="14" t="str">
        <f aca="false">IF(OR($C382="",$D382="",$H382="",$B382=""),"",IF(COUNTIFS($C$5:$C$804,$C382,$D$5:$D$804,$D382,$H$5:$H$804,$H382,$B$5:$B$804,$B382)&gt;1,"Takror",""))</f>
        <v/>
      </c>
    </row>
    <row r="383" customFormat="false" ht="15" hidden="false" customHeight="false" outlineLevel="0" collapsed="false">
      <c r="A383" s="8" t="n">
        <v>379</v>
      </c>
      <c r="B383" s="13"/>
      <c r="C383" s="12"/>
      <c r="D383" s="13"/>
      <c r="E383" s="24"/>
      <c r="F383" s="12"/>
      <c r="G383" s="14" t="str">
        <f aca="false">IF(OR($D383="",$B383=""),"",INT(($B383-$D383)/365.25))</f>
        <v/>
      </c>
      <c r="H383" s="12"/>
      <c r="I383" s="12"/>
      <c r="J383" s="25"/>
      <c r="K383" s="13"/>
      <c r="L383" s="12"/>
      <c r="M383" s="14" t="str">
        <f aca="false">IF(OR($C383="",$D383="",$H383="",$B383=""),"",IF(COUNTIFS($C$5:$C$804,$C383,$D$5:$D$804,$D383,$H$5:$H$804,$H383,$B$5:$B$804,$B383)&gt;1,"Takror",""))</f>
        <v/>
      </c>
    </row>
    <row r="384" customFormat="false" ht="15" hidden="false" customHeight="false" outlineLevel="0" collapsed="false">
      <c r="A384" s="8" t="n">
        <v>380</v>
      </c>
      <c r="B384" s="13"/>
      <c r="C384" s="12"/>
      <c r="D384" s="13"/>
      <c r="E384" s="24"/>
      <c r="F384" s="12"/>
      <c r="G384" s="14" t="str">
        <f aca="false">IF(OR($D384="",$B384=""),"",INT(($B384-$D384)/365.25))</f>
        <v/>
      </c>
      <c r="H384" s="12"/>
      <c r="I384" s="12"/>
      <c r="J384" s="25"/>
      <c r="K384" s="13"/>
      <c r="L384" s="12"/>
      <c r="M384" s="14" t="str">
        <f aca="false">IF(OR($C384="",$D384="",$H384="",$B384=""),"",IF(COUNTIFS($C$5:$C$804,$C384,$D$5:$D$804,$D384,$H$5:$H$804,$H384,$B$5:$B$804,$B384)&gt;1,"Takror",""))</f>
        <v/>
      </c>
    </row>
    <row r="385" customFormat="false" ht="15" hidden="false" customHeight="false" outlineLevel="0" collapsed="false">
      <c r="A385" s="8" t="n">
        <v>381</v>
      </c>
      <c r="B385" s="13"/>
      <c r="C385" s="12"/>
      <c r="D385" s="13"/>
      <c r="E385" s="24"/>
      <c r="F385" s="12"/>
      <c r="G385" s="14" t="str">
        <f aca="false">IF(OR($D385="",$B385=""),"",INT(($B385-$D385)/365.25))</f>
        <v/>
      </c>
      <c r="H385" s="12"/>
      <c r="I385" s="12"/>
      <c r="J385" s="25"/>
      <c r="K385" s="13"/>
      <c r="L385" s="12"/>
      <c r="M385" s="14" t="str">
        <f aca="false">IF(OR($C385="",$D385="",$H385="",$B385=""),"",IF(COUNTIFS($C$5:$C$804,$C385,$D$5:$D$804,$D385,$H$5:$H$804,$H385,$B$5:$B$804,$B385)&gt;1,"Takror",""))</f>
        <v/>
      </c>
    </row>
    <row r="386" customFormat="false" ht="15" hidden="false" customHeight="false" outlineLevel="0" collapsed="false">
      <c r="A386" s="8" t="n">
        <v>382</v>
      </c>
      <c r="B386" s="13"/>
      <c r="C386" s="12"/>
      <c r="D386" s="13"/>
      <c r="E386" s="24"/>
      <c r="F386" s="12"/>
      <c r="G386" s="14" t="str">
        <f aca="false">IF(OR($D386="",$B386=""),"",INT(($B386-$D386)/365.25))</f>
        <v/>
      </c>
      <c r="H386" s="12"/>
      <c r="I386" s="12"/>
      <c r="J386" s="25"/>
      <c r="K386" s="13"/>
      <c r="L386" s="12"/>
      <c r="M386" s="14" t="str">
        <f aca="false">IF(OR($C386="",$D386="",$H386="",$B386=""),"",IF(COUNTIFS($C$5:$C$804,$C386,$D$5:$D$804,$D386,$H$5:$H$804,$H386,$B$5:$B$804,$B386)&gt;1,"Takror",""))</f>
        <v/>
      </c>
    </row>
    <row r="387" customFormat="false" ht="15" hidden="false" customHeight="false" outlineLevel="0" collapsed="false">
      <c r="A387" s="8" t="n">
        <v>383</v>
      </c>
      <c r="B387" s="13"/>
      <c r="C387" s="12"/>
      <c r="D387" s="13"/>
      <c r="E387" s="24"/>
      <c r="F387" s="12"/>
      <c r="G387" s="14" t="str">
        <f aca="false">IF(OR($D387="",$B387=""),"",INT(($B387-$D387)/365.25))</f>
        <v/>
      </c>
      <c r="H387" s="12"/>
      <c r="I387" s="12"/>
      <c r="J387" s="25"/>
      <c r="K387" s="13"/>
      <c r="L387" s="12"/>
      <c r="M387" s="14" t="str">
        <f aca="false">IF(OR($C387="",$D387="",$H387="",$B387=""),"",IF(COUNTIFS($C$5:$C$804,$C387,$D$5:$D$804,$D387,$H$5:$H$804,$H387,$B$5:$B$804,$B387)&gt;1,"Takror",""))</f>
        <v/>
      </c>
    </row>
    <row r="388" customFormat="false" ht="15" hidden="false" customHeight="false" outlineLevel="0" collapsed="false">
      <c r="A388" s="8" t="n">
        <v>384</v>
      </c>
      <c r="B388" s="13"/>
      <c r="C388" s="12"/>
      <c r="D388" s="13"/>
      <c r="E388" s="24"/>
      <c r="F388" s="12"/>
      <c r="G388" s="14" t="str">
        <f aca="false">IF(OR($D388="",$B388=""),"",INT(($B388-$D388)/365.25))</f>
        <v/>
      </c>
      <c r="H388" s="12"/>
      <c r="I388" s="12"/>
      <c r="J388" s="25"/>
      <c r="K388" s="13"/>
      <c r="L388" s="12"/>
      <c r="M388" s="14" t="str">
        <f aca="false">IF(OR($C388="",$D388="",$H388="",$B388=""),"",IF(COUNTIFS($C$5:$C$804,$C388,$D$5:$D$804,$D388,$H$5:$H$804,$H388,$B$5:$B$804,$B388)&gt;1,"Takror",""))</f>
        <v/>
      </c>
    </row>
    <row r="389" customFormat="false" ht="15" hidden="false" customHeight="false" outlineLevel="0" collapsed="false">
      <c r="A389" s="8" t="n">
        <v>385</v>
      </c>
      <c r="B389" s="13"/>
      <c r="C389" s="12"/>
      <c r="D389" s="13"/>
      <c r="E389" s="24"/>
      <c r="F389" s="12"/>
      <c r="G389" s="14" t="str">
        <f aca="false">IF(OR($D389="",$B389=""),"",INT(($B389-$D389)/365.25))</f>
        <v/>
      </c>
      <c r="H389" s="12"/>
      <c r="I389" s="12"/>
      <c r="J389" s="25"/>
      <c r="K389" s="13"/>
      <c r="L389" s="12"/>
      <c r="M389" s="14" t="str">
        <f aca="false">IF(OR($C389="",$D389="",$H389="",$B389=""),"",IF(COUNTIFS($C$5:$C$804,$C389,$D$5:$D$804,$D389,$H$5:$H$804,$H389,$B$5:$B$804,$B389)&gt;1,"Takror",""))</f>
        <v/>
      </c>
    </row>
    <row r="390" customFormat="false" ht="15" hidden="false" customHeight="false" outlineLevel="0" collapsed="false">
      <c r="A390" s="8" t="n">
        <v>386</v>
      </c>
      <c r="B390" s="13"/>
      <c r="C390" s="12"/>
      <c r="D390" s="13"/>
      <c r="E390" s="24"/>
      <c r="F390" s="12"/>
      <c r="G390" s="14" t="str">
        <f aca="false">IF(OR($D390="",$B390=""),"",INT(($B390-$D390)/365.25))</f>
        <v/>
      </c>
      <c r="H390" s="12"/>
      <c r="I390" s="12"/>
      <c r="J390" s="25"/>
      <c r="K390" s="13"/>
      <c r="L390" s="12"/>
      <c r="M390" s="14" t="str">
        <f aca="false">IF(OR($C390="",$D390="",$H390="",$B390=""),"",IF(COUNTIFS($C$5:$C$804,$C390,$D$5:$D$804,$D390,$H$5:$H$804,$H390,$B$5:$B$804,$B390)&gt;1,"Takror",""))</f>
        <v/>
      </c>
    </row>
    <row r="391" customFormat="false" ht="15" hidden="false" customHeight="false" outlineLevel="0" collapsed="false">
      <c r="A391" s="8" t="n">
        <v>387</v>
      </c>
      <c r="B391" s="13"/>
      <c r="C391" s="12"/>
      <c r="D391" s="13"/>
      <c r="E391" s="24"/>
      <c r="F391" s="12"/>
      <c r="G391" s="14" t="str">
        <f aca="false">IF(OR($D391="",$B391=""),"",INT(($B391-$D391)/365.25))</f>
        <v/>
      </c>
      <c r="H391" s="12"/>
      <c r="I391" s="12"/>
      <c r="J391" s="25"/>
      <c r="K391" s="13"/>
      <c r="L391" s="12"/>
      <c r="M391" s="14" t="str">
        <f aca="false">IF(OR($C391="",$D391="",$H391="",$B391=""),"",IF(COUNTIFS($C$5:$C$804,$C391,$D$5:$D$804,$D391,$H$5:$H$804,$H391,$B$5:$B$804,$B391)&gt;1,"Takror",""))</f>
        <v/>
      </c>
    </row>
    <row r="392" customFormat="false" ht="15" hidden="false" customHeight="false" outlineLevel="0" collapsed="false">
      <c r="A392" s="8" t="n">
        <v>388</v>
      </c>
      <c r="B392" s="13"/>
      <c r="C392" s="12"/>
      <c r="D392" s="13"/>
      <c r="E392" s="24"/>
      <c r="F392" s="12"/>
      <c r="G392" s="14" t="str">
        <f aca="false">IF(OR($D392="",$B392=""),"",INT(($B392-$D392)/365.25))</f>
        <v/>
      </c>
      <c r="H392" s="12"/>
      <c r="I392" s="12"/>
      <c r="J392" s="25"/>
      <c r="K392" s="13"/>
      <c r="L392" s="12"/>
      <c r="M392" s="14" t="str">
        <f aca="false">IF(OR($C392="",$D392="",$H392="",$B392=""),"",IF(COUNTIFS($C$5:$C$804,$C392,$D$5:$D$804,$D392,$H$5:$H$804,$H392,$B$5:$B$804,$B392)&gt;1,"Takror",""))</f>
        <v/>
      </c>
    </row>
    <row r="393" customFormat="false" ht="15" hidden="false" customHeight="false" outlineLevel="0" collapsed="false">
      <c r="A393" s="8" t="n">
        <v>389</v>
      </c>
      <c r="B393" s="13"/>
      <c r="C393" s="12"/>
      <c r="D393" s="13"/>
      <c r="E393" s="24"/>
      <c r="F393" s="12"/>
      <c r="G393" s="14" t="str">
        <f aca="false">IF(OR($D393="",$B393=""),"",INT(($B393-$D393)/365.25))</f>
        <v/>
      </c>
      <c r="H393" s="12"/>
      <c r="I393" s="12"/>
      <c r="J393" s="25"/>
      <c r="K393" s="13"/>
      <c r="L393" s="12"/>
      <c r="M393" s="14" t="str">
        <f aca="false">IF(OR($C393="",$D393="",$H393="",$B393=""),"",IF(COUNTIFS($C$5:$C$804,$C393,$D$5:$D$804,$D393,$H$5:$H$804,$H393,$B$5:$B$804,$B393)&gt;1,"Takror",""))</f>
        <v/>
      </c>
    </row>
    <row r="394" customFormat="false" ht="15" hidden="false" customHeight="false" outlineLevel="0" collapsed="false">
      <c r="A394" s="8" t="n">
        <v>390</v>
      </c>
      <c r="B394" s="13"/>
      <c r="C394" s="12"/>
      <c r="D394" s="13"/>
      <c r="E394" s="24"/>
      <c r="F394" s="12"/>
      <c r="G394" s="14" t="str">
        <f aca="false">IF(OR($D394="",$B394=""),"",INT(($B394-$D394)/365.25))</f>
        <v/>
      </c>
      <c r="H394" s="12"/>
      <c r="I394" s="12"/>
      <c r="J394" s="25"/>
      <c r="K394" s="13"/>
      <c r="L394" s="12"/>
      <c r="M394" s="14" t="str">
        <f aca="false">IF(OR($C394="",$D394="",$H394="",$B394=""),"",IF(COUNTIFS($C$5:$C$804,$C394,$D$5:$D$804,$D394,$H$5:$H$804,$H394,$B$5:$B$804,$B394)&gt;1,"Takror",""))</f>
        <v/>
      </c>
    </row>
    <row r="395" customFormat="false" ht="15" hidden="false" customHeight="false" outlineLevel="0" collapsed="false">
      <c r="A395" s="8" t="n">
        <v>391</v>
      </c>
      <c r="B395" s="13"/>
      <c r="C395" s="12"/>
      <c r="D395" s="13"/>
      <c r="E395" s="24"/>
      <c r="F395" s="12"/>
      <c r="G395" s="14" t="str">
        <f aca="false">IF(OR($D395="",$B395=""),"",INT(($B395-$D395)/365.25))</f>
        <v/>
      </c>
      <c r="H395" s="12"/>
      <c r="I395" s="12"/>
      <c r="J395" s="25"/>
      <c r="K395" s="13"/>
      <c r="L395" s="12"/>
      <c r="M395" s="14" t="str">
        <f aca="false">IF(OR($C395="",$D395="",$H395="",$B395=""),"",IF(COUNTIFS($C$5:$C$804,$C395,$D$5:$D$804,$D395,$H$5:$H$804,$H395,$B$5:$B$804,$B395)&gt;1,"Takror",""))</f>
        <v/>
      </c>
    </row>
    <row r="396" customFormat="false" ht="15" hidden="false" customHeight="false" outlineLevel="0" collapsed="false">
      <c r="A396" s="8" t="n">
        <v>392</v>
      </c>
      <c r="B396" s="13"/>
      <c r="C396" s="12"/>
      <c r="D396" s="13"/>
      <c r="E396" s="24"/>
      <c r="F396" s="12"/>
      <c r="G396" s="14" t="str">
        <f aca="false">IF(OR($D396="",$B396=""),"",INT(($B396-$D396)/365.25))</f>
        <v/>
      </c>
      <c r="H396" s="12"/>
      <c r="I396" s="12"/>
      <c r="J396" s="25"/>
      <c r="K396" s="13"/>
      <c r="L396" s="12"/>
      <c r="M396" s="14" t="str">
        <f aca="false">IF(OR($C396="",$D396="",$H396="",$B396=""),"",IF(COUNTIFS($C$5:$C$804,$C396,$D$5:$D$804,$D396,$H$5:$H$804,$H396,$B$5:$B$804,$B396)&gt;1,"Takror",""))</f>
        <v/>
      </c>
    </row>
    <row r="397" customFormat="false" ht="15" hidden="false" customHeight="false" outlineLevel="0" collapsed="false">
      <c r="A397" s="8" t="n">
        <v>393</v>
      </c>
      <c r="B397" s="13"/>
      <c r="C397" s="12"/>
      <c r="D397" s="13"/>
      <c r="E397" s="24"/>
      <c r="F397" s="12"/>
      <c r="G397" s="14" t="str">
        <f aca="false">IF(OR($D397="",$B397=""),"",INT(($B397-$D397)/365.25))</f>
        <v/>
      </c>
      <c r="H397" s="12"/>
      <c r="I397" s="12"/>
      <c r="J397" s="25"/>
      <c r="K397" s="13"/>
      <c r="L397" s="12"/>
      <c r="M397" s="14" t="str">
        <f aca="false">IF(OR($C397="",$D397="",$H397="",$B397=""),"",IF(COUNTIFS($C$5:$C$804,$C397,$D$5:$D$804,$D397,$H$5:$H$804,$H397,$B$5:$B$804,$B397)&gt;1,"Takror",""))</f>
        <v/>
      </c>
    </row>
    <row r="398" customFormat="false" ht="15" hidden="false" customHeight="false" outlineLevel="0" collapsed="false">
      <c r="A398" s="8" t="n">
        <v>394</v>
      </c>
      <c r="B398" s="13"/>
      <c r="C398" s="12"/>
      <c r="D398" s="13"/>
      <c r="E398" s="24"/>
      <c r="F398" s="12"/>
      <c r="G398" s="14" t="str">
        <f aca="false">IF(OR($D398="",$B398=""),"",INT(($B398-$D398)/365.25))</f>
        <v/>
      </c>
      <c r="H398" s="12"/>
      <c r="I398" s="12"/>
      <c r="J398" s="25"/>
      <c r="K398" s="13"/>
      <c r="L398" s="12"/>
      <c r="M398" s="14" t="str">
        <f aca="false">IF(OR($C398="",$D398="",$H398="",$B398=""),"",IF(COUNTIFS($C$5:$C$804,$C398,$D$5:$D$804,$D398,$H$5:$H$804,$H398,$B$5:$B$804,$B398)&gt;1,"Takror",""))</f>
        <v/>
      </c>
    </row>
    <row r="399" customFormat="false" ht="15" hidden="false" customHeight="false" outlineLevel="0" collapsed="false">
      <c r="A399" s="8" t="n">
        <v>395</v>
      </c>
      <c r="B399" s="13"/>
      <c r="C399" s="12"/>
      <c r="D399" s="13"/>
      <c r="E399" s="24"/>
      <c r="F399" s="12"/>
      <c r="G399" s="14" t="str">
        <f aca="false">IF(OR($D399="",$B399=""),"",INT(($B399-$D399)/365.25))</f>
        <v/>
      </c>
      <c r="H399" s="12"/>
      <c r="I399" s="12"/>
      <c r="J399" s="25"/>
      <c r="K399" s="13"/>
      <c r="L399" s="12"/>
      <c r="M399" s="14" t="str">
        <f aca="false">IF(OR($C399="",$D399="",$H399="",$B399=""),"",IF(COUNTIFS($C$5:$C$804,$C399,$D$5:$D$804,$D399,$H$5:$H$804,$H399,$B$5:$B$804,$B399)&gt;1,"Takror",""))</f>
        <v/>
      </c>
    </row>
    <row r="400" customFormat="false" ht="15" hidden="false" customHeight="false" outlineLevel="0" collapsed="false">
      <c r="A400" s="8" t="n">
        <v>396</v>
      </c>
      <c r="B400" s="13"/>
      <c r="C400" s="12"/>
      <c r="D400" s="13"/>
      <c r="E400" s="24"/>
      <c r="F400" s="12"/>
      <c r="G400" s="14" t="str">
        <f aca="false">IF(OR($D400="",$B400=""),"",INT(($B400-$D400)/365.25))</f>
        <v/>
      </c>
      <c r="H400" s="12"/>
      <c r="I400" s="12"/>
      <c r="J400" s="25"/>
      <c r="K400" s="13"/>
      <c r="L400" s="12"/>
      <c r="M400" s="14" t="str">
        <f aca="false">IF(OR($C400="",$D400="",$H400="",$B400=""),"",IF(COUNTIFS($C$5:$C$804,$C400,$D$5:$D$804,$D400,$H$5:$H$804,$H400,$B$5:$B$804,$B400)&gt;1,"Takror",""))</f>
        <v/>
      </c>
    </row>
    <row r="401" customFormat="false" ht="15" hidden="false" customHeight="false" outlineLevel="0" collapsed="false">
      <c r="A401" s="8" t="n">
        <v>397</v>
      </c>
      <c r="B401" s="13"/>
      <c r="C401" s="12"/>
      <c r="D401" s="13"/>
      <c r="E401" s="24"/>
      <c r="F401" s="12"/>
      <c r="G401" s="14" t="str">
        <f aca="false">IF(OR($D401="",$B401=""),"",INT(($B401-$D401)/365.25))</f>
        <v/>
      </c>
      <c r="H401" s="12"/>
      <c r="I401" s="12"/>
      <c r="J401" s="25"/>
      <c r="K401" s="13"/>
      <c r="L401" s="12"/>
      <c r="M401" s="14" t="str">
        <f aca="false">IF(OR($C401="",$D401="",$H401="",$B401=""),"",IF(COUNTIFS($C$5:$C$804,$C401,$D$5:$D$804,$D401,$H$5:$H$804,$H401,$B$5:$B$804,$B401)&gt;1,"Takror",""))</f>
        <v/>
      </c>
    </row>
    <row r="402" customFormat="false" ht="15" hidden="false" customHeight="false" outlineLevel="0" collapsed="false">
      <c r="A402" s="8" t="n">
        <v>398</v>
      </c>
      <c r="B402" s="13"/>
      <c r="C402" s="12"/>
      <c r="D402" s="13"/>
      <c r="E402" s="24"/>
      <c r="F402" s="12"/>
      <c r="G402" s="14" t="str">
        <f aca="false">IF(OR($D402="",$B402=""),"",INT(($B402-$D402)/365.25))</f>
        <v/>
      </c>
      <c r="H402" s="12"/>
      <c r="I402" s="12"/>
      <c r="J402" s="25"/>
      <c r="K402" s="13"/>
      <c r="L402" s="12"/>
      <c r="M402" s="14" t="str">
        <f aca="false">IF(OR($C402="",$D402="",$H402="",$B402=""),"",IF(COUNTIFS($C$5:$C$804,$C402,$D$5:$D$804,$D402,$H$5:$H$804,$H402,$B$5:$B$804,$B402)&gt;1,"Takror",""))</f>
        <v/>
      </c>
    </row>
    <row r="403" customFormat="false" ht="15" hidden="false" customHeight="false" outlineLevel="0" collapsed="false">
      <c r="A403" s="8" t="n">
        <v>399</v>
      </c>
      <c r="B403" s="13"/>
      <c r="C403" s="12"/>
      <c r="D403" s="13"/>
      <c r="E403" s="24"/>
      <c r="F403" s="12"/>
      <c r="G403" s="14" t="str">
        <f aca="false">IF(OR($D403="",$B403=""),"",INT(($B403-$D403)/365.25))</f>
        <v/>
      </c>
      <c r="H403" s="12"/>
      <c r="I403" s="12"/>
      <c r="J403" s="25"/>
      <c r="K403" s="13"/>
      <c r="L403" s="12"/>
      <c r="M403" s="14" t="str">
        <f aca="false">IF(OR($C403="",$D403="",$H403="",$B403=""),"",IF(COUNTIFS($C$5:$C$804,$C403,$D$5:$D$804,$D403,$H$5:$H$804,$H403,$B$5:$B$804,$B403)&gt;1,"Takror",""))</f>
        <v/>
      </c>
    </row>
    <row r="404" customFormat="false" ht="15" hidden="false" customHeight="false" outlineLevel="0" collapsed="false">
      <c r="A404" s="8" t="n">
        <v>400</v>
      </c>
      <c r="B404" s="13"/>
      <c r="C404" s="12"/>
      <c r="D404" s="13"/>
      <c r="E404" s="24"/>
      <c r="F404" s="12"/>
      <c r="G404" s="14" t="str">
        <f aca="false">IF(OR($D404="",$B404=""),"",INT(($B404-$D404)/365.25))</f>
        <v/>
      </c>
      <c r="H404" s="12"/>
      <c r="I404" s="12"/>
      <c r="J404" s="25"/>
      <c r="K404" s="13"/>
      <c r="L404" s="12"/>
      <c r="M404" s="14" t="str">
        <f aca="false">IF(OR($C404="",$D404="",$H404="",$B404=""),"",IF(COUNTIFS($C$5:$C$804,$C404,$D$5:$D$804,$D404,$H$5:$H$804,$H404,$B$5:$B$804,$B404)&gt;1,"Takror",""))</f>
        <v/>
      </c>
    </row>
    <row r="405" customFormat="false" ht="15" hidden="false" customHeight="false" outlineLevel="0" collapsed="false">
      <c r="A405" s="8" t="n">
        <v>401</v>
      </c>
      <c r="B405" s="13"/>
      <c r="C405" s="12"/>
      <c r="D405" s="13"/>
      <c r="E405" s="24"/>
      <c r="F405" s="12"/>
      <c r="G405" s="14" t="str">
        <f aca="false">IF(OR($D405="",$B405=""),"",INT(($B405-$D405)/365.25))</f>
        <v/>
      </c>
      <c r="H405" s="12"/>
      <c r="I405" s="12"/>
      <c r="J405" s="25"/>
      <c r="K405" s="13"/>
      <c r="L405" s="12"/>
      <c r="M405" s="14" t="str">
        <f aca="false">IF(OR($C405="",$D405="",$H405="",$B405=""),"",IF(COUNTIFS($C$5:$C$804,$C405,$D$5:$D$804,$D405,$H$5:$H$804,$H405,$B$5:$B$804,$B405)&gt;1,"Takror",""))</f>
        <v/>
      </c>
    </row>
    <row r="406" customFormat="false" ht="15" hidden="false" customHeight="false" outlineLevel="0" collapsed="false">
      <c r="A406" s="8" t="n">
        <v>402</v>
      </c>
      <c r="B406" s="13"/>
      <c r="C406" s="12"/>
      <c r="D406" s="13"/>
      <c r="E406" s="24"/>
      <c r="F406" s="12"/>
      <c r="G406" s="14" t="str">
        <f aca="false">IF(OR($D406="",$B406=""),"",INT(($B406-$D406)/365.25))</f>
        <v/>
      </c>
      <c r="H406" s="12"/>
      <c r="I406" s="12"/>
      <c r="J406" s="25"/>
      <c r="K406" s="13"/>
      <c r="L406" s="12"/>
      <c r="M406" s="14" t="str">
        <f aca="false">IF(OR($C406="",$D406="",$H406="",$B406=""),"",IF(COUNTIFS($C$5:$C$804,$C406,$D$5:$D$804,$D406,$H$5:$H$804,$H406,$B$5:$B$804,$B406)&gt;1,"Takror",""))</f>
        <v/>
      </c>
    </row>
    <row r="407" customFormat="false" ht="15" hidden="false" customHeight="false" outlineLevel="0" collapsed="false">
      <c r="A407" s="8" t="n">
        <v>403</v>
      </c>
      <c r="B407" s="13"/>
      <c r="C407" s="12"/>
      <c r="D407" s="13"/>
      <c r="E407" s="24"/>
      <c r="F407" s="12"/>
      <c r="G407" s="14" t="str">
        <f aca="false">IF(OR($D407="",$B407=""),"",INT(($B407-$D407)/365.25))</f>
        <v/>
      </c>
      <c r="H407" s="12"/>
      <c r="I407" s="12"/>
      <c r="J407" s="25"/>
      <c r="K407" s="13"/>
      <c r="L407" s="12"/>
      <c r="M407" s="14" t="str">
        <f aca="false">IF(OR($C407="",$D407="",$H407="",$B407=""),"",IF(COUNTIFS($C$5:$C$804,$C407,$D$5:$D$804,$D407,$H$5:$H$804,$H407,$B$5:$B$804,$B407)&gt;1,"Takror",""))</f>
        <v/>
      </c>
    </row>
    <row r="408" customFormat="false" ht="15" hidden="false" customHeight="false" outlineLevel="0" collapsed="false">
      <c r="A408" s="8" t="n">
        <v>404</v>
      </c>
      <c r="B408" s="13"/>
      <c r="C408" s="12"/>
      <c r="D408" s="13"/>
      <c r="E408" s="24"/>
      <c r="F408" s="12"/>
      <c r="G408" s="14" t="str">
        <f aca="false">IF(OR($D408="",$B408=""),"",INT(($B408-$D408)/365.25))</f>
        <v/>
      </c>
      <c r="H408" s="12"/>
      <c r="I408" s="12"/>
      <c r="J408" s="25"/>
      <c r="K408" s="13"/>
      <c r="L408" s="12"/>
      <c r="M408" s="14" t="str">
        <f aca="false">IF(OR($C408="",$D408="",$H408="",$B408=""),"",IF(COUNTIFS($C$5:$C$804,$C408,$D$5:$D$804,$D408,$H$5:$H$804,$H408,$B$5:$B$804,$B408)&gt;1,"Takror",""))</f>
        <v/>
      </c>
    </row>
    <row r="409" customFormat="false" ht="15" hidden="false" customHeight="false" outlineLevel="0" collapsed="false">
      <c r="A409" s="8" t="n">
        <v>405</v>
      </c>
      <c r="B409" s="13"/>
      <c r="C409" s="12"/>
      <c r="D409" s="13"/>
      <c r="E409" s="24"/>
      <c r="F409" s="12"/>
      <c r="G409" s="14" t="str">
        <f aca="false">IF(OR($D409="",$B409=""),"",INT(($B409-$D409)/365.25))</f>
        <v/>
      </c>
      <c r="H409" s="12"/>
      <c r="I409" s="12"/>
      <c r="J409" s="25"/>
      <c r="K409" s="13"/>
      <c r="L409" s="12"/>
      <c r="M409" s="14" t="str">
        <f aca="false">IF(OR($C409="",$D409="",$H409="",$B409=""),"",IF(COUNTIFS($C$5:$C$804,$C409,$D$5:$D$804,$D409,$H$5:$H$804,$H409,$B$5:$B$804,$B409)&gt;1,"Takror",""))</f>
        <v/>
      </c>
    </row>
    <row r="410" customFormat="false" ht="15" hidden="false" customHeight="false" outlineLevel="0" collapsed="false">
      <c r="A410" s="8" t="n">
        <v>406</v>
      </c>
      <c r="B410" s="13"/>
      <c r="C410" s="12"/>
      <c r="D410" s="13"/>
      <c r="E410" s="24"/>
      <c r="F410" s="12"/>
      <c r="G410" s="14" t="str">
        <f aca="false">IF(OR($D410="",$B410=""),"",INT(($B410-$D410)/365.25))</f>
        <v/>
      </c>
      <c r="H410" s="12"/>
      <c r="I410" s="12"/>
      <c r="J410" s="25"/>
      <c r="K410" s="13"/>
      <c r="L410" s="12"/>
      <c r="M410" s="14" t="str">
        <f aca="false">IF(OR($C410="",$D410="",$H410="",$B410=""),"",IF(COUNTIFS($C$5:$C$804,$C410,$D$5:$D$804,$D410,$H$5:$H$804,$H410,$B$5:$B$804,$B410)&gt;1,"Takror",""))</f>
        <v/>
      </c>
    </row>
    <row r="411" customFormat="false" ht="15" hidden="false" customHeight="false" outlineLevel="0" collapsed="false">
      <c r="A411" s="8" t="n">
        <v>407</v>
      </c>
      <c r="B411" s="13"/>
      <c r="C411" s="12"/>
      <c r="D411" s="13"/>
      <c r="E411" s="24"/>
      <c r="F411" s="12"/>
      <c r="G411" s="14" t="str">
        <f aca="false">IF(OR($D411="",$B411=""),"",INT(($B411-$D411)/365.25))</f>
        <v/>
      </c>
      <c r="H411" s="12"/>
      <c r="I411" s="12"/>
      <c r="J411" s="25"/>
      <c r="K411" s="13"/>
      <c r="L411" s="12"/>
      <c r="M411" s="14" t="str">
        <f aca="false">IF(OR($C411="",$D411="",$H411="",$B411=""),"",IF(COUNTIFS($C$5:$C$804,$C411,$D$5:$D$804,$D411,$H$5:$H$804,$H411,$B$5:$B$804,$B411)&gt;1,"Takror",""))</f>
        <v/>
      </c>
    </row>
    <row r="412" customFormat="false" ht="15" hidden="false" customHeight="false" outlineLevel="0" collapsed="false">
      <c r="A412" s="8" t="n">
        <v>408</v>
      </c>
      <c r="B412" s="13"/>
      <c r="C412" s="12"/>
      <c r="D412" s="13"/>
      <c r="E412" s="24"/>
      <c r="F412" s="12"/>
      <c r="G412" s="14" t="str">
        <f aca="false">IF(OR($D412="",$B412=""),"",INT(($B412-$D412)/365.25))</f>
        <v/>
      </c>
      <c r="H412" s="12"/>
      <c r="I412" s="12"/>
      <c r="J412" s="25"/>
      <c r="K412" s="13"/>
      <c r="L412" s="12"/>
      <c r="M412" s="14" t="str">
        <f aca="false">IF(OR($C412="",$D412="",$H412="",$B412=""),"",IF(COUNTIFS($C$5:$C$804,$C412,$D$5:$D$804,$D412,$H$5:$H$804,$H412,$B$5:$B$804,$B412)&gt;1,"Takror",""))</f>
        <v/>
      </c>
    </row>
    <row r="413" customFormat="false" ht="15" hidden="false" customHeight="false" outlineLevel="0" collapsed="false">
      <c r="A413" s="8" t="n">
        <v>409</v>
      </c>
      <c r="B413" s="13"/>
      <c r="C413" s="12"/>
      <c r="D413" s="13"/>
      <c r="E413" s="24"/>
      <c r="F413" s="12"/>
      <c r="G413" s="14" t="str">
        <f aca="false">IF(OR($D413="",$B413=""),"",INT(($B413-$D413)/365.25))</f>
        <v/>
      </c>
      <c r="H413" s="12"/>
      <c r="I413" s="12"/>
      <c r="J413" s="25"/>
      <c r="K413" s="13"/>
      <c r="L413" s="12"/>
      <c r="M413" s="14" t="str">
        <f aca="false">IF(OR($C413="",$D413="",$H413="",$B413=""),"",IF(COUNTIFS($C$5:$C$804,$C413,$D$5:$D$804,$D413,$H$5:$H$804,$H413,$B$5:$B$804,$B413)&gt;1,"Takror",""))</f>
        <v/>
      </c>
    </row>
    <row r="414" customFormat="false" ht="15" hidden="false" customHeight="false" outlineLevel="0" collapsed="false">
      <c r="A414" s="8" t="n">
        <v>410</v>
      </c>
      <c r="B414" s="13"/>
      <c r="C414" s="12"/>
      <c r="D414" s="13"/>
      <c r="E414" s="24"/>
      <c r="F414" s="12"/>
      <c r="G414" s="14" t="str">
        <f aca="false">IF(OR($D414="",$B414=""),"",INT(($B414-$D414)/365.25))</f>
        <v/>
      </c>
      <c r="H414" s="12"/>
      <c r="I414" s="12"/>
      <c r="J414" s="25"/>
      <c r="K414" s="13"/>
      <c r="L414" s="12"/>
      <c r="M414" s="14" t="str">
        <f aca="false">IF(OR($C414="",$D414="",$H414="",$B414=""),"",IF(COUNTIFS($C$5:$C$804,$C414,$D$5:$D$804,$D414,$H$5:$H$804,$H414,$B$5:$B$804,$B414)&gt;1,"Takror",""))</f>
        <v/>
      </c>
    </row>
    <row r="415" customFormat="false" ht="15" hidden="false" customHeight="false" outlineLevel="0" collapsed="false">
      <c r="A415" s="8" t="n">
        <v>411</v>
      </c>
      <c r="B415" s="13"/>
      <c r="C415" s="12"/>
      <c r="D415" s="13"/>
      <c r="E415" s="24"/>
      <c r="F415" s="12"/>
      <c r="G415" s="14" t="str">
        <f aca="false">IF(OR($D415="",$B415=""),"",INT(($B415-$D415)/365.25))</f>
        <v/>
      </c>
      <c r="H415" s="12"/>
      <c r="I415" s="12"/>
      <c r="J415" s="25"/>
      <c r="K415" s="13"/>
      <c r="L415" s="12"/>
      <c r="M415" s="14" t="str">
        <f aca="false">IF(OR($C415="",$D415="",$H415="",$B415=""),"",IF(COUNTIFS($C$5:$C$804,$C415,$D$5:$D$804,$D415,$H$5:$H$804,$H415,$B$5:$B$804,$B415)&gt;1,"Takror",""))</f>
        <v/>
      </c>
    </row>
    <row r="416" customFormat="false" ht="15" hidden="false" customHeight="false" outlineLevel="0" collapsed="false">
      <c r="A416" s="8" t="n">
        <v>412</v>
      </c>
      <c r="B416" s="13"/>
      <c r="C416" s="12"/>
      <c r="D416" s="13"/>
      <c r="E416" s="24"/>
      <c r="F416" s="12"/>
      <c r="G416" s="14" t="str">
        <f aca="false">IF(OR($D416="",$B416=""),"",INT(($B416-$D416)/365.25))</f>
        <v/>
      </c>
      <c r="H416" s="12"/>
      <c r="I416" s="12"/>
      <c r="J416" s="25"/>
      <c r="K416" s="13"/>
      <c r="L416" s="12"/>
      <c r="M416" s="14" t="str">
        <f aca="false">IF(OR($C416="",$D416="",$H416="",$B416=""),"",IF(COUNTIFS($C$5:$C$804,$C416,$D$5:$D$804,$D416,$H$5:$H$804,$H416,$B$5:$B$804,$B416)&gt;1,"Takror",""))</f>
        <v/>
      </c>
    </row>
    <row r="417" customFormat="false" ht="15" hidden="false" customHeight="false" outlineLevel="0" collapsed="false">
      <c r="A417" s="8" t="n">
        <v>413</v>
      </c>
      <c r="B417" s="13"/>
      <c r="C417" s="12"/>
      <c r="D417" s="13"/>
      <c r="E417" s="24"/>
      <c r="F417" s="12"/>
      <c r="G417" s="14" t="str">
        <f aca="false">IF(OR($D417="",$B417=""),"",INT(($B417-$D417)/365.25))</f>
        <v/>
      </c>
      <c r="H417" s="12"/>
      <c r="I417" s="12"/>
      <c r="J417" s="25"/>
      <c r="K417" s="13"/>
      <c r="L417" s="12"/>
      <c r="M417" s="14" t="str">
        <f aca="false">IF(OR($C417="",$D417="",$H417="",$B417=""),"",IF(COUNTIFS($C$5:$C$804,$C417,$D$5:$D$804,$D417,$H$5:$H$804,$H417,$B$5:$B$804,$B417)&gt;1,"Takror",""))</f>
        <v/>
      </c>
    </row>
    <row r="418" customFormat="false" ht="15" hidden="false" customHeight="false" outlineLevel="0" collapsed="false">
      <c r="A418" s="8" t="n">
        <v>414</v>
      </c>
      <c r="B418" s="13"/>
      <c r="C418" s="12"/>
      <c r="D418" s="13"/>
      <c r="E418" s="24"/>
      <c r="F418" s="12"/>
      <c r="G418" s="14" t="str">
        <f aca="false">IF(OR($D418="",$B418=""),"",INT(($B418-$D418)/365.25))</f>
        <v/>
      </c>
      <c r="H418" s="12"/>
      <c r="I418" s="12"/>
      <c r="J418" s="25"/>
      <c r="K418" s="13"/>
      <c r="L418" s="12"/>
      <c r="M418" s="14" t="str">
        <f aca="false">IF(OR($C418="",$D418="",$H418="",$B418=""),"",IF(COUNTIFS($C$5:$C$804,$C418,$D$5:$D$804,$D418,$H$5:$H$804,$H418,$B$5:$B$804,$B418)&gt;1,"Takror",""))</f>
        <v/>
      </c>
    </row>
    <row r="419" customFormat="false" ht="15" hidden="false" customHeight="false" outlineLevel="0" collapsed="false">
      <c r="A419" s="8" t="n">
        <v>415</v>
      </c>
      <c r="B419" s="13"/>
      <c r="C419" s="12"/>
      <c r="D419" s="13"/>
      <c r="E419" s="24"/>
      <c r="F419" s="12"/>
      <c r="G419" s="14" t="str">
        <f aca="false">IF(OR($D419="",$B419=""),"",INT(($B419-$D419)/365.25))</f>
        <v/>
      </c>
      <c r="H419" s="12"/>
      <c r="I419" s="12"/>
      <c r="J419" s="25"/>
      <c r="K419" s="13"/>
      <c r="L419" s="12"/>
      <c r="M419" s="14" t="str">
        <f aca="false">IF(OR($C419="",$D419="",$H419="",$B419=""),"",IF(COUNTIFS($C$5:$C$804,$C419,$D$5:$D$804,$D419,$H$5:$H$804,$H419,$B$5:$B$804,$B419)&gt;1,"Takror",""))</f>
        <v/>
      </c>
    </row>
    <row r="420" customFormat="false" ht="15" hidden="false" customHeight="false" outlineLevel="0" collapsed="false">
      <c r="A420" s="8" t="n">
        <v>416</v>
      </c>
      <c r="B420" s="13"/>
      <c r="C420" s="12"/>
      <c r="D420" s="13"/>
      <c r="E420" s="24"/>
      <c r="F420" s="12"/>
      <c r="G420" s="14" t="str">
        <f aca="false">IF(OR($D420="",$B420=""),"",INT(($B420-$D420)/365.25))</f>
        <v/>
      </c>
      <c r="H420" s="12"/>
      <c r="I420" s="12"/>
      <c r="J420" s="25"/>
      <c r="K420" s="13"/>
      <c r="L420" s="12"/>
      <c r="M420" s="14" t="str">
        <f aca="false">IF(OR($C420="",$D420="",$H420="",$B420=""),"",IF(COUNTIFS($C$5:$C$804,$C420,$D$5:$D$804,$D420,$H$5:$H$804,$H420,$B$5:$B$804,$B420)&gt;1,"Takror",""))</f>
        <v/>
      </c>
    </row>
    <row r="421" customFormat="false" ht="15" hidden="false" customHeight="false" outlineLevel="0" collapsed="false">
      <c r="A421" s="8" t="n">
        <v>417</v>
      </c>
      <c r="B421" s="13"/>
      <c r="C421" s="12"/>
      <c r="D421" s="13"/>
      <c r="E421" s="24"/>
      <c r="F421" s="12"/>
      <c r="G421" s="14" t="str">
        <f aca="false">IF(OR($D421="",$B421=""),"",INT(($B421-$D421)/365.25))</f>
        <v/>
      </c>
      <c r="H421" s="12"/>
      <c r="I421" s="12"/>
      <c r="J421" s="25"/>
      <c r="K421" s="13"/>
      <c r="L421" s="12"/>
      <c r="M421" s="14" t="str">
        <f aca="false">IF(OR($C421="",$D421="",$H421="",$B421=""),"",IF(COUNTIFS($C$5:$C$804,$C421,$D$5:$D$804,$D421,$H$5:$H$804,$H421,$B$5:$B$804,$B421)&gt;1,"Takror",""))</f>
        <v/>
      </c>
    </row>
    <row r="422" customFormat="false" ht="15" hidden="false" customHeight="false" outlineLevel="0" collapsed="false">
      <c r="A422" s="8" t="n">
        <v>418</v>
      </c>
      <c r="B422" s="13"/>
      <c r="C422" s="12"/>
      <c r="D422" s="13"/>
      <c r="E422" s="24"/>
      <c r="F422" s="12"/>
      <c r="G422" s="14" t="str">
        <f aca="false">IF(OR($D422="",$B422=""),"",INT(($B422-$D422)/365.25))</f>
        <v/>
      </c>
      <c r="H422" s="12"/>
      <c r="I422" s="12"/>
      <c r="J422" s="25"/>
      <c r="K422" s="13"/>
      <c r="L422" s="12"/>
      <c r="M422" s="14" t="str">
        <f aca="false">IF(OR($C422="",$D422="",$H422="",$B422=""),"",IF(COUNTIFS($C$5:$C$804,$C422,$D$5:$D$804,$D422,$H$5:$H$804,$H422,$B$5:$B$804,$B422)&gt;1,"Takror",""))</f>
        <v/>
      </c>
    </row>
    <row r="423" customFormat="false" ht="15" hidden="false" customHeight="false" outlineLevel="0" collapsed="false">
      <c r="A423" s="8" t="n">
        <v>419</v>
      </c>
      <c r="B423" s="13"/>
      <c r="C423" s="12"/>
      <c r="D423" s="13"/>
      <c r="E423" s="24"/>
      <c r="F423" s="12"/>
      <c r="G423" s="14" t="str">
        <f aca="false">IF(OR($D423="",$B423=""),"",INT(($B423-$D423)/365.25))</f>
        <v/>
      </c>
      <c r="H423" s="12"/>
      <c r="I423" s="12"/>
      <c r="J423" s="25"/>
      <c r="K423" s="13"/>
      <c r="L423" s="12"/>
      <c r="M423" s="14" t="str">
        <f aca="false">IF(OR($C423="",$D423="",$H423="",$B423=""),"",IF(COUNTIFS($C$5:$C$804,$C423,$D$5:$D$804,$D423,$H$5:$H$804,$H423,$B$5:$B$804,$B423)&gt;1,"Takror",""))</f>
        <v/>
      </c>
    </row>
    <row r="424" customFormat="false" ht="15" hidden="false" customHeight="false" outlineLevel="0" collapsed="false">
      <c r="A424" s="8" t="n">
        <v>420</v>
      </c>
      <c r="B424" s="13"/>
      <c r="C424" s="12"/>
      <c r="D424" s="13"/>
      <c r="E424" s="24"/>
      <c r="F424" s="12"/>
      <c r="G424" s="14" t="str">
        <f aca="false">IF(OR($D424="",$B424=""),"",INT(($B424-$D424)/365.25))</f>
        <v/>
      </c>
      <c r="H424" s="12"/>
      <c r="I424" s="12"/>
      <c r="J424" s="25"/>
      <c r="K424" s="13"/>
      <c r="L424" s="12"/>
      <c r="M424" s="14" t="str">
        <f aca="false">IF(OR($C424="",$D424="",$H424="",$B424=""),"",IF(COUNTIFS($C$5:$C$804,$C424,$D$5:$D$804,$D424,$H$5:$H$804,$H424,$B$5:$B$804,$B424)&gt;1,"Takror",""))</f>
        <v/>
      </c>
    </row>
    <row r="425" customFormat="false" ht="15" hidden="false" customHeight="false" outlineLevel="0" collapsed="false">
      <c r="A425" s="8" t="n">
        <v>421</v>
      </c>
      <c r="B425" s="13"/>
      <c r="C425" s="12"/>
      <c r="D425" s="13"/>
      <c r="E425" s="24"/>
      <c r="F425" s="12"/>
      <c r="G425" s="14" t="str">
        <f aca="false">IF(OR($D425="",$B425=""),"",INT(($B425-$D425)/365.25))</f>
        <v/>
      </c>
      <c r="H425" s="12"/>
      <c r="I425" s="12"/>
      <c r="J425" s="25"/>
      <c r="K425" s="13"/>
      <c r="L425" s="12"/>
      <c r="M425" s="14" t="str">
        <f aca="false">IF(OR($C425="",$D425="",$H425="",$B425=""),"",IF(COUNTIFS($C$5:$C$804,$C425,$D$5:$D$804,$D425,$H$5:$H$804,$H425,$B$5:$B$804,$B425)&gt;1,"Takror",""))</f>
        <v/>
      </c>
    </row>
    <row r="426" customFormat="false" ht="15" hidden="false" customHeight="false" outlineLevel="0" collapsed="false">
      <c r="A426" s="8" t="n">
        <v>422</v>
      </c>
      <c r="B426" s="13"/>
      <c r="C426" s="12"/>
      <c r="D426" s="13"/>
      <c r="E426" s="24"/>
      <c r="F426" s="12"/>
      <c r="G426" s="14" t="str">
        <f aca="false">IF(OR($D426="",$B426=""),"",INT(($B426-$D426)/365.25))</f>
        <v/>
      </c>
      <c r="H426" s="12"/>
      <c r="I426" s="12"/>
      <c r="J426" s="25"/>
      <c r="K426" s="13"/>
      <c r="L426" s="12"/>
      <c r="M426" s="14" t="str">
        <f aca="false">IF(OR($C426="",$D426="",$H426="",$B426=""),"",IF(COUNTIFS($C$5:$C$804,$C426,$D$5:$D$804,$D426,$H$5:$H$804,$H426,$B$5:$B$804,$B426)&gt;1,"Takror",""))</f>
        <v/>
      </c>
    </row>
    <row r="427" customFormat="false" ht="15" hidden="false" customHeight="false" outlineLevel="0" collapsed="false">
      <c r="A427" s="8" t="n">
        <v>423</v>
      </c>
      <c r="B427" s="13"/>
      <c r="C427" s="12"/>
      <c r="D427" s="13"/>
      <c r="E427" s="24"/>
      <c r="F427" s="12"/>
      <c r="G427" s="14" t="str">
        <f aca="false">IF(OR($D427="",$B427=""),"",INT(($B427-$D427)/365.25))</f>
        <v/>
      </c>
      <c r="H427" s="12"/>
      <c r="I427" s="12"/>
      <c r="J427" s="25"/>
      <c r="K427" s="13"/>
      <c r="L427" s="12"/>
      <c r="M427" s="14" t="str">
        <f aca="false">IF(OR($C427="",$D427="",$H427="",$B427=""),"",IF(COUNTIFS($C$5:$C$804,$C427,$D$5:$D$804,$D427,$H$5:$H$804,$H427,$B$5:$B$804,$B427)&gt;1,"Takror",""))</f>
        <v/>
      </c>
    </row>
    <row r="428" customFormat="false" ht="15" hidden="false" customHeight="false" outlineLevel="0" collapsed="false">
      <c r="A428" s="8" t="n">
        <v>424</v>
      </c>
      <c r="B428" s="13"/>
      <c r="C428" s="12"/>
      <c r="D428" s="13"/>
      <c r="E428" s="24"/>
      <c r="F428" s="12"/>
      <c r="G428" s="14" t="str">
        <f aca="false">IF(OR($D428="",$B428=""),"",INT(($B428-$D428)/365.25))</f>
        <v/>
      </c>
      <c r="H428" s="12"/>
      <c r="I428" s="12"/>
      <c r="J428" s="25"/>
      <c r="K428" s="13"/>
      <c r="L428" s="12"/>
      <c r="M428" s="14" t="str">
        <f aca="false">IF(OR($C428="",$D428="",$H428="",$B428=""),"",IF(COUNTIFS($C$5:$C$804,$C428,$D$5:$D$804,$D428,$H$5:$H$804,$H428,$B$5:$B$804,$B428)&gt;1,"Takror",""))</f>
        <v/>
      </c>
    </row>
    <row r="429" customFormat="false" ht="15" hidden="false" customHeight="false" outlineLevel="0" collapsed="false">
      <c r="A429" s="8" t="n">
        <v>425</v>
      </c>
      <c r="B429" s="13"/>
      <c r="C429" s="12"/>
      <c r="D429" s="13"/>
      <c r="E429" s="24"/>
      <c r="F429" s="12"/>
      <c r="G429" s="14" t="str">
        <f aca="false">IF(OR($D429="",$B429=""),"",INT(($B429-$D429)/365.25))</f>
        <v/>
      </c>
      <c r="H429" s="12"/>
      <c r="I429" s="12"/>
      <c r="J429" s="25"/>
      <c r="K429" s="13"/>
      <c r="L429" s="12"/>
      <c r="M429" s="14" t="str">
        <f aca="false">IF(OR($C429="",$D429="",$H429="",$B429=""),"",IF(COUNTIFS($C$5:$C$804,$C429,$D$5:$D$804,$D429,$H$5:$H$804,$H429,$B$5:$B$804,$B429)&gt;1,"Takror",""))</f>
        <v/>
      </c>
    </row>
    <row r="430" customFormat="false" ht="15" hidden="false" customHeight="false" outlineLevel="0" collapsed="false">
      <c r="A430" s="8" t="n">
        <v>426</v>
      </c>
      <c r="B430" s="13"/>
      <c r="C430" s="12"/>
      <c r="D430" s="13"/>
      <c r="E430" s="24"/>
      <c r="F430" s="12"/>
      <c r="G430" s="14" t="str">
        <f aca="false">IF(OR($D430="",$B430=""),"",INT(($B430-$D430)/365.25))</f>
        <v/>
      </c>
      <c r="H430" s="12"/>
      <c r="I430" s="12"/>
      <c r="J430" s="25"/>
      <c r="K430" s="13"/>
      <c r="L430" s="12"/>
      <c r="M430" s="14" t="str">
        <f aca="false">IF(OR($C430="",$D430="",$H430="",$B430=""),"",IF(COUNTIFS($C$5:$C$804,$C430,$D$5:$D$804,$D430,$H$5:$H$804,$H430,$B$5:$B$804,$B430)&gt;1,"Takror",""))</f>
        <v/>
      </c>
    </row>
    <row r="431" customFormat="false" ht="15" hidden="false" customHeight="false" outlineLevel="0" collapsed="false">
      <c r="A431" s="8" t="n">
        <v>427</v>
      </c>
      <c r="B431" s="13"/>
      <c r="C431" s="12"/>
      <c r="D431" s="13"/>
      <c r="E431" s="24"/>
      <c r="F431" s="12"/>
      <c r="G431" s="14" t="str">
        <f aca="false">IF(OR($D431="",$B431=""),"",INT(($B431-$D431)/365.25))</f>
        <v/>
      </c>
      <c r="H431" s="12"/>
      <c r="I431" s="12"/>
      <c r="J431" s="25"/>
      <c r="K431" s="13"/>
      <c r="L431" s="12"/>
      <c r="M431" s="14" t="str">
        <f aca="false">IF(OR($C431="",$D431="",$H431="",$B431=""),"",IF(COUNTIFS($C$5:$C$804,$C431,$D$5:$D$804,$D431,$H$5:$H$804,$H431,$B$5:$B$804,$B431)&gt;1,"Takror",""))</f>
        <v/>
      </c>
    </row>
    <row r="432" customFormat="false" ht="15" hidden="false" customHeight="false" outlineLevel="0" collapsed="false">
      <c r="A432" s="8" t="n">
        <v>428</v>
      </c>
      <c r="B432" s="13"/>
      <c r="C432" s="12"/>
      <c r="D432" s="13"/>
      <c r="E432" s="24"/>
      <c r="F432" s="12"/>
      <c r="G432" s="14" t="str">
        <f aca="false">IF(OR($D432="",$B432=""),"",INT(($B432-$D432)/365.25))</f>
        <v/>
      </c>
      <c r="H432" s="12"/>
      <c r="I432" s="12"/>
      <c r="J432" s="25"/>
      <c r="K432" s="13"/>
      <c r="L432" s="12"/>
      <c r="M432" s="14" t="str">
        <f aca="false">IF(OR($C432="",$D432="",$H432="",$B432=""),"",IF(COUNTIFS($C$5:$C$804,$C432,$D$5:$D$804,$D432,$H$5:$H$804,$H432,$B$5:$B$804,$B432)&gt;1,"Takror",""))</f>
        <v/>
      </c>
    </row>
    <row r="433" customFormat="false" ht="15" hidden="false" customHeight="false" outlineLevel="0" collapsed="false">
      <c r="A433" s="8" t="n">
        <v>429</v>
      </c>
      <c r="B433" s="13"/>
      <c r="C433" s="12"/>
      <c r="D433" s="13"/>
      <c r="E433" s="24"/>
      <c r="F433" s="12"/>
      <c r="G433" s="14" t="str">
        <f aca="false">IF(OR($D433="",$B433=""),"",INT(($B433-$D433)/365.25))</f>
        <v/>
      </c>
      <c r="H433" s="12"/>
      <c r="I433" s="12"/>
      <c r="J433" s="25"/>
      <c r="K433" s="13"/>
      <c r="L433" s="12"/>
      <c r="M433" s="14" t="str">
        <f aca="false">IF(OR($C433="",$D433="",$H433="",$B433=""),"",IF(COUNTIFS($C$5:$C$804,$C433,$D$5:$D$804,$D433,$H$5:$H$804,$H433,$B$5:$B$804,$B433)&gt;1,"Takror",""))</f>
        <v/>
      </c>
    </row>
    <row r="434" customFormat="false" ht="15" hidden="false" customHeight="false" outlineLevel="0" collapsed="false">
      <c r="A434" s="8" t="n">
        <v>430</v>
      </c>
      <c r="B434" s="13"/>
      <c r="C434" s="12"/>
      <c r="D434" s="13"/>
      <c r="E434" s="24"/>
      <c r="F434" s="12"/>
      <c r="G434" s="14" t="str">
        <f aca="false">IF(OR($D434="",$B434=""),"",INT(($B434-$D434)/365.25))</f>
        <v/>
      </c>
      <c r="H434" s="12"/>
      <c r="I434" s="12"/>
      <c r="J434" s="25"/>
      <c r="K434" s="13"/>
      <c r="L434" s="12"/>
      <c r="M434" s="14" t="str">
        <f aca="false">IF(OR($C434="",$D434="",$H434="",$B434=""),"",IF(COUNTIFS($C$5:$C$804,$C434,$D$5:$D$804,$D434,$H$5:$H$804,$H434,$B$5:$B$804,$B434)&gt;1,"Takror",""))</f>
        <v/>
      </c>
    </row>
    <row r="435" customFormat="false" ht="15" hidden="false" customHeight="false" outlineLevel="0" collapsed="false">
      <c r="A435" s="8" t="n">
        <v>431</v>
      </c>
      <c r="B435" s="13"/>
      <c r="C435" s="12"/>
      <c r="D435" s="13"/>
      <c r="E435" s="24"/>
      <c r="F435" s="12"/>
      <c r="G435" s="14" t="str">
        <f aca="false">IF(OR($D435="",$B435=""),"",INT(($B435-$D435)/365.25))</f>
        <v/>
      </c>
      <c r="H435" s="12"/>
      <c r="I435" s="12"/>
      <c r="J435" s="25"/>
      <c r="K435" s="13"/>
      <c r="L435" s="12"/>
      <c r="M435" s="14" t="str">
        <f aca="false">IF(OR($C435="",$D435="",$H435="",$B435=""),"",IF(COUNTIFS($C$5:$C$804,$C435,$D$5:$D$804,$D435,$H$5:$H$804,$H435,$B$5:$B$804,$B435)&gt;1,"Takror",""))</f>
        <v/>
      </c>
    </row>
    <row r="436" customFormat="false" ht="15" hidden="false" customHeight="false" outlineLevel="0" collapsed="false">
      <c r="A436" s="8" t="n">
        <v>432</v>
      </c>
      <c r="B436" s="13"/>
      <c r="C436" s="12"/>
      <c r="D436" s="13"/>
      <c r="E436" s="24"/>
      <c r="F436" s="12"/>
      <c r="G436" s="14" t="str">
        <f aca="false">IF(OR($D436="",$B436=""),"",INT(($B436-$D436)/365.25))</f>
        <v/>
      </c>
      <c r="H436" s="12"/>
      <c r="I436" s="12"/>
      <c r="J436" s="25"/>
      <c r="K436" s="13"/>
      <c r="L436" s="12"/>
      <c r="M436" s="14" t="str">
        <f aca="false">IF(OR($C436="",$D436="",$H436="",$B436=""),"",IF(COUNTIFS($C$5:$C$804,$C436,$D$5:$D$804,$D436,$H$5:$H$804,$H436,$B$5:$B$804,$B436)&gt;1,"Takror",""))</f>
        <v/>
      </c>
    </row>
    <row r="437" customFormat="false" ht="15" hidden="false" customHeight="false" outlineLevel="0" collapsed="false">
      <c r="A437" s="8" t="n">
        <v>433</v>
      </c>
      <c r="B437" s="13"/>
      <c r="C437" s="12"/>
      <c r="D437" s="13"/>
      <c r="E437" s="24"/>
      <c r="F437" s="12"/>
      <c r="G437" s="14" t="str">
        <f aca="false">IF(OR($D437="",$B437=""),"",INT(($B437-$D437)/365.25))</f>
        <v/>
      </c>
      <c r="H437" s="12"/>
      <c r="I437" s="12"/>
      <c r="J437" s="25"/>
      <c r="K437" s="13"/>
      <c r="L437" s="12"/>
      <c r="M437" s="14" t="str">
        <f aca="false">IF(OR($C437="",$D437="",$H437="",$B437=""),"",IF(COUNTIFS($C$5:$C$804,$C437,$D$5:$D$804,$D437,$H$5:$H$804,$H437,$B$5:$B$804,$B437)&gt;1,"Takror",""))</f>
        <v/>
      </c>
    </row>
    <row r="438" customFormat="false" ht="15" hidden="false" customHeight="false" outlineLevel="0" collapsed="false">
      <c r="A438" s="8" t="n">
        <v>434</v>
      </c>
      <c r="B438" s="13"/>
      <c r="C438" s="12"/>
      <c r="D438" s="13"/>
      <c r="E438" s="24"/>
      <c r="F438" s="12"/>
      <c r="G438" s="14" t="str">
        <f aca="false">IF(OR($D438="",$B438=""),"",INT(($B438-$D438)/365.25))</f>
        <v/>
      </c>
      <c r="H438" s="12"/>
      <c r="I438" s="12"/>
      <c r="J438" s="25"/>
      <c r="K438" s="13"/>
      <c r="L438" s="12"/>
      <c r="M438" s="14" t="str">
        <f aca="false">IF(OR($C438="",$D438="",$H438="",$B438=""),"",IF(COUNTIFS($C$5:$C$804,$C438,$D$5:$D$804,$D438,$H$5:$H$804,$H438,$B$5:$B$804,$B438)&gt;1,"Takror",""))</f>
        <v/>
      </c>
    </row>
    <row r="439" customFormat="false" ht="15" hidden="false" customHeight="false" outlineLevel="0" collapsed="false">
      <c r="A439" s="8" t="n">
        <v>435</v>
      </c>
      <c r="B439" s="13"/>
      <c r="C439" s="12"/>
      <c r="D439" s="13"/>
      <c r="E439" s="24"/>
      <c r="F439" s="12"/>
      <c r="G439" s="14" t="str">
        <f aca="false">IF(OR($D439="",$B439=""),"",INT(($B439-$D439)/365.25))</f>
        <v/>
      </c>
      <c r="H439" s="12"/>
      <c r="I439" s="12"/>
      <c r="J439" s="25"/>
      <c r="K439" s="13"/>
      <c r="L439" s="12"/>
      <c r="M439" s="14" t="str">
        <f aca="false">IF(OR($C439="",$D439="",$H439="",$B439=""),"",IF(COUNTIFS($C$5:$C$804,$C439,$D$5:$D$804,$D439,$H$5:$H$804,$H439,$B$5:$B$804,$B439)&gt;1,"Takror",""))</f>
        <v/>
      </c>
    </row>
    <row r="440" customFormat="false" ht="15" hidden="false" customHeight="false" outlineLevel="0" collapsed="false">
      <c r="A440" s="8" t="n">
        <v>436</v>
      </c>
      <c r="B440" s="13"/>
      <c r="C440" s="12"/>
      <c r="D440" s="13"/>
      <c r="E440" s="24"/>
      <c r="F440" s="12"/>
      <c r="G440" s="14" t="str">
        <f aca="false">IF(OR($D440="",$B440=""),"",INT(($B440-$D440)/365.25))</f>
        <v/>
      </c>
      <c r="H440" s="12"/>
      <c r="I440" s="12"/>
      <c r="J440" s="25"/>
      <c r="K440" s="13"/>
      <c r="L440" s="12"/>
      <c r="M440" s="14" t="str">
        <f aca="false">IF(OR($C440="",$D440="",$H440="",$B440=""),"",IF(COUNTIFS($C$5:$C$804,$C440,$D$5:$D$804,$D440,$H$5:$H$804,$H440,$B$5:$B$804,$B440)&gt;1,"Takror",""))</f>
        <v/>
      </c>
    </row>
    <row r="441" customFormat="false" ht="15" hidden="false" customHeight="false" outlineLevel="0" collapsed="false">
      <c r="A441" s="8" t="n">
        <v>437</v>
      </c>
      <c r="B441" s="13"/>
      <c r="C441" s="12"/>
      <c r="D441" s="13"/>
      <c r="E441" s="24"/>
      <c r="F441" s="12"/>
      <c r="G441" s="14" t="str">
        <f aca="false">IF(OR($D441="",$B441=""),"",INT(($B441-$D441)/365.25))</f>
        <v/>
      </c>
      <c r="H441" s="12"/>
      <c r="I441" s="12"/>
      <c r="J441" s="25"/>
      <c r="K441" s="13"/>
      <c r="L441" s="12"/>
      <c r="M441" s="14" t="str">
        <f aca="false">IF(OR($C441="",$D441="",$H441="",$B441=""),"",IF(COUNTIFS($C$5:$C$804,$C441,$D$5:$D$804,$D441,$H$5:$H$804,$H441,$B$5:$B$804,$B441)&gt;1,"Takror",""))</f>
        <v/>
      </c>
    </row>
    <row r="442" customFormat="false" ht="15" hidden="false" customHeight="false" outlineLevel="0" collapsed="false">
      <c r="A442" s="8" t="n">
        <v>438</v>
      </c>
      <c r="B442" s="13"/>
      <c r="C442" s="12"/>
      <c r="D442" s="13"/>
      <c r="E442" s="24"/>
      <c r="F442" s="12"/>
      <c r="G442" s="14" t="str">
        <f aca="false">IF(OR($D442="",$B442=""),"",INT(($B442-$D442)/365.25))</f>
        <v/>
      </c>
      <c r="H442" s="12"/>
      <c r="I442" s="12"/>
      <c r="J442" s="25"/>
      <c r="K442" s="13"/>
      <c r="L442" s="12"/>
      <c r="M442" s="14" t="str">
        <f aca="false">IF(OR($C442="",$D442="",$H442="",$B442=""),"",IF(COUNTIFS($C$5:$C$804,$C442,$D$5:$D$804,$D442,$H$5:$H$804,$H442,$B$5:$B$804,$B442)&gt;1,"Takror",""))</f>
        <v/>
      </c>
    </row>
    <row r="443" customFormat="false" ht="15" hidden="false" customHeight="false" outlineLevel="0" collapsed="false">
      <c r="A443" s="8" t="n">
        <v>439</v>
      </c>
      <c r="B443" s="13"/>
      <c r="C443" s="12"/>
      <c r="D443" s="13"/>
      <c r="E443" s="24"/>
      <c r="F443" s="12"/>
      <c r="G443" s="14" t="str">
        <f aca="false">IF(OR($D443="",$B443=""),"",INT(($B443-$D443)/365.25))</f>
        <v/>
      </c>
      <c r="H443" s="12"/>
      <c r="I443" s="12"/>
      <c r="J443" s="25"/>
      <c r="K443" s="13"/>
      <c r="L443" s="12"/>
      <c r="M443" s="14" t="str">
        <f aca="false">IF(OR($C443="",$D443="",$H443="",$B443=""),"",IF(COUNTIFS($C$5:$C$804,$C443,$D$5:$D$804,$D443,$H$5:$H$804,$H443,$B$5:$B$804,$B443)&gt;1,"Takror",""))</f>
        <v/>
      </c>
    </row>
    <row r="444" customFormat="false" ht="15" hidden="false" customHeight="false" outlineLevel="0" collapsed="false">
      <c r="A444" s="8" t="n">
        <v>440</v>
      </c>
      <c r="B444" s="13"/>
      <c r="C444" s="12"/>
      <c r="D444" s="13"/>
      <c r="E444" s="24"/>
      <c r="F444" s="12"/>
      <c r="G444" s="14" t="str">
        <f aca="false">IF(OR($D444="",$B444=""),"",INT(($B444-$D444)/365.25))</f>
        <v/>
      </c>
      <c r="H444" s="12"/>
      <c r="I444" s="12"/>
      <c r="J444" s="25"/>
      <c r="K444" s="13"/>
      <c r="L444" s="12"/>
      <c r="M444" s="14" t="str">
        <f aca="false">IF(OR($C444="",$D444="",$H444="",$B444=""),"",IF(COUNTIFS($C$5:$C$804,$C444,$D$5:$D$804,$D444,$H$5:$H$804,$H444,$B$5:$B$804,$B444)&gt;1,"Takror",""))</f>
        <v/>
      </c>
    </row>
    <row r="445" customFormat="false" ht="15" hidden="false" customHeight="false" outlineLevel="0" collapsed="false">
      <c r="A445" s="8" t="n">
        <v>441</v>
      </c>
      <c r="B445" s="13"/>
      <c r="C445" s="12"/>
      <c r="D445" s="13"/>
      <c r="E445" s="24"/>
      <c r="F445" s="12"/>
      <c r="G445" s="14" t="str">
        <f aca="false">IF(OR($D445="",$B445=""),"",INT(($B445-$D445)/365.25))</f>
        <v/>
      </c>
      <c r="H445" s="12"/>
      <c r="I445" s="12"/>
      <c r="J445" s="25"/>
      <c r="K445" s="13"/>
      <c r="L445" s="12"/>
      <c r="M445" s="14" t="str">
        <f aca="false">IF(OR($C445="",$D445="",$H445="",$B445=""),"",IF(COUNTIFS($C$5:$C$804,$C445,$D$5:$D$804,$D445,$H$5:$H$804,$H445,$B$5:$B$804,$B445)&gt;1,"Takror",""))</f>
        <v/>
      </c>
    </row>
    <row r="446" customFormat="false" ht="15" hidden="false" customHeight="false" outlineLevel="0" collapsed="false">
      <c r="A446" s="8" t="n">
        <v>442</v>
      </c>
      <c r="B446" s="13"/>
      <c r="C446" s="12"/>
      <c r="D446" s="13"/>
      <c r="E446" s="24"/>
      <c r="F446" s="12"/>
      <c r="G446" s="14" t="str">
        <f aca="false">IF(OR($D446="",$B446=""),"",INT(($B446-$D446)/365.25))</f>
        <v/>
      </c>
      <c r="H446" s="12"/>
      <c r="I446" s="12"/>
      <c r="J446" s="25"/>
      <c r="K446" s="13"/>
      <c r="L446" s="12"/>
      <c r="M446" s="14" t="str">
        <f aca="false">IF(OR($C446="",$D446="",$H446="",$B446=""),"",IF(COUNTIFS($C$5:$C$804,$C446,$D$5:$D$804,$D446,$H$5:$H$804,$H446,$B$5:$B$804,$B446)&gt;1,"Takror",""))</f>
        <v/>
      </c>
    </row>
    <row r="447" customFormat="false" ht="15" hidden="false" customHeight="false" outlineLevel="0" collapsed="false">
      <c r="A447" s="8" t="n">
        <v>443</v>
      </c>
      <c r="B447" s="13"/>
      <c r="C447" s="12"/>
      <c r="D447" s="13"/>
      <c r="E447" s="24"/>
      <c r="F447" s="12"/>
      <c r="G447" s="14" t="str">
        <f aca="false">IF(OR($D447="",$B447=""),"",INT(($B447-$D447)/365.25))</f>
        <v/>
      </c>
      <c r="H447" s="12"/>
      <c r="I447" s="12"/>
      <c r="J447" s="25"/>
      <c r="K447" s="13"/>
      <c r="L447" s="12"/>
      <c r="M447" s="14" t="str">
        <f aca="false">IF(OR($C447="",$D447="",$H447="",$B447=""),"",IF(COUNTIFS($C$5:$C$804,$C447,$D$5:$D$804,$D447,$H$5:$H$804,$H447,$B$5:$B$804,$B447)&gt;1,"Takror",""))</f>
        <v/>
      </c>
    </row>
    <row r="448" customFormat="false" ht="15" hidden="false" customHeight="false" outlineLevel="0" collapsed="false">
      <c r="A448" s="8" t="n">
        <v>444</v>
      </c>
      <c r="B448" s="13"/>
      <c r="C448" s="12"/>
      <c r="D448" s="13"/>
      <c r="E448" s="24"/>
      <c r="F448" s="12"/>
      <c r="G448" s="14" t="str">
        <f aca="false">IF(OR($D448="",$B448=""),"",INT(($B448-$D448)/365.25))</f>
        <v/>
      </c>
      <c r="H448" s="12"/>
      <c r="I448" s="12"/>
      <c r="J448" s="25"/>
      <c r="K448" s="13"/>
      <c r="L448" s="12"/>
      <c r="M448" s="14" t="str">
        <f aca="false">IF(OR($C448="",$D448="",$H448="",$B448=""),"",IF(COUNTIFS($C$5:$C$804,$C448,$D$5:$D$804,$D448,$H$5:$H$804,$H448,$B$5:$B$804,$B448)&gt;1,"Takror",""))</f>
        <v/>
      </c>
    </row>
    <row r="449" customFormat="false" ht="15" hidden="false" customHeight="false" outlineLevel="0" collapsed="false">
      <c r="A449" s="8" t="n">
        <v>445</v>
      </c>
      <c r="B449" s="13"/>
      <c r="C449" s="12"/>
      <c r="D449" s="13"/>
      <c r="E449" s="24"/>
      <c r="F449" s="12"/>
      <c r="G449" s="14" t="str">
        <f aca="false">IF(OR($D449="",$B449=""),"",INT(($B449-$D449)/365.25))</f>
        <v/>
      </c>
      <c r="H449" s="12"/>
      <c r="I449" s="12"/>
      <c r="J449" s="25"/>
      <c r="K449" s="13"/>
      <c r="L449" s="12"/>
      <c r="M449" s="14" t="str">
        <f aca="false">IF(OR($C449="",$D449="",$H449="",$B449=""),"",IF(COUNTIFS($C$5:$C$804,$C449,$D$5:$D$804,$D449,$H$5:$H$804,$H449,$B$5:$B$804,$B449)&gt;1,"Takror",""))</f>
        <v/>
      </c>
    </row>
    <row r="450" customFormat="false" ht="15" hidden="false" customHeight="false" outlineLevel="0" collapsed="false">
      <c r="A450" s="8" t="n">
        <v>446</v>
      </c>
      <c r="B450" s="13"/>
      <c r="C450" s="12"/>
      <c r="D450" s="13"/>
      <c r="E450" s="24"/>
      <c r="F450" s="12"/>
      <c r="G450" s="14" t="str">
        <f aca="false">IF(OR($D450="",$B450=""),"",INT(($B450-$D450)/365.25))</f>
        <v/>
      </c>
      <c r="H450" s="12"/>
      <c r="I450" s="12"/>
      <c r="J450" s="25"/>
      <c r="K450" s="13"/>
      <c r="L450" s="12"/>
      <c r="M450" s="14" t="str">
        <f aca="false">IF(OR($C450="",$D450="",$H450="",$B450=""),"",IF(COUNTIFS($C$5:$C$804,$C450,$D$5:$D$804,$D450,$H$5:$H$804,$H450,$B$5:$B$804,$B450)&gt;1,"Takror",""))</f>
        <v/>
      </c>
    </row>
    <row r="451" customFormat="false" ht="15" hidden="false" customHeight="false" outlineLevel="0" collapsed="false">
      <c r="A451" s="8" t="n">
        <v>447</v>
      </c>
      <c r="B451" s="13"/>
      <c r="C451" s="12"/>
      <c r="D451" s="13"/>
      <c r="E451" s="24"/>
      <c r="F451" s="12"/>
      <c r="G451" s="14" t="str">
        <f aca="false">IF(OR($D451="",$B451=""),"",INT(($B451-$D451)/365.25))</f>
        <v/>
      </c>
      <c r="H451" s="12"/>
      <c r="I451" s="12"/>
      <c r="J451" s="25"/>
      <c r="K451" s="13"/>
      <c r="L451" s="12"/>
      <c r="M451" s="14" t="str">
        <f aca="false">IF(OR($C451="",$D451="",$H451="",$B451=""),"",IF(COUNTIFS($C$5:$C$804,$C451,$D$5:$D$804,$D451,$H$5:$H$804,$H451,$B$5:$B$804,$B451)&gt;1,"Takror",""))</f>
        <v/>
      </c>
    </row>
    <row r="452" customFormat="false" ht="15" hidden="false" customHeight="false" outlineLevel="0" collapsed="false">
      <c r="A452" s="8" t="n">
        <v>448</v>
      </c>
      <c r="B452" s="13"/>
      <c r="C452" s="12"/>
      <c r="D452" s="13"/>
      <c r="E452" s="24"/>
      <c r="F452" s="12"/>
      <c r="G452" s="14" t="str">
        <f aca="false">IF(OR($D452="",$B452=""),"",INT(($B452-$D452)/365.25))</f>
        <v/>
      </c>
      <c r="H452" s="12"/>
      <c r="I452" s="12"/>
      <c r="J452" s="25"/>
      <c r="K452" s="13"/>
      <c r="L452" s="12"/>
      <c r="M452" s="14" t="str">
        <f aca="false">IF(OR($C452="",$D452="",$H452="",$B452=""),"",IF(COUNTIFS($C$5:$C$804,$C452,$D$5:$D$804,$D452,$H$5:$H$804,$H452,$B$5:$B$804,$B452)&gt;1,"Takror",""))</f>
        <v/>
      </c>
    </row>
    <row r="453" customFormat="false" ht="15" hidden="false" customHeight="false" outlineLevel="0" collapsed="false">
      <c r="A453" s="8" t="n">
        <v>449</v>
      </c>
      <c r="B453" s="13"/>
      <c r="C453" s="12"/>
      <c r="D453" s="13"/>
      <c r="E453" s="24"/>
      <c r="F453" s="12"/>
      <c r="G453" s="14" t="str">
        <f aca="false">IF(OR($D453="",$B453=""),"",INT(($B453-$D453)/365.25))</f>
        <v/>
      </c>
      <c r="H453" s="12"/>
      <c r="I453" s="12"/>
      <c r="J453" s="25"/>
      <c r="K453" s="13"/>
      <c r="L453" s="12"/>
      <c r="M453" s="14" t="str">
        <f aca="false">IF(OR($C453="",$D453="",$H453="",$B453=""),"",IF(COUNTIFS($C$5:$C$804,$C453,$D$5:$D$804,$D453,$H$5:$H$804,$H453,$B$5:$B$804,$B453)&gt;1,"Takror",""))</f>
        <v/>
      </c>
    </row>
    <row r="454" customFormat="false" ht="15" hidden="false" customHeight="false" outlineLevel="0" collapsed="false">
      <c r="A454" s="8" t="n">
        <v>450</v>
      </c>
      <c r="B454" s="13"/>
      <c r="C454" s="12"/>
      <c r="D454" s="13"/>
      <c r="E454" s="24"/>
      <c r="F454" s="12"/>
      <c r="G454" s="14" t="str">
        <f aca="false">IF(OR($D454="",$B454=""),"",INT(($B454-$D454)/365.25))</f>
        <v/>
      </c>
      <c r="H454" s="12"/>
      <c r="I454" s="12"/>
      <c r="J454" s="25"/>
      <c r="K454" s="13"/>
      <c r="L454" s="12"/>
      <c r="M454" s="14" t="str">
        <f aca="false">IF(OR($C454="",$D454="",$H454="",$B454=""),"",IF(COUNTIFS($C$5:$C$804,$C454,$D$5:$D$804,$D454,$H$5:$H$804,$H454,$B$5:$B$804,$B454)&gt;1,"Takror",""))</f>
        <v/>
      </c>
    </row>
    <row r="455" customFormat="false" ht="15" hidden="false" customHeight="false" outlineLevel="0" collapsed="false">
      <c r="A455" s="8" t="n">
        <v>451</v>
      </c>
      <c r="B455" s="13"/>
      <c r="C455" s="12"/>
      <c r="D455" s="13"/>
      <c r="E455" s="24"/>
      <c r="F455" s="12"/>
      <c r="G455" s="14" t="str">
        <f aca="false">IF(OR($D455="",$B455=""),"",INT(($B455-$D455)/365.25))</f>
        <v/>
      </c>
      <c r="H455" s="12"/>
      <c r="I455" s="12"/>
      <c r="J455" s="25"/>
      <c r="K455" s="13"/>
      <c r="L455" s="12"/>
      <c r="M455" s="14" t="str">
        <f aca="false">IF(OR($C455="",$D455="",$H455="",$B455=""),"",IF(COUNTIFS($C$5:$C$804,$C455,$D$5:$D$804,$D455,$H$5:$H$804,$H455,$B$5:$B$804,$B455)&gt;1,"Takror",""))</f>
        <v/>
      </c>
    </row>
    <row r="456" customFormat="false" ht="15" hidden="false" customHeight="false" outlineLevel="0" collapsed="false">
      <c r="A456" s="8" t="n">
        <v>452</v>
      </c>
      <c r="B456" s="13"/>
      <c r="C456" s="12"/>
      <c r="D456" s="13"/>
      <c r="E456" s="24"/>
      <c r="F456" s="12"/>
      <c r="G456" s="14" t="str">
        <f aca="false">IF(OR($D456="",$B456=""),"",INT(($B456-$D456)/365.25))</f>
        <v/>
      </c>
      <c r="H456" s="12"/>
      <c r="I456" s="12"/>
      <c r="J456" s="25"/>
      <c r="K456" s="13"/>
      <c r="L456" s="12"/>
      <c r="M456" s="14" t="str">
        <f aca="false">IF(OR($C456="",$D456="",$H456="",$B456=""),"",IF(COUNTIFS($C$5:$C$804,$C456,$D$5:$D$804,$D456,$H$5:$H$804,$H456,$B$5:$B$804,$B456)&gt;1,"Takror",""))</f>
        <v/>
      </c>
    </row>
    <row r="457" customFormat="false" ht="15" hidden="false" customHeight="false" outlineLevel="0" collapsed="false">
      <c r="A457" s="8" t="n">
        <v>453</v>
      </c>
      <c r="B457" s="13"/>
      <c r="C457" s="12"/>
      <c r="D457" s="13"/>
      <c r="E457" s="24"/>
      <c r="F457" s="12"/>
      <c r="G457" s="14" t="str">
        <f aca="false">IF(OR($D457="",$B457=""),"",INT(($B457-$D457)/365.25))</f>
        <v/>
      </c>
      <c r="H457" s="12"/>
      <c r="I457" s="12"/>
      <c r="J457" s="25"/>
      <c r="K457" s="13"/>
      <c r="L457" s="12"/>
      <c r="M457" s="14" t="str">
        <f aca="false">IF(OR($C457="",$D457="",$H457="",$B457=""),"",IF(COUNTIFS($C$5:$C$804,$C457,$D$5:$D$804,$D457,$H$5:$H$804,$H457,$B$5:$B$804,$B457)&gt;1,"Takror",""))</f>
        <v/>
      </c>
    </row>
    <row r="458" customFormat="false" ht="15" hidden="false" customHeight="false" outlineLevel="0" collapsed="false">
      <c r="A458" s="8" t="n">
        <v>454</v>
      </c>
      <c r="B458" s="13"/>
      <c r="C458" s="12"/>
      <c r="D458" s="13"/>
      <c r="E458" s="24"/>
      <c r="F458" s="12"/>
      <c r="G458" s="14" t="str">
        <f aca="false">IF(OR($D458="",$B458=""),"",INT(($B458-$D458)/365.25))</f>
        <v/>
      </c>
      <c r="H458" s="12"/>
      <c r="I458" s="12"/>
      <c r="J458" s="25"/>
      <c r="K458" s="13"/>
      <c r="L458" s="12"/>
      <c r="M458" s="14" t="str">
        <f aca="false">IF(OR($C458="",$D458="",$H458="",$B458=""),"",IF(COUNTIFS($C$5:$C$804,$C458,$D$5:$D$804,$D458,$H$5:$H$804,$H458,$B$5:$B$804,$B458)&gt;1,"Takror",""))</f>
        <v/>
      </c>
    </row>
    <row r="459" customFormat="false" ht="15" hidden="false" customHeight="false" outlineLevel="0" collapsed="false">
      <c r="A459" s="8" t="n">
        <v>455</v>
      </c>
      <c r="B459" s="13"/>
      <c r="C459" s="12"/>
      <c r="D459" s="13"/>
      <c r="E459" s="24"/>
      <c r="F459" s="12"/>
      <c r="G459" s="14" t="str">
        <f aca="false">IF(OR($D459="",$B459=""),"",INT(($B459-$D459)/365.25))</f>
        <v/>
      </c>
      <c r="H459" s="12"/>
      <c r="I459" s="12"/>
      <c r="J459" s="25"/>
      <c r="K459" s="13"/>
      <c r="L459" s="12"/>
      <c r="M459" s="14" t="str">
        <f aca="false">IF(OR($C459="",$D459="",$H459="",$B459=""),"",IF(COUNTIFS($C$5:$C$804,$C459,$D$5:$D$804,$D459,$H$5:$H$804,$H459,$B$5:$B$804,$B459)&gt;1,"Takror",""))</f>
        <v/>
      </c>
    </row>
    <row r="460" customFormat="false" ht="15" hidden="false" customHeight="false" outlineLevel="0" collapsed="false">
      <c r="A460" s="8" t="n">
        <v>456</v>
      </c>
      <c r="B460" s="13"/>
      <c r="C460" s="12"/>
      <c r="D460" s="13"/>
      <c r="E460" s="24"/>
      <c r="F460" s="12"/>
      <c r="G460" s="14" t="str">
        <f aca="false">IF(OR($D460="",$B460=""),"",INT(($B460-$D460)/365.25))</f>
        <v/>
      </c>
      <c r="H460" s="12"/>
      <c r="I460" s="12"/>
      <c r="J460" s="25"/>
      <c r="K460" s="13"/>
      <c r="L460" s="12"/>
      <c r="M460" s="14" t="str">
        <f aca="false">IF(OR($C460="",$D460="",$H460="",$B460=""),"",IF(COUNTIFS($C$5:$C$804,$C460,$D$5:$D$804,$D460,$H$5:$H$804,$H460,$B$5:$B$804,$B460)&gt;1,"Takror",""))</f>
        <v/>
      </c>
    </row>
    <row r="461" customFormat="false" ht="15" hidden="false" customHeight="false" outlineLevel="0" collapsed="false">
      <c r="A461" s="8" t="n">
        <v>457</v>
      </c>
      <c r="B461" s="13"/>
      <c r="C461" s="12"/>
      <c r="D461" s="13"/>
      <c r="E461" s="24"/>
      <c r="F461" s="12"/>
      <c r="G461" s="14" t="str">
        <f aca="false">IF(OR($D461="",$B461=""),"",INT(($B461-$D461)/365.25))</f>
        <v/>
      </c>
      <c r="H461" s="12"/>
      <c r="I461" s="12"/>
      <c r="J461" s="25"/>
      <c r="K461" s="13"/>
      <c r="L461" s="12"/>
      <c r="M461" s="14" t="str">
        <f aca="false">IF(OR($C461="",$D461="",$H461="",$B461=""),"",IF(COUNTIFS($C$5:$C$804,$C461,$D$5:$D$804,$D461,$H$5:$H$804,$H461,$B$5:$B$804,$B461)&gt;1,"Takror",""))</f>
        <v/>
      </c>
    </row>
    <row r="462" customFormat="false" ht="15" hidden="false" customHeight="false" outlineLevel="0" collapsed="false">
      <c r="A462" s="8" t="n">
        <v>458</v>
      </c>
      <c r="B462" s="13"/>
      <c r="C462" s="12"/>
      <c r="D462" s="13"/>
      <c r="E462" s="24"/>
      <c r="F462" s="12"/>
      <c r="G462" s="14" t="str">
        <f aca="false">IF(OR($D462="",$B462=""),"",INT(($B462-$D462)/365.25))</f>
        <v/>
      </c>
      <c r="H462" s="12"/>
      <c r="I462" s="12"/>
      <c r="J462" s="25"/>
      <c r="K462" s="13"/>
      <c r="L462" s="12"/>
      <c r="M462" s="14" t="str">
        <f aca="false">IF(OR($C462="",$D462="",$H462="",$B462=""),"",IF(COUNTIFS($C$5:$C$804,$C462,$D$5:$D$804,$D462,$H$5:$H$804,$H462,$B$5:$B$804,$B462)&gt;1,"Takror",""))</f>
        <v/>
      </c>
    </row>
    <row r="463" customFormat="false" ht="15" hidden="false" customHeight="false" outlineLevel="0" collapsed="false">
      <c r="A463" s="8" t="n">
        <v>459</v>
      </c>
      <c r="B463" s="13"/>
      <c r="C463" s="12"/>
      <c r="D463" s="13"/>
      <c r="E463" s="24"/>
      <c r="F463" s="12"/>
      <c r="G463" s="14" t="str">
        <f aca="false">IF(OR($D463="",$B463=""),"",INT(($B463-$D463)/365.25))</f>
        <v/>
      </c>
      <c r="H463" s="12"/>
      <c r="I463" s="12"/>
      <c r="J463" s="25"/>
      <c r="K463" s="13"/>
      <c r="L463" s="12"/>
      <c r="M463" s="14" t="str">
        <f aca="false">IF(OR($C463="",$D463="",$H463="",$B463=""),"",IF(COUNTIFS($C$5:$C$804,$C463,$D$5:$D$804,$D463,$H$5:$H$804,$H463,$B$5:$B$804,$B463)&gt;1,"Takror",""))</f>
        <v/>
      </c>
    </row>
    <row r="464" customFormat="false" ht="15" hidden="false" customHeight="false" outlineLevel="0" collapsed="false">
      <c r="A464" s="8" t="n">
        <v>460</v>
      </c>
      <c r="B464" s="13"/>
      <c r="C464" s="12"/>
      <c r="D464" s="13"/>
      <c r="E464" s="24"/>
      <c r="F464" s="12"/>
      <c r="G464" s="14" t="str">
        <f aca="false">IF(OR($D464="",$B464=""),"",INT(($B464-$D464)/365.25))</f>
        <v/>
      </c>
      <c r="H464" s="12"/>
      <c r="I464" s="12"/>
      <c r="J464" s="25"/>
      <c r="K464" s="13"/>
      <c r="L464" s="12"/>
      <c r="M464" s="14" t="str">
        <f aca="false">IF(OR($C464="",$D464="",$H464="",$B464=""),"",IF(COUNTIFS($C$5:$C$804,$C464,$D$5:$D$804,$D464,$H$5:$H$804,$H464,$B$5:$B$804,$B464)&gt;1,"Takror",""))</f>
        <v/>
      </c>
    </row>
    <row r="465" customFormat="false" ht="15" hidden="false" customHeight="false" outlineLevel="0" collapsed="false">
      <c r="A465" s="8" t="n">
        <v>461</v>
      </c>
      <c r="B465" s="13"/>
      <c r="C465" s="12"/>
      <c r="D465" s="13"/>
      <c r="E465" s="24"/>
      <c r="F465" s="12"/>
      <c r="G465" s="14" t="str">
        <f aca="false">IF(OR($D465="",$B465=""),"",INT(($B465-$D465)/365.25))</f>
        <v/>
      </c>
      <c r="H465" s="12"/>
      <c r="I465" s="12"/>
      <c r="J465" s="25"/>
      <c r="K465" s="13"/>
      <c r="L465" s="12"/>
      <c r="M465" s="14" t="str">
        <f aca="false">IF(OR($C465="",$D465="",$H465="",$B465=""),"",IF(COUNTIFS($C$5:$C$804,$C465,$D$5:$D$804,$D465,$H$5:$H$804,$H465,$B$5:$B$804,$B465)&gt;1,"Takror",""))</f>
        <v/>
      </c>
    </row>
    <row r="466" customFormat="false" ht="15" hidden="false" customHeight="false" outlineLevel="0" collapsed="false">
      <c r="A466" s="8" t="n">
        <v>462</v>
      </c>
      <c r="B466" s="13"/>
      <c r="C466" s="12"/>
      <c r="D466" s="13"/>
      <c r="E466" s="24"/>
      <c r="F466" s="12"/>
      <c r="G466" s="14" t="str">
        <f aca="false">IF(OR($D466="",$B466=""),"",INT(($B466-$D466)/365.25))</f>
        <v/>
      </c>
      <c r="H466" s="12"/>
      <c r="I466" s="12"/>
      <c r="J466" s="25"/>
      <c r="K466" s="13"/>
      <c r="L466" s="12"/>
      <c r="M466" s="14" t="str">
        <f aca="false">IF(OR($C466="",$D466="",$H466="",$B466=""),"",IF(COUNTIFS($C$5:$C$804,$C466,$D$5:$D$804,$D466,$H$5:$H$804,$H466,$B$5:$B$804,$B466)&gt;1,"Takror",""))</f>
        <v/>
      </c>
    </row>
    <row r="467" customFormat="false" ht="15" hidden="false" customHeight="false" outlineLevel="0" collapsed="false">
      <c r="A467" s="8" t="n">
        <v>463</v>
      </c>
      <c r="B467" s="13"/>
      <c r="C467" s="12"/>
      <c r="D467" s="13"/>
      <c r="E467" s="24"/>
      <c r="F467" s="12"/>
      <c r="G467" s="14" t="str">
        <f aca="false">IF(OR($D467="",$B467=""),"",INT(($B467-$D467)/365.25))</f>
        <v/>
      </c>
      <c r="H467" s="12"/>
      <c r="I467" s="12"/>
      <c r="J467" s="25"/>
      <c r="K467" s="13"/>
      <c r="L467" s="12"/>
      <c r="M467" s="14" t="str">
        <f aca="false">IF(OR($C467="",$D467="",$H467="",$B467=""),"",IF(COUNTIFS($C$5:$C$804,$C467,$D$5:$D$804,$D467,$H$5:$H$804,$H467,$B$5:$B$804,$B467)&gt;1,"Takror",""))</f>
        <v/>
      </c>
    </row>
    <row r="468" customFormat="false" ht="15" hidden="false" customHeight="false" outlineLevel="0" collapsed="false">
      <c r="A468" s="8" t="n">
        <v>464</v>
      </c>
      <c r="B468" s="13"/>
      <c r="C468" s="12"/>
      <c r="D468" s="13"/>
      <c r="E468" s="24"/>
      <c r="F468" s="12"/>
      <c r="G468" s="14" t="str">
        <f aca="false">IF(OR($D468="",$B468=""),"",INT(($B468-$D468)/365.25))</f>
        <v/>
      </c>
      <c r="H468" s="12"/>
      <c r="I468" s="12"/>
      <c r="J468" s="25"/>
      <c r="K468" s="13"/>
      <c r="L468" s="12"/>
      <c r="M468" s="14" t="str">
        <f aca="false">IF(OR($C468="",$D468="",$H468="",$B468=""),"",IF(COUNTIFS($C$5:$C$804,$C468,$D$5:$D$804,$D468,$H$5:$H$804,$H468,$B$5:$B$804,$B468)&gt;1,"Takror",""))</f>
        <v/>
      </c>
    </row>
    <row r="469" customFormat="false" ht="15" hidden="false" customHeight="false" outlineLevel="0" collapsed="false">
      <c r="A469" s="8" t="n">
        <v>465</v>
      </c>
      <c r="B469" s="13"/>
      <c r="C469" s="12"/>
      <c r="D469" s="13"/>
      <c r="E469" s="24"/>
      <c r="F469" s="12"/>
      <c r="G469" s="14" t="str">
        <f aca="false">IF(OR($D469="",$B469=""),"",INT(($B469-$D469)/365.25))</f>
        <v/>
      </c>
      <c r="H469" s="12"/>
      <c r="I469" s="12"/>
      <c r="J469" s="25"/>
      <c r="K469" s="13"/>
      <c r="L469" s="12"/>
      <c r="M469" s="14" t="str">
        <f aca="false">IF(OR($C469="",$D469="",$H469="",$B469=""),"",IF(COUNTIFS($C$5:$C$804,$C469,$D$5:$D$804,$D469,$H$5:$H$804,$H469,$B$5:$B$804,$B469)&gt;1,"Takror",""))</f>
        <v/>
      </c>
    </row>
    <row r="470" customFormat="false" ht="15" hidden="false" customHeight="false" outlineLevel="0" collapsed="false">
      <c r="A470" s="8" t="n">
        <v>466</v>
      </c>
      <c r="B470" s="13"/>
      <c r="C470" s="12"/>
      <c r="D470" s="13"/>
      <c r="E470" s="24"/>
      <c r="F470" s="12"/>
      <c r="G470" s="14" t="str">
        <f aca="false">IF(OR($D470="",$B470=""),"",INT(($B470-$D470)/365.25))</f>
        <v/>
      </c>
      <c r="H470" s="12"/>
      <c r="I470" s="12"/>
      <c r="J470" s="25"/>
      <c r="K470" s="13"/>
      <c r="L470" s="12"/>
      <c r="M470" s="14" t="str">
        <f aca="false">IF(OR($C470="",$D470="",$H470="",$B470=""),"",IF(COUNTIFS($C$5:$C$804,$C470,$D$5:$D$804,$D470,$H$5:$H$804,$H470,$B$5:$B$804,$B470)&gt;1,"Takror",""))</f>
        <v/>
      </c>
    </row>
    <row r="471" customFormat="false" ht="15" hidden="false" customHeight="false" outlineLevel="0" collapsed="false">
      <c r="A471" s="8" t="n">
        <v>467</v>
      </c>
      <c r="B471" s="13"/>
      <c r="C471" s="12"/>
      <c r="D471" s="13"/>
      <c r="E471" s="24"/>
      <c r="F471" s="12"/>
      <c r="G471" s="14" t="str">
        <f aca="false">IF(OR($D471="",$B471=""),"",INT(($B471-$D471)/365.25))</f>
        <v/>
      </c>
      <c r="H471" s="12"/>
      <c r="I471" s="12"/>
      <c r="J471" s="25"/>
      <c r="K471" s="13"/>
      <c r="L471" s="12"/>
      <c r="M471" s="14" t="str">
        <f aca="false">IF(OR($C471="",$D471="",$H471="",$B471=""),"",IF(COUNTIFS($C$5:$C$804,$C471,$D$5:$D$804,$D471,$H$5:$H$804,$H471,$B$5:$B$804,$B471)&gt;1,"Takror",""))</f>
        <v/>
      </c>
    </row>
    <row r="472" customFormat="false" ht="15" hidden="false" customHeight="false" outlineLevel="0" collapsed="false">
      <c r="A472" s="8" t="n">
        <v>468</v>
      </c>
      <c r="B472" s="13"/>
      <c r="C472" s="12"/>
      <c r="D472" s="13"/>
      <c r="E472" s="24"/>
      <c r="F472" s="12"/>
      <c r="G472" s="14" t="str">
        <f aca="false">IF(OR($D472="",$B472=""),"",INT(($B472-$D472)/365.25))</f>
        <v/>
      </c>
      <c r="H472" s="12"/>
      <c r="I472" s="12"/>
      <c r="J472" s="25"/>
      <c r="K472" s="13"/>
      <c r="L472" s="12"/>
      <c r="M472" s="14" t="str">
        <f aca="false">IF(OR($C472="",$D472="",$H472="",$B472=""),"",IF(COUNTIFS($C$5:$C$804,$C472,$D$5:$D$804,$D472,$H$5:$H$804,$H472,$B$5:$B$804,$B472)&gt;1,"Takror",""))</f>
        <v/>
      </c>
    </row>
    <row r="473" customFormat="false" ht="15" hidden="false" customHeight="false" outlineLevel="0" collapsed="false">
      <c r="A473" s="8" t="n">
        <v>469</v>
      </c>
      <c r="B473" s="13"/>
      <c r="C473" s="12"/>
      <c r="D473" s="13"/>
      <c r="E473" s="24"/>
      <c r="F473" s="12"/>
      <c r="G473" s="14" t="str">
        <f aca="false">IF(OR($D473="",$B473=""),"",INT(($B473-$D473)/365.25))</f>
        <v/>
      </c>
      <c r="H473" s="12"/>
      <c r="I473" s="12"/>
      <c r="J473" s="25"/>
      <c r="K473" s="13"/>
      <c r="L473" s="12"/>
      <c r="M473" s="14" t="str">
        <f aca="false">IF(OR($C473="",$D473="",$H473="",$B473=""),"",IF(COUNTIFS($C$5:$C$804,$C473,$D$5:$D$804,$D473,$H$5:$H$804,$H473,$B$5:$B$804,$B473)&gt;1,"Takror",""))</f>
        <v/>
      </c>
    </row>
    <row r="474" customFormat="false" ht="15" hidden="false" customHeight="false" outlineLevel="0" collapsed="false">
      <c r="A474" s="8" t="n">
        <v>470</v>
      </c>
      <c r="B474" s="13"/>
      <c r="C474" s="12"/>
      <c r="D474" s="13"/>
      <c r="E474" s="24"/>
      <c r="F474" s="12"/>
      <c r="G474" s="14" t="str">
        <f aca="false">IF(OR($D474="",$B474=""),"",INT(($B474-$D474)/365.25))</f>
        <v/>
      </c>
      <c r="H474" s="12"/>
      <c r="I474" s="12"/>
      <c r="J474" s="25"/>
      <c r="K474" s="13"/>
      <c r="L474" s="12"/>
      <c r="M474" s="14" t="str">
        <f aca="false">IF(OR($C474="",$D474="",$H474="",$B474=""),"",IF(COUNTIFS($C$5:$C$804,$C474,$D$5:$D$804,$D474,$H$5:$H$804,$H474,$B$5:$B$804,$B474)&gt;1,"Takror",""))</f>
        <v/>
      </c>
    </row>
    <row r="475" customFormat="false" ht="15" hidden="false" customHeight="false" outlineLevel="0" collapsed="false">
      <c r="A475" s="8" t="n">
        <v>471</v>
      </c>
      <c r="B475" s="13"/>
      <c r="C475" s="12"/>
      <c r="D475" s="13"/>
      <c r="E475" s="24"/>
      <c r="F475" s="12"/>
      <c r="G475" s="14" t="str">
        <f aca="false">IF(OR($D475="",$B475=""),"",INT(($B475-$D475)/365.25))</f>
        <v/>
      </c>
      <c r="H475" s="12"/>
      <c r="I475" s="12"/>
      <c r="J475" s="25"/>
      <c r="K475" s="13"/>
      <c r="L475" s="12"/>
      <c r="M475" s="14" t="str">
        <f aca="false">IF(OR($C475="",$D475="",$H475="",$B475=""),"",IF(COUNTIFS($C$5:$C$804,$C475,$D$5:$D$804,$D475,$H$5:$H$804,$H475,$B$5:$B$804,$B475)&gt;1,"Takror",""))</f>
        <v/>
      </c>
    </row>
    <row r="476" customFormat="false" ht="15" hidden="false" customHeight="false" outlineLevel="0" collapsed="false">
      <c r="A476" s="8" t="n">
        <v>472</v>
      </c>
      <c r="B476" s="13"/>
      <c r="C476" s="12"/>
      <c r="D476" s="13"/>
      <c r="E476" s="24"/>
      <c r="F476" s="12"/>
      <c r="G476" s="14" t="str">
        <f aca="false">IF(OR($D476="",$B476=""),"",INT(($B476-$D476)/365.25))</f>
        <v/>
      </c>
      <c r="H476" s="12"/>
      <c r="I476" s="12"/>
      <c r="J476" s="25"/>
      <c r="K476" s="13"/>
      <c r="L476" s="12"/>
      <c r="M476" s="14" t="str">
        <f aca="false">IF(OR($C476="",$D476="",$H476="",$B476=""),"",IF(COUNTIFS($C$5:$C$804,$C476,$D$5:$D$804,$D476,$H$5:$H$804,$H476,$B$5:$B$804,$B476)&gt;1,"Takror",""))</f>
        <v/>
      </c>
    </row>
    <row r="477" customFormat="false" ht="15" hidden="false" customHeight="false" outlineLevel="0" collapsed="false">
      <c r="A477" s="8" t="n">
        <v>473</v>
      </c>
      <c r="B477" s="13"/>
      <c r="C477" s="12"/>
      <c r="D477" s="13"/>
      <c r="E477" s="24"/>
      <c r="F477" s="12"/>
      <c r="G477" s="14" t="str">
        <f aca="false">IF(OR($D477="",$B477=""),"",INT(($B477-$D477)/365.25))</f>
        <v/>
      </c>
      <c r="H477" s="12"/>
      <c r="I477" s="12"/>
      <c r="J477" s="25"/>
      <c r="K477" s="13"/>
      <c r="L477" s="12"/>
      <c r="M477" s="14" t="str">
        <f aca="false">IF(OR($C477="",$D477="",$H477="",$B477=""),"",IF(COUNTIFS($C$5:$C$804,$C477,$D$5:$D$804,$D477,$H$5:$H$804,$H477,$B$5:$B$804,$B477)&gt;1,"Takror",""))</f>
        <v/>
      </c>
    </row>
    <row r="478" customFormat="false" ht="15" hidden="false" customHeight="false" outlineLevel="0" collapsed="false">
      <c r="A478" s="8" t="n">
        <v>474</v>
      </c>
      <c r="B478" s="13"/>
      <c r="C478" s="12"/>
      <c r="D478" s="13"/>
      <c r="E478" s="24"/>
      <c r="F478" s="12"/>
      <c r="G478" s="14" t="str">
        <f aca="false">IF(OR($D478="",$B478=""),"",INT(($B478-$D478)/365.25))</f>
        <v/>
      </c>
      <c r="H478" s="12"/>
      <c r="I478" s="12"/>
      <c r="J478" s="25"/>
      <c r="K478" s="13"/>
      <c r="L478" s="12"/>
      <c r="M478" s="14" t="str">
        <f aca="false">IF(OR($C478="",$D478="",$H478="",$B478=""),"",IF(COUNTIFS($C$5:$C$804,$C478,$D$5:$D$804,$D478,$H$5:$H$804,$H478,$B$5:$B$804,$B478)&gt;1,"Takror",""))</f>
        <v/>
      </c>
    </row>
    <row r="479" customFormat="false" ht="15" hidden="false" customHeight="false" outlineLevel="0" collapsed="false">
      <c r="A479" s="8" t="n">
        <v>475</v>
      </c>
      <c r="B479" s="13"/>
      <c r="C479" s="12"/>
      <c r="D479" s="13"/>
      <c r="E479" s="24"/>
      <c r="F479" s="12"/>
      <c r="G479" s="14" t="str">
        <f aca="false">IF(OR($D479="",$B479=""),"",INT(($B479-$D479)/365.25))</f>
        <v/>
      </c>
      <c r="H479" s="12"/>
      <c r="I479" s="12"/>
      <c r="J479" s="25"/>
      <c r="K479" s="13"/>
      <c r="L479" s="12"/>
      <c r="M479" s="14" t="str">
        <f aca="false">IF(OR($C479="",$D479="",$H479="",$B479=""),"",IF(COUNTIFS($C$5:$C$804,$C479,$D$5:$D$804,$D479,$H$5:$H$804,$H479,$B$5:$B$804,$B479)&gt;1,"Takror",""))</f>
        <v/>
      </c>
    </row>
    <row r="480" customFormat="false" ht="15" hidden="false" customHeight="false" outlineLevel="0" collapsed="false">
      <c r="A480" s="8" t="n">
        <v>476</v>
      </c>
      <c r="B480" s="13"/>
      <c r="C480" s="12"/>
      <c r="D480" s="13"/>
      <c r="E480" s="24"/>
      <c r="F480" s="12"/>
      <c r="G480" s="14" t="str">
        <f aca="false">IF(OR($D480="",$B480=""),"",INT(($B480-$D480)/365.25))</f>
        <v/>
      </c>
      <c r="H480" s="12"/>
      <c r="I480" s="12"/>
      <c r="J480" s="25"/>
      <c r="K480" s="13"/>
      <c r="L480" s="12"/>
      <c r="M480" s="14" t="str">
        <f aca="false">IF(OR($C480="",$D480="",$H480="",$B480=""),"",IF(COUNTIFS($C$5:$C$804,$C480,$D$5:$D$804,$D480,$H$5:$H$804,$H480,$B$5:$B$804,$B480)&gt;1,"Takror",""))</f>
        <v/>
      </c>
    </row>
    <row r="481" customFormat="false" ht="15" hidden="false" customHeight="false" outlineLevel="0" collapsed="false">
      <c r="A481" s="8" t="n">
        <v>477</v>
      </c>
      <c r="B481" s="13"/>
      <c r="C481" s="12"/>
      <c r="D481" s="13"/>
      <c r="E481" s="24"/>
      <c r="F481" s="12"/>
      <c r="G481" s="14" t="str">
        <f aca="false">IF(OR($D481="",$B481=""),"",INT(($B481-$D481)/365.25))</f>
        <v/>
      </c>
      <c r="H481" s="12"/>
      <c r="I481" s="12"/>
      <c r="J481" s="25"/>
      <c r="K481" s="13"/>
      <c r="L481" s="12"/>
      <c r="M481" s="14" t="str">
        <f aca="false">IF(OR($C481="",$D481="",$H481="",$B481=""),"",IF(COUNTIFS($C$5:$C$804,$C481,$D$5:$D$804,$D481,$H$5:$H$804,$H481,$B$5:$B$804,$B481)&gt;1,"Takror",""))</f>
        <v/>
      </c>
    </row>
    <row r="482" customFormat="false" ht="15" hidden="false" customHeight="false" outlineLevel="0" collapsed="false">
      <c r="A482" s="8" t="n">
        <v>478</v>
      </c>
      <c r="B482" s="13"/>
      <c r="C482" s="12"/>
      <c r="D482" s="13"/>
      <c r="E482" s="24"/>
      <c r="F482" s="12"/>
      <c r="G482" s="14" t="str">
        <f aca="false">IF(OR($D482="",$B482=""),"",INT(($B482-$D482)/365.25))</f>
        <v/>
      </c>
      <c r="H482" s="12"/>
      <c r="I482" s="12"/>
      <c r="J482" s="25"/>
      <c r="K482" s="13"/>
      <c r="L482" s="12"/>
      <c r="M482" s="14" t="str">
        <f aca="false">IF(OR($C482="",$D482="",$H482="",$B482=""),"",IF(COUNTIFS($C$5:$C$804,$C482,$D$5:$D$804,$D482,$H$5:$H$804,$H482,$B$5:$B$804,$B482)&gt;1,"Takror",""))</f>
        <v/>
      </c>
    </row>
    <row r="483" customFormat="false" ht="15" hidden="false" customHeight="false" outlineLevel="0" collapsed="false">
      <c r="A483" s="8" t="n">
        <v>479</v>
      </c>
      <c r="B483" s="13"/>
      <c r="C483" s="12"/>
      <c r="D483" s="13"/>
      <c r="E483" s="24"/>
      <c r="F483" s="12"/>
      <c r="G483" s="14" t="str">
        <f aca="false">IF(OR($D483="",$B483=""),"",INT(($B483-$D483)/365.25))</f>
        <v/>
      </c>
      <c r="H483" s="12"/>
      <c r="I483" s="12"/>
      <c r="J483" s="25"/>
      <c r="K483" s="13"/>
      <c r="L483" s="12"/>
      <c r="M483" s="14" t="str">
        <f aca="false">IF(OR($C483="",$D483="",$H483="",$B483=""),"",IF(COUNTIFS($C$5:$C$804,$C483,$D$5:$D$804,$D483,$H$5:$H$804,$H483,$B$5:$B$804,$B483)&gt;1,"Takror",""))</f>
        <v/>
      </c>
    </row>
    <row r="484" customFormat="false" ht="15" hidden="false" customHeight="false" outlineLevel="0" collapsed="false">
      <c r="A484" s="8" t="n">
        <v>480</v>
      </c>
      <c r="B484" s="13"/>
      <c r="C484" s="12"/>
      <c r="D484" s="13"/>
      <c r="E484" s="24"/>
      <c r="F484" s="12"/>
      <c r="G484" s="14" t="str">
        <f aca="false">IF(OR($D484="",$B484=""),"",INT(($B484-$D484)/365.25))</f>
        <v/>
      </c>
      <c r="H484" s="12"/>
      <c r="I484" s="12"/>
      <c r="J484" s="25"/>
      <c r="K484" s="13"/>
      <c r="L484" s="12"/>
      <c r="M484" s="14" t="str">
        <f aca="false">IF(OR($C484="",$D484="",$H484="",$B484=""),"",IF(COUNTIFS($C$5:$C$804,$C484,$D$5:$D$804,$D484,$H$5:$H$804,$H484,$B$5:$B$804,$B484)&gt;1,"Takror",""))</f>
        <v/>
      </c>
    </row>
    <row r="485" customFormat="false" ht="15" hidden="false" customHeight="false" outlineLevel="0" collapsed="false">
      <c r="A485" s="8" t="n">
        <v>481</v>
      </c>
      <c r="B485" s="13"/>
      <c r="C485" s="12"/>
      <c r="D485" s="13"/>
      <c r="E485" s="24"/>
      <c r="F485" s="12"/>
      <c r="G485" s="14" t="str">
        <f aca="false">IF(OR($D485="",$B485=""),"",INT(($B485-$D485)/365.25))</f>
        <v/>
      </c>
      <c r="H485" s="12"/>
      <c r="I485" s="12"/>
      <c r="J485" s="25"/>
      <c r="K485" s="13"/>
      <c r="L485" s="12"/>
      <c r="M485" s="14" t="str">
        <f aca="false">IF(OR($C485="",$D485="",$H485="",$B485=""),"",IF(COUNTIFS($C$5:$C$804,$C485,$D$5:$D$804,$D485,$H$5:$H$804,$H485,$B$5:$B$804,$B485)&gt;1,"Takror",""))</f>
        <v/>
      </c>
    </row>
    <row r="486" customFormat="false" ht="15" hidden="false" customHeight="false" outlineLevel="0" collapsed="false">
      <c r="A486" s="8" t="n">
        <v>482</v>
      </c>
      <c r="B486" s="13"/>
      <c r="C486" s="12"/>
      <c r="D486" s="13"/>
      <c r="E486" s="24"/>
      <c r="F486" s="12"/>
      <c r="G486" s="14" t="str">
        <f aca="false">IF(OR($D486="",$B486=""),"",INT(($B486-$D486)/365.25))</f>
        <v/>
      </c>
      <c r="H486" s="12"/>
      <c r="I486" s="12"/>
      <c r="J486" s="25"/>
      <c r="K486" s="13"/>
      <c r="L486" s="12"/>
      <c r="M486" s="14" t="str">
        <f aca="false">IF(OR($C486="",$D486="",$H486="",$B486=""),"",IF(COUNTIFS($C$5:$C$804,$C486,$D$5:$D$804,$D486,$H$5:$H$804,$H486,$B$5:$B$804,$B486)&gt;1,"Takror",""))</f>
        <v/>
      </c>
    </row>
    <row r="487" customFormat="false" ht="15" hidden="false" customHeight="false" outlineLevel="0" collapsed="false">
      <c r="A487" s="8" t="n">
        <v>483</v>
      </c>
      <c r="B487" s="13"/>
      <c r="C487" s="12"/>
      <c r="D487" s="13"/>
      <c r="E487" s="24"/>
      <c r="F487" s="12"/>
      <c r="G487" s="14" t="str">
        <f aca="false">IF(OR($D487="",$B487=""),"",INT(($B487-$D487)/365.25))</f>
        <v/>
      </c>
      <c r="H487" s="12"/>
      <c r="I487" s="12"/>
      <c r="J487" s="25"/>
      <c r="K487" s="13"/>
      <c r="L487" s="12"/>
      <c r="M487" s="14" t="str">
        <f aca="false">IF(OR($C487="",$D487="",$H487="",$B487=""),"",IF(COUNTIFS($C$5:$C$804,$C487,$D$5:$D$804,$D487,$H$5:$H$804,$H487,$B$5:$B$804,$B487)&gt;1,"Takror",""))</f>
        <v/>
      </c>
    </row>
    <row r="488" customFormat="false" ht="15" hidden="false" customHeight="false" outlineLevel="0" collapsed="false">
      <c r="A488" s="8" t="n">
        <v>484</v>
      </c>
      <c r="B488" s="13"/>
      <c r="C488" s="12"/>
      <c r="D488" s="13"/>
      <c r="E488" s="24"/>
      <c r="F488" s="12"/>
      <c r="G488" s="14" t="str">
        <f aca="false">IF(OR($D488="",$B488=""),"",INT(($B488-$D488)/365.25))</f>
        <v/>
      </c>
      <c r="H488" s="12"/>
      <c r="I488" s="12"/>
      <c r="J488" s="25"/>
      <c r="K488" s="13"/>
      <c r="L488" s="12"/>
      <c r="M488" s="14" t="str">
        <f aca="false">IF(OR($C488="",$D488="",$H488="",$B488=""),"",IF(COUNTIFS($C$5:$C$804,$C488,$D$5:$D$804,$D488,$H$5:$H$804,$H488,$B$5:$B$804,$B488)&gt;1,"Takror",""))</f>
        <v/>
      </c>
    </row>
    <row r="489" customFormat="false" ht="15" hidden="false" customHeight="false" outlineLevel="0" collapsed="false">
      <c r="A489" s="8" t="n">
        <v>485</v>
      </c>
      <c r="B489" s="13"/>
      <c r="C489" s="12"/>
      <c r="D489" s="13"/>
      <c r="E489" s="24"/>
      <c r="F489" s="12"/>
      <c r="G489" s="14" t="str">
        <f aca="false">IF(OR($D489="",$B489=""),"",INT(($B489-$D489)/365.25))</f>
        <v/>
      </c>
      <c r="H489" s="12"/>
      <c r="I489" s="12"/>
      <c r="J489" s="25"/>
      <c r="K489" s="13"/>
      <c r="L489" s="12"/>
      <c r="M489" s="14" t="str">
        <f aca="false">IF(OR($C489="",$D489="",$H489="",$B489=""),"",IF(COUNTIFS($C$5:$C$804,$C489,$D$5:$D$804,$D489,$H$5:$H$804,$H489,$B$5:$B$804,$B489)&gt;1,"Takror",""))</f>
        <v/>
      </c>
    </row>
    <row r="490" customFormat="false" ht="15" hidden="false" customHeight="false" outlineLevel="0" collapsed="false">
      <c r="A490" s="8" t="n">
        <v>486</v>
      </c>
      <c r="B490" s="13"/>
      <c r="C490" s="12"/>
      <c r="D490" s="13"/>
      <c r="E490" s="24"/>
      <c r="F490" s="12"/>
      <c r="G490" s="14" t="str">
        <f aca="false">IF(OR($D490="",$B490=""),"",INT(($B490-$D490)/365.25))</f>
        <v/>
      </c>
      <c r="H490" s="12"/>
      <c r="I490" s="12"/>
      <c r="J490" s="25"/>
      <c r="K490" s="13"/>
      <c r="L490" s="12"/>
      <c r="M490" s="14" t="str">
        <f aca="false">IF(OR($C490="",$D490="",$H490="",$B490=""),"",IF(COUNTIFS($C$5:$C$804,$C490,$D$5:$D$804,$D490,$H$5:$H$804,$H490,$B$5:$B$804,$B490)&gt;1,"Takror",""))</f>
        <v/>
      </c>
    </row>
    <row r="491" customFormat="false" ht="15" hidden="false" customHeight="false" outlineLevel="0" collapsed="false">
      <c r="A491" s="8" t="n">
        <v>487</v>
      </c>
      <c r="B491" s="13"/>
      <c r="C491" s="12"/>
      <c r="D491" s="13"/>
      <c r="E491" s="24"/>
      <c r="F491" s="12"/>
      <c r="G491" s="14" t="str">
        <f aca="false">IF(OR($D491="",$B491=""),"",INT(($B491-$D491)/365.25))</f>
        <v/>
      </c>
      <c r="H491" s="12"/>
      <c r="I491" s="12"/>
      <c r="J491" s="25"/>
      <c r="K491" s="13"/>
      <c r="L491" s="12"/>
      <c r="M491" s="14" t="str">
        <f aca="false">IF(OR($C491="",$D491="",$H491="",$B491=""),"",IF(COUNTIFS($C$5:$C$804,$C491,$D$5:$D$804,$D491,$H$5:$H$804,$H491,$B$5:$B$804,$B491)&gt;1,"Takror",""))</f>
        <v/>
      </c>
    </row>
    <row r="492" customFormat="false" ht="15" hidden="false" customHeight="false" outlineLevel="0" collapsed="false">
      <c r="A492" s="8" t="n">
        <v>488</v>
      </c>
      <c r="B492" s="13"/>
      <c r="C492" s="12"/>
      <c r="D492" s="13"/>
      <c r="E492" s="24"/>
      <c r="F492" s="12"/>
      <c r="G492" s="14" t="str">
        <f aca="false">IF(OR($D492="",$B492=""),"",INT(($B492-$D492)/365.25))</f>
        <v/>
      </c>
      <c r="H492" s="12"/>
      <c r="I492" s="12"/>
      <c r="J492" s="25"/>
      <c r="K492" s="13"/>
      <c r="L492" s="12"/>
      <c r="M492" s="14" t="str">
        <f aca="false">IF(OR($C492="",$D492="",$H492="",$B492=""),"",IF(COUNTIFS($C$5:$C$804,$C492,$D$5:$D$804,$D492,$H$5:$H$804,$H492,$B$5:$B$804,$B492)&gt;1,"Takror",""))</f>
        <v/>
      </c>
    </row>
    <row r="493" customFormat="false" ht="15" hidden="false" customHeight="false" outlineLevel="0" collapsed="false">
      <c r="A493" s="8" t="n">
        <v>489</v>
      </c>
      <c r="B493" s="13"/>
      <c r="C493" s="12"/>
      <c r="D493" s="13"/>
      <c r="E493" s="24"/>
      <c r="F493" s="12"/>
      <c r="G493" s="14" t="str">
        <f aca="false">IF(OR($D493="",$B493=""),"",INT(($B493-$D493)/365.25))</f>
        <v/>
      </c>
      <c r="H493" s="12"/>
      <c r="I493" s="12"/>
      <c r="J493" s="25"/>
      <c r="K493" s="13"/>
      <c r="L493" s="12"/>
      <c r="M493" s="14" t="str">
        <f aca="false">IF(OR($C493="",$D493="",$H493="",$B493=""),"",IF(COUNTIFS($C$5:$C$804,$C493,$D$5:$D$804,$D493,$H$5:$H$804,$H493,$B$5:$B$804,$B493)&gt;1,"Takror",""))</f>
        <v/>
      </c>
    </row>
    <row r="494" customFormat="false" ht="15" hidden="false" customHeight="false" outlineLevel="0" collapsed="false">
      <c r="A494" s="8" t="n">
        <v>490</v>
      </c>
      <c r="B494" s="13"/>
      <c r="C494" s="12"/>
      <c r="D494" s="13"/>
      <c r="E494" s="24"/>
      <c r="F494" s="12"/>
      <c r="G494" s="14" t="str">
        <f aca="false">IF(OR($D494="",$B494=""),"",INT(($B494-$D494)/365.25))</f>
        <v/>
      </c>
      <c r="H494" s="12"/>
      <c r="I494" s="12"/>
      <c r="J494" s="25"/>
      <c r="K494" s="13"/>
      <c r="L494" s="12"/>
      <c r="M494" s="14" t="str">
        <f aca="false">IF(OR($C494="",$D494="",$H494="",$B494=""),"",IF(COUNTIFS($C$5:$C$804,$C494,$D$5:$D$804,$D494,$H$5:$H$804,$H494,$B$5:$B$804,$B494)&gt;1,"Takror",""))</f>
        <v/>
      </c>
    </row>
    <row r="495" customFormat="false" ht="15" hidden="false" customHeight="false" outlineLevel="0" collapsed="false">
      <c r="A495" s="8" t="n">
        <v>491</v>
      </c>
      <c r="B495" s="13"/>
      <c r="C495" s="12"/>
      <c r="D495" s="13"/>
      <c r="E495" s="24"/>
      <c r="F495" s="12"/>
      <c r="G495" s="14" t="str">
        <f aca="false">IF(OR($D495="",$B495=""),"",INT(($B495-$D495)/365.25))</f>
        <v/>
      </c>
      <c r="H495" s="12"/>
      <c r="I495" s="12"/>
      <c r="J495" s="25"/>
      <c r="K495" s="13"/>
      <c r="L495" s="12"/>
      <c r="M495" s="14" t="str">
        <f aca="false">IF(OR($C495="",$D495="",$H495="",$B495=""),"",IF(COUNTIFS($C$5:$C$804,$C495,$D$5:$D$804,$D495,$H$5:$H$804,$H495,$B$5:$B$804,$B495)&gt;1,"Takror",""))</f>
        <v/>
      </c>
    </row>
    <row r="496" customFormat="false" ht="15" hidden="false" customHeight="false" outlineLevel="0" collapsed="false">
      <c r="A496" s="8" t="n">
        <v>492</v>
      </c>
      <c r="B496" s="13"/>
      <c r="C496" s="12"/>
      <c r="D496" s="13"/>
      <c r="E496" s="24"/>
      <c r="F496" s="12"/>
      <c r="G496" s="14" t="str">
        <f aca="false">IF(OR($D496="",$B496=""),"",INT(($B496-$D496)/365.25))</f>
        <v/>
      </c>
      <c r="H496" s="12"/>
      <c r="I496" s="12"/>
      <c r="J496" s="25"/>
      <c r="K496" s="13"/>
      <c r="L496" s="12"/>
      <c r="M496" s="14" t="str">
        <f aca="false">IF(OR($C496="",$D496="",$H496="",$B496=""),"",IF(COUNTIFS($C$5:$C$804,$C496,$D$5:$D$804,$D496,$H$5:$H$804,$H496,$B$5:$B$804,$B496)&gt;1,"Takror",""))</f>
        <v/>
      </c>
    </row>
    <row r="497" customFormat="false" ht="15" hidden="false" customHeight="false" outlineLevel="0" collapsed="false">
      <c r="A497" s="8" t="n">
        <v>493</v>
      </c>
      <c r="B497" s="13"/>
      <c r="C497" s="12"/>
      <c r="D497" s="13"/>
      <c r="E497" s="24"/>
      <c r="F497" s="12"/>
      <c r="G497" s="14" t="str">
        <f aca="false">IF(OR($D497="",$B497=""),"",INT(($B497-$D497)/365.25))</f>
        <v/>
      </c>
      <c r="H497" s="12"/>
      <c r="I497" s="12"/>
      <c r="J497" s="25"/>
      <c r="K497" s="13"/>
      <c r="L497" s="12"/>
      <c r="M497" s="14" t="str">
        <f aca="false">IF(OR($C497="",$D497="",$H497="",$B497=""),"",IF(COUNTIFS($C$5:$C$804,$C497,$D$5:$D$804,$D497,$H$5:$H$804,$H497,$B$5:$B$804,$B497)&gt;1,"Takror",""))</f>
        <v/>
      </c>
    </row>
    <row r="498" customFormat="false" ht="15" hidden="false" customHeight="false" outlineLevel="0" collapsed="false">
      <c r="A498" s="8" t="n">
        <v>494</v>
      </c>
      <c r="B498" s="13"/>
      <c r="C498" s="12"/>
      <c r="D498" s="13"/>
      <c r="E498" s="24"/>
      <c r="F498" s="12"/>
      <c r="G498" s="14" t="str">
        <f aca="false">IF(OR($D498="",$B498=""),"",INT(($B498-$D498)/365.25))</f>
        <v/>
      </c>
      <c r="H498" s="12"/>
      <c r="I498" s="12"/>
      <c r="J498" s="25"/>
      <c r="K498" s="13"/>
      <c r="L498" s="12"/>
      <c r="M498" s="14" t="str">
        <f aca="false">IF(OR($C498="",$D498="",$H498="",$B498=""),"",IF(COUNTIFS($C$5:$C$804,$C498,$D$5:$D$804,$D498,$H$5:$H$804,$H498,$B$5:$B$804,$B498)&gt;1,"Takror",""))</f>
        <v/>
      </c>
    </row>
    <row r="499" customFormat="false" ht="15" hidden="false" customHeight="false" outlineLevel="0" collapsed="false">
      <c r="A499" s="8" t="n">
        <v>495</v>
      </c>
      <c r="B499" s="13"/>
      <c r="C499" s="12"/>
      <c r="D499" s="13"/>
      <c r="E499" s="24"/>
      <c r="F499" s="12"/>
      <c r="G499" s="14" t="str">
        <f aca="false">IF(OR($D499="",$B499=""),"",INT(($B499-$D499)/365.25))</f>
        <v/>
      </c>
      <c r="H499" s="12"/>
      <c r="I499" s="12"/>
      <c r="J499" s="25"/>
      <c r="K499" s="13"/>
      <c r="L499" s="12"/>
      <c r="M499" s="14" t="str">
        <f aca="false">IF(OR($C499="",$D499="",$H499="",$B499=""),"",IF(COUNTIFS($C$5:$C$804,$C499,$D$5:$D$804,$D499,$H$5:$H$804,$H499,$B$5:$B$804,$B499)&gt;1,"Takror",""))</f>
        <v/>
      </c>
    </row>
    <row r="500" customFormat="false" ht="15" hidden="false" customHeight="false" outlineLevel="0" collapsed="false">
      <c r="A500" s="8" t="n">
        <v>496</v>
      </c>
      <c r="B500" s="13"/>
      <c r="C500" s="12"/>
      <c r="D500" s="13"/>
      <c r="E500" s="24"/>
      <c r="F500" s="12"/>
      <c r="G500" s="14" t="str">
        <f aca="false">IF(OR($D500="",$B500=""),"",INT(($B500-$D500)/365.25))</f>
        <v/>
      </c>
      <c r="H500" s="12"/>
      <c r="I500" s="12"/>
      <c r="J500" s="25"/>
      <c r="K500" s="13"/>
      <c r="L500" s="12"/>
      <c r="M500" s="14" t="str">
        <f aca="false">IF(OR($C500="",$D500="",$H500="",$B500=""),"",IF(COUNTIFS($C$5:$C$804,$C500,$D$5:$D$804,$D500,$H$5:$H$804,$H500,$B$5:$B$804,$B500)&gt;1,"Takror",""))</f>
        <v/>
      </c>
    </row>
    <row r="501" customFormat="false" ht="15" hidden="false" customHeight="false" outlineLevel="0" collapsed="false">
      <c r="A501" s="8" t="n">
        <v>497</v>
      </c>
      <c r="B501" s="13"/>
      <c r="C501" s="12"/>
      <c r="D501" s="13"/>
      <c r="E501" s="24"/>
      <c r="F501" s="12"/>
      <c r="G501" s="14" t="str">
        <f aca="false">IF(OR($D501="",$B501=""),"",INT(($B501-$D501)/365.25))</f>
        <v/>
      </c>
      <c r="H501" s="12"/>
      <c r="I501" s="12"/>
      <c r="J501" s="25"/>
      <c r="K501" s="13"/>
      <c r="L501" s="12"/>
      <c r="M501" s="14" t="str">
        <f aca="false">IF(OR($C501="",$D501="",$H501="",$B501=""),"",IF(COUNTIFS($C$5:$C$804,$C501,$D$5:$D$804,$D501,$H$5:$H$804,$H501,$B$5:$B$804,$B501)&gt;1,"Takror",""))</f>
        <v/>
      </c>
    </row>
    <row r="502" customFormat="false" ht="15" hidden="false" customHeight="false" outlineLevel="0" collapsed="false">
      <c r="A502" s="8" t="n">
        <v>498</v>
      </c>
      <c r="B502" s="13"/>
      <c r="C502" s="12"/>
      <c r="D502" s="13"/>
      <c r="E502" s="24"/>
      <c r="F502" s="12"/>
      <c r="G502" s="14" t="str">
        <f aca="false">IF(OR($D502="",$B502=""),"",INT(($B502-$D502)/365.25))</f>
        <v/>
      </c>
      <c r="H502" s="12"/>
      <c r="I502" s="12"/>
      <c r="J502" s="25"/>
      <c r="K502" s="13"/>
      <c r="L502" s="12"/>
      <c r="M502" s="14" t="str">
        <f aca="false">IF(OR($C502="",$D502="",$H502="",$B502=""),"",IF(COUNTIFS($C$5:$C$804,$C502,$D$5:$D$804,$D502,$H$5:$H$804,$H502,$B$5:$B$804,$B502)&gt;1,"Takror",""))</f>
        <v/>
      </c>
    </row>
    <row r="503" customFormat="false" ht="15" hidden="false" customHeight="false" outlineLevel="0" collapsed="false">
      <c r="A503" s="8" t="n">
        <v>499</v>
      </c>
      <c r="B503" s="13"/>
      <c r="C503" s="12"/>
      <c r="D503" s="13"/>
      <c r="E503" s="24"/>
      <c r="F503" s="12"/>
      <c r="G503" s="14" t="str">
        <f aca="false">IF(OR($D503="",$B503=""),"",INT(($B503-$D503)/365.25))</f>
        <v/>
      </c>
      <c r="H503" s="12"/>
      <c r="I503" s="12"/>
      <c r="J503" s="25"/>
      <c r="K503" s="13"/>
      <c r="L503" s="12"/>
      <c r="M503" s="14" t="str">
        <f aca="false">IF(OR($C503="",$D503="",$H503="",$B503=""),"",IF(COUNTIFS($C$5:$C$804,$C503,$D$5:$D$804,$D503,$H$5:$H$804,$H503,$B$5:$B$804,$B503)&gt;1,"Takror",""))</f>
        <v/>
      </c>
    </row>
    <row r="504" customFormat="false" ht="15" hidden="false" customHeight="false" outlineLevel="0" collapsed="false">
      <c r="A504" s="8" t="n">
        <v>500</v>
      </c>
      <c r="B504" s="13"/>
      <c r="C504" s="12"/>
      <c r="D504" s="13"/>
      <c r="E504" s="24"/>
      <c r="F504" s="12"/>
      <c r="G504" s="14" t="str">
        <f aca="false">IF(OR($D504="",$B504=""),"",INT(($B504-$D504)/365.25))</f>
        <v/>
      </c>
      <c r="H504" s="12"/>
      <c r="I504" s="12"/>
      <c r="J504" s="25"/>
      <c r="K504" s="13"/>
      <c r="L504" s="12"/>
      <c r="M504" s="14" t="str">
        <f aca="false">IF(OR($C504="",$D504="",$H504="",$B504=""),"",IF(COUNTIFS($C$5:$C$804,$C504,$D$5:$D$804,$D504,$H$5:$H$804,$H504,$B$5:$B$804,$B504)&gt;1,"Takror",""))</f>
        <v/>
      </c>
    </row>
    <row r="505" customFormat="false" ht="15" hidden="false" customHeight="false" outlineLevel="0" collapsed="false">
      <c r="A505" s="8" t="n">
        <v>501</v>
      </c>
      <c r="B505" s="13"/>
      <c r="C505" s="12"/>
      <c r="D505" s="13"/>
      <c r="E505" s="24"/>
      <c r="F505" s="12"/>
      <c r="G505" s="14" t="str">
        <f aca="false">IF(OR($D505="",$B505=""),"",INT(($B505-$D505)/365.25))</f>
        <v/>
      </c>
      <c r="H505" s="12"/>
      <c r="I505" s="12"/>
      <c r="J505" s="25"/>
      <c r="K505" s="13"/>
      <c r="L505" s="12"/>
      <c r="M505" s="14" t="str">
        <f aca="false">IF(OR($C505="",$D505="",$H505="",$B505=""),"",IF(COUNTIFS($C$5:$C$804,$C505,$D$5:$D$804,$D505,$H$5:$H$804,$H505,$B$5:$B$804,$B505)&gt;1,"Takror",""))</f>
        <v/>
      </c>
    </row>
    <row r="506" customFormat="false" ht="15" hidden="false" customHeight="false" outlineLevel="0" collapsed="false">
      <c r="A506" s="8" t="n">
        <v>502</v>
      </c>
      <c r="B506" s="13"/>
      <c r="C506" s="12"/>
      <c r="D506" s="13"/>
      <c r="E506" s="24"/>
      <c r="F506" s="12"/>
      <c r="G506" s="14" t="str">
        <f aca="false">IF(OR($D506="",$B506=""),"",INT(($B506-$D506)/365.25))</f>
        <v/>
      </c>
      <c r="H506" s="12"/>
      <c r="I506" s="12"/>
      <c r="J506" s="25"/>
      <c r="K506" s="13"/>
      <c r="L506" s="12"/>
      <c r="M506" s="14" t="str">
        <f aca="false">IF(OR($C506="",$D506="",$H506="",$B506=""),"",IF(COUNTIFS($C$5:$C$804,$C506,$D$5:$D$804,$D506,$H$5:$H$804,$H506,$B$5:$B$804,$B506)&gt;1,"Takror",""))</f>
        <v/>
      </c>
    </row>
    <row r="507" customFormat="false" ht="15" hidden="false" customHeight="false" outlineLevel="0" collapsed="false">
      <c r="A507" s="8" t="n">
        <v>503</v>
      </c>
      <c r="B507" s="13"/>
      <c r="C507" s="12"/>
      <c r="D507" s="13"/>
      <c r="E507" s="24"/>
      <c r="F507" s="12"/>
      <c r="G507" s="14" t="str">
        <f aca="false">IF(OR($D507="",$B507=""),"",INT(($B507-$D507)/365.25))</f>
        <v/>
      </c>
      <c r="H507" s="12"/>
      <c r="I507" s="12"/>
      <c r="J507" s="25"/>
      <c r="K507" s="13"/>
      <c r="L507" s="12"/>
      <c r="M507" s="14" t="str">
        <f aca="false">IF(OR($C507="",$D507="",$H507="",$B507=""),"",IF(COUNTIFS($C$5:$C$804,$C507,$D$5:$D$804,$D507,$H$5:$H$804,$H507,$B$5:$B$804,$B507)&gt;1,"Takror",""))</f>
        <v/>
      </c>
    </row>
    <row r="508" customFormat="false" ht="15" hidden="false" customHeight="false" outlineLevel="0" collapsed="false">
      <c r="A508" s="8" t="n">
        <v>504</v>
      </c>
      <c r="B508" s="13"/>
      <c r="C508" s="12"/>
      <c r="D508" s="13"/>
      <c r="E508" s="24"/>
      <c r="F508" s="12"/>
      <c r="G508" s="14" t="str">
        <f aca="false">IF(OR($D508="",$B508=""),"",INT(($B508-$D508)/365.25))</f>
        <v/>
      </c>
      <c r="H508" s="12"/>
      <c r="I508" s="12"/>
      <c r="J508" s="25"/>
      <c r="K508" s="13"/>
      <c r="L508" s="12"/>
      <c r="M508" s="14" t="str">
        <f aca="false">IF(OR($C508="",$D508="",$H508="",$B508=""),"",IF(COUNTIFS($C$5:$C$804,$C508,$D$5:$D$804,$D508,$H$5:$H$804,$H508,$B$5:$B$804,$B508)&gt;1,"Takror",""))</f>
        <v/>
      </c>
    </row>
    <row r="509" customFormat="false" ht="15" hidden="false" customHeight="false" outlineLevel="0" collapsed="false">
      <c r="A509" s="8" t="n">
        <v>505</v>
      </c>
      <c r="B509" s="13"/>
      <c r="C509" s="12"/>
      <c r="D509" s="13"/>
      <c r="E509" s="24"/>
      <c r="F509" s="12"/>
      <c r="G509" s="14" t="str">
        <f aca="false">IF(OR($D509="",$B509=""),"",INT(($B509-$D509)/365.25))</f>
        <v/>
      </c>
      <c r="H509" s="12"/>
      <c r="I509" s="12"/>
      <c r="J509" s="25"/>
      <c r="K509" s="13"/>
      <c r="L509" s="12"/>
      <c r="M509" s="14" t="str">
        <f aca="false">IF(OR($C509="",$D509="",$H509="",$B509=""),"",IF(COUNTIFS($C$5:$C$804,$C509,$D$5:$D$804,$D509,$H$5:$H$804,$H509,$B$5:$B$804,$B509)&gt;1,"Takror",""))</f>
        <v/>
      </c>
    </row>
    <row r="510" customFormat="false" ht="15" hidden="false" customHeight="false" outlineLevel="0" collapsed="false">
      <c r="A510" s="8" t="n">
        <v>506</v>
      </c>
      <c r="B510" s="13"/>
      <c r="C510" s="12"/>
      <c r="D510" s="13"/>
      <c r="E510" s="24"/>
      <c r="F510" s="12"/>
      <c r="G510" s="14" t="str">
        <f aca="false">IF(OR($D510="",$B510=""),"",INT(($B510-$D510)/365.25))</f>
        <v/>
      </c>
      <c r="H510" s="12"/>
      <c r="I510" s="12"/>
      <c r="J510" s="25"/>
      <c r="K510" s="13"/>
      <c r="L510" s="12"/>
      <c r="M510" s="14" t="str">
        <f aca="false">IF(OR($C510="",$D510="",$H510="",$B510=""),"",IF(COUNTIFS($C$5:$C$804,$C510,$D$5:$D$804,$D510,$H$5:$H$804,$H510,$B$5:$B$804,$B510)&gt;1,"Takror",""))</f>
        <v/>
      </c>
    </row>
    <row r="511" customFormat="false" ht="15" hidden="false" customHeight="false" outlineLevel="0" collapsed="false">
      <c r="A511" s="8" t="n">
        <v>507</v>
      </c>
      <c r="B511" s="13"/>
      <c r="C511" s="12"/>
      <c r="D511" s="13"/>
      <c r="E511" s="24"/>
      <c r="F511" s="12"/>
      <c r="G511" s="14" t="str">
        <f aca="false">IF(OR($D511="",$B511=""),"",INT(($B511-$D511)/365.25))</f>
        <v/>
      </c>
      <c r="H511" s="12"/>
      <c r="I511" s="12"/>
      <c r="J511" s="25"/>
      <c r="K511" s="13"/>
      <c r="L511" s="12"/>
      <c r="M511" s="14" t="str">
        <f aca="false">IF(OR($C511="",$D511="",$H511="",$B511=""),"",IF(COUNTIFS($C$5:$C$804,$C511,$D$5:$D$804,$D511,$H$5:$H$804,$H511,$B$5:$B$804,$B511)&gt;1,"Takror",""))</f>
        <v/>
      </c>
    </row>
    <row r="512" customFormat="false" ht="15" hidden="false" customHeight="false" outlineLevel="0" collapsed="false">
      <c r="A512" s="8" t="n">
        <v>508</v>
      </c>
      <c r="B512" s="13"/>
      <c r="C512" s="12"/>
      <c r="D512" s="13"/>
      <c r="E512" s="24"/>
      <c r="F512" s="12"/>
      <c r="G512" s="14" t="str">
        <f aca="false">IF(OR($D512="",$B512=""),"",INT(($B512-$D512)/365.25))</f>
        <v/>
      </c>
      <c r="H512" s="12"/>
      <c r="I512" s="12"/>
      <c r="J512" s="25"/>
      <c r="K512" s="13"/>
      <c r="L512" s="12"/>
      <c r="M512" s="14" t="str">
        <f aca="false">IF(OR($C512="",$D512="",$H512="",$B512=""),"",IF(COUNTIFS($C$5:$C$804,$C512,$D$5:$D$804,$D512,$H$5:$H$804,$H512,$B$5:$B$804,$B512)&gt;1,"Takror",""))</f>
        <v/>
      </c>
    </row>
    <row r="513" customFormat="false" ht="15" hidden="false" customHeight="false" outlineLevel="0" collapsed="false">
      <c r="A513" s="8" t="n">
        <v>509</v>
      </c>
      <c r="B513" s="13"/>
      <c r="C513" s="12"/>
      <c r="D513" s="13"/>
      <c r="E513" s="24"/>
      <c r="F513" s="12"/>
      <c r="G513" s="14" t="str">
        <f aca="false">IF(OR($D513="",$B513=""),"",INT(($B513-$D513)/365.25))</f>
        <v/>
      </c>
      <c r="H513" s="12"/>
      <c r="I513" s="12"/>
      <c r="J513" s="25"/>
      <c r="K513" s="13"/>
      <c r="L513" s="12"/>
      <c r="M513" s="14" t="str">
        <f aca="false">IF(OR($C513="",$D513="",$H513="",$B513=""),"",IF(COUNTIFS($C$5:$C$804,$C513,$D$5:$D$804,$D513,$H$5:$H$804,$H513,$B$5:$B$804,$B513)&gt;1,"Takror",""))</f>
        <v/>
      </c>
    </row>
    <row r="514" customFormat="false" ht="15" hidden="false" customHeight="false" outlineLevel="0" collapsed="false">
      <c r="A514" s="8" t="n">
        <v>510</v>
      </c>
      <c r="B514" s="13"/>
      <c r="C514" s="12"/>
      <c r="D514" s="13"/>
      <c r="E514" s="24"/>
      <c r="F514" s="12"/>
      <c r="G514" s="14" t="str">
        <f aca="false">IF(OR($D514="",$B514=""),"",INT(($B514-$D514)/365.25))</f>
        <v/>
      </c>
      <c r="H514" s="12"/>
      <c r="I514" s="12"/>
      <c r="J514" s="25"/>
      <c r="K514" s="13"/>
      <c r="L514" s="12"/>
      <c r="M514" s="14" t="str">
        <f aca="false">IF(OR($C514="",$D514="",$H514="",$B514=""),"",IF(COUNTIFS($C$5:$C$804,$C514,$D$5:$D$804,$D514,$H$5:$H$804,$H514,$B$5:$B$804,$B514)&gt;1,"Takror",""))</f>
        <v/>
      </c>
    </row>
    <row r="515" customFormat="false" ht="15" hidden="false" customHeight="false" outlineLevel="0" collapsed="false">
      <c r="A515" s="8" t="n">
        <v>511</v>
      </c>
      <c r="B515" s="13"/>
      <c r="C515" s="12"/>
      <c r="D515" s="13"/>
      <c r="E515" s="24"/>
      <c r="F515" s="12"/>
      <c r="G515" s="14" t="str">
        <f aca="false">IF(OR($D515="",$B515=""),"",INT(($B515-$D515)/365.25))</f>
        <v/>
      </c>
      <c r="H515" s="12"/>
      <c r="I515" s="12"/>
      <c r="J515" s="25"/>
      <c r="K515" s="13"/>
      <c r="L515" s="12"/>
      <c r="M515" s="14" t="str">
        <f aca="false">IF(OR($C515="",$D515="",$H515="",$B515=""),"",IF(COUNTIFS($C$5:$C$804,$C515,$D$5:$D$804,$D515,$H$5:$H$804,$H515,$B$5:$B$804,$B515)&gt;1,"Takror",""))</f>
        <v/>
      </c>
    </row>
    <row r="516" customFormat="false" ht="15" hidden="false" customHeight="false" outlineLevel="0" collapsed="false">
      <c r="A516" s="8" t="n">
        <v>512</v>
      </c>
      <c r="B516" s="13"/>
      <c r="C516" s="12"/>
      <c r="D516" s="13"/>
      <c r="E516" s="24"/>
      <c r="F516" s="12"/>
      <c r="G516" s="14" t="str">
        <f aca="false">IF(OR($D516="",$B516=""),"",INT(($B516-$D516)/365.25))</f>
        <v/>
      </c>
      <c r="H516" s="12"/>
      <c r="I516" s="12"/>
      <c r="J516" s="25"/>
      <c r="K516" s="13"/>
      <c r="L516" s="12"/>
      <c r="M516" s="14" t="str">
        <f aca="false">IF(OR($C516="",$D516="",$H516="",$B516=""),"",IF(COUNTIFS($C$5:$C$804,$C516,$D$5:$D$804,$D516,$H$5:$H$804,$H516,$B$5:$B$804,$B516)&gt;1,"Takror",""))</f>
        <v/>
      </c>
    </row>
    <row r="517" customFormat="false" ht="15" hidden="false" customHeight="false" outlineLevel="0" collapsed="false">
      <c r="A517" s="8" t="n">
        <v>513</v>
      </c>
      <c r="B517" s="13"/>
      <c r="C517" s="12"/>
      <c r="D517" s="13"/>
      <c r="E517" s="24"/>
      <c r="F517" s="12"/>
      <c r="G517" s="14" t="str">
        <f aca="false">IF(OR($D517="",$B517=""),"",INT(($B517-$D517)/365.25))</f>
        <v/>
      </c>
      <c r="H517" s="12"/>
      <c r="I517" s="12"/>
      <c r="J517" s="25"/>
      <c r="K517" s="13"/>
      <c r="L517" s="12"/>
      <c r="M517" s="14" t="str">
        <f aca="false">IF(OR($C517="",$D517="",$H517="",$B517=""),"",IF(COUNTIFS($C$5:$C$804,$C517,$D$5:$D$804,$D517,$H$5:$H$804,$H517,$B$5:$B$804,$B517)&gt;1,"Takror",""))</f>
        <v/>
      </c>
    </row>
    <row r="518" customFormat="false" ht="15" hidden="false" customHeight="false" outlineLevel="0" collapsed="false">
      <c r="A518" s="8" t="n">
        <v>514</v>
      </c>
      <c r="B518" s="13"/>
      <c r="C518" s="12"/>
      <c r="D518" s="13"/>
      <c r="E518" s="24"/>
      <c r="F518" s="12"/>
      <c r="G518" s="14" t="str">
        <f aca="false">IF(OR($D518="",$B518=""),"",INT(($B518-$D518)/365.25))</f>
        <v/>
      </c>
      <c r="H518" s="12"/>
      <c r="I518" s="12"/>
      <c r="J518" s="25"/>
      <c r="K518" s="13"/>
      <c r="L518" s="12"/>
      <c r="M518" s="14" t="str">
        <f aca="false">IF(OR($C518="",$D518="",$H518="",$B518=""),"",IF(COUNTIFS($C$5:$C$804,$C518,$D$5:$D$804,$D518,$H$5:$H$804,$H518,$B$5:$B$804,$B518)&gt;1,"Takror",""))</f>
        <v/>
      </c>
    </row>
    <row r="519" customFormat="false" ht="15" hidden="false" customHeight="false" outlineLevel="0" collapsed="false">
      <c r="A519" s="8" t="n">
        <v>515</v>
      </c>
      <c r="B519" s="13"/>
      <c r="C519" s="12"/>
      <c r="D519" s="13"/>
      <c r="E519" s="24"/>
      <c r="F519" s="12"/>
      <c r="G519" s="14" t="str">
        <f aca="false">IF(OR($D519="",$B519=""),"",INT(($B519-$D519)/365.25))</f>
        <v/>
      </c>
      <c r="H519" s="12"/>
      <c r="I519" s="12"/>
      <c r="J519" s="25"/>
      <c r="K519" s="13"/>
      <c r="L519" s="12"/>
      <c r="M519" s="14" t="str">
        <f aca="false">IF(OR($C519="",$D519="",$H519="",$B519=""),"",IF(COUNTIFS($C$5:$C$804,$C519,$D$5:$D$804,$D519,$H$5:$H$804,$H519,$B$5:$B$804,$B519)&gt;1,"Takror",""))</f>
        <v/>
      </c>
    </row>
    <row r="520" customFormat="false" ht="15" hidden="false" customHeight="false" outlineLevel="0" collapsed="false">
      <c r="A520" s="8" t="n">
        <v>516</v>
      </c>
      <c r="B520" s="13"/>
      <c r="C520" s="12"/>
      <c r="D520" s="13"/>
      <c r="E520" s="24"/>
      <c r="F520" s="12"/>
      <c r="G520" s="14" t="str">
        <f aca="false">IF(OR($D520="",$B520=""),"",INT(($B520-$D520)/365.25))</f>
        <v/>
      </c>
      <c r="H520" s="12"/>
      <c r="I520" s="12"/>
      <c r="J520" s="25"/>
      <c r="K520" s="13"/>
      <c r="L520" s="12"/>
      <c r="M520" s="14" t="str">
        <f aca="false">IF(OR($C520="",$D520="",$H520="",$B520=""),"",IF(COUNTIFS($C$5:$C$804,$C520,$D$5:$D$804,$D520,$H$5:$H$804,$H520,$B$5:$B$804,$B520)&gt;1,"Takror",""))</f>
        <v/>
      </c>
    </row>
    <row r="521" customFormat="false" ht="15" hidden="false" customHeight="false" outlineLevel="0" collapsed="false">
      <c r="A521" s="8" t="n">
        <v>517</v>
      </c>
      <c r="B521" s="13"/>
      <c r="C521" s="12"/>
      <c r="D521" s="13"/>
      <c r="E521" s="24"/>
      <c r="F521" s="12"/>
      <c r="G521" s="14" t="str">
        <f aca="false">IF(OR($D521="",$B521=""),"",INT(($B521-$D521)/365.25))</f>
        <v/>
      </c>
      <c r="H521" s="12"/>
      <c r="I521" s="12"/>
      <c r="J521" s="25"/>
      <c r="K521" s="13"/>
      <c r="L521" s="12"/>
      <c r="M521" s="14" t="str">
        <f aca="false">IF(OR($C521="",$D521="",$H521="",$B521=""),"",IF(COUNTIFS($C$5:$C$804,$C521,$D$5:$D$804,$D521,$H$5:$H$804,$H521,$B$5:$B$804,$B521)&gt;1,"Takror",""))</f>
        <v/>
      </c>
    </row>
    <row r="522" customFormat="false" ht="15" hidden="false" customHeight="false" outlineLevel="0" collapsed="false">
      <c r="A522" s="8" t="n">
        <v>518</v>
      </c>
      <c r="B522" s="13"/>
      <c r="C522" s="12"/>
      <c r="D522" s="13"/>
      <c r="E522" s="24"/>
      <c r="F522" s="12"/>
      <c r="G522" s="14" t="str">
        <f aca="false">IF(OR($D522="",$B522=""),"",INT(($B522-$D522)/365.25))</f>
        <v/>
      </c>
      <c r="H522" s="12"/>
      <c r="I522" s="12"/>
      <c r="J522" s="25"/>
      <c r="K522" s="13"/>
      <c r="L522" s="12"/>
      <c r="M522" s="14" t="str">
        <f aca="false">IF(OR($C522="",$D522="",$H522="",$B522=""),"",IF(COUNTIFS($C$5:$C$804,$C522,$D$5:$D$804,$D522,$H$5:$H$804,$H522,$B$5:$B$804,$B522)&gt;1,"Takror",""))</f>
        <v/>
      </c>
    </row>
    <row r="523" customFormat="false" ht="15" hidden="false" customHeight="false" outlineLevel="0" collapsed="false">
      <c r="A523" s="8" t="n">
        <v>519</v>
      </c>
      <c r="B523" s="13"/>
      <c r="C523" s="12"/>
      <c r="D523" s="13"/>
      <c r="E523" s="24"/>
      <c r="F523" s="12"/>
      <c r="G523" s="14" t="str">
        <f aca="false">IF(OR($D523="",$B523=""),"",INT(($B523-$D523)/365.25))</f>
        <v/>
      </c>
      <c r="H523" s="12"/>
      <c r="I523" s="12"/>
      <c r="J523" s="25"/>
      <c r="K523" s="13"/>
      <c r="L523" s="12"/>
      <c r="M523" s="14" t="str">
        <f aca="false">IF(OR($C523="",$D523="",$H523="",$B523=""),"",IF(COUNTIFS($C$5:$C$804,$C523,$D$5:$D$804,$D523,$H$5:$H$804,$H523,$B$5:$B$804,$B523)&gt;1,"Takror",""))</f>
        <v/>
      </c>
    </row>
    <row r="524" customFormat="false" ht="15" hidden="false" customHeight="false" outlineLevel="0" collapsed="false">
      <c r="A524" s="8" t="n">
        <v>520</v>
      </c>
      <c r="B524" s="13"/>
      <c r="C524" s="12"/>
      <c r="D524" s="13"/>
      <c r="E524" s="24"/>
      <c r="F524" s="12"/>
      <c r="G524" s="14" t="str">
        <f aca="false">IF(OR($D524="",$B524=""),"",INT(($B524-$D524)/365.25))</f>
        <v/>
      </c>
      <c r="H524" s="12"/>
      <c r="I524" s="12"/>
      <c r="J524" s="25"/>
      <c r="K524" s="13"/>
      <c r="L524" s="12"/>
      <c r="M524" s="14" t="str">
        <f aca="false">IF(OR($C524="",$D524="",$H524="",$B524=""),"",IF(COUNTIFS($C$5:$C$804,$C524,$D$5:$D$804,$D524,$H$5:$H$804,$H524,$B$5:$B$804,$B524)&gt;1,"Takror",""))</f>
        <v/>
      </c>
    </row>
    <row r="525" customFormat="false" ht="15" hidden="false" customHeight="false" outlineLevel="0" collapsed="false">
      <c r="A525" s="8" t="n">
        <v>521</v>
      </c>
      <c r="B525" s="13"/>
      <c r="C525" s="12"/>
      <c r="D525" s="13"/>
      <c r="E525" s="24"/>
      <c r="F525" s="12"/>
      <c r="G525" s="14" t="str">
        <f aca="false">IF(OR($D525="",$B525=""),"",INT(($B525-$D525)/365.25))</f>
        <v/>
      </c>
      <c r="H525" s="12"/>
      <c r="I525" s="12"/>
      <c r="J525" s="25"/>
      <c r="K525" s="13"/>
      <c r="L525" s="12"/>
      <c r="M525" s="14" t="str">
        <f aca="false">IF(OR($C525="",$D525="",$H525="",$B525=""),"",IF(COUNTIFS($C$5:$C$804,$C525,$D$5:$D$804,$D525,$H$5:$H$804,$H525,$B$5:$B$804,$B525)&gt;1,"Takror",""))</f>
        <v/>
      </c>
    </row>
    <row r="526" customFormat="false" ht="15" hidden="false" customHeight="false" outlineLevel="0" collapsed="false">
      <c r="A526" s="8" t="n">
        <v>522</v>
      </c>
      <c r="B526" s="13"/>
      <c r="C526" s="12"/>
      <c r="D526" s="13"/>
      <c r="E526" s="24"/>
      <c r="F526" s="12"/>
      <c r="G526" s="14" t="str">
        <f aca="false">IF(OR($D526="",$B526=""),"",INT(($B526-$D526)/365.25))</f>
        <v/>
      </c>
      <c r="H526" s="12"/>
      <c r="I526" s="12"/>
      <c r="J526" s="25"/>
      <c r="K526" s="13"/>
      <c r="L526" s="12"/>
      <c r="M526" s="14" t="str">
        <f aca="false">IF(OR($C526="",$D526="",$H526="",$B526=""),"",IF(COUNTIFS($C$5:$C$804,$C526,$D$5:$D$804,$D526,$H$5:$H$804,$H526,$B$5:$B$804,$B526)&gt;1,"Takror",""))</f>
        <v/>
      </c>
    </row>
    <row r="527" customFormat="false" ht="15" hidden="false" customHeight="false" outlineLevel="0" collapsed="false">
      <c r="A527" s="8" t="n">
        <v>523</v>
      </c>
      <c r="B527" s="13"/>
      <c r="C527" s="12"/>
      <c r="D527" s="13"/>
      <c r="E527" s="24"/>
      <c r="F527" s="12"/>
      <c r="G527" s="14" t="str">
        <f aca="false">IF(OR($D527="",$B527=""),"",INT(($B527-$D527)/365.25))</f>
        <v/>
      </c>
      <c r="H527" s="12"/>
      <c r="I527" s="12"/>
      <c r="J527" s="25"/>
      <c r="K527" s="13"/>
      <c r="L527" s="12"/>
      <c r="M527" s="14" t="str">
        <f aca="false">IF(OR($C527="",$D527="",$H527="",$B527=""),"",IF(COUNTIFS($C$5:$C$804,$C527,$D$5:$D$804,$D527,$H$5:$H$804,$H527,$B$5:$B$804,$B527)&gt;1,"Takror",""))</f>
        <v/>
      </c>
    </row>
    <row r="528" customFormat="false" ht="15" hidden="false" customHeight="false" outlineLevel="0" collapsed="false">
      <c r="A528" s="8" t="n">
        <v>524</v>
      </c>
      <c r="B528" s="13"/>
      <c r="C528" s="12"/>
      <c r="D528" s="13"/>
      <c r="E528" s="24"/>
      <c r="F528" s="12"/>
      <c r="G528" s="14" t="str">
        <f aca="false">IF(OR($D528="",$B528=""),"",INT(($B528-$D528)/365.25))</f>
        <v/>
      </c>
      <c r="H528" s="12"/>
      <c r="I528" s="12"/>
      <c r="J528" s="25"/>
      <c r="K528" s="13"/>
      <c r="L528" s="12"/>
      <c r="M528" s="14" t="str">
        <f aca="false">IF(OR($C528="",$D528="",$H528="",$B528=""),"",IF(COUNTIFS($C$5:$C$804,$C528,$D$5:$D$804,$D528,$H$5:$H$804,$H528,$B$5:$B$804,$B528)&gt;1,"Takror",""))</f>
        <v/>
      </c>
    </row>
    <row r="529" customFormat="false" ht="15" hidden="false" customHeight="false" outlineLevel="0" collapsed="false">
      <c r="A529" s="8" t="n">
        <v>525</v>
      </c>
      <c r="B529" s="13"/>
      <c r="C529" s="12"/>
      <c r="D529" s="13"/>
      <c r="E529" s="24"/>
      <c r="F529" s="12"/>
      <c r="G529" s="14" t="str">
        <f aca="false">IF(OR($D529="",$B529=""),"",INT(($B529-$D529)/365.25))</f>
        <v/>
      </c>
      <c r="H529" s="12"/>
      <c r="I529" s="12"/>
      <c r="J529" s="25"/>
      <c r="K529" s="13"/>
      <c r="L529" s="12"/>
      <c r="M529" s="14" t="str">
        <f aca="false">IF(OR($C529="",$D529="",$H529="",$B529=""),"",IF(COUNTIFS($C$5:$C$804,$C529,$D$5:$D$804,$D529,$H$5:$H$804,$H529,$B$5:$B$804,$B529)&gt;1,"Takror",""))</f>
        <v/>
      </c>
    </row>
    <row r="530" customFormat="false" ht="15" hidden="false" customHeight="false" outlineLevel="0" collapsed="false">
      <c r="A530" s="8" t="n">
        <v>526</v>
      </c>
      <c r="B530" s="13"/>
      <c r="C530" s="12"/>
      <c r="D530" s="13"/>
      <c r="E530" s="24"/>
      <c r="F530" s="12"/>
      <c r="G530" s="14" t="str">
        <f aca="false">IF(OR($D530="",$B530=""),"",INT(($B530-$D530)/365.25))</f>
        <v/>
      </c>
      <c r="H530" s="12"/>
      <c r="I530" s="12"/>
      <c r="J530" s="25"/>
      <c r="K530" s="13"/>
      <c r="L530" s="12"/>
      <c r="M530" s="14" t="str">
        <f aca="false">IF(OR($C530="",$D530="",$H530="",$B530=""),"",IF(COUNTIFS($C$5:$C$804,$C530,$D$5:$D$804,$D530,$H$5:$H$804,$H530,$B$5:$B$804,$B530)&gt;1,"Takror",""))</f>
        <v/>
      </c>
    </row>
    <row r="531" customFormat="false" ht="15" hidden="false" customHeight="false" outlineLevel="0" collapsed="false">
      <c r="A531" s="8" t="n">
        <v>527</v>
      </c>
      <c r="B531" s="13"/>
      <c r="C531" s="12"/>
      <c r="D531" s="13"/>
      <c r="E531" s="24"/>
      <c r="F531" s="12"/>
      <c r="G531" s="14" t="str">
        <f aca="false">IF(OR($D531="",$B531=""),"",INT(($B531-$D531)/365.25))</f>
        <v/>
      </c>
      <c r="H531" s="12"/>
      <c r="I531" s="12"/>
      <c r="J531" s="25"/>
      <c r="K531" s="13"/>
      <c r="L531" s="12"/>
      <c r="M531" s="14" t="str">
        <f aca="false">IF(OR($C531="",$D531="",$H531="",$B531=""),"",IF(COUNTIFS($C$5:$C$804,$C531,$D$5:$D$804,$D531,$H$5:$H$804,$H531,$B$5:$B$804,$B531)&gt;1,"Takror",""))</f>
        <v/>
      </c>
    </row>
    <row r="532" customFormat="false" ht="15" hidden="false" customHeight="false" outlineLevel="0" collapsed="false">
      <c r="A532" s="8" t="n">
        <v>528</v>
      </c>
      <c r="B532" s="13"/>
      <c r="C532" s="12"/>
      <c r="D532" s="13"/>
      <c r="E532" s="24"/>
      <c r="F532" s="12"/>
      <c r="G532" s="14" t="str">
        <f aca="false">IF(OR($D532="",$B532=""),"",INT(($B532-$D532)/365.25))</f>
        <v/>
      </c>
      <c r="H532" s="12"/>
      <c r="I532" s="12"/>
      <c r="J532" s="25"/>
      <c r="K532" s="13"/>
      <c r="L532" s="12"/>
      <c r="M532" s="14" t="str">
        <f aca="false">IF(OR($C532="",$D532="",$H532="",$B532=""),"",IF(COUNTIFS($C$5:$C$804,$C532,$D$5:$D$804,$D532,$H$5:$H$804,$H532,$B$5:$B$804,$B532)&gt;1,"Takror",""))</f>
        <v/>
      </c>
    </row>
    <row r="533" customFormat="false" ht="15" hidden="false" customHeight="false" outlineLevel="0" collapsed="false">
      <c r="A533" s="8" t="n">
        <v>529</v>
      </c>
      <c r="B533" s="13"/>
      <c r="C533" s="12"/>
      <c r="D533" s="13"/>
      <c r="E533" s="24"/>
      <c r="F533" s="12"/>
      <c r="G533" s="14" t="str">
        <f aca="false">IF(OR($D533="",$B533=""),"",INT(($B533-$D533)/365.25))</f>
        <v/>
      </c>
      <c r="H533" s="12"/>
      <c r="I533" s="12"/>
      <c r="J533" s="25"/>
      <c r="K533" s="13"/>
      <c r="L533" s="12"/>
      <c r="M533" s="14" t="str">
        <f aca="false">IF(OR($C533="",$D533="",$H533="",$B533=""),"",IF(COUNTIFS($C$5:$C$804,$C533,$D$5:$D$804,$D533,$H$5:$H$804,$H533,$B$5:$B$804,$B533)&gt;1,"Takror",""))</f>
        <v/>
      </c>
    </row>
    <row r="534" customFormat="false" ht="15" hidden="false" customHeight="false" outlineLevel="0" collapsed="false">
      <c r="A534" s="8" t="n">
        <v>530</v>
      </c>
      <c r="B534" s="13"/>
      <c r="C534" s="12"/>
      <c r="D534" s="13"/>
      <c r="E534" s="24"/>
      <c r="F534" s="12"/>
      <c r="G534" s="14" t="str">
        <f aca="false">IF(OR($D534="",$B534=""),"",INT(($B534-$D534)/365.25))</f>
        <v/>
      </c>
      <c r="H534" s="12"/>
      <c r="I534" s="12"/>
      <c r="J534" s="25"/>
      <c r="K534" s="13"/>
      <c r="L534" s="12"/>
      <c r="M534" s="14" t="str">
        <f aca="false">IF(OR($C534="",$D534="",$H534="",$B534=""),"",IF(COUNTIFS($C$5:$C$804,$C534,$D$5:$D$804,$D534,$H$5:$H$804,$H534,$B$5:$B$804,$B534)&gt;1,"Takror",""))</f>
        <v/>
      </c>
    </row>
    <row r="535" customFormat="false" ht="15" hidden="false" customHeight="false" outlineLevel="0" collapsed="false">
      <c r="A535" s="8" t="n">
        <v>531</v>
      </c>
      <c r="B535" s="13"/>
      <c r="C535" s="12"/>
      <c r="D535" s="13"/>
      <c r="E535" s="24"/>
      <c r="F535" s="12"/>
      <c r="G535" s="14" t="str">
        <f aca="false">IF(OR($D535="",$B535=""),"",INT(($B535-$D535)/365.25))</f>
        <v/>
      </c>
      <c r="H535" s="12"/>
      <c r="I535" s="12"/>
      <c r="J535" s="25"/>
      <c r="K535" s="13"/>
      <c r="L535" s="12"/>
      <c r="M535" s="14" t="str">
        <f aca="false">IF(OR($C535="",$D535="",$H535="",$B535=""),"",IF(COUNTIFS($C$5:$C$804,$C535,$D$5:$D$804,$D535,$H$5:$H$804,$H535,$B$5:$B$804,$B535)&gt;1,"Takror",""))</f>
        <v/>
      </c>
    </row>
    <row r="536" customFormat="false" ht="15" hidden="false" customHeight="false" outlineLevel="0" collapsed="false">
      <c r="A536" s="8" t="n">
        <v>532</v>
      </c>
      <c r="B536" s="13"/>
      <c r="C536" s="12"/>
      <c r="D536" s="13"/>
      <c r="E536" s="24"/>
      <c r="F536" s="12"/>
      <c r="G536" s="14" t="str">
        <f aca="false">IF(OR($D536="",$B536=""),"",INT(($B536-$D536)/365.25))</f>
        <v/>
      </c>
      <c r="H536" s="12"/>
      <c r="I536" s="12"/>
      <c r="J536" s="25"/>
      <c r="K536" s="13"/>
      <c r="L536" s="12"/>
      <c r="M536" s="14" t="str">
        <f aca="false">IF(OR($C536="",$D536="",$H536="",$B536=""),"",IF(COUNTIFS($C$5:$C$804,$C536,$D$5:$D$804,$D536,$H$5:$H$804,$H536,$B$5:$B$804,$B536)&gt;1,"Takror",""))</f>
        <v/>
      </c>
    </row>
    <row r="537" customFormat="false" ht="15" hidden="false" customHeight="false" outlineLevel="0" collapsed="false">
      <c r="A537" s="8" t="n">
        <v>533</v>
      </c>
      <c r="B537" s="13"/>
      <c r="C537" s="12"/>
      <c r="D537" s="13"/>
      <c r="E537" s="24"/>
      <c r="F537" s="12"/>
      <c r="G537" s="14" t="str">
        <f aca="false">IF(OR($D537="",$B537=""),"",INT(($B537-$D537)/365.25))</f>
        <v/>
      </c>
      <c r="H537" s="12"/>
      <c r="I537" s="12"/>
      <c r="J537" s="25"/>
      <c r="K537" s="13"/>
      <c r="L537" s="12"/>
      <c r="M537" s="14" t="str">
        <f aca="false">IF(OR($C537="",$D537="",$H537="",$B537=""),"",IF(COUNTIFS($C$5:$C$804,$C537,$D$5:$D$804,$D537,$H$5:$H$804,$H537,$B$5:$B$804,$B537)&gt;1,"Takror",""))</f>
        <v/>
      </c>
    </row>
    <row r="538" customFormat="false" ht="15" hidden="false" customHeight="false" outlineLevel="0" collapsed="false">
      <c r="A538" s="8" t="n">
        <v>534</v>
      </c>
      <c r="B538" s="13"/>
      <c r="C538" s="12"/>
      <c r="D538" s="13"/>
      <c r="E538" s="24"/>
      <c r="F538" s="12"/>
      <c r="G538" s="14" t="str">
        <f aca="false">IF(OR($D538="",$B538=""),"",INT(($B538-$D538)/365.25))</f>
        <v/>
      </c>
      <c r="H538" s="12"/>
      <c r="I538" s="12"/>
      <c r="J538" s="25"/>
      <c r="K538" s="13"/>
      <c r="L538" s="12"/>
      <c r="M538" s="14" t="str">
        <f aca="false">IF(OR($C538="",$D538="",$H538="",$B538=""),"",IF(COUNTIFS($C$5:$C$804,$C538,$D$5:$D$804,$D538,$H$5:$H$804,$H538,$B$5:$B$804,$B538)&gt;1,"Takror",""))</f>
        <v/>
      </c>
    </row>
    <row r="539" customFormat="false" ht="15" hidden="false" customHeight="false" outlineLevel="0" collapsed="false">
      <c r="A539" s="8" t="n">
        <v>535</v>
      </c>
      <c r="B539" s="13"/>
      <c r="C539" s="12"/>
      <c r="D539" s="13"/>
      <c r="E539" s="24"/>
      <c r="F539" s="12"/>
      <c r="G539" s="14" t="str">
        <f aca="false">IF(OR($D539="",$B539=""),"",INT(($B539-$D539)/365.25))</f>
        <v/>
      </c>
      <c r="H539" s="12"/>
      <c r="I539" s="12"/>
      <c r="J539" s="25"/>
      <c r="K539" s="13"/>
      <c r="L539" s="12"/>
      <c r="M539" s="14" t="str">
        <f aca="false">IF(OR($C539="",$D539="",$H539="",$B539=""),"",IF(COUNTIFS($C$5:$C$804,$C539,$D$5:$D$804,$D539,$H$5:$H$804,$H539,$B$5:$B$804,$B539)&gt;1,"Takror",""))</f>
        <v/>
      </c>
    </row>
    <row r="540" customFormat="false" ht="15" hidden="false" customHeight="false" outlineLevel="0" collapsed="false">
      <c r="A540" s="8" t="n">
        <v>536</v>
      </c>
      <c r="B540" s="13"/>
      <c r="C540" s="12"/>
      <c r="D540" s="13"/>
      <c r="E540" s="24"/>
      <c r="F540" s="12"/>
      <c r="G540" s="14" t="str">
        <f aca="false">IF(OR($D540="",$B540=""),"",INT(($B540-$D540)/365.25))</f>
        <v/>
      </c>
      <c r="H540" s="12"/>
      <c r="I540" s="12"/>
      <c r="J540" s="25"/>
      <c r="K540" s="13"/>
      <c r="L540" s="12"/>
      <c r="M540" s="14" t="str">
        <f aca="false">IF(OR($C540="",$D540="",$H540="",$B540=""),"",IF(COUNTIFS($C$5:$C$804,$C540,$D$5:$D$804,$D540,$H$5:$H$804,$H540,$B$5:$B$804,$B540)&gt;1,"Takror",""))</f>
        <v/>
      </c>
    </row>
    <row r="541" customFormat="false" ht="15" hidden="false" customHeight="false" outlineLevel="0" collapsed="false">
      <c r="A541" s="8" t="n">
        <v>537</v>
      </c>
      <c r="B541" s="13"/>
      <c r="C541" s="12"/>
      <c r="D541" s="13"/>
      <c r="E541" s="24"/>
      <c r="F541" s="12"/>
      <c r="G541" s="14" t="str">
        <f aca="false">IF(OR($D541="",$B541=""),"",INT(($B541-$D541)/365.25))</f>
        <v/>
      </c>
      <c r="H541" s="12"/>
      <c r="I541" s="12"/>
      <c r="J541" s="25"/>
      <c r="K541" s="13"/>
      <c r="L541" s="12"/>
      <c r="M541" s="14" t="str">
        <f aca="false">IF(OR($C541="",$D541="",$H541="",$B541=""),"",IF(COUNTIFS($C$5:$C$804,$C541,$D$5:$D$804,$D541,$H$5:$H$804,$H541,$B$5:$B$804,$B541)&gt;1,"Takror",""))</f>
        <v/>
      </c>
    </row>
    <row r="542" customFormat="false" ht="15" hidden="false" customHeight="false" outlineLevel="0" collapsed="false">
      <c r="A542" s="8" t="n">
        <v>538</v>
      </c>
      <c r="B542" s="13"/>
      <c r="C542" s="12"/>
      <c r="D542" s="13"/>
      <c r="E542" s="24"/>
      <c r="F542" s="12"/>
      <c r="G542" s="14" t="str">
        <f aca="false">IF(OR($D542="",$B542=""),"",INT(($B542-$D542)/365.25))</f>
        <v/>
      </c>
      <c r="H542" s="12"/>
      <c r="I542" s="12"/>
      <c r="J542" s="25"/>
      <c r="K542" s="13"/>
      <c r="L542" s="12"/>
      <c r="M542" s="14" t="str">
        <f aca="false">IF(OR($C542="",$D542="",$H542="",$B542=""),"",IF(COUNTIFS($C$5:$C$804,$C542,$D$5:$D$804,$D542,$H$5:$H$804,$H542,$B$5:$B$804,$B542)&gt;1,"Takror",""))</f>
        <v/>
      </c>
    </row>
    <row r="543" customFormat="false" ht="15" hidden="false" customHeight="false" outlineLevel="0" collapsed="false">
      <c r="A543" s="8" t="n">
        <v>539</v>
      </c>
      <c r="B543" s="13"/>
      <c r="C543" s="12"/>
      <c r="D543" s="13"/>
      <c r="E543" s="24"/>
      <c r="F543" s="12"/>
      <c r="G543" s="14" t="str">
        <f aca="false">IF(OR($D543="",$B543=""),"",INT(($B543-$D543)/365.25))</f>
        <v/>
      </c>
      <c r="H543" s="12"/>
      <c r="I543" s="12"/>
      <c r="J543" s="25"/>
      <c r="K543" s="13"/>
      <c r="L543" s="12"/>
      <c r="M543" s="14" t="str">
        <f aca="false">IF(OR($C543="",$D543="",$H543="",$B543=""),"",IF(COUNTIFS($C$5:$C$804,$C543,$D$5:$D$804,$D543,$H$5:$H$804,$H543,$B$5:$B$804,$B543)&gt;1,"Takror",""))</f>
        <v/>
      </c>
    </row>
    <row r="544" customFormat="false" ht="15" hidden="false" customHeight="false" outlineLevel="0" collapsed="false">
      <c r="A544" s="8" t="n">
        <v>540</v>
      </c>
      <c r="B544" s="13"/>
      <c r="C544" s="12"/>
      <c r="D544" s="13"/>
      <c r="E544" s="24"/>
      <c r="F544" s="12"/>
      <c r="G544" s="14" t="str">
        <f aca="false">IF(OR($D544="",$B544=""),"",INT(($B544-$D544)/365.25))</f>
        <v/>
      </c>
      <c r="H544" s="12"/>
      <c r="I544" s="12"/>
      <c r="J544" s="25"/>
      <c r="K544" s="13"/>
      <c r="L544" s="12"/>
      <c r="M544" s="14" t="str">
        <f aca="false">IF(OR($C544="",$D544="",$H544="",$B544=""),"",IF(COUNTIFS($C$5:$C$804,$C544,$D$5:$D$804,$D544,$H$5:$H$804,$H544,$B$5:$B$804,$B544)&gt;1,"Takror",""))</f>
        <v/>
      </c>
    </row>
    <row r="545" customFormat="false" ht="15" hidden="false" customHeight="false" outlineLevel="0" collapsed="false">
      <c r="A545" s="8" t="n">
        <v>541</v>
      </c>
      <c r="B545" s="13"/>
      <c r="C545" s="12"/>
      <c r="D545" s="13"/>
      <c r="E545" s="24"/>
      <c r="F545" s="12"/>
      <c r="G545" s="14" t="str">
        <f aca="false">IF(OR($D545="",$B545=""),"",INT(($B545-$D545)/365.25))</f>
        <v/>
      </c>
      <c r="H545" s="12"/>
      <c r="I545" s="12"/>
      <c r="J545" s="25"/>
      <c r="K545" s="13"/>
      <c r="L545" s="12"/>
      <c r="M545" s="14" t="str">
        <f aca="false">IF(OR($C545="",$D545="",$H545="",$B545=""),"",IF(COUNTIFS($C$5:$C$804,$C545,$D$5:$D$804,$D545,$H$5:$H$804,$H545,$B$5:$B$804,$B545)&gt;1,"Takror",""))</f>
        <v/>
      </c>
    </row>
    <row r="546" customFormat="false" ht="15" hidden="false" customHeight="false" outlineLevel="0" collapsed="false">
      <c r="A546" s="8" t="n">
        <v>542</v>
      </c>
      <c r="B546" s="13"/>
      <c r="C546" s="12"/>
      <c r="D546" s="13"/>
      <c r="E546" s="24"/>
      <c r="F546" s="12"/>
      <c r="G546" s="14" t="str">
        <f aca="false">IF(OR($D546="",$B546=""),"",INT(($B546-$D546)/365.25))</f>
        <v/>
      </c>
      <c r="H546" s="12"/>
      <c r="I546" s="12"/>
      <c r="J546" s="25"/>
      <c r="K546" s="13"/>
      <c r="L546" s="12"/>
      <c r="M546" s="14" t="str">
        <f aca="false">IF(OR($C546="",$D546="",$H546="",$B546=""),"",IF(COUNTIFS($C$5:$C$804,$C546,$D$5:$D$804,$D546,$H$5:$H$804,$H546,$B$5:$B$804,$B546)&gt;1,"Takror",""))</f>
        <v/>
      </c>
    </row>
    <row r="547" customFormat="false" ht="15" hidden="false" customHeight="false" outlineLevel="0" collapsed="false">
      <c r="A547" s="8" t="n">
        <v>543</v>
      </c>
      <c r="B547" s="13"/>
      <c r="C547" s="12"/>
      <c r="D547" s="13"/>
      <c r="E547" s="24"/>
      <c r="F547" s="12"/>
      <c r="G547" s="14" t="str">
        <f aca="false">IF(OR($D547="",$B547=""),"",INT(($B547-$D547)/365.25))</f>
        <v/>
      </c>
      <c r="H547" s="12"/>
      <c r="I547" s="12"/>
      <c r="J547" s="25"/>
      <c r="K547" s="13"/>
      <c r="L547" s="12"/>
      <c r="M547" s="14" t="str">
        <f aca="false">IF(OR($C547="",$D547="",$H547="",$B547=""),"",IF(COUNTIFS($C$5:$C$804,$C547,$D$5:$D$804,$D547,$H$5:$H$804,$H547,$B$5:$B$804,$B547)&gt;1,"Takror",""))</f>
        <v/>
      </c>
    </row>
    <row r="548" customFormat="false" ht="15" hidden="false" customHeight="false" outlineLevel="0" collapsed="false">
      <c r="A548" s="8" t="n">
        <v>544</v>
      </c>
      <c r="B548" s="13"/>
      <c r="C548" s="12"/>
      <c r="D548" s="13"/>
      <c r="E548" s="24"/>
      <c r="F548" s="12"/>
      <c r="G548" s="14" t="str">
        <f aca="false">IF(OR($D548="",$B548=""),"",INT(($B548-$D548)/365.25))</f>
        <v/>
      </c>
      <c r="H548" s="12"/>
      <c r="I548" s="12"/>
      <c r="J548" s="25"/>
      <c r="K548" s="13"/>
      <c r="L548" s="12"/>
      <c r="M548" s="14" t="str">
        <f aca="false">IF(OR($C548="",$D548="",$H548="",$B548=""),"",IF(COUNTIFS($C$5:$C$804,$C548,$D$5:$D$804,$D548,$H$5:$H$804,$H548,$B$5:$B$804,$B548)&gt;1,"Takror",""))</f>
        <v/>
      </c>
    </row>
    <row r="549" customFormat="false" ht="15" hidden="false" customHeight="false" outlineLevel="0" collapsed="false">
      <c r="A549" s="8" t="n">
        <v>545</v>
      </c>
      <c r="B549" s="13"/>
      <c r="C549" s="12"/>
      <c r="D549" s="13"/>
      <c r="E549" s="24"/>
      <c r="F549" s="12"/>
      <c r="G549" s="14" t="str">
        <f aca="false">IF(OR($D549="",$B549=""),"",INT(($B549-$D549)/365.25))</f>
        <v/>
      </c>
      <c r="H549" s="12"/>
      <c r="I549" s="12"/>
      <c r="J549" s="25"/>
      <c r="K549" s="13"/>
      <c r="L549" s="12"/>
      <c r="M549" s="14" t="str">
        <f aca="false">IF(OR($C549="",$D549="",$H549="",$B549=""),"",IF(COUNTIFS($C$5:$C$804,$C549,$D$5:$D$804,$D549,$H$5:$H$804,$H549,$B$5:$B$804,$B549)&gt;1,"Takror",""))</f>
        <v/>
      </c>
    </row>
    <row r="550" customFormat="false" ht="15" hidden="false" customHeight="false" outlineLevel="0" collapsed="false">
      <c r="A550" s="8" t="n">
        <v>546</v>
      </c>
      <c r="B550" s="13"/>
      <c r="C550" s="12"/>
      <c r="D550" s="13"/>
      <c r="E550" s="24"/>
      <c r="F550" s="12"/>
      <c r="G550" s="14" t="str">
        <f aca="false">IF(OR($D550="",$B550=""),"",INT(($B550-$D550)/365.25))</f>
        <v/>
      </c>
      <c r="H550" s="12"/>
      <c r="I550" s="12"/>
      <c r="J550" s="25"/>
      <c r="K550" s="13"/>
      <c r="L550" s="12"/>
      <c r="M550" s="14" t="str">
        <f aca="false">IF(OR($C550="",$D550="",$H550="",$B550=""),"",IF(COUNTIFS($C$5:$C$804,$C550,$D$5:$D$804,$D550,$H$5:$H$804,$H550,$B$5:$B$804,$B550)&gt;1,"Takror",""))</f>
        <v/>
      </c>
    </row>
    <row r="551" customFormat="false" ht="15" hidden="false" customHeight="false" outlineLevel="0" collapsed="false">
      <c r="A551" s="8" t="n">
        <v>547</v>
      </c>
      <c r="B551" s="13"/>
      <c r="C551" s="12"/>
      <c r="D551" s="13"/>
      <c r="E551" s="24"/>
      <c r="F551" s="12"/>
      <c r="G551" s="14" t="str">
        <f aca="false">IF(OR($D551="",$B551=""),"",INT(($B551-$D551)/365.25))</f>
        <v/>
      </c>
      <c r="H551" s="12"/>
      <c r="I551" s="12"/>
      <c r="J551" s="25"/>
      <c r="K551" s="13"/>
      <c r="L551" s="12"/>
      <c r="M551" s="14" t="str">
        <f aca="false">IF(OR($C551="",$D551="",$H551="",$B551=""),"",IF(COUNTIFS($C$5:$C$804,$C551,$D$5:$D$804,$D551,$H$5:$H$804,$H551,$B$5:$B$804,$B551)&gt;1,"Takror",""))</f>
        <v/>
      </c>
    </row>
    <row r="552" customFormat="false" ht="15" hidden="false" customHeight="false" outlineLevel="0" collapsed="false">
      <c r="A552" s="8" t="n">
        <v>548</v>
      </c>
      <c r="B552" s="13"/>
      <c r="C552" s="12"/>
      <c r="D552" s="13"/>
      <c r="E552" s="24"/>
      <c r="F552" s="12"/>
      <c r="G552" s="14" t="str">
        <f aca="false">IF(OR($D552="",$B552=""),"",INT(($B552-$D552)/365.25))</f>
        <v/>
      </c>
      <c r="H552" s="12"/>
      <c r="I552" s="12"/>
      <c r="J552" s="25"/>
      <c r="K552" s="13"/>
      <c r="L552" s="12"/>
      <c r="M552" s="14" t="str">
        <f aca="false">IF(OR($C552="",$D552="",$H552="",$B552=""),"",IF(COUNTIFS($C$5:$C$804,$C552,$D$5:$D$804,$D552,$H$5:$H$804,$H552,$B$5:$B$804,$B552)&gt;1,"Takror",""))</f>
        <v/>
      </c>
    </row>
    <row r="553" customFormat="false" ht="15" hidden="false" customHeight="false" outlineLevel="0" collapsed="false">
      <c r="A553" s="8" t="n">
        <v>549</v>
      </c>
      <c r="B553" s="13"/>
      <c r="C553" s="12"/>
      <c r="D553" s="13"/>
      <c r="E553" s="24"/>
      <c r="F553" s="12"/>
      <c r="G553" s="14" t="str">
        <f aca="false">IF(OR($D553="",$B553=""),"",INT(($B553-$D553)/365.25))</f>
        <v/>
      </c>
      <c r="H553" s="12"/>
      <c r="I553" s="12"/>
      <c r="J553" s="25"/>
      <c r="K553" s="13"/>
      <c r="L553" s="12"/>
      <c r="M553" s="14" t="str">
        <f aca="false">IF(OR($C553="",$D553="",$H553="",$B553=""),"",IF(COUNTIFS($C$5:$C$804,$C553,$D$5:$D$804,$D553,$H$5:$H$804,$H553,$B$5:$B$804,$B553)&gt;1,"Takror",""))</f>
        <v/>
      </c>
    </row>
    <row r="554" customFormat="false" ht="15" hidden="false" customHeight="false" outlineLevel="0" collapsed="false">
      <c r="A554" s="8" t="n">
        <v>550</v>
      </c>
      <c r="B554" s="13"/>
      <c r="C554" s="12"/>
      <c r="D554" s="13"/>
      <c r="E554" s="24"/>
      <c r="F554" s="12"/>
      <c r="G554" s="14" t="str">
        <f aca="false">IF(OR($D554="",$B554=""),"",INT(($B554-$D554)/365.25))</f>
        <v/>
      </c>
      <c r="H554" s="12"/>
      <c r="I554" s="12"/>
      <c r="J554" s="25"/>
      <c r="K554" s="13"/>
      <c r="L554" s="12"/>
      <c r="M554" s="14" t="str">
        <f aca="false">IF(OR($C554="",$D554="",$H554="",$B554=""),"",IF(COUNTIFS($C$5:$C$804,$C554,$D$5:$D$804,$D554,$H$5:$H$804,$H554,$B$5:$B$804,$B554)&gt;1,"Takror",""))</f>
        <v/>
      </c>
    </row>
    <row r="555" customFormat="false" ht="15" hidden="false" customHeight="false" outlineLevel="0" collapsed="false">
      <c r="A555" s="8" t="n">
        <v>551</v>
      </c>
      <c r="B555" s="13"/>
      <c r="C555" s="12"/>
      <c r="D555" s="13"/>
      <c r="E555" s="24"/>
      <c r="F555" s="12"/>
      <c r="G555" s="14" t="str">
        <f aca="false">IF(OR($D555="",$B555=""),"",INT(($B555-$D555)/365.25))</f>
        <v/>
      </c>
      <c r="H555" s="12"/>
      <c r="I555" s="12"/>
      <c r="J555" s="25"/>
      <c r="K555" s="13"/>
      <c r="L555" s="12"/>
      <c r="M555" s="14" t="str">
        <f aca="false">IF(OR($C555="",$D555="",$H555="",$B555=""),"",IF(COUNTIFS($C$5:$C$804,$C555,$D$5:$D$804,$D555,$H$5:$H$804,$H555,$B$5:$B$804,$B555)&gt;1,"Takror",""))</f>
        <v/>
      </c>
    </row>
    <row r="556" customFormat="false" ht="15" hidden="false" customHeight="false" outlineLevel="0" collapsed="false">
      <c r="A556" s="8" t="n">
        <v>552</v>
      </c>
      <c r="B556" s="13"/>
      <c r="C556" s="12"/>
      <c r="D556" s="13"/>
      <c r="E556" s="24"/>
      <c r="F556" s="12"/>
      <c r="G556" s="14" t="str">
        <f aca="false">IF(OR($D556="",$B556=""),"",INT(($B556-$D556)/365.25))</f>
        <v/>
      </c>
      <c r="H556" s="12"/>
      <c r="I556" s="12"/>
      <c r="J556" s="25"/>
      <c r="K556" s="13"/>
      <c r="L556" s="12"/>
      <c r="M556" s="14" t="str">
        <f aca="false">IF(OR($C556="",$D556="",$H556="",$B556=""),"",IF(COUNTIFS($C$5:$C$804,$C556,$D$5:$D$804,$D556,$H$5:$H$804,$H556,$B$5:$B$804,$B556)&gt;1,"Takror",""))</f>
        <v/>
      </c>
    </row>
    <row r="557" customFormat="false" ht="15" hidden="false" customHeight="false" outlineLevel="0" collapsed="false">
      <c r="A557" s="8" t="n">
        <v>553</v>
      </c>
      <c r="B557" s="13"/>
      <c r="C557" s="12"/>
      <c r="D557" s="13"/>
      <c r="E557" s="24"/>
      <c r="F557" s="12"/>
      <c r="G557" s="14" t="str">
        <f aca="false">IF(OR($D557="",$B557=""),"",INT(($B557-$D557)/365.25))</f>
        <v/>
      </c>
      <c r="H557" s="12"/>
      <c r="I557" s="12"/>
      <c r="J557" s="25"/>
      <c r="K557" s="13"/>
      <c r="L557" s="12"/>
      <c r="M557" s="14" t="str">
        <f aca="false">IF(OR($C557="",$D557="",$H557="",$B557=""),"",IF(COUNTIFS($C$5:$C$804,$C557,$D$5:$D$804,$D557,$H$5:$H$804,$H557,$B$5:$B$804,$B557)&gt;1,"Takror",""))</f>
        <v/>
      </c>
    </row>
    <row r="558" customFormat="false" ht="15" hidden="false" customHeight="false" outlineLevel="0" collapsed="false">
      <c r="A558" s="8" t="n">
        <v>554</v>
      </c>
      <c r="B558" s="13"/>
      <c r="C558" s="12"/>
      <c r="D558" s="13"/>
      <c r="E558" s="24"/>
      <c r="F558" s="12"/>
      <c r="G558" s="14" t="str">
        <f aca="false">IF(OR($D558="",$B558=""),"",INT(($B558-$D558)/365.25))</f>
        <v/>
      </c>
      <c r="H558" s="12"/>
      <c r="I558" s="12"/>
      <c r="J558" s="25"/>
      <c r="K558" s="13"/>
      <c r="L558" s="12"/>
      <c r="M558" s="14" t="str">
        <f aca="false">IF(OR($C558="",$D558="",$H558="",$B558=""),"",IF(COUNTIFS($C$5:$C$804,$C558,$D$5:$D$804,$D558,$H$5:$H$804,$H558,$B$5:$B$804,$B558)&gt;1,"Takror",""))</f>
        <v/>
      </c>
    </row>
    <row r="559" customFormat="false" ht="15" hidden="false" customHeight="false" outlineLevel="0" collapsed="false">
      <c r="A559" s="8" t="n">
        <v>555</v>
      </c>
      <c r="B559" s="13"/>
      <c r="C559" s="12"/>
      <c r="D559" s="13"/>
      <c r="E559" s="24"/>
      <c r="F559" s="12"/>
      <c r="G559" s="14" t="str">
        <f aca="false">IF(OR($D559="",$B559=""),"",INT(($B559-$D559)/365.25))</f>
        <v/>
      </c>
      <c r="H559" s="12"/>
      <c r="I559" s="12"/>
      <c r="J559" s="25"/>
      <c r="K559" s="13"/>
      <c r="L559" s="12"/>
      <c r="M559" s="14" t="str">
        <f aca="false">IF(OR($C559="",$D559="",$H559="",$B559=""),"",IF(COUNTIFS($C$5:$C$804,$C559,$D$5:$D$804,$D559,$H$5:$H$804,$H559,$B$5:$B$804,$B559)&gt;1,"Takror",""))</f>
        <v/>
      </c>
    </row>
    <row r="560" customFormat="false" ht="15" hidden="false" customHeight="false" outlineLevel="0" collapsed="false">
      <c r="A560" s="8" t="n">
        <v>556</v>
      </c>
      <c r="B560" s="13"/>
      <c r="C560" s="12"/>
      <c r="D560" s="13"/>
      <c r="E560" s="24"/>
      <c r="F560" s="12"/>
      <c r="G560" s="14" t="str">
        <f aca="false">IF(OR($D560="",$B560=""),"",INT(($B560-$D560)/365.25))</f>
        <v/>
      </c>
      <c r="H560" s="12"/>
      <c r="I560" s="12"/>
      <c r="J560" s="25"/>
      <c r="K560" s="13"/>
      <c r="L560" s="12"/>
      <c r="M560" s="14" t="str">
        <f aca="false">IF(OR($C560="",$D560="",$H560="",$B560=""),"",IF(COUNTIFS($C$5:$C$804,$C560,$D$5:$D$804,$D560,$H$5:$H$804,$H560,$B$5:$B$804,$B560)&gt;1,"Takror",""))</f>
        <v/>
      </c>
    </row>
    <row r="561" customFormat="false" ht="15" hidden="false" customHeight="false" outlineLevel="0" collapsed="false">
      <c r="A561" s="8" t="n">
        <v>557</v>
      </c>
      <c r="B561" s="13"/>
      <c r="C561" s="12"/>
      <c r="D561" s="13"/>
      <c r="E561" s="24"/>
      <c r="F561" s="12"/>
      <c r="G561" s="14" t="str">
        <f aca="false">IF(OR($D561="",$B561=""),"",INT(($B561-$D561)/365.25))</f>
        <v/>
      </c>
      <c r="H561" s="12"/>
      <c r="I561" s="12"/>
      <c r="J561" s="25"/>
      <c r="K561" s="13"/>
      <c r="L561" s="12"/>
      <c r="M561" s="14" t="str">
        <f aca="false">IF(OR($C561="",$D561="",$H561="",$B561=""),"",IF(COUNTIFS($C$5:$C$804,$C561,$D$5:$D$804,$D561,$H$5:$H$804,$H561,$B$5:$B$804,$B561)&gt;1,"Takror",""))</f>
        <v/>
      </c>
    </row>
    <row r="562" customFormat="false" ht="15" hidden="false" customHeight="false" outlineLevel="0" collapsed="false">
      <c r="A562" s="8" t="n">
        <v>558</v>
      </c>
      <c r="B562" s="13"/>
      <c r="C562" s="12"/>
      <c r="D562" s="13"/>
      <c r="E562" s="24"/>
      <c r="F562" s="12"/>
      <c r="G562" s="14" t="str">
        <f aca="false">IF(OR($D562="",$B562=""),"",INT(($B562-$D562)/365.25))</f>
        <v/>
      </c>
      <c r="H562" s="12"/>
      <c r="I562" s="12"/>
      <c r="J562" s="25"/>
      <c r="K562" s="13"/>
      <c r="L562" s="12"/>
      <c r="M562" s="14" t="str">
        <f aca="false">IF(OR($C562="",$D562="",$H562="",$B562=""),"",IF(COUNTIFS($C$5:$C$804,$C562,$D$5:$D$804,$D562,$H$5:$H$804,$H562,$B$5:$B$804,$B562)&gt;1,"Takror",""))</f>
        <v/>
      </c>
    </row>
    <row r="563" customFormat="false" ht="15" hidden="false" customHeight="false" outlineLevel="0" collapsed="false">
      <c r="A563" s="8" t="n">
        <v>559</v>
      </c>
      <c r="B563" s="13"/>
      <c r="C563" s="12"/>
      <c r="D563" s="13"/>
      <c r="E563" s="24"/>
      <c r="F563" s="12"/>
      <c r="G563" s="14" t="str">
        <f aca="false">IF(OR($D563="",$B563=""),"",INT(($B563-$D563)/365.25))</f>
        <v/>
      </c>
      <c r="H563" s="12"/>
      <c r="I563" s="12"/>
      <c r="J563" s="25"/>
      <c r="K563" s="13"/>
      <c r="L563" s="12"/>
      <c r="M563" s="14" t="str">
        <f aca="false">IF(OR($C563="",$D563="",$H563="",$B563=""),"",IF(COUNTIFS($C$5:$C$804,$C563,$D$5:$D$804,$D563,$H$5:$H$804,$H563,$B$5:$B$804,$B563)&gt;1,"Takror",""))</f>
        <v/>
      </c>
    </row>
    <row r="564" customFormat="false" ht="15" hidden="false" customHeight="false" outlineLevel="0" collapsed="false">
      <c r="A564" s="8" t="n">
        <v>560</v>
      </c>
      <c r="B564" s="13"/>
      <c r="C564" s="12"/>
      <c r="D564" s="13"/>
      <c r="E564" s="24"/>
      <c r="F564" s="12"/>
      <c r="G564" s="14" t="str">
        <f aca="false">IF(OR($D564="",$B564=""),"",INT(($B564-$D564)/365.25))</f>
        <v/>
      </c>
      <c r="H564" s="12"/>
      <c r="I564" s="12"/>
      <c r="J564" s="25"/>
      <c r="K564" s="13"/>
      <c r="L564" s="12"/>
      <c r="M564" s="14" t="str">
        <f aca="false">IF(OR($C564="",$D564="",$H564="",$B564=""),"",IF(COUNTIFS($C$5:$C$804,$C564,$D$5:$D$804,$D564,$H$5:$H$804,$H564,$B$5:$B$804,$B564)&gt;1,"Takror",""))</f>
        <v/>
      </c>
    </row>
    <row r="565" customFormat="false" ht="15" hidden="false" customHeight="false" outlineLevel="0" collapsed="false">
      <c r="A565" s="8" t="n">
        <v>561</v>
      </c>
      <c r="B565" s="13"/>
      <c r="C565" s="12"/>
      <c r="D565" s="13"/>
      <c r="E565" s="24"/>
      <c r="F565" s="12"/>
      <c r="G565" s="14" t="str">
        <f aca="false">IF(OR($D565="",$B565=""),"",INT(($B565-$D565)/365.25))</f>
        <v/>
      </c>
      <c r="H565" s="12"/>
      <c r="I565" s="12"/>
      <c r="J565" s="25"/>
      <c r="K565" s="13"/>
      <c r="L565" s="12"/>
      <c r="M565" s="14" t="str">
        <f aca="false">IF(OR($C565="",$D565="",$H565="",$B565=""),"",IF(COUNTIFS($C$5:$C$804,$C565,$D$5:$D$804,$D565,$H$5:$H$804,$H565,$B$5:$B$804,$B565)&gt;1,"Takror",""))</f>
        <v/>
      </c>
    </row>
    <row r="566" customFormat="false" ht="15" hidden="false" customHeight="false" outlineLevel="0" collapsed="false">
      <c r="A566" s="8" t="n">
        <v>562</v>
      </c>
      <c r="B566" s="13"/>
      <c r="C566" s="12"/>
      <c r="D566" s="13"/>
      <c r="E566" s="24"/>
      <c r="F566" s="12"/>
      <c r="G566" s="14" t="str">
        <f aca="false">IF(OR($D566="",$B566=""),"",INT(($B566-$D566)/365.25))</f>
        <v/>
      </c>
      <c r="H566" s="12"/>
      <c r="I566" s="12"/>
      <c r="J566" s="25"/>
      <c r="K566" s="13"/>
      <c r="L566" s="12"/>
      <c r="M566" s="14" t="str">
        <f aca="false">IF(OR($C566="",$D566="",$H566="",$B566=""),"",IF(COUNTIFS($C$5:$C$804,$C566,$D$5:$D$804,$D566,$H$5:$H$804,$H566,$B$5:$B$804,$B566)&gt;1,"Takror",""))</f>
        <v/>
      </c>
    </row>
    <row r="567" customFormat="false" ht="15" hidden="false" customHeight="false" outlineLevel="0" collapsed="false">
      <c r="A567" s="8" t="n">
        <v>563</v>
      </c>
      <c r="B567" s="13"/>
      <c r="C567" s="12"/>
      <c r="D567" s="13"/>
      <c r="E567" s="24"/>
      <c r="F567" s="12"/>
      <c r="G567" s="14" t="str">
        <f aca="false">IF(OR($D567="",$B567=""),"",INT(($B567-$D567)/365.25))</f>
        <v/>
      </c>
      <c r="H567" s="12"/>
      <c r="I567" s="12"/>
      <c r="J567" s="25"/>
      <c r="K567" s="13"/>
      <c r="L567" s="12"/>
      <c r="M567" s="14" t="str">
        <f aca="false">IF(OR($C567="",$D567="",$H567="",$B567=""),"",IF(COUNTIFS($C$5:$C$804,$C567,$D$5:$D$804,$D567,$H$5:$H$804,$H567,$B$5:$B$804,$B567)&gt;1,"Takror",""))</f>
        <v/>
      </c>
    </row>
    <row r="568" customFormat="false" ht="15" hidden="false" customHeight="false" outlineLevel="0" collapsed="false">
      <c r="A568" s="8" t="n">
        <v>564</v>
      </c>
      <c r="B568" s="13"/>
      <c r="C568" s="12"/>
      <c r="D568" s="13"/>
      <c r="E568" s="24"/>
      <c r="F568" s="12"/>
      <c r="G568" s="14" t="str">
        <f aca="false">IF(OR($D568="",$B568=""),"",INT(($B568-$D568)/365.25))</f>
        <v/>
      </c>
      <c r="H568" s="12"/>
      <c r="I568" s="12"/>
      <c r="J568" s="25"/>
      <c r="K568" s="13"/>
      <c r="L568" s="12"/>
      <c r="M568" s="14" t="str">
        <f aca="false">IF(OR($C568="",$D568="",$H568="",$B568=""),"",IF(COUNTIFS($C$5:$C$804,$C568,$D$5:$D$804,$D568,$H$5:$H$804,$H568,$B$5:$B$804,$B568)&gt;1,"Takror",""))</f>
        <v/>
      </c>
    </row>
    <row r="569" customFormat="false" ht="15" hidden="false" customHeight="false" outlineLevel="0" collapsed="false">
      <c r="A569" s="8" t="n">
        <v>565</v>
      </c>
      <c r="B569" s="13"/>
      <c r="C569" s="12"/>
      <c r="D569" s="13"/>
      <c r="E569" s="24"/>
      <c r="F569" s="12"/>
      <c r="G569" s="14" t="str">
        <f aca="false">IF(OR($D569="",$B569=""),"",INT(($B569-$D569)/365.25))</f>
        <v/>
      </c>
      <c r="H569" s="12"/>
      <c r="I569" s="12"/>
      <c r="J569" s="25"/>
      <c r="K569" s="13"/>
      <c r="L569" s="12"/>
      <c r="M569" s="14" t="str">
        <f aca="false">IF(OR($C569="",$D569="",$H569="",$B569=""),"",IF(COUNTIFS($C$5:$C$804,$C569,$D$5:$D$804,$D569,$H$5:$H$804,$H569,$B$5:$B$804,$B569)&gt;1,"Takror",""))</f>
        <v/>
      </c>
    </row>
    <row r="570" customFormat="false" ht="15" hidden="false" customHeight="false" outlineLevel="0" collapsed="false">
      <c r="A570" s="8" t="n">
        <v>566</v>
      </c>
      <c r="B570" s="13"/>
      <c r="C570" s="12"/>
      <c r="D570" s="13"/>
      <c r="E570" s="24"/>
      <c r="F570" s="12"/>
      <c r="G570" s="14" t="str">
        <f aca="false">IF(OR($D570="",$B570=""),"",INT(($B570-$D570)/365.25))</f>
        <v/>
      </c>
      <c r="H570" s="12"/>
      <c r="I570" s="12"/>
      <c r="J570" s="25"/>
      <c r="K570" s="13"/>
      <c r="L570" s="12"/>
      <c r="M570" s="14" t="str">
        <f aca="false">IF(OR($C570="",$D570="",$H570="",$B570=""),"",IF(COUNTIFS($C$5:$C$804,$C570,$D$5:$D$804,$D570,$H$5:$H$804,$H570,$B$5:$B$804,$B570)&gt;1,"Takror",""))</f>
        <v/>
      </c>
    </row>
    <row r="571" customFormat="false" ht="15" hidden="false" customHeight="false" outlineLevel="0" collapsed="false">
      <c r="A571" s="8" t="n">
        <v>567</v>
      </c>
      <c r="B571" s="13"/>
      <c r="C571" s="12"/>
      <c r="D571" s="13"/>
      <c r="E571" s="24"/>
      <c r="F571" s="12"/>
      <c r="G571" s="14" t="str">
        <f aca="false">IF(OR($D571="",$B571=""),"",INT(($B571-$D571)/365.25))</f>
        <v/>
      </c>
      <c r="H571" s="12"/>
      <c r="I571" s="12"/>
      <c r="J571" s="25"/>
      <c r="K571" s="13"/>
      <c r="L571" s="12"/>
      <c r="M571" s="14" t="str">
        <f aca="false">IF(OR($C571="",$D571="",$H571="",$B571=""),"",IF(COUNTIFS($C$5:$C$804,$C571,$D$5:$D$804,$D571,$H$5:$H$804,$H571,$B$5:$B$804,$B571)&gt;1,"Takror",""))</f>
        <v/>
      </c>
    </row>
    <row r="572" customFormat="false" ht="15" hidden="false" customHeight="false" outlineLevel="0" collapsed="false">
      <c r="A572" s="8" t="n">
        <v>568</v>
      </c>
      <c r="B572" s="13"/>
      <c r="C572" s="12"/>
      <c r="D572" s="13"/>
      <c r="E572" s="24"/>
      <c r="F572" s="12"/>
      <c r="G572" s="14" t="str">
        <f aca="false">IF(OR($D572="",$B572=""),"",INT(($B572-$D572)/365.25))</f>
        <v/>
      </c>
      <c r="H572" s="12"/>
      <c r="I572" s="12"/>
      <c r="J572" s="25"/>
      <c r="K572" s="13"/>
      <c r="L572" s="12"/>
      <c r="M572" s="14" t="str">
        <f aca="false">IF(OR($C572="",$D572="",$H572="",$B572=""),"",IF(COUNTIFS($C$5:$C$804,$C572,$D$5:$D$804,$D572,$H$5:$H$804,$H572,$B$5:$B$804,$B572)&gt;1,"Takror",""))</f>
        <v/>
      </c>
    </row>
    <row r="573" customFormat="false" ht="15" hidden="false" customHeight="false" outlineLevel="0" collapsed="false">
      <c r="A573" s="8" t="n">
        <v>569</v>
      </c>
      <c r="B573" s="13"/>
      <c r="C573" s="12"/>
      <c r="D573" s="13"/>
      <c r="E573" s="24"/>
      <c r="F573" s="12"/>
      <c r="G573" s="14" t="str">
        <f aca="false">IF(OR($D573="",$B573=""),"",INT(($B573-$D573)/365.25))</f>
        <v/>
      </c>
      <c r="H573" s="12"/>
      <c r="I573" s="12"/>
      <c r="J573" s="25"/>
      <c r="K573" s="13"/>
      <c r="L573" s="12"/>
      <c r="M573" s="14" t="str">
        <f aca="false">IF(OR($C573="",$D573="",$H573="",$B573=""),"",IF(COUNTIFS($C$5:$C$804,$C573,$D$5:$D$804,$D573,$H$5:$H$804,$H573,$B$5:$B$804,$B573)&gt;1,"Takror",""))</f>
        <v/>
      </c>
    </row>
    <row r="574" customFormat="false" ht="15" hidden="false" customHeight="false" outlineLevel="0" collapsed="false">
      <c r="A574" s="8" t="n">
        <v>570</v>
      </c>
      <c r="B574" s="13"/>
      <c r="C574" s="12"/>
      <c r="D574" s="13"/>
      <c r="E574" s="24"/>
      <c r="F574" s="12"/>
      <c r="G574" s="14" t="str">
        <f aca="false">IF(OR($D574="",$B574=""),"",INT(($B574-$D574)/365.25))</f>
        <v/>
      </c>
      <c r="H574" s="12"/>
      <c r="I574" s="12"/>
      <c r="J574" s="25"/>
      <c r="K574" s="13"/>
      <c r="L574" s="12"/>
      <c r="M574" s="14" t="str">
        <f aca="false">IF(OR($C574="",$D574="",$H574="",$B574=""),"",IF(COUNTIFS($C$5:$C$804,$C574,$D$5:$D$804,$D574,$H$5:$H$804,$H574,$B$5:$B$804,$B574)&gt;1,"Takror",""))</f>
        <v/>
      </c>
    </row>
    <row r="575" customFormat="false" ht="15" hidden="false" customHeight="false" outlineLevel="0" collapsed="false">
      <c r="A575" s="8" t="n">
        <v>571</v>
      </c>
      <c r="B575" s="13"/>
      <c r="C575" s="12"/>
      <c r="D575" s="13"/>
      <c r="E575" s="24"/>
      <c r="F575" s="12"/>
      <c r="G575" s="14" t="str">
        <f aca="false">IF(OR($D575="",$B575=""),"",INT(($B575-$D575)/365.25))</f>
        <v/>
      </c>
      <c r="H575" s="12"/>
      <c r="I575" s="12"/>
      <c r="J575" s="25"/>
      <c r="K575" s="13"/>
      <c r="L575" s="12"/>
      <c r="M575" s="14" t="str">
        <f aca="false">IF(OR($C575="",$D575="",$H575="",$B575=""),"",IF(COUNTIFS($C$5:$C$804,$C575,$D$5:$D$804,$D575,$H$5:$H$804,$H575,$B$5:$B$804,$B575)&gt;1,"Takror",""))</f>
        <v/>
      </c>
    </row>
    <row r="576" customFormat="false" ht="15" hidden="false" customHeight="false" outlineLevel="0" collapsed="false">
      <c r="A576" s="8" t="n">
        <v>572</v>
      </c>
      <c r="B576" s="13"/>
      <c r="C576" s="12"/>
      <c r="D576" s="13"/>
      <c r="E576" s="24"/>
      <c r="F576" s="12"/>
      <c r="G576" s="14" t="str">
        <f aca="false">IF(OR($D576="",$B576=""),"",INT(($B576-$D576)/365.25))</f>
        <v/>
      </c>
      <c r="H576" s="12"/>
      <c r="I576" s="12"/>
      <c r="J576" s="25"/>
      <c r="K576" s="13"/>
      <c r="L576" s="12"/>
      <c r="M576" s="14" t="str">
        <f aca="false">IF(OR($C576="",$D576="",$H576="",$B576=""),"",IF(COUNTIFS($C$5:$C$804,$C576,$D$5:$D$804,$D576,$H$5:$H$804,$H576,$B$5:$B$804,$B576)&gt;1,"Takror",""))</f>
        <v/>
      </c>
    </row>
    <row r="577" customFormat="false" ht="15" hidden="false" customHeight="false" outlineLevel="0" collapsed="false">
      <c r="A577" s="8" t="n">
        <v>573</v>
      </c>
      <c r="B577" s="13"/>
      <c r="C577" s="12"/>
      <c r="D577" s="13"/>
      <c r="E577" s="24"/>
      <c r="F577" s="12"/>
      <c r="G577" s="14" t="str">
        <f aca="false">IF(OR($D577="",$B577=""),"",INT(($B577-$D577)/365.25))</f>
        <v/>
      </c>
      <c r="H577" s="12"/>
      <c r="I577" s="12"/>
      <c r="J577" s="25"/>
      <c r="K577" s="13"/>
      <c r="L577" s="12"/>
      <c r="M577" s="14" t="str">
        <f aca="false">IF(OR($C577="",$D577="",$H577="",$B577=""),"",IF(COUNTIFS($C$5:$C$804,$C577,$D$5:$D$804,$D577,$H$5:$H$804,$H577,$B$5:$B$804,$B577)&gt;1,"Takror",""))</f>
        <v/>
      </c>
    </row>
    <row r="578" customFormat="false" ht="15" hidden="false" customHeight="false" outlineLevel="0" collapsed="false">
      <c r="A578" s="8" t="n">
        <v>574</v>
      </c>
      <c r="B578" s="13"/>
      <c r="C578" s="12"/>
      <c r="D578" s="13"/>
      <c r="E578" s="24"/>
      <c r="F578" s="12"/>
      <c r="G578" s="14" t="str">
        <f aca="false">IF(OR($D578="",$B578=""),"",INT(($B578-$D578)/365.25))</f>
        <v/>
      </c>
      <c r="H578" s="12"/>
      <c r="I578" s="12"/>
      <c r="J578" s="25"/>
      <c r="K578" s="13"/>
      <c r="L578" s="12"/>
      <c r="M578" s="14" t="str">
        <f aca="false">IF(OR($C578="",$D578="",$H578="",$B578=""),"",IF(COUNTIFS($C$5:$C$804,$C578,$D$5:$D$804,$D578,$H$5:$H$804,$H578,$B$5:$B$804,$B578)&gt;1,"Takror",""))</f>
        <v/>
      </c>
    </row>
    <row r="579" customFormat="false" ht="15" hidden="false" customHeight="false" outlineLevel="0" collapsed="false">
      <c r="A579" s="8" t="n">
        <v>575</v>
      </c>
      <c r="B579" s="13"/>
      <c r="C579" s="12"/>
      <c r="D579" s="13"/>
      <c r="E579" s="24"/>
      <c r="F579" s="12"/>
      <c r="G579" s="14" t="str">
        <f aca="false">IF(OR($D579="",$B579=""),"",INT(($B579-$D579)/365.25))</f>
        <v/>
      </c>
      <c r="H579" s="12"/>
      <c r="I579" s="12"/>
      <c r="J579" s="25"/>
      <c r="K579" s="13"/>
      <c r="L579" s="12"/>
      <c r="M579" s="14" t="str">
        <f aca="false">IF(OR($C579="",$D579="",$H579="",$B579=""),"",IF(COUNTIFS($C$5:$C$804,$C579,$D$5:$D$804,$D579,$H$5:$H$804,$H579,$B$5:$B$804,$B579)&gt;1,"Takror",""))</f>
        <v/>
      </c>
    </row>
    <row r="580" customFormat="false" ht="15" hidden="false" customHeight="false" outlineLevel="0" collapsed="false">
      <c r="A580" s="8" t="n">
        <v>576</v>
      </c>
      <c r="B580" s="13"/>
      <c r="C580" s="12"/>
      <c r="D580" s="13"/>
      <c r="E580" s="24"/>
      <c r="F580" s="12"/>
      <c r="G580" s="14" t="str">
        <f aca="false">IF(OR($D580="",$B580=""),"",INT(($B580-$D580)/365.25))</f>
        <v/>
      </c>
      <c r="H580" s="12"/>
      <c r="I580" s="12"/>
      <c r="J580" s="25"/>
      <c r="K580" s="13"/>
      <c r="L580" s="12"/>
      <c r="M580" s="14" t="str">
        <f aca="false">IF(OR($C580="",$D580="",$H580="",$B580=""),"",IF(COUNTIFS($C$5:$C$804,$C580,$D$5:$D$804,$D580,$H$5:$H$804,$H580,$B$5:$B$804,$B580)&gt;1,"Takror",""))</f>
        <v/>
      </c>
    </row>
    <row r="581" customFormat="false" ht="15" hidden="false" customHeight="false" outlineLevel="0" collapsed="false">
      <c r="A581" s="8" t="n">
        <v>577</v>
      </c>
      <c r="B581" s="13"/>
      <c r="C581" s="12"/>
      <c r="D581" s="13"/>
      <c r="E581" s="24"/>
      <c r="F581" s="12"/>
      <c r="G581" s="14" t="str">
        <f aca="false">IF(OR($D581="",$B581=""),"",INT(($B581-$D581)/365.25))</f>
        <v/>
      </c>
      <c r="H581" s="12"/>
      <c r="I581" s="12"/>
      <c r="J581" s="25"/>
      <c r="K581" s="13"/>
      <c r="L581" s="12"/>
      <c r="M581" s="14" t="str">
        <f aca="false">IF(OR($C581="",$D581="",$H581="",$B581=""),"",IF(COUNTIFS($C$5:$C$804,$C581,$D$5:$D$804,$D581,$H$5:$H$804,$H581,$B$5:$B$804,$B581)&gt;1,"Takror",""))</f>
        <v/>
      </c>
    </row>
    <row r="582" customFormat="false" ht="15" hidden="false" customHeight="false" outlineLevel="0" collapsed="false">
      <c r="A582" s="8" t="n">
        <v>578</v>
      </c>
      <c r="B582" s="13"/>
      <c r="C582" s="12"/>
      <c r="D582" s="13"/>
      <c r="E582" s="24"/>
      <c r="F582" s="12"/>
      <c r="G582" s="14" t="str">
        <f aca="false">IF(OR($D582="",$B582=""),"",INT(($B582-$D582)/365.25))</f>
        <v/>
      </c>
      <c r="H582" s="12"/>
      <c r="I582" s="12"/>
      <c r="J582" s="25"/>
      <c r="K582" s="13"/>
      <c r="L582" s="12"/>
      <c r="M582" s="14" t="str">
        <f aca="false">IF(OR($C582="",$D582="",$H582="",$B582=""),"",IF(COUNTIFS($C$5:$C$804,$C582,$D$5:$D$804,$D582,$H$5:$H$804,$H582,$B$5:$B$804,$B582)&gt;1,"Takror",""))</f>
        <v/>
      </c>
    </row>
    <row r="583" customFormat="false" ht="15" hidden="false" customHeight="false" outlineLevel="0" collapsed="false">
      <c r="A583" s="8" t="n">
        <v>579</v>
      </c>
      <c r="B583" s="13"/>
      <c r="C583" s="12"/>
      <c r="D583" s="13"/>
      <c r="E583" s="24"/>
      <c r="F583" s="12"/>
      <c r="G583" s="14" t="str">
        <f aca="false">IF(OR($D583="",$B583=""),"",INT(($B583-$D583)/365.25))</f>
        <v/>
      </c>
      <c r="H583" s="12"/>
      <c r="I583" s="12"/>
      <c r="J583" s="25"/>
      <c r="K583" s="13"/>
      <c r="L583" s="12"/>
      <c r="M583" s="14" t="str">
        <f aca="false">IF(OR($C583="",$D583="",$H583="",$B583=""),"",IF(COUNTIFS($C$5:$C$804,$C583,$D$5:$D$804,$D583,$H$5:$H$804,$H583,$B$5:$B$804,$B583)&gt;1,"Takror",""))</f>
        <v/>
      </c>
    </row>
    <row r="584" customFormat="false" ht="15" hidden="false" customHeight="false" outlineLevel="0" collapsed="false">
      <c r="A584" s="8" t="n">
        <v>580</v>
      </c>
      <c r="B584" s="13"/>
      <c r="C584" s="12"/>
      <c r="D584" s="13"/>
      <c r="E584" s="24"/>
      <c r="F584" s="12"/>
      <c r="G584" s="14" t="str">
        <f aca="false">IF(OR($D584="",$B584=""),"",INT(($B584-$D584)/365.25))</f>
        <v/>
      </c>
      <c r="H584" s="12"/>
      <c r="I584" s="12"/>
      <c r="J584" s="25"/>
      <c r="K584" s="13"/>
      <c r="L584" s="12"/>
      <c r="M584" s="14" t="str">
        <f aca="false">IF(OR($C584="",$D584="",$H584="",$B584=""),"",IF(COUNTIFS($C$5:$C$804,$C584,$D$5:$D$804,$D584,$H$5:$H$804,$H584,$B$5:$B$804,$B584)&gt;1,"Takror",""))</f>
        <v/>
      </c>
    </row>
    <row r="585" customFormat="false" ht="15" hidden="false" customHeight="false" outlineLevel="0" collapsed="false">
      <c r="A585" s="8" t="n">
        <v>581</v>
      </c>
      <c r="B585" s="13"/>
      <c r="C585" s="12"/>
      <c r="D585" s="13"/>
      <c r="E585" s="24"/>
      <c r="F585" s="12"/>
      <c r="G585" s="14" t="str">
        <f aca="false">IF(OR($D585="",$B585=""),"",INT(($B585-$D585)/365.25))</f>
        <v/>
      </c>
      <c r="H585" s="12"/>
      <c r="I585" s="12"/>
      <c r="J585" s="25"/>
      <c r="K585" s="13"/>
      <c r="L585" s="12"/>
      <c r="M585" s="14" t="str">
        <f aca="false">IF(OR($C585="",$D585="",$H585="",$B585=""),"",IF(COUNTIFS($C$5:$C$804,$C585,$D$5:$D$804,$D585,$H$5:$H$804,$H585,$B$5:$B$804,$B585)&gt;1,"Takror",""))</f>
        <v/>
      </c>
    </row>
    <row r="586" customFormat="false" ht="15" hidden="false" customHeight="false" outlineLevel="0" collapsed="false">
      <c r="A586" s="8" t="n">
        <v>582</v>
      </c>
      <c r="B586" s="13"/>
      <c r="C586" s="12"/>
      <c r="D586" s="13"/>
      <c r="E586" s="24"/>
      <c r="F586" s="12"/>
      <c r="G586" s="14" t="str">
        <f aca="false">IF(OR($D586="",$B586=""),"",INT(($B586-$D586)/365.25))</f>
        <v/>
      </c>
      <c r="H586" s="12"/>
      <c r="I586" s="12"/>
      <c r="J586" s="25"/>
      <c r="K586" s="13"/>
      <c r="L586" s="12"/>
      <c r="M586" s="14" t="str">
        <f aca="false">IF(OR($C586="",$D586="",$H586="",$B586=""),"",IF(COUNTIFS($C$5:$C$804,$C586,$D$5:$D$804,$D586,$H$5:$H$804,$H586,$B$5:$B$804,$B586)&gt;1,"Takror",""))</f>
        <v/>
      </c>
    </row>
    <row r="587" customFormat="false" ht="15" hidden="false" customHeight="false" outlineLevel="0" collapsed="false">
      <c r="A587" s="8" t="n">
        <v>583</v>
      </c>
      <c r="B587" s="13"/>
      <c r="C587" s="12"/>
      <c r="D587" s="13"/>
      <c r="E587" s="24"/>
      <c r="F587" s="12"/>
      <c r="G587" s="14" t="str">
        <f aca="false">IF(OR($D587="",$B587=""),"",INT(($B587-$D587)/365.25))</f>
        <v/>
      </c>
      <c r="H587" s="12"/>
      <c r="I587" s="12"/>
      <c r="J587" s="25"/>
      <c r="K587" s="13"/>
      <c r="L587" s="12"/>
      <c r="M587" s="14" t="str">
        <f aca="false">IF(OR($C587="",$D587="",$H587="",$B587=""),"",IF(COUNTIFS($C$5:$C$804,$C587,$D$5:$D$804,$D587,$H$5:$H$804,$H587,$B$5:$B$804,$B587)&gt;1,"Takror",""))</f>
        <v/>
      </c>
    </row>
    <row r="588" customFormat="false" ht="15" hidden="false" customHeight="false" outlineLevel="0" collapsed="false">
      <c r="A588" s="8" t="n">
        <v>584</v>
      </c>
      <c r="B588" s="13"/>
      <c r="C588" s="12"/>
      <c r="D588" s="13"/>
      <c r="E588" s="24"/>
      <c r="F588" s="12"/>
      <c r="G588" s="14" t="str">
        <f aca="false">IF(OR($D588="",$B588=""),"",INT(($B588-$D588)/365.25))</f>
        <v/>
      </c>
      <c r="H588" s="12"/>
      <c r="I588" s="12"/>
      <c r="J588" s="25"/>
      <c r="K588" s="13"/>
      <c r="L588" s="12"/>
      <c r="M588" s="14" t="str">
        <f aca="false">IF(OR($C588="",$D588="",$H588="",$B588=""),"",IF(COUNTIFS($C$5:$C$804,$C588,$D$5:$D$804,$D588,$H$5:$H$804,$H588,$B$5:$B$804,$B588)&gt;1,"Takror",""))</f>
        <v/>
      </c>
    </row>
    <row r="589" customFormat="false" ht="15" hidden="false" customHeight="false" outlineLevel="0" collapsed="false">
      <c r="A589" s="8" t="n">
        <v>585</v>
      </c>
      <c r="B589" s="13"/>
      <c r="C589" s="12"/>
      <c r="D589" s="13"/>
      <c r="E589" s="24"/>
      <c r="F589" s="12"/>
      <c r="G589" s="14" t="str">
        <f aca="false">IF(OR($D589="",$B589=""),"",INT(($B589-$D589)/365.25))</f>
        <v/>
      </c>
      <c r="H589" s="12"/>
      <c r="I589" s="12"/>
      <c r="J589" s="25"/>
      <c r="K589" s="13"/>
      <c r="L589" s="12"/>
      <c r="M589" s="14" t="str">
        <f aca="false">IF(OR($C589="",$D589="",$H589="",$B589=""),"",IF(COUNTIFS($C$5:$C$804,$C589,$D$5:$D$804,$D589,$H$5:$H$804,$H589,$B$5:$B$804,$B589)&gt;1,"Takror",""))</f>
        <v/>
      </c>
    </row>
    <row r="590" customFormat="false" ht="15" hidden="false" customHeight="false" outlineLevel="0" collapsed="false">
      <c r="A590" s="8" t="n">
        <v>586</v>
      </c>
      <c r="B590" s="13"/>
      <c r="C590" s="12"/>
      <c r="D590" s="13"/>
      <c r="E590" s="24"/>
      <c r="F590" s="12"/>
      <c r="G590" s="14" t="str">
        <f aca="false">IF(OR($D590="",$B590=""),"",INT(($B590-$D590)/365.25))</f>
        <v/>
      </c>
      <c r="H590" s="12"/>
      <c r="I590" s="12"/>
      <c r="J590" s="25"/>
      <c r="K590" s="13"/>
      <c r="L590" s="12"/>
      <c r="M590" s="14" t="str">
        <f aca="false">IF(OR($C590="",$D590="",$H590="",$B590=""),"",IF(COUNTIFS($C$5:$C$804,$C590,$D$5:$D$804,$D590,$H$5:$H$804,$H590,$B$5:$B$804,$B590)&gt;1,"Takror",""))</f>
        <v/>
      </c>
    </row>
    <row r="591" customFormat="false" ht="15" hidden="false" customHeight="false" outlineLevel="0" collapsed="false">
      <c r="A591" s="8" t="n">
        <v>587</v>
      </c>
      <c r="B591" s="13"/>
      <c r="C591" s="12"/>
      <c r="D591" s="13"/>
      <c r="E591" s="24"/>
      <c r="F591" s="12"/>
      <c r="G591" s="14" t="str">
        <f aca="false">IF(OR($D591="",$B591=""),"",INT(($B591-$D591)/365.25))</f>
        <v/>
      </c>
      <c r="H591" s="12"/>
      <c r="I591" s="12"/>
      <c r="J591" s="25"/>
      <c r="K591" s="13"/>
      <c r="L591" s="12"/>
      <c r="M591" s="14" t="str">
        <f aca="false">IF(OR($C591="",$D591="",$H591="",$B591=""),"",IF(COUNTIFS($C$5:$C$804,$C591,$D$5:$D$804,$D591,$H$5:$H$804,$H591,$B$5:$B$804,$B591)&gt;1,"Takror",""))</f>
        <v/>
      </c>
    </row>
    <row r="592" customFormat="false" ht="15" hidden="false" customHeight="false" outlineLevel="0" collapsed="false">
      <c r="A592" s="8" t="n">
        <v>588</v>
      </c>
      <c r="B592" s="13"/>
      <c r="C592" s="12"/>
      <c r="D592" s="13"/>
      <c r="E592" s="24"/>
      <c r="F592" s="12"/>
      <c r="G592" s="14" t="str">
        <f aca="false">IF(OR($D592="",$B592=""),"",INT(($B592-$D592)/365.25))</f>
        <v/>
      </c>
      <c r="H592" s="12"/>
      <c r="I592" s="12"/>
      <c r="J592" s="25"/>
      <c r="K592" s="13"/>
      <c r="L592" s="12"/>
      <c r="M592" s="14" t="str">
        <f aca="false">IF(OR($C592="",$D592="",$H592="",$B592=""),"",IF(COUNTIFS($C$5:$C$804,$C592,$D$5:$D$804,$D592,$H$5:$H$804,$H592,$B$5:$B$804,$B592)&gt;1,"Takror",""))</f>
        <v/>
      </c>
    </row>
    <row r="593" customFormat="false" ht="15" hidden="false" customHeight="false" outlineLevel="0" collapsed="false">
      <c r="A593" s="8" t="n">
        <v>589</v>
      </c>
      <c r="B593" s="13"/>
      <c r="C593" s="12"/>
      <c r="D593" s="13"/>
      <c r="E593" s="24"/>
      <c r="F593" s="12"/>
      <c r="G593" s="14" t="str">
        <f aca="false">IF(OR($D593="",$B593=""),"",INT(($B593-$D593)/365.25))</f>
        <v/>
      </c>
      <c r="H593" s="12"/>
      <c r="I593" s="12"/>
      <c r="J593" s="25"/>
      <c r="K593" s="13"/>
      <c r="L593" s="12"/>
      <c r="M593" s="14" t="str">
        <f aca="false">IF(OR($C593="",$D593="",$H593="",$B593=""),"",IF(COUNTIFS($C$5:$C$804,$C593,$D$5:$D$804,$D593,$H$5:$H$804,$H593,$B$5:$B$804,$B593)&gt;1,"Takror",""))</f>
        <v/>
      </c>
    </row>
    <row r="594" customFormat="false" ht="15" hidden="false" customHeight="false" outlineLevel="0" collapsed="false">
      <c r="A594" s="8" t="n">
        <v>590</v>
      </c>
      <c r="B594" s="13"/>
      <c r="C594" s="12"/>
      <c r="D594" s="13"/>
      <c r="E594" s="24"/>
      <c r="F594" s="12"/>
      <c r="G594" s="14" t="str">
        <f aca="false">IF(OR($D594="",$B594=""),"",INT(($B594-$D594)/365.25))</f>
        <v/>
      </c>
      <c r="H594" s="12"/>
      <c r="I594" s="12"/>
      <c r="J594" s="25"/>
      <c r="K594" s="13"/>
      <c r="L594" s="12"/>
      <c r="M594" s="14" t="str">
        <f aca="false">IF(OR($C594="",$D594="",$H594="",$B594=""),"",IF(COUNTIFS($C$5:$C$804,$C594,$D$5:$D$804,$D594,$H$5:$H$804,$H594,$B$5:$B$804,$B594)&gt;1,"Takror",""))</f>
        <v/>
      </c>
    </row>
    <row r="595" customFormat="false" ht="15" hidden="false" customHeight="false" outlineLevel="0" collapsed="false">
      <c r="A595" s="8" t="n">
        <v>591</v>
      </c>
      <c r="B595" s="13"/>
      <c r="C595" s="12"/>
      <c r="D595" s="13"/>
      <c r="E595" s="24"/>
      <c r="F595" s="12"/>
      <c r="G595" s="14" t="str">
        <f aca="false">IF(OR($D595="",$B595=""),"",INT(($B595-$D595)/365.25))</f>
        <v/>
      </c>
      <c r="H595" s="12"/>
      <c r="I595" s="12"/>
      <c r="J595" s="25"/>
      <c r="K595" s="13"/>
      <c r="L595" s="12"/>
      <c r="M595" s="14" t="str">
        <f aca="false">IF(OR($C595="",$D595="",$H595="",$B595=""),"",IF(COUNTIFS($C$5:$C$804,$C595,$D$5:$D$804,$D595,$H$5:$H$804,$H595,$B$5:$B$804,$B595)&gt;1,"Takror",""))</f>
        <v/>
      </c>
    </row>
    <row r="596" customFormat="false" ht="15" hidden="false" customHeight="false" outlineLevel="0" collapsed="false">
      <c r="A596" s="8" t="n">
        <v>592</v>
      </c>
      <c r="B596" s="13"/>
      <c r="C596" s="12"/>
      <c r="D596" s="13"/>
      <c r="E596" s="24"/>
      <c r="F596" s="12"/>
      <c r="G596" s="14" t="str">
        <f aca="false">IF(OR($D596="",$B596=""),"",INT(($B596-$D596)/365.25))</f>
        <v/>
      </c>
      <c r="H596" s="12"/>
      <c r="I596" s="12"/>
      <c r="J596" s="25"/>
      <c r="K596" s="13"/>
      <c r="L596" s="12"/>
      <c r="M596" s="14" t="str">
        <f aca="false">IF(OR($C596="",$D596="",$H596="",$B596=""),"",IF(COUNTIFS($C$5:$C$804,$C596,$D$5:$D$804,$D596,$H$5:$H$804,$H596,$B$5:$B$804,$B596)&gt;1,"Takror",""))</f>
        <v/>
      </c>
    </row>
    <row r="597" customFormat="false" ht="15" hidden="false" customHeight="false" outlineLevel="0" collapsed="false">
      <c r="A597" s="8" t="n">
        <v>593</v>
      </c>
      <c r="B597" s="13"/>
      <c r="C597" s="12"/>
      <c r="D597" s="13"/>
      <c r="E597" s="24"/>
      <c r="F597" s="12"/>
      <c r="G597" s="14" t="str">
        <f aca="false">IF(OR($D597="",$B597=""),"",INT(($B597-$D597)/365.25))</f>
        <v/>
      </c>
      <c r="H597" s="12"/>
      <c r="I597" s="12"/>
      <c r="J597" s="25"/>
      <c r="K597" s="13"/>
      <c r="L597" s="12"/>
      <c r="M597" s="14" t="str">
        <f aca="false">IF(OR($C597="",$D597="",$H597="",$B597=""),"",IF(COUNTIFS($C$5:$C$804,$C597,$D$5:$D$804,$D597,$H$5:$H$804,$H597,$B$5:$B$804,$B597)&gt;1,"Takror",""))</f>
        <v/>
      </c>
    </row>
    <row r="598" customFormat="false" ht="15" hidden="false" customHeight="false" outlineLevel="0" collapsed="false">
      <c r="A598" s="8" t="n">
        <v>594</v>
      </c>
      <c r="B598" s="13"/>
      <c r="C598" s="12"/>
      <c r="D598" s="13"/>
      <c r="E598" s="24"/>
      <c r="F598" s="12"/>
      <c r="G598" s="14" t="str">
        <f aca="false">IF(OR($D598="",$B598=""),"",INT(($B598-$D598)/365.25))</f>
        <v/>
      </c>
      <c r="H598" s="12"/>
      <c r="I598" s="12"/>
      <c r="J598" s="25"/>
      <c r="K598" s="13"/>
      <c r="L598" s="12"/>
      <c r="M598" s="14" t="str">
        <f aca="false">IF(OR($C598="",$D598="",$H598="",$B598=""),"",IF(COUNTIFS($C$5:$C$804,$C598,$D$5:$D$804,$D598,$H$5:$H$804,$H598,$B$5:$B$804,$B598)&gt;1,"Takror",""))</f>
        <v/>
      </c>
    </row>
    <row r="599" customFormat="false" ht="15" hidden="false" customHeight="false" outlineLevel="0" collapsed="false">
      <c r="A599" s="8" t="n">
        <v>595</v>
      </c>
      <c r="B599" s="13"/>
      <c r="C599" s="12"/>
      <c r="D599" s="13"/>
      <c r="E599" s="24"/>
      <c r="F599" s="12"/>
      <c r="G599" s="14" t="str">
        <f aca="false">IF(OR($D599="",$B599=""),"",INT(($B599-$D599)/365.25))</f>
        <v/>
      </c>
      <c r="H599" s="12"/>
      <c r="I599" s="12"/>
      <c r="J599" s="25"/>
      <c r="K599" s="13"/>
      <c r="L599" s="12"/>
      <c r="M599" s="14" t="str">
        <f aca="false">IF(OR($C599="",$D599="",$H599="",$B599=""),"",IF(COUNTIFS($C$5:$C$804,$C599,$D$5:$D$804,$D599,$H$5:$H$804,$H599,$B$5:$B$804,$B599)&gt;1,"Takror",""))</f>
        <v/>
      </c>
    </row>
    <row r="600" customFormat="false" ht="15" hidden="false" customHeight="false" outlineLevel="0" collapsed="false">
      <c r="A600" s="8" t="n">
        <v>596</v>
      </c>
      <c r="B600" s="13"/>
      <c r="C600" s="12"/>
      <c r="D600" s="13"/>
      <c r="E600" s="24"/>
      <c r="F600" s="12"/>
      <c r="G600" s="14" t="str">
        <f aca="false">IF(OR($D600="",$B600=""),"",INT(($B600-$D600)/365.25))</f>
        <v/>
      </c>
      <c r="H600" s="12"/>
      <c r="I600" s="12"/>
      <c r="J600" s="25"/>
      <c r="K600" s="13"/>
      <c r="L600" s="12"/>
      <c r="M600" s="14" t="str">
        <f aca="false">IF(OR($C600="",$D600="",$H600="",$B600=""),"",IF(COUNTIFS($C$5:$C$804,$C600,$D$5:$D$804,$D600,$H$5:$H$804,$H600,$B$5:$B$804,$B600)&gt;1,"Takror",""))</f>
        <v/>
      </c>
    </row>
    <row r="601" customFormat="false" ht="15" hidden="false" customHeight="false" outlineLevel="0" collapsed="false">
      <c r="A601" s="8" t="n">
        <v>597</v>
      </c>
      <c r="B601" s="13"/>
      <c r="C601" s="12"/>
      <c r="D601" s="13"/>
      <c r="E601" s="24"/>
      <c r="F601" s="12"/>
      <c r="G601" s="14" t="str">
        <f aca="false">IF(OR($D601="",$B601=""),"",INT(($B601-$D601)/365.25))</f>
        <v/>
      </c>
      <c r="H601" s="12"/>
      <c r="I601" s="12"/>
      <c r="J601" s="25"/>
      <c r="K601" s="13"/>
      <c r="L601" s="12"/>
      <c r="M601" s="14" t="str">
        <f aca="false">IF(OR($C601="",$D601="",$H601="",$B601=""),"",IF(COUNTIFS($C$5:$C$804,$C601,$D$5:$D$804,$D601,$H$5:$H$804,$H601,$B$5:$B$804,$B601)&gt;1,"Takror",""))</f>
        <v/>
      </c>
    </row>
    <row r="602" customFormat="false" ht="15" hidden="false" customHeight="false" outlineLevel="0" collapsed="false">
      <c r="A602" s="8" t="n">
        <v>598</v>
      </c>
      <c r="B602" s="13"/>
      <c r="C602" s="12"/>
      <c r="D602" s="13"/>
      <c r="E602" s="24"/>
      <c r="F602" s="12"/>
      <c r="G602" s="14" t="str">
        <f aca="false">IF(OR($D602="",$B602=""),"",INT(($B602-$D602)/365.25))</f>
        <v/>
      </c>
      <c r="H602" s="12"/>
      <c r="I602" s="12"/>
      <c r="J602" s="25"/>
      <c r="K602" s="13"/>
      <c r="L602" s="12"/>
      <c r="M602" s="14" t="str">
        <f aca="false">IF(OR($C602="",$D602="",$H602="",$B602=""),"",IF(COUNTIFS($C$5:$C$804,$C602,$D$5:$D$804,$D602,$H$5:$H$804,$H602,$B$5:$B$804,$B602)&gt;1,"Takror",""))</f>
        <v/>
      </c>
    </row>
    <row r="603" customFormat="false" ht="15" hidden="false" customHeight="false" outlineLevel="0" collapsed="false">
      <c r="A603" s="8" t="n">
        <v>599</v>
      </c>
      <c r="B603" s="13"/>
      <c r="C603" s="12"/>
      <c r="D603" s="13"/>
      <c r="E603" s="24"/>
      <c r="F603" s="12"/>
      <c r="G603" s="14" t="str">
        <f aca="false">IF(OR($D603="",$B603=""),"",INT(($B603-$D603)/365.25))</f>
        <v/>
      </c>
      <c r="H603" s="12"/>
      <c r="I603" s="12"/>
      <c r="J603" s="25"/>
      <c r="K603" s="13"/>
      <c r="L603" s="12"/>
      <c r="M603" s="14" t="str">
        <f aca="false">IF(OR($C603="",$D603="",$H603="",$B603=""),"",IF(COUNTIFS($C$5:$C$804,$C603,$D$5:$D$804,$D603,$H$5:$H$804,$H603,$B$5:$B$804,$B603)&gt;1,"Takror",""))</f>
        <v/>
      </c>
    </row>
    <row r="604" customFormat="false" ht="15" hidden="false" customHeight="false" outlineLevel="0" collapsed="false">
      <c r="A604" s="8" t="n">
        <v>600</v>
      </c>
      <c r="B604" s="13"/>
      <c r="C604" s="12"/>
      <c r="D604" s="13"/>
      <c r="E604" s="24"/>
      <c r="F604" s="12"/>
      <c r="G604" s="14" t="str">
        <f aca="false">IF(OR($D604="",$B604=""),"",INT(($B604-$D604)/365.25))</f>
        <v/>
      </c>
      <c r="H604" s="12"/>
      <c r="I604" s="12"/>
      <c r="J604" s="25"/>
      <c r="K604" s="13"/>
      <c r="L604" s="12"/>
      <c r="M604" s="14" t="str">
        <f aca="false">IF(OR($C604="",$D604="",$H604="",$B604=""),"",IF(COUNTIFS($C$5:$C$804,$C604,$D$5:$D$804,$D604,$H$5:$H$804,$H604,$B$5:$B$804,$B604)&gt;1,"Takror",""))</f>
        <v/>
      </c>
    </row>
    <row r="605" customFormat="false" ht="15" hidden="false" customHeight="false" outlineLevel="0" collapsed="false">
      <c r="A605" s="8" t="n">
        <v>601</v>
      </c>
      <c r="B605" s="13"/>
      <c r="C605" s="12"/>
      <c r="D605" s="13"/>
      <c r="E605" s="24"/>
      <c r="F605" s="12"/>
      <c r="G605" s="14" t="str">
        <f aca="false">IF(OR($D605="",$B605=""),"",INT(($B605-$D605)/365.25))</f>
        <v/>
      </c>
      <c r="H605" s="12"/>
      <c r="I605" s="12"/>
      <c r="J605" s="25"/>
      <c r="K605" s="13"/>
      <c r="L605" s="12"/>
      <c r="M605" s="14" t="str">
        <f aca="false">IF(OR($C605="",$D605="",$H605="",$B605=""),"",IF(COUNTIFS($C$5:$C$804,$C605,$D$5:$D$804,$D605,$H$5:$H$804,$H605,$B$5:$B$804,$B605)&gt;1,"Takror",""))</f>
        <v/>
      </c>
    </row>
    <row r="606" customFormat="false" ht="15" hidden="false" customHeight="false" outlineLevel="0" collapsed="false">
      <c r="A606" s="8" t="n">
        <v>602</v>
      </c>
      <c r="B606" s="13"/>
      <c r="C606" s="12"/>
      <c r="D606" s="13"/>
      <c r="E606" s="24"/>
      <c r="F606" s="12"/>
      <c r="G606" s="14" t="str">
        <f aca="false">IF(OR($D606="",$B606=""),"",INT(($B606-$D606)/365.25))</f>
        <v/>
      </c>
      <c r="H606" s="12"/>
      <c r="I606" s="12"/>
      <c r="J606" s="25"/>
      <c r="K606" s="13"/>
      <c r="L606" s="12"/>
      <c r="M606" s="14" t="str">
        <f aca="false">IF(OR($C606="",$D606="",$H606="",$B606=""),"",IF(COUNTIFS($C$5:$C$804,$C606,$D$5:$D$804,$D606,$H$5:$H$804,$H606,$B$5:$B$804,$B606)&gt;1,"Takror",""))</f>
        <v/>
      </c>
    </row>
    <row r="607" customFormat="false" ht="15" hidden="false" customHeight="false" outlineLevel="0" collapsed="false">
      <c r="A607" s="8" t="n">
        <v>603</v>
      </c>
      <c r="B607" s="13"/>
      <c r="C607" s="12"/>
      <c r="D607" s="13"/>
      <c r="E607" s="24"/>
      <c r="F607" s="12"/>
      <c r="G607" s="14" t="str">
        <f aca="false">IF(OR($D607="",$B607=""),"",INT(($B607-$D607)/365.25))</f>
        <v/>
      </c>
      <c r="H607" s="12"/>
      <c r="I607" s="12"/>
      <c r="J607" s="25"/>
      <c r="K607" s="13"/>
      <c r="L607" s="12"/>
      <c r="M607" s="14" t="str">
        <f aca="false">IF(OR($C607="",$D607="",$H607="",$B607=""),"",IF(COUNTIFS($C$5:$C$804,$C607,$D$5:$D$804,$D607,$H$5:$H$804,$H607,$B$5:$B$804,$B607)&gt;1,"Takror",""))</f>
        <v/>
      </c>
    </row>
    <row r="608" customFormat="false" ht="15" hidden="false" customHeight="false" outlineLevel="0" collapsed="false">
      <c r="A608" s="8" t="n">
        <v>604</v>
      </c>
      <c r="B608" s="13"/>
      <c r="C608" s="12"/>
      <c r="D608" s="13"/>
      <c r="E608" s="24"/>
      <c r="F608" s="12"/>
      <c r="G608" s="14" t="str">
        <f aca="false">IF(OR($D608="",$B608=""),"",INT(($B608-$D608)/365.25))</f>
        <v/>
      </c>
      <c r="H608" s="12"/>
      <c r="I608" s="12"/>
      <c r="J608" s="25"/>
      <c r="K608" s="13"/>
      <c r="L608" s="12"/>
      <c r="M608" s="14" t="str">
        <f aca="false">IF(OR($C608="",$D608="",$H608="",$B608=""),"",IF(COUNTIFS($C$5:$C$804,$C608,$D$5:$D$804,$D608,$H$5:$H$804,$H608,$B$5:$B$804,$B608)&gt;1,"Takror",""))</f>
        <v/>
      </c>
    </row>
    <row r="609" customFormat="false" ht="15" hidden="false" customHeight="false" outlineLevel="0" collapsed="false">
      <c r="A609" s="8" t="n">
        <v>605</v>
      </c>
      <c r="B609" s="13"/>
      <c r="C609" s="12"/>
      <c r="D609" s="13"/>
      <c r="E609" s="24"/>
      <c r="F609" s="12"/>
      <c r="G609" s="14" t="str">
        <f aca="false">IF(OR($D609="",$B609=""),"",INT(($B609-$D609)/365.25))</f>
        <v/>
      </c>
      <c r="H609" s="12"/>
      <c r="I609" s="12"/>
      <c r="J609" s="25"/>
      <c r="K609" s="13"/>
      <c r="L609" s="12"/>
      <c r="M609" s="14" t="str">
        <f aca="false">IF(OR($C609="",$D609="",$H609="",$B609=""),"",IF(COUNTIFS($C$5:$C$804,$C609,$D$5:$D$804,$D609,$H$5:$H$804,$H609,$B$5:$B$804,$B609)&gt;1,"Takror",""))</f>
        <v/>
      </c>
    </row>
    <row r="610" customFormat="false" ht="15" hidden="false" customHeight="false" outlineLevel="0" collapsed="false">
      <c r="A610" s="8" t="n">
        <v>606</v>
      </c>
      <c r="B610" s="13"/>
      <c r="C610" s="12"/>
      <c r="D610" s="13"/>
      <c r="E610" s="24"/>
      <c r="F610" s="12"/>
      <c r="G610" s="14" t="str">
        <f aca="false">IF(OR($D610="",$B610=""),"",INT(($B610-$D610)/365.25))</f>
        <v/>
      </c>
      <c r="H610" s="12"/>
      <c r="I610" s="12"/>
      <c r="J610" s="25"/>
      <c r="K610" s="13"/>
      <c r="L610" s="12"/>
      <c r="M610" s="14" t="str">
        <f aca="false">IF(OR($C610="",$D610="",$H610="",$B610=""),"",IF(COUNTIFS($C$5:$C$804,$C610,$D$5:$D$804,$D610,$H$5:$H$804,$H610,$B$5:$B$804,$B610)&gt;1,"Takror",""))</f>
        <v/>
      </c>
    </row>
    <row r="611" customFormat="false" ht="15" hidden="false" customHeight="false" outlineLevel="0" collapsed="false">
      <c r="A611" s="8" t="n">
        <v>607</v>
      </c>
      <c r="B611" s="13"/>
      <c r="C611" s="12"/>
      <c r="D611" s="13"/>
      <c r="E611" s="24"/>
      <c r="F611" s="12"/>
      <c r="G611" s="14" t="str">
        <f aca="false">IF(OR($D611="",$B611=""),"",INT(($B611-$D611)/365.25))</f>
        <v/>
      </c>
      <c r="H611" s="12"/>
      <c r="I611" s="12"/>
      <c r="J611" s="25"/>
      <c r="K611" s="13"/>
      <c r="L611" s="12"/>
      <c r="M611" s="14" t="str">
        <f aca="false">IF(OR($C611="",$D611="",$H611="",$B611=""),"",IF(COUNTIFS($C$5:$C$804,$C611,$D$5:$D$804,$D611,$H$5:$H$804,$H611,$B$5:$B$804,$B611)&gt;1,"Takror",""))</f>
        <v/>
      </c>
    </row>
    <row r="612" customFormat="false" ht="15" hidden="false" customHeight="false" outlineLevel="0" collapsed="false">
      <c r="A612" s="8" t="n">
        <v>608</v>
      </c>
      <c r="B612" s="13"/>
      <c r="C612" s="12"/>
      <c r="D612" s="13"/>
      <c r="E612" s="24"/>
      <c r="F612" s="12"/>
      <c r="G612" s="14" t="str">
        <f aca="false">IF(OR($D612="",$B612=""),"",INT(($B612-$D612)/365.25))</f>
        <v/>
      </c>
      <c r="H612" s="12"/>
      <c r="I612" s="12"/>
      <c r="J612" s="25"/>
      <c r="K612" s="13"/>
      <c r="L612" s="12"/>
      <c r="M612" s="14" t="str">
        <f aca="false">IF(OR($C612="",$D612="",$H612="",$B612=""),"",IF(COUNTIFS($C$5:$C$804,$C612,$D$5:$D$804,$D612,$H$5:$H$804,$H612,$B$5:$B$804,$B612)&gt;1,"Takror",""))</f>
        <v/>
      </c>
    </row>
    <row r="613" customFormat="false" ht="15" hidden="false" customHeight="false" outlineLevel="0" collapsed="false">
      <c r="A613" s="8" t="n">
        <v>609</v>
      </c>
      <c r="B613" s="13"/>
      <c r="C613" s="12"/>
      <c r="D613" s="13"/>
      <c r="E613" s="24"/>
      <c r="F613" s="12"/>
      <c r="G613" s="14" t="str">
        <f aca="false">IF(OR($D613="",$B613=""),"",INT(($B613-$D613)/365.25))</f>
        <v/>
      </c>
      <c r="H613" s="12"/>
      <c r="I613" s="12"/>
      <c r="J613" s="25"/>
      <c r="K613" s="13"/>
      <c r="L613" s="12"/>
      <c r="M613" s="14" t="str">
        <f aca="false">IF(OR($C613="",$D613="",$H613="",$B613=""),"",IF(COUNTIFS($C$5:$C$804,$C613,$D$5:$D$804,$D613,$H$5:$H$804,$H613,$B$5:$B$804,$B613)&gt;1,"Takror",""))</f>
        <v/>
      </c>
    </row>
    <row r="614" customFormat="false" ht="15" hidden="false" customHeight="false" outlineLevel="0" collapsed="false">
      <c r="A614" s="8" t="n">
        <v>610</v>
      </c>
      <c r="B614" s="13"/>
      <c r="C614" s="12"/>
      <c r="D614" s="13"/>
      <c r="E614" s="24"/>
      <c r="F614" s="12"/>
      <c r="G614" s="14" t="str">
        <f aca="false">IF(OR($D614="",$B614=""),"",INT(($B614-$D614)/365.25))</f>
        <v/>
      </c>
      <c r="H614" s="12"/>
      <c r="I614" s="12"/>
      <c r="J614" s="25"/>
      <c r="K614" s="13"/>
      <c r="L614" s="12"/>
      <c r="M614" s="14" t="str">
        <f aca="false">IF(OR($C614="",$D614="",$H614="",$B614=""),"",IF(COUNTIFS($C$5:$C$804,$C614,$D$5:$D$804,$D614,$H$5:$H$804,$H614,$B$5:$B$804,$B614)&gt;1,"Takror",""))</f>
        <v/>
      </c>
    </row>
    <row r="615" customFormat="false" ht="15" hidden="false" customHeight="false" outlineLevel="0" collapsed="false">
      <c r="A615" s="8" t="n">
        <v>611</v>
      </c>
      <c r="B615" s="13"/>
      <c r="C615" s="12"/>
      <c r="D615" s="13"/>
      <c r="E615" s="24"/>
      <c r="F615" s="12"/>
      <c r="G615" s="14" t="str">
        <f aca="false">IF(OR($D615="",$B615=""),"",INT(($B615-$D615)/365.25))</f>
        <v/>
      </c>
      <c r="H615" s="12"/>
      <c r="I615" s="12"/>
      <c r="J615" s="25"/>
      <c r="K615" s="13"/>
      <c r="L615" s="12"/>
      <c r="M615" s="14" t="str">
        <f aca="false">IF(OR($C615="",$D615="",$H615="",$B615=""),"",IF(COUNTIFS($C$5:$C$804,$C615,$D$5:$D$804,$D615,$H$5:$H$804,$H615,$B$5:$B$804,$B615)&gt;1,"Takror",""))</f>
        <v/>
      </c>
    </row>
    <row r="616" customFormat="false" ht="15" hidden="false" customHeight="false" outlineLevel="0" collapsed="false">
      <c r="A616" s="8" t="n">
        <v>612</v>
      </c>
      <c r="B616" s="13"/>
      <c r="C616" s="12"/>
      <c r="D616" s="13"/>
      <c r="E616" s="24"/>
      <c r="F616" s="12"/>
      <c r="G616" s="14" t="str">
        <f aca="false">IF(OR($D616="",$B616=""),"",INT(($B616-$D616)/365.25))</f>
        <v/>
      </c>
      <c r="H616" s="12"/>
      <c r="I616" s="12"/>
      <c r="J616" s="25"/>
      <c r="K616" s="13"/>
      <c r="L616" s="12"/>
      <c r="M616" s="14" t="str">
        <f aca="false">IF(OR($C616="",$D616="",$H616="",$B616=""),"",IF(COUNTIFS($C$5:$C$804,$C616,$D$5:$D$804,$D616,$H$5:$H$804,$H616,$B$5:$B$804,$B616)&gt;1,"Takror",""))</f>
        <v/>
      </c>
    </row>
    <row r="617" customFormat="false" ht="15" hidden="false" customHeight="false" outlineLevel="0" collapsed="false">
      <c r="A617" s="8" t="n">
        <v>613</v>
      </c>
      <c r="B617" s="13"/>
      <c r="C617" s="12"/>
      <c r="D617" s="13"/>
      <c r="E617" s="24"/>
      <c r="F617" s="12"/>
      <c r="G617" s="14" t="str">
        <f aca="false">IF(OR($D617="",$B617=""),"",INT(($B617-$D617)/365.25))</f>
        <v/>
      </c>
      <c r="H617" s="12"/>
      <c r="I617" s="12"/>
      <c r="J617" s="25"/>
      <c r="K617" s="13"/>
      <c r="L617" s="12"/>
      <c r="M617" s="14" t="str">
        <f aca="false">IF(OR($C617="",$D617="",$H617="",$B617=""),"",IF(COUNTIFS($C$5:$C$804,$C617,$D$5:$D$804,$D617,$H$5:$H$804,$H617,$B$5:$B$804,$B617)&gt;1,"Takror",""))</f>
        <v/>
      </c>
    </row>
    <row r="618" customFormat="false" ht="15" hidden="false" customHeight="false" outlineLevel="0" collapsed="false">
      <c r="A618" s="8" t="n">
        <v>614</v>
      </c>
      <c r="B618" s="13"/>
      <c r="C618" s="12"/>
      <c r="D618" s="13"/>
      <c r="E618" s="24"/>
      <c r="F618" s="12"/>
      <c r="G618" s="14" t="str">
        <f aca="false">IF(OR($D618="",$B618=""),"",INT(($B618-$D618)/365.25))</f>
        <v/>
      </c>
      <c r="H618" s="12"/>
      <c r="I618" s="12"/>
      <c r="J618" s="25"/>
      <c r="K618" s="13"/>
      <c r="L618" s="12"/>
      <c r="M618" s="14" t="str">
        <f aca="false">IF(OR($C618="",$D618="",$H618="",$B618=""),"",IF(COUNTIFS($C$5:$C$804,$C618,$D$5:$D$804,$D618,$H$5:$H$804,$H618,$B$5:$B$804,$B618)&gt;1,"Takror",""))</f>
        <v/>
      </c>
    </row>
    <row r="619" customFormat="false" ht="15" hidden="false" customHeight="false" outlineLevel="0" collapsed="false">
      <c r="A619" s="8" t="n">
        <v>615</v>
      </c>
      <c r="B619" s="13"/>
      <c r="C619" s="12"/>
      <c r="D619" s="13"/>
      <c r="E619" s="24"/>
      <c r="F619" s="12"/>
      <c r="G619" s="14" t="str">
        <f aca="false">IF(OR($D619="",$B619=""),"",INT(($B619-$D619)/365.25))</f>
        <v/>
      </c>
      <c r="H619" s="12"/>
      <c r="I619" s="12"/>
      <c r="J619" s="25"/>
      <c r="K619" s="13"/>
      <c r="L619" s="12"/>
      <c r="M619" s="14" t="str">
        <f aca="false">IF(OR($C619="",$D619="",$H619="",$B619=""),"",IF(COUNTIFS($C$5:$C$804,$C619,$D$5:$D$804,$D619,$H$5:$H$804,$H619,$B$5:$B$804,$B619)&gt;1,"Takror",""))</f>
        <v/>
      </c>
    </row>
    <row r="620" customFormat="false" ht="15" hidden="false" customHeight="false" outlineLevel="0" collapsed="false">
      <c r="A620" s="8" t="n">
        <v>616</v>
      </c>
      <c r="B620" s="13"/>
      <c r="C620" s="12"/>
      <c r="D620" s="13"/>
      <c r="E620" s="24"/>
      <c r="F620" s="12"/>
      <c r="G620" s="14" t="str">
        <f aca="false">IF(OR($D620="",$B620=""),"",INT(($B620-$D620)/365.25))</f>
        <v/>
      </c>
      <c r="H620" s="12"/>
      <c r="I620" s="12"/>
      <c r="J620" s="25"/>
      <c r="K620" s="13"/>
      <c r="L620" s="12"/>
      <c r="M620" s="14" t="str">
        <f aca="false">IF(OR($C620="",$D620="",$H620="",$B620=""),"",IF(COUNTIFS($C$5:$C$804,$C620,$D$5:$D$804,$D620,$H$5:$H$804,$H620,$B$5:$B$804,$B620)&gt;1,"Takror",""))</f>
        <v/>
      </c>
    </row>
    <row r="621" customFormat="false" ht="15" hidden="false" customHeight="false" outlineLevel="0" collapsed="false">
      <c r="A621" s="8" t="n">
        <v>617</v>
      </c>
      <c r="B621" s="13"/>
      <c r="C621" s="12"/>
      <c r="D621" s="13"/>
      <c r="E621" s="24"/>
      <c r="F621" s="12"/>
      <c r="G621" s="14" t="str">
        <f aca="false">IF(OR($D621="",$B621=""),"",INT(($B621-$D621)/365.25))</f>
        <v/>
      </c>
      <c r="H621" s="12"/>
      <c r="I621" s="12"/>
      <c r="J621" s="25"/>
      <c r="K621" s="13"/>
      <c r="L621" s="12"/>
      <c r="M621" s="14" t="str">
        <f aca="false">IF(OR($C621="",$D621="",$H621="",$B621=""),"",IF(COUNTIFS($C$5:$C$804,$C621,$D$5:$D$804,$D621,$H$5:$H$804,$H621,$B$5:$B$804,$B621)&gt;1,"Takror",""))</f>
        <v/>
      </c>
    </row>
    <row r="622" customFormat="false" ht="15" hidden="false" customHeight="false" outlineLevel="0" collapsed="false">
      <c r="A622" s="8" t="n">
        <v>618</v>
      </c>
      <c r="B622" s="13"/>
      <c r="C622" s="12"/>
      <c r="D622" s="13"/>
      <c r="E622" s="24"/>
      <c r="F622" s="12"/>
      <c r="G622" s="14" t="str">
        <f aca="false">IF(OR($D622="",$B622=""),"",INT(($B622-$D622)/365.25))</f>
        <v/>
      </c>
      <c r="H622" s="12"/>
      <c r="I622" s="12"/>
      <c r="J622" s="25"/>
      <c r="K622" s="13"/>
      <c r="L622" s="12"/>
      <c r="M622" s="14" t="str">
        <f aca="false">IF(OR($C622="",$D622="",$H622="",$B622=""),"",IF(COUNTIFS($C$5:$C$804,$C622,$D$5:$D$804,$D622,$H$5:$H$804,$H622,$B$5:$B$804,$B622)&gt;1,"Takror",""))</f>
        <v/>
      </c>
    </row>
    <row r="623" customFormat="false" ht="15" hidden="false" customHeight="false" outlineLevel="0" collapsed="false">
      <c r="A623" s="8" t="n">
        <v>619</v>
      </c>
      <c r="B623" s="13"/>
      <c r="C623" s="12"/>
      <c r="D623" s="13"/>
      <c r="E623" s="24"/>
      <c r="F623" s="12"/>
      <c r="G623" s="14" t="str">
        <f aca="false">IF(OR($D623="",$B623=""),"",INT(($B623-$D623)/365.25))</f>
        <v/>
      </c>
      <c r="H623" s="12"/>
      <c r="I623" s="12"/>
      <c r="J623" s="25"/>
      <c r="K623" s="13"/>
      <c r="L623" s="12"/>
      <c r="M623" s="14" t="str">
        <f aca="false">IF(OR($C623="",$D623="",$H623="",$B623=""),"",IF(COUNTIFS($C$5:$C$804,$C623,$D$5:$D$804,$D623,$H$5:$H$804,$H623,$B$5:$B$804,$B623)&gt;1,"Takror",""))</f>
        <v/>
      </c>
    </row>
    <row r="624" customFormat="false" ht="15" hidden="false" customHeight="false" outlineLevel="0" collapsed="false">
      <c r="A624" s="8" t="n">
        <v>620</v>
      </c>
      <c r="B624" s="13"/>
      <c r="C624" s="12"/>
      <c r="D624" s="13"/>
      <c r="E624" s="24"/>
      <c r="F624" s="12"/>
      <c r="G624" s="14" t="str">
        <f aca="false">IF(OR($D624="",$B624=""),"",INT(($B624-$D624)/365.25))</f>
        <v/>
      </c>
      <c r="H624" s="12"/>
      <c r="I624" s="12"/>
      <c r="J624" s="25"/>
      <c r="K624" s="13"/>
      <c r="L624" s="12"/>
      <c r="M624" s="14" t="str">
        <f aca="false">IF(OR($C624="",$D624="",$H624="",$B624=""),"",IF(COUNTIFS($C$5:$C$804,$C624,$D$5:$D$804,$D624,$H$5:$H$804,$H624,$B$5:$B$804,$B624)&gt;1,"Takror",""))</f>
        <v/>
      </c>
    </row>
    <row r="625" customFormat="false" ht="15" hidden="false" customHeight="false" outlineLevel="0" collapsed="false">
      <c r="A625" s="8" t="n">
        <v>621</v>
      </c>
      <c r="B625" s="13"/>
      <c r="C625" s="12"/>
      <c r="D625" s="13"/>
      <c r="E625" s="24"/>
      <c r="F625" s="12"/>
      <c r="G625" s="14" t="str">
        <f aca="false">IF(OR($D625="",$B625=""),"",INT(($B625-$D625)/365.25))</f>
        <v/>
      </c>
      <c r="H625" s="12"/>
      <c r="I625" s="12"/>
      <c r="J625" s="25"/>
      <c r="K625" s="13"/>
      <c r="L625" s="12"/>
      <c r="M625" s="14" t="str">
        <f aca="false">IF(OR($C625="",$D625="",$H625="",$B625=""),"",IF(COUNTIFS($C$5:$C$804,$C625,$D$5:$D$804,$D625,$H$5:$H$804,$H625,$B$5:$B$804,$B625)&gt;1,"Takror",""))</f>
        <v/>
      </c>
    </row>
    <row r="626" customFormat="false" ht="15" hidden="false" customHeight="false" outlineLevel="0" collapsed="false">
      <c r="A626" s="8" t="n">
        <v>622</v>
      </c>
      <c r="B626" s="13"/>
      <c r="C626" s="12"/>
      <c r="D626" s="13"/>
      <c r="E626" s="24"/>
      <c r="F626" s="12"/>
      <c r="G626" s="14" t="str">
        <f aca="false">IF(OR($D626="",$B626=""),"",INT(($B626-$D626)/365.25))</f>
        <v/>
      </c>
      <c r="H626" s="12"/>
      <c r="I626" s="12"/>
      <c r="J626" s="25"/>
      <c r="K626" s="13"/>
      <c r="L626" s="12"/>
      <c r="M626" s="14" t="str">
        <f aca="false">IF(OR($C626="",$D626="",$H626="",$B626=""),"",IF(COUNTIFS($C$5:$C$804,$C626,$D$5:$D$804,$D626,$H$5:$H$804,$H626,$B$5:$B$804,$B626)&gt;1,"Takror",""))</f>
        <v/>
      </c>
    </row>
    <row r="627" customFormat="false" ht="15" hidden="false" customHeight="false" outlineLevel="0" collapsed="false">
      <c r="A627" s="8" t="n">
        <v>623</v>
      </c>
      <c r="B627" s="13"/>
      <c r="C627" s="12"/>
      <c r="D627" s="13"/>
      <c r="E627" s="24"/>
      <c r="F627" s="12"/>
      <c r="G627" s="14" t="str">
        <f aca="false">IF(OR($D627="",$B627=""),"",INT(($B627-$D627)/365.25))</f>
        <v/>
      </c>
      <c r="H627" s="12"/>
      <c r="I627" s="12"/>
      <c r="J627" s="25"/>
      <c r="K627" s="13"/>
      <c r="L627" s="12"/>
      <c r="M627" s="14" t="str">
        <f aca="false">IF(OR($C627="",$D627="",$H627="",$B627=""),"",IF(COUNTIFS($C$5:$C$804,$C627,$D$5:$D$804,$D627,$H$5:$H$804,$H627,$B$5:$B$804,$B627)&gt;1,"Takror",""))</f>
        <v/>
      </c>
    </row>
    <row r="628" customFormat="false" ht="15" hidden="false" customHeight="false" outlineLevel="0" collapsed="false">
      <c r="A628" s="8" t="n">
        <v>624</v>
      </c>
      <c r="B628" s="13"/>
      <c r="C628" s="12"/>
      <c r="D628" s="13"/>
      <c r="E628" s="24"/>
      <c r="F628" s="12"/>
      <c r="G628" s="14" t="str">
        <f aca="false">IF(OR($D628="",$B628=""),"",INT(($B628-$D628)/365.25))</f>
        <v/>
      </c>
      <c r="H628" s="12"/>
      <c r="I628" s="12"/>
      <c r="J628" s="25"/>
      <c r="K628" s="13"/>
      <c r="L628" s="12"/>
      <c r="M628" s="14" t="str">
        <f aca="false">IF(OR($C628="",$D628="",$H628="",$B628=""),"",IF(COUNTIFS($C$5:$C$804,$C628,$D$5:$D$804,$D628,$H$5:$H$804,$H628,$B$5:$B$804,$B628)&gt;1,"Takror",""))</f>
        <v/>
      </c>
    </row>
    <row r="629" customFormat="false" ht="15" hidden="false" customHeight="false" outlineLevel="0" collapsed="false">
      <c r="A629" s="8" t="n">
        <v>625</v>
      </c>
      <c r="B629" s="13"/>
      <c r="C629" s="12"/>
      <c r="D629" s="13"/>
      <c r="E629" s="24"/>
      <c r="F629" s="12"/>
      <c r="G629" s="14" t="str">
        <f aca="false">IF(OR($D629="",$B629=""),"",INT(($B629-$D629)/365.25))</f>
        <v/>
      </c>
      <c r="H629" s="12"/>
      <c r="I629" s="12"/>
      <c r="J629" s="25"/>
      <c r="K629" s="13"/>
      <c r="L629" s="12"/>
      <c r="M629" s="14" t="str">
        <f aca="false">IF(OR($C629="",$D629="",$H629="",$B629=""),"",IF(COUNTIFS($C$5:$C$804,$C629,$D$5:$D$804,$D629,$H$5:$H$804,$H629,$B$5:$B$804,$B629)&gt;1,"Takror",""))</f>
        <v/>
      </c>
    </row>
    <row r="630" customFormat="false" ht="15" hidden="false" customHeight="false" outlineLevel="0" collapsed="false">
      <c r="A630" s="8" t="n">
        <v>626</v>
      </c>
      <c r="B630" s="13"/>
      <c r="C630" s="12"/>
      <c r="D630" s="13"/>
      <c r="E630" s="24"/>
      <c r="F630" s="12"/>
      <c r="G630" s="14" t="str">
        <f aca="false">IF(OR($D630="",$B630=""),"",INT(($B630-$D630)/365.25))</f>
        <v/>
      </c>
      <c r="H630" s="12"/>
      <c r="I630" s="12"/>
      <c r="J630" s="25"/>
      <c r="K630" s="13"/>
      <c r="L630" s="12"/>
      <c r="M630" s="14" t="str">
        <f aca="false">IF(OR($C630="",$D630="",$H630="",$B630=""),"",IF(COUNTIFS($C$5:$C$804,$C630,$D$5:$D$804,$D630,$H$5:$H$804,$H630,$B$5:$B$804,$B630)&gt;1,"Takror",""))</f>
        <v/>
      </c>
    </row>
    <row r="631" customFormat="false" ht="15" hidden="false" customHeight="false" outlineLevel="0" collapsed="false">
      <c r="A631" s="8" t="n">
        <v>627</v>
      </c>
      <c r="B631" s="13"/>
      <c r="C631" s="12"/>
      <c r="D631" s="13"/>
      <c r="E631" s="24"/>
      <c r="F631" s="12"/>
      <c r="G631" s="14" t="str">
        <f aca="false">IF(OR($D631="",$B631=""),"",INT(($B631-$D631)/365.25))</f>
        <v/>
      </c>
      <c r="H631" s="12"/>
      <c r="I631" s="12"/>
      <c r="J631" s="25"/>
      <c r="K631" s="13"/>
      <c r="L631" s="12"/>
      <c r="M631" s="14" t="str">
        <f aca="false">IF(OR($C631="",$D631="",$H631="",$B631=""),"",IF(COUNTIFS($C$5:$C$804,$C631,$D$5:$D$804,$D631,$H$5:$H$804,$H631,$B$5:$B$804,$B631)&gt;1,"Takror",""))</f>
        <v/>
      </c>
    </row>
    <row r="632" customFormat="false" ht="15" hidden="false" customHeight="false" outlineLevel="0" collapsed="false">
      <c r="A632" s="8" t="n">
        <v>628</v>
      </c>
      <c r="B632" s="13"/>
      <c r="C632" s="12"/>
      <c r="D632" s="13"/>
      <c r="E632" s="24"/>
      <c r="F632" s="12"/>
      <c r="G632" s="14" t="str">
        <f aca="false">IF(OR($D632="",$B632=""),"",INT(($B632-$D632)/365.25))</f>
        <v/>
      </c>
      <c r="H632" s="12"/>
      <c r="I632" s="12"/>
      <c r="J632" s="25"/>
      <c r="K632" s="13"/>
      <c r="L632" s="12"/>
      <c r="M632" s="14" t="str">
        <f aca="false">IF(OR($C632="",$D632="",$H632="",$B632=""),"",IF(COUNTIFS($C$5:$C$804,$C632,$D$5:$D$804,$D632,$H$5:$H$804,$H632,$B$5:$B$804,$B632)&gt;1,"Takror",""))</f>
        <v/>
      </c>
    </row>
    <row r="633" customFormat="false" ht="15" hidden="false" customHeight="false" outlineLevel="0" collapsed="false">
      <c r="A633" s="8" t="n">
        <v>629</v>
      </c>
      <c r="B633" s="13"/>
      <c r="C633" s="12"/>
      <c r="D633" s="13"/>
      <c r="E633" s="24"/>
      <c r="F633" s="12"/>
      <c r="G633" s="14" t="str">
        <f aca="false">IF(OR($D633="",$B633=""),"",INT(($B633-$D633)/365.25))</f>
        <v/>
      </c>
      <c r="H633" s="12"/>
      <c r="I633" s="12"/>
      <c r="J633" s="25"/>
      <c r="K633" s="13"/>
      <c r="L633" s="12"/>
      <c r="M633" s="14" t="str">
        <f aca="false">IF(OR($C633="",$D633="",$H633="",$B633=""),"",IF(COUNTIFS($C$5:$C$804,$C633,$D$5:$D$804,$D633,$H$5:$H$804,$H633,$B$5:$B$804,$B633)&gt;1,"Takror",""))</f>
        <v/>
      </c>
    </row>
    <row r="634" customFormat="false" ht="15" hidden="false" customHeight="false" outlineLevel="0" collapsed="false">
      <c r="A634" s="8" t="n">
        <v>630</v>
      </c>
      <c r="B634" s="13"/>
      <c r="C634" s="12"/>
      <c r="D634" s="13"/>
      <c r="E634" s="24"/>
      <c r="F634" s="12"/>
      <c r="G634" s="14" t="str">
        <f aca="false">IF(OR($D634="",$B634=""),"",INT(($B634-$D634)/365.25))</f>
        <v/>
      </c>
      <c r="H634" s="12"/>
      <c r="I634" s="12"/>
      <c r="J634" s="25"/>
      <c r="K634" s="13"/>
      <c r="L634" s="12"/>
      <c r="M634" s="14" t="str">
        <f aca="false">IF(OR($C634="",$D634="",$H634="",$B634=""),"",IF(COUNTIFS($C$5:$C$804,$C634,$D$5:$D$804,$D634,$H$5:$H$804,$H634,$B$5:$B$804,$B634)&gt;1,"Takror",""))</f>
        <v/>
      </c>
    </row>
    <row r="635" customFormat="false" ht="15" hidden="false" customHeight="false" outlineLevel="0" collapsed="false">
      <c r="A635" s="8" t="n">
        <v>631</v>
      </c>
      <c r="B635" s="13"/>
      <c r="C635" s="12"/>
      <c r="D635" s="13"/>
      <c r="E635" s="24"/>
      <c r="F635" s="12"/>
      <c r="G635" s="14" t="str">
        <f aca="false">IF(OR($D635="",$B635=""),"",INT(($B635-$D635)/365.25))</f>
        <v/>
      </c>
      <c r="H635" s="12"/>
      <c r="I635" s="12"/>
      <c r="J635" s="25"/>
      <c r="K635" s="13"/>
      <c r="L635" s="12"/>
      <c r="M635" s="14" t="str">
        <f aca="false">IF(OR($C635="",$D635="",$H635="",$B635=""),"",IF(COUNTIFS($C$5:$C$804,$C635,$D$5:$D$804,$D635,$H$5:$H$804,$H635,$B$5:$B$804,$B635)&gt;1,"Takror",""))</f>
        <v/>
      </c>
    </row>
    <row r="636" customFormat="false" ht="15" hidden="false" customHeight="false" outlineLevel="0" collapsed="false">
      <c r="A636" s="8" t="n">
        <v>632</v>
      </c>
      <c r="B636" s="13"/>
      <c r="C636" s="12"/>
      <c r="D636" s="13"/>
      <c r="E636" s="24"/>
      <c r="F636" s="12"/>
      <c r="G636" s="14" t="str">
        <f aca="false">IF(OR($D636="",$B636=""),"",INT(($B636-$D636)/365.25))</f>
        <v/>
      </c>
      <c r="H636" s="12"/>
      <c r="I636" s="12"/>
      <c r="J636" s="25"/>
      <c r="K636" s="13"/>
      <c r="L636" s="12"/>
      <c r="M636" s="14" t="str">
        <f aca="false">IF(OR($C636="",$D636="",$H636="",$B636=""),"",IF(COUNTIFS($C$5:$C$804,$C636,$D$5:$D$804,$D636,$H$5:$H$804,$H636,$B$5:$B$804,$B636)&gt;1,"Takror",""))</f>
        <v/>
      </c>
    </row>
    <row r="637" customFormat="false" ht="15" hidden="false" customHeight="false" outlineLevel="0" collapsed="false">
      <c r="A637" s="8" t="n">
        <v>633</v>
      </c>
      <c r="B637" s="13"/>
      <c r="C637" s="12"/>
      <c r="D637" s="13"/>
      <c r="E637" s="24"/>
      <c r="F637" s="12"/>
      <c r="G637" s="14" t="str">
        <f aca="false">IF(OR($D637="",$B637=""),"",INT(($B637-$D637)/365.25))</f>
        <v/>
      </c>
      <c r="H637" s="12"/>
      <c r="I637" s="12"/>
      <c r="J637" s="25"/>
      <c r="K637" s="13"/>
      <c r="L637" s="12"/>
      <c r="M637" s="14" t="str">
        <f aca="false">IF(OR($C637="",$D637="",$H637="",$B637=""),"",IF(COUNTIFS($C$5:$C$804,$C637,$D$5:$D$804,$D637,$H$5:$H$804,$H637,$B$5:$B$804,$B637)&gt;1,"Takror",""))</f>
        <v/>
      </c>
    </row>
    <row r="638" customFormat="false" ht="15" hidden="false" customHeight="false" outlineLevel="0" collapsed="false">
      <c r="A638" s="8" t="n">
        <v>634</v>
      </c>
      <c r="B638" s="13"/>
      <c r="C638" s="12"/>
      <c r="D638" s="13"/>
      <c r="E638" s="24"/>
      <c r="F638" s="12"/>
      <c r="G638" s="14" t="str">
        <f aca="false">IF(OR($D638="",$B638=""),"",INT(($B638-$D638)/365.25))</f>
        <v/>
      </c>
      <c r="H638" s="12"/>
      <c r="I638" s="12"/>
      <c r="J638" s="25"/>
      <c r="K638" s="13"/>
      <c r="L638" s="12"/>
      <c r="M638" s="14" t="str">
        <f aca="false">IF(OR($C638="",$D638="",$H638="",$B638=""),"",IF(COUNTIFS($C$5:$C$804,$C638,$D$5:$D$804,$D638,$H$5:$H$804,$H638,$B$5:$B$804,$B638)&gt;1,"Takror",""))</f>
        <v/>
      </c>
    </row>
    <row r="639" customFormat="false" ht="15" hidden="false" customHeight="false" outlineLevel="0" collapsed="false">
      <c r="A639" s="8" t="n">
        <v>635</v>
      </c>
      <c r="B639" s="13"/>
      <c r="C639" s="12"/>
      <c r="D639" s="13"/>
      <c r="E639" s="24"/>
      <c r="F639" s="12"/>
      <c r="G639" s="14" t="str">
        <f aca="false">IF(OR($D639="",$B639=""),"",INT(($B639-$D639)/365.25))</f>
        <v/>
      </c>
      <c r="H639" s="12"/>
      <c r="I639" s="12"/>
      <c r="J639" s="25"/>
      <c r="K639" s="13"/>
      <c r="L639" s="12"/>
      <c r="M639" s="14" t="str">
        <f aca="false">IF(OR($C639="",$D639="",$H639="",$B639=""),"",IF(COUNTIFS($C$5:$C$804,$C639,$D$5:$D$804,$D639,$H$5:$H$804,$H639,$B$5:$B$804,$B639)&gt;1,"Takror",""))</f>
        <v/>
      </c>
    </row>
    <row r="640" customFormat="false" ht="15" hidden="false" customHeight="false" outlineLevel="0" collapsed="false">
      <c r="A640" s="8" t="n">
        <v>636</v>
      </c>
      <c r="B640" s="13"/>
      <c r="C640" s="12"/>
      <c r="D640" s="13"/>
      <c r="E640" s="24"/>
      <c r="F640" s="12"/>
      <c r="G640" s="14" t="str">
        <f aca="false">IF(OR($D640="",$B640=""),"",INT(($B640-$D640)/365.25))</f>
        <v/>
      </c>
      <c r="H640" s="12"/>
      <c r="I640" s="12"/>
      <c r="J640" s="25"/>
      <c r="K640" s="13"/>
      <c r="L640" s="12"/>
      <c r="M640" s="14" t="str">
        <f aca="false">IF(OR($C640="",$D640="",$H640="",$B640=""),"",IF(COUNTIFS($C$5:$C$804,$C640,$D$5:$D$804,$D640,$H$5:$H$804,$H640,$B$5:$B$804,$B640)&gt;1,"Takror",""))</f>
        <v/>
      </c>
    </row>
    <row r="641" customFormat="false" ht="15" hidden="false" customHeight="false" outlineLevel="0" collapsed="false">
      <c r="A641" s="8" t="n">
        <v>637</v>
      </c>
      <c r="B641" s="13"/>
      <c r="C641" s="12"/>
      <c r="D641" s="13"/>
      <c r="E641" s="24"/>
      <c r="F641" s="12"/>
      <c r="G641" s="14" t="str">
        <f aca="false">IF(OR($D641="",$B641=""),"",INT(($B641-$D641)/365.25))</f>
        <v/>
      </c>
      <c r="H641" s="12"/>
      <c r="I641" s="12"/>
      <c r="J641" s="25"/>
      <c r="K641" s="13"/>
      <c r="L641" s="12"/>
      <c r="M641" s="14" t="str">
        <f aca="false">IF(OR($C641="",$D641="",$H641="",$B641=""),"",IF(COUNTIFS($C$5:$C$804,$C641,$D$5:$D$804,$D641,$H$5:$H$804,$H641,$B$5:$B$804,$B641)&gt;1,"Takror",""))</f>
        <v/>
      </c>
    </row>
    <row r="642" customFormat="false" ht="15" hidden="false" customHeight="false" outlineLevel="0" collapsed="false">
      <c r="A642" s="8" t="n">
        <v>638</v>
      </c>
      <c r="B642" s="13"/>
      <c r="C642" s="12"/>
      <c r="D642" s="13"/>
      <c r="E642" s="24"/>
      <c r="F642" s="12"/>
      <c r="G642" s="14" t="str">
        <f aca="false">IF(OR($D642="",$B642=""),"",INT(($B642-$D642)/365.25))</f>
        <v/>
      </c>
      <c r="H642" s="12"/>
      <c r="I642" s="12"/>
      <c r="J642" s="25"/>
      <c r="K642" s="13"/>
      <c r="L642" s="12"/>
      <c r="M642" s="14" t="str">
        <f aca="false">IF(OR($C642="",$D642="",$H642="",$B642=""),"",IF(COUNTIFS($C$5:$C$804,$C642,$D$5:$D$804,$D642,$H$5:$H$804,$H642,$B$5:$B$804,$B642)&gt;1,"Takror",""))</f>
        <v/>
      </c>
    </row>
    <row r="643" customFormat="false" ht="15" hidden="false" customHeight="false" outlineLevel="0" collapsed="false">
      <c r="A643" s="8" t="n">
        <v>639</v>
      </c>
      <c r="B643" s="13"/>
      <c r="C643" s="12"/>
      <c r="D643" s="13"/>
      <c r="E643" s="24"/>
      <c r="F643" s="12"/>
      <c r="G643" s="14" t="str">
        <f aca="false">IF(OR($D643="",$B643=""),"",INT(($B643-$D643)/365.25))</f>
        <v/>
      </c>
      <c r="H643" s="12"/>
      <c r="I643" s="12"/>
      <c r="J643" s="25"/>
      <c r="K643" s="13"/>
      <c r="L643" s="12"/>
      <c r="M643" s="14" t="str">
        <f aca="false">IF(OR($C643="",$D643="",$H643="",$B643=""),"",IF(COUNTIFS($C$5:$C$804,$C643,$D$5:$D$804,$D643,$H$5:$H$804,$H643,$B$5:$B$804,$B643)&gt;1,"Takror",""))</f>
        <v/>
      </c>
    </row>
    <row r="644" customFormat="false" ht="15" hidden="false" customHeight="false" outlineLevel="0" collapsed="false">
      <c r="A644" s="8" t="n">
        <v>640</v>
      </c>
      <c r="B644" s="13"/>
      <c r="C644" s="12"/>
      <c r="D644" s="13"/>
      <c r="E644" s="24"/>
      <c r="F644" s="12"/>
      <c r="G644" s="14" t="str">
        <f aca="false">IF(OR($D644="",$B644=""),"",INT(($B644-$D644)/365.25))</f>
        <v/>
      </c>
      <c r="H644" s="12"/>
      <c r="I644" s="12"/>
      <c r="J644" s="25"/>
      <c r="K644" s="13"/>
      <c r="L644" s="12"/>
      <c r="M644" s="14" t="str">
        <f aca="false">IF(OR($C644="",$D644="",$H644="",$B644=""),"",IF(COUNTIFS($C$5:$C$804,$C644,$D$5:$D$804,$D644,$H$5:$H$804,$H644,$B$5:$B$804,$B644)&gt;1,"Takror",""))</f>
        <v/>
      </c>
    </row>
    <row r="645" customFormat="false" ht="15" hidden="false" customHeight="false" outlineLevel="0" collapsed="false">
      <c r="A645" s="8" t="n">
        <v>641</v>
      </c>
      <c r="B645" s="13"/>
      <c r="C645" s="12"/>
      <c r="D645" s="13"/>
      <c r="E645" s="24"/>
      <c r="F645" s="12"/>
      <c r="G645" s="14" t="str">
        <f aca="false">IF(OR($D645="",$B645=""),"",INT(($B645-$D645)/365.25))</f>
        <v/>
      </c>
      <c r="H645" s="12"/>
      <c r="I645" s="12"/>
      <c r="J645" s="25"/>
      <c r="K645" s="13"/>
      <c r="L645" s="12"/>
      <c r="M645" s="14" t="str">
        <f aca="false">IF(OR($C645="",$D645="",$H645="",$B645=""),"",IF(COUNTIFS($C$5:$C$804,$C645,$D$5:$D$804,$D645,$H$5:$H$804,$H645,$B$5:$B$804,$B645)&gt;1,"Takror",""))</f>
        <v/>
      </c>
    </row>
    <row r="646" customFormat="false" ht="15" hidden="false" customHeight="false" outlineLevel="0" collapsed="false">
      <c r="A646" s="8" t="n">
        <v>642</v>
      </c>
      <c r="B646" s="13"/>
      <c r="C646" s="12"/>
      <c r="D646" s="13"/>
      <c r="E646" s="24"/>
      <c r="F646" s="12"/>
      <c r="G646" s="14" t="str">
        <f aca="false">IF(OR($D646="",$B646=""),"",INT(($B646-$D646)/365.25))</f>
        <v/>
      </c>
      <c r="H646" s="12"/>
      <c r="I646" s="12"/>
      <c r="J646" s="25"/>
      <c r="K646" s="13"/>
      <c r="L646" s="12"/>
      <c r="M646" s="14" t="str">
        <f aca="false">IF(OR($C646="",$D646="",$H646="",$B646=""),"",IF(COUNTIFS($C$5:$C$804,$C646,$D$5:$D$804,$D646,$H$5:$H$804,$H646,$B$5:$B$804,$B646)&gt;1,"Takror",""))</f>
        <v/>
      </c>
    </row>
    <row r="647" customFormat="false" ht="15" hidden="false" customHeight="false" outlineLevel="0" collapsed="false">
      <c r="A647" s="8" t="n">
        <v>643</v>
      </c>
      <c r="B647" s="13"/>
      <c r="C647" s="12"/>
      <c r="D647" s="13"/>
      <c r="E647" s="24"/>
      <c r="F647" s="12"/>
      <c r="G647" s="14" t="str">
        <f aca="false">IF(OR($D647="",$B647=""),"",INT(($B647-$D647)/365.25))</f>
        <v/>
      </c>
      <c r="H647" s="12"/>
      <c r="I647" s="12"/>
      <c r="J647" s="25"/>
      <c r="K647" s="13"/>
      <c r="L647" s="12"/>
      <c r="M647" s="14" t="str">
        <f aca="false">IF(OR($C647="",$D647="",$H647="",$B647=""),"",IF(COUNTIFS($C$5:$C$804,$C647,$D$5:$D$804,$D647,$H$5:$H$804,$H647,$B$5:$B$804,$B647)&gt;1,"Takror",""))</f>
        <v/>
      </c>
    </row>
    <row r="648" customFormat="false" ht="15" hidden="false" customHeight="false" outlineLevel="0" collapsed="false">
      <c r="A648" s="8" t="n">
        <v>644</v>
      </c>
      <c r="B648" s="13"/>
      <c r="C648" s="12"/>
      <c r="D648" s="13"/>
      <c r="E648" s="24"/>
      <c r="F648" s="12"/>
      <c r="G648" s="14" t="str">
        <f aca="false">IF(OR($D648="",$B648=""),"",INT(($B648-$D648)/365.25))</f>
        <v/>
      </c>
      <c r="H648" s="12"/>
      <c r="I648" s="12"/>
      <c r="J648" s="25"/>
      <c r="K648" s="13"/>
      <c r="L648" s="12"/>
      <c r="M648" s="14" t="str">
        <f aca="false">IF(OR($C648="",$D648="",$H648="",$B648=""),"",IF(COUNTIFS($C$5:$C$804,$C648,$D$5:$D$804,$D648,$H$5:$H$804,$H648,$B$5:$B$804,$B648)&gt;1,"Takror",""))</f>
        <v/>
      </c>
    </row>
    <row r="649" customFormat="false" ht="15" hidden="false" customHeight="false" outlineLevel="0" collapsed="false">
      <c r="A649" s="8" t="n">
        <v>645</v>
      </c>
      <c r="B649" s="13"/>
      <c r="C649" s="12"/>
      <c r="D649" s="13"/>
      <c r="E649" s="24"/>
      <c r="F649" s="12"/>
      <c r="G649" s="14" t="str">
        <f aca="false">IF(OR($D649="",$B649=""),"",INT(($B649-$D649)/365.25))</f>
        <v/>
      </c>
      <c r="H649" s="12"/>
      <c r="I649" s="12"/>
      <c r="J649" s="25"/>
      <c r="K649" s="13"/>
      <c r="L649" s="12"/>
      <c r="M649" s="14" t="str">
        <f aca="false">IF(OR($C649="",$D649="",$H649="",$B649=""),"",IF(COUNTIFS($C$5:$C$804,$C649,$D$5:$D$804,$D649,$H$5:$H$804,$H649,$B$5:$B$804,$B649)&gt;1,"Takror",""))</f>
        <v/>
      </c>
    </row>
    <row r="650" customFormat="false" ht="15" hidden="false" customHeight="false" outlineLevel="0" collapsed="false">
      <c r="A650" s="8" t="n">
        <v>646</v>
      </c>
      <c r="B650" s="13"/>
      <c r="C650" s="12"/>
      <c r="D650" s="13"/>
      <c r="E650" s="24"/>
      <c r="F650" s="12"/>
      <c r="G650" s="14" t="str">
        <f aca="false">IF(OR($D650="",$B650=""),"",INT(($B650-$D650)/365.25))</f>
        <v/>
      </c>
      <c r="H650" s="12"/>
      <c r="I650" s="12"/>
      <c r="J650" s="25"/>
      <c r="K650" s="13"/>
      <c r="L650" s="12"/>
      <c r="M650" s="14" t="str">
        <f aca="false">IF(OR($C650="",$D650="",$H650="",$B650=""),"",IF(COUNTIFS($C$5:$C$804,$C650,$D$5:$D$804,$D650,$H$5:$H$804,$H650,$B$5:$B$804,$B650)&gt;1,"Takror",""))</f>
        <v/>
      </c>
    </row>
    <row r="651" customFormat="false" ht="15" hidden="false" customHeight="false" outlineLevel="0" collapsed="false">
      <c r="A651" s="8" t="n">
        <v>647</v>
      </c>
      <c r="B651" s="13"/>
      <c r="C651" s="12"/>
      <c r="D651" s="13"/>
      <c r="E651" s="24"/>
      <c r="F651" s="12"/>
      <c r="G651" s="14" t="str">
        <f aca="false">IF(OR($D651="",$B651=""),"",INT(($B651-$D651)/365.25))</f>
        <v/>
      </c>
      <c r="H651" s="12"/>
      <c r="I651" s="12"/>
      <c r="J651" s="25"/>
      <c r="K651" s="13"/>
      <c r="L651" s="12"/>
      <c r="M651" s="14" t="str">
        <f aca="false">IF(OR($C651="",$D651="",$H651="",$B651=""),"",IF(COUNTIFS($C$5:$C$804,$C651,$D$5:$D$804,$D651,$H$5:$H$804,$H651,$B$5:$B$804,$B651)&gt;1,"Takror",""))</f>
        <v/>
      </c>
    </row>
    <row r="652" customFormat="false" ht="15" hidden="false" customHeight="false" outlineLevel="0" collapsed="false">
      <c r="A652" s="8" t="n">
        <v>648</v>
      </c>
      <c r="B652" s="13"/>
      <c r="C652" s="12"/>
      <c r="D652" s="13"/>
      <c r="E652" s="24"/>
      <c r="F652" s="12"/>
      <c r="G652" s="14" t="str">
        <f aca="false">IF(OR($D652="",$B652=""),"",INT(($B652-$D652)/365.25))</f>
        <v/>
      </c>
      <c r="H652" s="12"/>
      <c r="I652" s="12"/>
      <c r="J652" s="25"/>
      <c r="K652" s="13"/>
      <c r="L652" s="12"/>
      <c r="M652" s="14" t="str">
        <f aca="false">IF(OR($C652="",$D652="",$H652="",$B652=""),"",IF(COUNTIFS($C$5:$C$804,$C652,$D$5:$D$804,$D652,$H$5:$H$804,$H652,$B$5:$B$804,$B652)&gt;1,"Takror",""))</f>
        <v/>
      </c>
    </row>
    <row r="653" customFormat="false" ht="15" hidden="false" customHeight="false" outlineLevel="0" collapsed="false">
      <c r="A653" s="8" t="n">
        <v>649</v>
      </c>
      <c r="B653" s="13"/>
      <c r="C653" s="12"/>
      <c r="D653" s="13"/>
      <c r="E653" s="24"/>
      <c r="F653" s="12"/>
      <c r="G653" s="14" t="str">
        <f aca="false">IF(OR($D653="",$B653=""),"",INT(($B653-$D653)/365.25))</f>
        <v/>
      </c>
      <c r="H653" s="12"/>
      <c r="I653" s="12"/>
      <c r="J653" s="25"/>
      <c r="K653" s="13"/>
      <c r="L653" s="12"/>
      <c r="M653" s="14" t="str">
        <f aca="false">IF(OR($C653="",$D653="",$H653="",$B653=""),"",IF(COUNTIFS($C$5:$C$804,$C653,$D$5:$D$804,$D653,$H$5:$H$804,$H653,$B$5:$B$804,$B653)&gt;1,"Takror",""))</f>
        <v/>
      </c>
    </row>
    <row r="654" customFormat="false" ht="15" hidden="false" customHeight="false" outlineLevel="0" collapsed="false">
      <c r="A654" s="8" t="n">
        <v>650</v>
      </c>
      <c r="B654" s="13"/>
      <c r="C654" s="12"/>
      <c r="D654" s="13"/>
      <c r="E654" s="24"/>
      <c r="F654" s="12"/>
      <c r="G654" s="14" t="str">
        <f aca="false">IF(OR($D654="",$B654=""),"",INT(($B654-$D654)/365.25))</f>
        <v/>
      </c>
      <c r="H654" s="12"/>
      <c r="I654" s="12"/>
      <c r="J654" s="25"/>
      <c r="K654" s="13"/>
      <c r="L654" s="12"/>
      <c r="M654" s="14" t="str">
        <f aca="false">IF(OR($C654="",$D654="",$H654="",$B654=""),"",IF(COUNTIFS($C$5:$C$804,$C654,$D$5:$D$804,$D654,$H$5:$H$804,$H654,$B$5:$B$804,$B654)&gt;1,"Takror",""))</f>
        <v/>
      </c>
    </row>
    <row r="655" customFormat="false" ht="15" hidden="false" customHeight="false" outlineLevel="0" collapsed="false">
      <c r="A655" s="8" t="n">
        <v>651</v>
      </c>
      <c r="B655" s="13"/>
      <c r="C655" s="12"/>
      <c r="D655" s="13"/>
      <c r="E655" s="24"/>
      <c r="F655" s="12"/>
      <c r="G655" s="14" t="str">
        <f aca="false">IF(OR($D655="",$B655=""),"",INT(($B655-$D655)/365.25))</f>
        <v/>
      </c>
      <c r="H655" s="12"/>
      <c r="I655" s="12"/>
      <c r="J655" s="25"/>
      <c r="K655" s="13"/>
      <c r="L655" s="12"/>
      <c r="M655" s="14" t="str">
        <f aca="false">IF(OR($C655="",$D655="",$H655="",$B655=""),"",IF(COUNTIFS($C$5:$C$804,$C655,$D$5:$D$804,$D655,$H$5:$H$804,$H655,$B$5:$B$804,$B655)&gt;1,"Takror",""))</f>
        <v/>
      </c>
    </row>
    <row r="656" customFormat="false" ht="15" hidden="false" customHeight="false" outlineLevel="0" collapsed="false">
      <c r="A656" s="8" t="n">
        <v>652</v>
      </c>
      <c r="B656" s="13"/>
      <c r="C656" s="12"/>
      <c r="D656" s="13"/>
      <c r="E656" s="24"/>
      <c r="F656" s="12"/>
      <c r="G656" s="14" t="str">
        <f aca="false">IF(OR($D656="",$B656=""),"",INT(($B656-$D656)/365.25))</f>
        <v/>
      </c>
      <c r="H656" s="12"/>
      <c r="I656" s="12"/>
      <c r="J656" s="25"/>
      <c r="K656" s="13"/>
      <c r="L656" s="12"/>
      <c r="M656" s="14" t="str">
        <f aca="false">IF(OR($C656="",$D656="",$H656="",$B656=""),"",IF(COUNTIFS($C$5:$C$804,$C656,$D$5:$D$804,$D656,$H$5:$H$804,$H656,$B$5:$B$804,$B656)&gt;1,"Takror",""))</f>
        <v/>
      </c>
    </row>
    <row r="657" customFormat="false" ht="15" hidden="false" customHeight="false" outlineLevel="0" collapsed="false">
      <c r="A657" s="8" t="n">
        <v>653</v>
      </c>
      <c r="B657" s="13"/>
      <c r="C657" s="12"/>
      <c r="D657" s="13"/>
      <c r="E657" s="24"/>
      <c r="F657" s="12"/>
      <c r="G657" s="14" t="str">
        <f aca="false">IF(OR($D657="",$B657=""),"",INT(($B657-$D657)/365.25))</f>
        <v/>
      </c>
      <c r="H657" s="12"/>
      <c r="I657" s="12"/>
      <c r="J657" s="25"/>
      <c r="K657" s="13"/>
      <c r="L657" s="12"/>
      <c r="M657" s="14" t="str">
        <f aca="false">IF(OR($C657="",$D657="",$H657="",$B657=""),"",IF(COUNTIFS($C$5:$C$804,$C657,$D$5:$D$804,$D657,$H$5:$H$804,$H657,$B$5:$B$804,$B657)&gt;1,"Takror",""))</f>
        <v/>
      </c>
    </row>
    <row r="658" customFormat="false" ht="15" hidden="false" customHeight="false" outlineLevel="0" collapsed="false">
      <c r="A658" s="8" t="n">
        <v>654</v>
      </c>
      <c r="B658" s="13"/>
      <c r="C658" s="12"/>
      <c r="D658" s="13"/>
      <c r="E658" s="24"/>
      <c r="F658" s="12"/>
      <c r="G658" s="14" t="str">
        <f aca="false">IF(OR($D658="",$B658=""),"",INT(($B658-$D658)/365.25))</f>
        <v/>
      </c>
      <c r="H658" s="12"/>
      <c r="I658" s="12"/>
      <c r="J658" s="25"/>
      <c r="K658" s="13"/>
      <c r="L658" s="12"/>
      <c r="M658" s="14" t="str">
        <f aca="false">IF(OR($C658="",$D658="",$H658="",$B658=""),"",IF(COUNTIFS($C$5:$C$804,$C658,$D$5:$D$804,$D658,$H$5:$H$804,$H658,$B$5:$B$804,$B658)&gt;1,"Takror",""))</f>
        <v/>
      </c>
    </row>
    <row r="659" customFormat="false" ht="15" hidden="false" customHeight="false" outlineLevel="0" collapsed="false">
      <c r="A659" s="8" t="n">
        <v>655</v>
      </c>
      <c r="B659" s="13"/>
      <c r="C659" s="12"/>
      <c r="D659" s="13"/>
      <c r="E659" s="24"/>
      <c r="F659" s="12"/>
      <c r="G659" s="14" t="str">
        <f aca="false">IF(OR($D659="",$B659=""),"",INT(($B659-$D659)/365.25))</f>
        <v/>
      </c>
      <c r="H659" s="12"/>
      <c r="I659" s="12"/>
      <c r="J659" s="25"/>
      <c r="K659" s="13"/>
      <c r="L659" s="12"/>
      <c r="M659" s="14" t="str">
        <f aca="false">IF(OR($C659="",$D659="",$H659="",$B659=""),"",IF(COUNTIFS($C$5:$C$804,$C659,$D$5:$D$804,$D659,$H$5:$H$804,$H659,$B$5:$B$804,$B659)&gt;1,"Takror",""))</f>
        <v/>
      </c>
    </row>
    <row r="660" customFormat="false" ht="15" hidden="false" customHeight="false" outlineLevel="0" collapsed="false">
      <c r="A660" s="8" t="n">
        <v>656</v>
      </c>
      <c r="B660" s="13"/>
      <c r="C660" s="12"/>
      <c r="D660" s="13"/>
      <c r="E660" s="24"/>
      <c r="F660" s="12"/>
      <c r="G660" s="14" t="str">
        <f aca="false">IF(OR($D660="",$B660=""),"",INT(($B660-$D660)/365.25))</f>
        <v/>
      </c>
      <c r="H660" s="12"/>
      <c r="I660" s="12"/>
      <c r="J660" s="25"/>
      <c r="K660" s="13"/>
      <c r="L660" s="12"/>
      <c r="M660" s="14" t="str">
        <f aca="false">IF(OR($C660="",$D660="",$H660="",$B660=""),"",IF(COUNTIFS($C$5:$C$804,$C660,$D$5:$D$804,$D660,$H$5:$H$804,$H660,$B$5:$B$804,$B660)&gt;1,"Takror",""))</f>
        <v/>
      </c>
    </row>
    <row r="661" customFormat="false" ht="15" hidden="false" customHeight="false" outlineLevel="0" collapsed="false">
      <c r="A661" s="8" t="n">
        <v>657</v>
      </c>
      <c r="B661" s="13"/>
      <c r="C661" s="12"/>
      <c r="D661" s="13"/>
      <c r="E661" s="24"/>
      <c r="F661" s="12"/>
      <c r="G661" s="14" t="str">
        <f aca="false">IF(OR($D661="",$B661=""),"",INT(($B661-$D661)/365.25))</f>
        <v/>
      </c>
      <c r="H661" s="12"/>
      <c r="I661" s="12"/>
      <c r="J661" s="25"/>
      <c r="K661" s="13"/>
      <c r="L661" s="12"/>
      <c r="M661" s="14" t="str">
        <f aca="false">IF(OR($C661="",$D661="",$H661="",$B661=""),"",IF(COUNTIFS($C$5:$C$804,$C661,$D$5:$D$804,$D661,$H$5:$H$804,$H661,$B$5:$B$804,$B661)&gt;1,"Takror",""))</f>
        <v/>
      </c>
    </row>
    <row r="662" customFormat="false" ht="15" hidden="false" customHeight="false" outlineLevel="0" collapsed="false">
      <c r="A662" s="8" t="n">
        <v>658</v>
      </c>
      <c r="B662" s="13"/>
      <c r="C662" s="12"/>
      <c r="D662" s="13"/>
      <c r="E662" s="24"/>
      <c r="F662" s="12"/>
      <c r="G662" s="14" t="str">
        <f aca="false">IF(OR($D662="",$B662=""),"",INT(($B662-$D662)/365.25))</f>
        <v/>
      </c>
      <c r="H662" s="12"/>
      <c r="I662" s="12"/>
      <c r="J662" s="25"/>
      <c r="K662" s="13"/>
      <c r="L662" s="12"/>
      <c r="M662" s="14" t="str">
        <f aca="false">IF(OR($C662="",$D662="",$H662="",$B662=""),"",IF(COUNTIFS($C$5:$C$804,$C662,$D$5:$D$804,$D662,$H$5:$H$804,$H662,$B$5:$B$804,$B662)&gt;1,"Takror",""))</f>
        <v/>
      </c>
    </row>
    <row r="663" customFormat="false" ht="15" hidden="false" customHeight="false" outlineLevel="0" collapsed="false">
      <c r="A663" s="8" t="n">
        <v>659</v>
      </c>
      <c r="B663" s="13"/>
      <c r="C663" s="12"/>
      <c r="D663" s="13"/>
      <c r="E663" s="24"/>
      <c r="F663" s="12"/>
      <c r="G663" s="14" t="str">
        <f aca="false">IF(OR($D663="",$B663=""),"",INT(($B663-$D663)/365.25))</f>
        <v/>
      </c>
      <c r="H663" s="12"/>
      <c r="I663" s="12"/>
      <c r="J663" s="25"/>
      <c r="K663" s="13"/>
      <c r="L663" s="12"/>
      <c r="M663" s="14" t="str">
        <f aca="false">IF(OR($C663="",$D663="",$H663="",$B663=""),"",IF(COUNTIFS($C$5:$C$804,$C663,$D$5:$D$804,$D663,$H$5:$H$804,$H663,$B$5:$B$804,$B663)&gt;1,"Takror",""))</f>
        <v/>
      </c>
    </row>
    <row r="664" customFormat="false" ht="15" hidden="false" customHeight="false" outlineLevel="0" collapsed="false">
      <c r="A664" s="8" t="n">
        <v>660</v>
      </c>
      <c r="B664" s="13"/>
      <c r="C664" s="12"/>
      <c r="D664" s="13"/>
      <c r="E664" s="24"/>
      <c r="F664" s="12"/>
      <c r="G664" s="14" t="str">
        <f aca="false">IF(OR($D664="",$B664=""),"",INT(($B664-$D664)/365.25))</f>
        <v/>
      </c>
      <c r="H664" s="12"/>
      <c r="I664" s="12"/>
      <c r="J664" s="25"/>
      <c r="K664" s="13"/>
      <c r="L664" s="12"/>
      <c r="M664" s="14" t="str">
        <f aca="false">IF(OR($C664="",$D664="",$H664="",$B664=""),"",IF(COUNTIFS($C$5:$C$804,$C664,$D$5:$D$804,$D664,$H$5:$H$804,$H664,$B$5:$B$804,$B664)&gt;1,"Takror",""))</f>
        <v/>
      </c>
    </row>
    <row r="665" customFormat="false" ht="15" hidden="false" customHeight="false" outlineLevel="0" collapsed="false">
      <c r="A665" s="8" t="n">
        <v>661</v>
      </c>
      <c r="B665" s="13"/>
      <c r="C665" s="12"/>
      <c r="D665" s="13"/>
      <c r="E665" s="24"/>
      <c r="F665" s="12"/>
      <c r="G665" s="14" t="str">
        <f aca="false">IF(OR($D665="",$B665=""),"",INT(($B665-$D665)/365.25))</f>
        <v/>
      </c>
      <c r="H665" s="12"/>
      <c r="I665" s="12"/>
      <c r="J665" s="25"/>
      <c r="K665" s="13"/>
      <c r="L665" s="12"/>
      <c r="M665" s="14" t="str">
        <f aca="false">IF(OR($C665="",$D665="",$H665="",$B665=""),"",IF(COUNTIFS($C$5:$C$804,$C665,$D$5:$D$804,$D665,$H$5:$H$804,$H665,$B$5:$B$804,$B665)&gt;1,"Takror",""))</f>
        <v/>
      </c>
    </row>
    <row r="666" customFormat="false" ht="15" hidden="false" customHeight="false" outlineLevel="0" collapsed="false">
      <c r="A666" s="8" t="n">
        <v>662</v>
      </c>
      <c r="B666" s="13"/>
      <c r="C666" s="12"/>
      <c r="D666" s="13"/>
      <c r="E666" s="24"/>
      <c r="F666" s="12"/>
      <c r="G666" s="14" t="str">
        <f aca="false">IF(OR($D666="",$B666=""),"",INT(($B666-$D666)/365.25))</f>
        <v/>
      </c>
      <c r="H666" s="12"/>
      <c r="I666" s="12"/>
      <c r="J666" s="25"/>
      <c r="K666" s="13"/>
      <c r="L666" s="12"/>
      <c r="M666" s="14" t="str">
        <f aca="false">IF(OR($C666="",$D666="",$H666="",$B666=""),"",IF(COUNTIFS($C$5:$C$804,$C666,$D$5:$D$804,$D666,$H$5:$H$804,$H666,$B$5:$B$804,$B666)&gt;1,"Takror",""))</f>
        <v/>
      </c>
    </row>
    <row r="667" customFormat="false" ht="15" hidden="false" customHeight="false" outlineLevel="0" collapsed="false">
      <c r="A667" s="8" t="n">
        <v>663</v>
      </c>
      <c r="B667" s="13"/>
      <c r="C667" s="12"/>
      <c r="D667" s="13"/>
      <c r="E667" s="24"/>
      <c r="F667" s="12"/>
      <c r="G667" s="14" t="str">
        <f aca="false">IF(OR($D667="",$B667=""),"",INT(($B667-$D667)/365.25))</f>
        <v/>
      </c>
      <c r="H667" s="12"/>
      <c r="I667" s="12"/>
      <c r="J667" s="25"/>
      <c r="K667" s="13"/>
      <c r="L667" s="12"/>
      <c r="M667" s="14" t="str">
        <f aca="false">IF(OR($C667="",$D667="",$H667="",$B667=""),"",IF(COUNTIFS($C$5:$C$804,$C667,$D$5:$D$804,$D667,$H$5:$H$804,$H667,$B$5:$B$804,$B667)&gt;1,"Takror",""))</f>
        <v/>
      </c>
    </row>
    <row r="668" customFormat="false" ht="15" hidden="false" customHeight="false" outlineLevel="0" collapsed="false">
      <c r="A668" s="8" t="n">
        <v>664</v>
      </c>
      <c r="B668" s="13"/>
      <c r="C668" s="12"/>
      <c r="D668" s="13"/>
      <c r="E668" s="24"/>
      <c r="F668" s="12"/>
      <c r="G668" s="14" t="str">
        <f aca="false">IF(OR($D668="",$B668=""),"",INT(($B668-$D668)/365.25))</f>
        <v/>
      </c>
      <c r="H668" s="12"/>
      <c r="I668" s="12"/>
      <c r="J668" s="25"/>
      <c r="K668" s="13"/>
      <c r="L668" s="12"/>
      <c r="M668" s="14" t="str">
        <f aca="false">IF(OR($C668="",$D668="",$H668="",$B668=""),"",IF(COUNTIFS($C$5:$C$804,$C668,$D$5:$D$804,$D668,$H$5:$H$804,$H668,$B$5:$B$804,$B668)&gt;1,"Takror",""))</f>
        <v/>
      </c>
    </row>
    <row r="669" customFormat="false" ht="15" hidden="false" customHeight="false" outlineLevel="0" collapsed="false">
      <c r="A669" s="8" t="n">
        <v>665</v>
      </c>
      <c r="B669" s="13"/>
      <c r="C669" s="12"/>
      <c r="D669" s="13"/>
      <c r="E669" s="24"/>
      <c r="F669" s="12"/>
      <c r="G669" s="14" t="str">
        <f aca="false">IF(OR($D669="",$B669=""),"",INT(($B669-$D669)/365.25))</f>
        <v/>
      </c>
      <c r="H669" s="12"/>
      <c r="I669" s="12"/>
      <c r="J669" s="25"/>
      <c r="K669" s="13"/>
      <c r="L669" s="12"/>
      <c r="M669" s="14" t="str">
        <f aca="false">IF(OR($C669="",$D669="",$H669="",$B669=""),"",IF(COUNTIFS($C$5:$C$804,$C669,$D$5:$D$804,$D669,$H$5:$H$804,$H669,$B$5:$B$804,$B669)&gt;1,"Takror",""))</f>
        <v/>
      </c>
    </row>
    <row r="670" customFormat="false" ht="15" hidden="false" customHeight="false" outlineLevel="0" collapsed="false">
      <c r="A670" s="8" t="n">
        <v>666</v>
      </c>
      <c r="B670" s="13"/>
      <c r="C670" s="12"/>
      <c r="D670" s="13"/>
      <c r="E670" s="24"/>
      <c r="F670" s="12"/>
      <c r="G670" s="14" t="str">
        <f aca="false">IF(OR($D670="",$B670=""),"",INT(($B670-$D670)/365.25))</f>
        <v/>
      </c>
      <c r="H670" s="12"/>
      <c r="I670" s="12"/>
      <c r="J670" s="25"/>
      <c r="K670" s="13"/>
      <c r="L670" s="12"/>
      <c r="M670" s="14" t="str">
        <f aca="false">IF(OR($C670="",$D670="",$H670="",$B670=""),"",IF(COUNTIFS($C$5:$C$804,$C670,$D$5:$D$804,$D670,$H$5:$H$804,$H670,$B$5:$B$804,$B670)&gt;1,"Takror",""))</f>
        <v/>
      </c>
    </row>
    <row r="671" customFormat="false" ht="15" hidden="false" customHeight="false" outlineLevel="0" collapsed="false">
      <c r="A671" s="8" t="n">
        <v>667</v>
      </c>
      <c r="B671" s="13"/>
      <c r="C671" s="12"/>
      <c r="D671" s="13"/>
      <c r="E671" s="24"/>
      <c r="F671" s="12"/>
      <c r="G671" s="14" t="str">
        <f aca="false">IF(OR($D671="",$B671=""),"",INT(($B671-$D671)/365.25))</f>
        <v/>
      </c>
      <c r="H671" s="12"/>
      <c r="I671" s="12"/>
      <c r="J671" s="25"/>
      <c r="K671" s="13"/>
      <c r="L671" s="12"/>
      <c r="M671" s="14" t="str">
        <f aca="false">IF(OR($C671="",$D671="",$H671="",$B671=""),"",IF(COUNTIFS($C$5:$C$804,$C671,$D$5:$D$804,$D671,$H$5:$H$804,$H671,$B$5:$B$804,$B671)&gt;1,"Takror",""))</f>
        <v/>
      </c>
    </row>
    <row r="672" customFormat="false" ht="15" hidden="false" customHeight="false" outlineLevel="0" collapsed="false">
      <c r="A672" s="8" t="n">
        <v>668</v>
      </c>
      <c r="B672" s="13"/>
      <c r="C672" s="12"/>
      <c r="D672" s="13"/>
      <c r="E672" s="24"/>
      <c r="F672" s="12"/>
      <c r="G672" s="14" t="str">
        <f aca="false">IF(OR($D672="",$B672=""),"",INT(($B672-$D672)/365.25))</f>
        <v/>
      </c>
      <c r="H672" s="12"/>
      <c r="I672" s="12"/>
      <c r="J672" s="25"/>
      <c r="K672" s="13"/>
      <c r="L672" s="12"/>
      <c r="M672" s="14" t="str">
        <f aca="false">IF(OR($C672="",$D672="",$H672="",$B672=""),"",IF(COUNTIFS($C$5:$C$804,$C672,$D$5:$D$804,$D672,$H$5:$H$804,$H672,$B$5:$B$804,$B672)&gt;1,"Takror",""))</f>
        <v/>
      </c>
    </row>
    <row r="673" customFormat="false" ht="15" hidden="false" customHeight="false" outlineLevel="0" collapsed="false">
      <c r="A673" s="8" t="n">
        <v>669</v>
      </c>
      <c r="B673" s="13"/>
      <c r="C673" s="12"/>
      <c r="D673" s="13"/>
      <c r="E673" s="24"/>
      <c r="F673" s="12"/>
      <c r="G673" s="14" t="str">
        <f aca="false">IF(OR($D673="",$B673=""),"",INT(($B673-$D673)/365.25))</f>
        <v/>
      </c>
      <c r="H673" s="12"/>
      <c r="I673" s="12"/>
      <c r="J673" s="25"/>
      <c r="K673" s="13"/>
      <c r="L673" s="12"/>
      <c r="M673" s="14" t="str">
        <f aca="false">IF(OR($C673="",$D673="",$H673="",$B673=""),"",IF(COUNTIFS($C$5:$C$804,$C673,$D$5:$D$804,$D673,$H$5:$H$804,$H673,$B$5:$B$804,$B673)&gt;1,"Takror",""))</f>
        <v/>
      </c>
    </row>
    <row r="674" customFormat="false" ht="15" hidden="false" customHeight="false" outlineLevel="0" collapsed="false">
      <c r="A674" s="8" t="n">
        <v>670</v>
      </c>
      <c r="B674" s="13"/>
      <c r="C674" s="12"/>
      <c r="D674" s="13"/>
      <c r="E674" s="24"/>
      <c r="F674" s="12"/>
      <c r="G674" s="14" t="str">
        <f aca="false">IF(OR($D674="",$B674=""),"",INT(($B674-$D674)/365.25))</f>
        <v/>
      </c>
      <c r="H674" s="12"/>
      <c r="I674" s="12"/>
      <c r="J674" s="25"/>
      <c r="K674" s="13"/>
      <c r="L674" s="12"/>
      <c r="M674" s="14" t="str">
        <f aca="false">IF(OR($C674="",$D674="",$H674="",$B674=""),"",IF(COUNTIFS($C$5:$C$804,$C674,$D$5:$D$804,$D674,$H$5:$H$804,$H674,$B$5:$B$804,$B674)&gt;1,"Takror",""))</f>
        <v/>
      </c>
    </row>
    <row r="675" customFormat="false" ht="15" hidden="false" customHeight="false" outlineLevel="0" collapsed="false">
      <c r="A675" s="8" t="n">
        <v>671</v>
      </c>
      <c r="B675" s="13"/>
      <c r="C675" s="12"/>
      <c r="D675" s="13"/>
      <c r="E675" s="24"/>
      <c r="F675" s="12"/>
      <c r="G675" s="14" t="str">
        <f aca="false">IF(OR($D675="",$B675=""),"",INT(($B675-$D675)/365.25))</f>
        <v/>
      </c>
      <c r="H675" s="12"/>
      <c r="I675" s="12"/>
      <c r="J675" s="25"/>
      <c r="K675" s="13"/>
      <c r="L675" s="12"/>
      <c r="M675" s="14" t="str">
        <f aca="false">IF(OR($C675="",$D675="",$H675="",$B675=""),"",IF(COUNTIFS($C$5:$C$804,$C675,$D$5:$D$804,$D675,$H$5:$H$804,$H675,$B$5:$B$804,$B675)&gt;1,"Takror",""))</f>
        <v/>
      </c>
    </row>
    <row r="676" customFormat="false" ht="15" hidden="false" customHeight="false" outlineLevel="0" collapsed="false">
      <c r="A676" s="8" t="n">
        <v>672</v>
      </c>
      <c r="B676" s="13"/>
      <c r="C676" s="12"/>
      <c r="D676" s="13"/>
      <c r="E676" s="24"/>
      <c r="F676" s="12"/>
      <c r="G676" s="14" t="str">
        <f aca="false">IF(OR($D676="",$B676=""),"",INT(($B676-$D676)/365.25))</f>
        <v/>
      </c>
      <c r="H676" s="12"/>
      <c r="I676" s="12"/>
      <c r="J676" s="25"/>
      <c r="K676" s="13"/>
      <c r="L676" s="12"/>
      <c r="M676" s="14" t="str">
        <f aca="false">IF(OR($C676="",$D676="",$H676="",$B676=""),"",IF(COUNTIFS($C$5:$C$804,$C676,$D$5:$D$804,$D676,$H$5:$H$804,$H676,$B$5:$B$804,$B676)&gt;1,"Takror",""))</f>
        <v/>
      </c>
    </row>
    <row r="677" customFormat="false" ht="15" hidden="false" customHeight="false" outlineLevel="0" collapsed="false">
      <c r="A677" s="8" t="n">
        <v>673</v>
      </c>
      <c r="B677" s="13"/>
      <c r="C677" s="12"/>
      <c r="D677" s="13"/>
      <c r="E677" s="24"/>
      <c r="F677" s="12"/>
      <c r="G677" s="14" t="str">
        <f aca="false">IF(OR($D677="",$B677=""),"",INT(($B677-$D677)/365.25))</f>
        <v/>
      </c>
      <c r="H677" s="12"/>
      <c r="I677" s="12"/>
      <c r="J677" s="25"/>
      <c r="K677" s="13"/>
      <c r="L677" s="12"/>
      <c r="M677" s="14" t="str">
        <f aca="false">IF(OR($C677="",$D677="",$H677="",$B677=""),"",IF(COUNTIFS($C$5:$C$804,$C677,$D$5:$D$804,$D677,$H$5:$H$804,$H677,$B$5:$B$804,$B677)&gt;1,"Takror",""))</f>
        <v/>
      </c>
    </row>
    <row r="678" customFormat="false" ht="15" hidden="false" customHeight="false" outlineLevel="0" collapsed="false">
      <c r="A678" s="8" t="n">
        <v>674</v>
      </c>
      <c r="B678" s="13"/>
      <c r="C678" s="12"/>
      <c r="D678" s="13"/>
      <c r="E678" s="24"/>
      <c r="F678" s="12"/>
      <c r="G678" s="14" t="str">
        <f aca="false">IF(OR($D678="",$B678=""),"",INT(($B678-$D678)/365.25))</f>
        <v/>
      </c>
      <c r="H678" s="12"/>
      <c r="I678" s="12"/>
      <c r="J678" s="25"/>
      <c r="K678" s="13"/>
      <c r="L678" s="12"/>
      <c r="M678" s="14" t="str">
        <f aca="false">IF(OR($C678="",$D678="",$H678="",$B678=""),"",IF(COUNTIFS($C$5:$C$804,$C678,$D$5:$D$804,$D678,$H$5:$H$804,$H678,$B$5:$B$804,$B678)&gt;1,"Takror",""))</f>
        <v/>
      </c>
    </row>
    <row r="679" customFormat="false" ht="15" hidden="false" customHeight="false" outlineLevel="0" collapsed="false">
      <c r="A679" s="8" t="n">
        <v>675</v>
      </c>
      <c r="B679" s="13"/>
      <c r="C679" s="12"/>
      <c r="D679" s="13"/>
      <c r="E679" s="24"/>
      <c r="F679" s="12"/>
      <c r="G679" s="14" t="str">
        <f aca="false">IF(OR($D679="",$B679=""),"",INT(($B679-$D679)/365.25))</f>
        <v/>
      </c>
      <c r="H679" s="12"/>
      <c r="I679" s="12"/>
      <c r="J679" s="25"/>
      <c r="K679" s="13"/>
      <c r="L679" s="12"/>
      <c r="M679" s="14" t="str">
        <f aca="false">IF(OR($C679="",$D679="",$H679="",$B679=""),"",IF(COUNTIFS($C$5:$C$804,$C679,$D$5:$D$804,$D679,$H$5:$H$804,$H679,$B$5:$B$804,$B679)&gt;1,"Takror",""))</f>
        <v/>
      </c>
    </row>
    <row r="680" customFormat="false" ht="15" hidden="false" customHeight="false" outlineLevel="0" collapsed="false">
      <c r="A680" s="8" t="n">
        <v>676</v>
      </c>
      <c r="B680" s="13"/>
      <c r="C680" s="12"/>
      <c r="D680" s="13"/>
      <c r="E680" s="24"/>
      <c r="F680" s="12"/>
      <c r="G680" s="14" t="str">
        <f aca="false">IF(OR($D680="",$B680=""),"",INT(($B680-$D680)/365.25))</f>
        <v/>
      </c>
      <c r="H680" s="12"/>
      <c r="I680" s="12"/>
      <c r="J680" s="25"/>
      <c r="K680" s="13"/>
      <c r="L680" s="12"/>
      <c r="M680" s="14" t="str">
        <f aca="false">IF(OR($C680="",$D680="",$H680="",$B680=""),"",IF(COUNTIFS($C$5:$C$804,$C680,$D$5:$D$804,$D680,$H$5:$H$804,$H680,$B$5:$B$804,$B680)&gt;1,"Takror",""))</f>
        <v/>
      </c>
    </row>
    <row r="681" customFormat="false" ht="15" hidden="false" customHeight="false" outlineLevel="0" collapsed="false">
      <c r="A681" s="8" t="n">
        <v>677</v>
      </c>
      <c r="B681" s="13"/>
      <c r="C681" s="12"/>
      <c r="D681" s="13"/>
      <c r="E681" s="24"/>
      <c r="F681" s="12"/>
      <c r="G681" s="14" t="str">
        <f aca="false">IF(OR($D681="",$B681=""),"",INT(($B681-$D681)/365.25))</f>
        <v/>
      </c>
      <c r="H681" s="12"/>
      <c r="I681" s="12"/>
      <c r="J681" s="25"/>
      <c r="K681" s="13"/>
      <c r="L681" s="12"/>
      <c r="M681" s="14" t="str">
        <f aca="false">IF(OR($C681="",$D681="",$H681="",$B681=""),"",IF(COUNTIFS($C$5:$C$804,$C681,$D$5:$D$804,$D681,$H$5:$H$804,$H681,$B$5:$B$804,$B681)&gt;1,"Takror",""))</f>
        <v/>
      </c>
    </row>
    <row r="682" customFormat="false" ht="15" hidden="false" customHeight="false" outlineLevel="0" collapsed="false">
      <c r="A682" s="8" t="n">
        <v>678</v>
      </c>
      <c r="B682" s="13"/>
      <c r="C682" s="12"/>
      <c r="D682" s="13"/>
      <c r="E682" s="24"/>
      <c r="F682" s="12"/>
      <c r="G682" s="14" t="str">
        <f aca="false">IF(OR($D682="",$B682=""),"",INT(($B682-$D682)/365.25))</f>
        <v/>
      </c>
      <c r="H682" s="12"/>
      <c r="I682" s="12"/>
      <c r="J682" s="25"/>
      <c r="K682" s="13"/>
      <c r="L682" s="12"/>
      <c r="M682" s="14" t="str">
        <f aca="false">IF(OR($C682="",$D682="",$H682="",$B682=""),"",IF(COUNTIFS($C$5:$C$804,$C682,$D$5:$D$804,$D682,$H$5:$H$804,$H682,$B$5:$B$804,$B682)&gt;1,"Takror",""))</f>
        <v/>
      </c>
    </row>
    <row r="683" customFormat="false" ht="15" hidden="false" customHeight="false" outlineLevel="0" collapsed="false">
      <c r="A683" s="8" t="n">
        <v>679</v>
      </c>
      <c r="B683" s="13"/>
      <c r="C683" s="12"/>
      <c r="D683" s="13"/>
      <c r="E683" s="24"/>
      <c r="F683" s="12"/>
      <c r="G683" s="14" t="str">
        <f aca="false">IF(OR($D683="",$B683=""),"",INT(($B683-$D683)/365.25))</f>
        <v/>
      </c>
      <c r="H683" s="12"/>
      <c r="I683" s="12"/>
      <c r="J683" s="25"/>
      <c r="K683" s="13"/>
      <c r="L683" s="12"/>
      <c r="M683" s="14" t="str">
        <f aca="false">IF(OR($C683="",$D683="",$H683="",$B683=""),"",IF(COUNTIFS($C$5:$C$804,$C683,$D$5:$D$804,$D683,$H$5:$H$804,$H683,$B$5:$B$804,$B683)&gt;1,"Takror",""))</f>
        <v/>
      </c>
    </row>
    <row r="684" customFormat="false" ht="15" hidden="false" customHeight="false" outlineLevel="0" collapsed="false">
      <c r="A684" s="8" t="n">
        <v>680</v>
      </c>
      <c r="B684" s="13"/>
      <c r="C684" s="12"/>
      <c r="D684" s="13"/>
      <c r="E684" s="24"/>
      <c r="F684" s="12"/>
      <c r="G684" s="14" t="str">
        <f aca="false">IF(OR($D684="",$B684=""),"",INT(($B684-$D684)/365.25))</f>
        <v/>
      </c>
      <c r="H684" s="12"/>
      <c r="I684" s="12"/>
      <c r="J684" s="25"/>
      <c r="K684" s="13"/>
      <c r="L684" s="12"/>
      <c r="M684" s="14" t="str">
        <f aca="false">IF(OR($C684="",$D684="",$H684="",$B684=""),"",IF(COUNTIFS($C$5:$C$804,$C684,$D$5:$D$804,$D684,$H$5:$H$804,$H684,$B$5:$B$804,$B684)&gt;1,"Takror",""))</f>
        <v/>
      </c>
    </row>
    <row r="685" customFormat="false" ht="15" hidden="false" customHeight="false" outlineLevel="0" collapsed="false">
      <c r="A685" s="8" t="n">
        <v>681</v>
      </c>
      <c r="B685" s="13"/>
      <c r="C685" s="12"/>
      <c r="D685" s="13"/>
      <c r="E685" s="24"/>
      <c r="F685" s="12"/>
      <c r="G685" s="14" t="str">
        <f aca="false">IF(OR($D685="",$B685=""),"",INT(($B685-$D685)/365.25))</f>
        <v/>
      </c>
      <c r="H685" s="12"/>
      <c r="I685" s="12"/>
      <c r="J685" s="25"/>
      <c r="K685" s="13"/>
      <c r="L685" s="12"/>
      <c r="M685" s="14" t="str">
        <f aca="false">IF(OR($C685="",$D685="",$H685="",$B685=""),"",IF(COUNTIFS($C$5:$C$804,$C685,$D$5:$D$804,$D685,$H$5:$H$804,$H685,$B$5:$B$804,$B685)&gt;1,"Takror",""))</f>
        <v/>
      </c>
    </row>
    <row r="686" customFormat="false" ht="15" hidden="false" customHeight="false" outlineLevel="0" collapsed="false">
      <c r="A686" s="8" t="n">
        <v>682</v>
      </c>
      <c r="B686" s="13"/>
      <c r="C686" s="12"/>
      <c r="D686" s="13"/>
      <c r="E686" s="24"/>
      <c r="F686" s="12"/>
      <c r="G686" s="14" t="str">
        <f aca="false">IF(OR($D686="",$B686=""),"",INT(($B686-$D686)/365.25))</f>
        <v/>
      </c>
      <c r="H686" s="12"/>
      <c r="I686" s="12"/>
      <c r="J686" s="25"/>
      <c r="K686" s="13"/>
      <c r="L686" s="12"/>
      <c r="M686" s="14" t="str">
        <f aca="false">IF(OR($C686="",$D686="",$H686="",$B686=""),"",IF(COUNTIFS($C$5:$C$804,$C686,$D$5:$D$804,$D686,$H$5:$H$804,$H686,$B$5:$B$804,$B686)&gt;1,"Takror",""))</f>
        <v/>
      </c>
    </row>
    <row r="687" customFormat="false" ht="15" hidden="false" customHeight="false" outlineLevel="0" collapsed="false">
      <c r="A687" s="8" t="n">
        <v>683</v>
      </c>
      <c r="B687" s="13"/>
      <c r="C687" s="12"/>
      <c r="D687" s="13"/>
      <c r="E687" s="24"/>
      <c r="F687" s="12"/>
      <c r="G687" s="14" t="str">
        <f aca="false">IF(OR($D687="",$B687=""),"",INT(($B687-$D687)/365.25))</f>
        <v/>
      </c>
      <c r="H687" s="12"/>
      <c r="I687" s="12"/>
      <c r="J687" s="25"/>
      <c r="K687" s="13"/>
      <c r="L687" s="12"/>
      <c r="M687" s="14" t="str">
        <f aca="false">IF(OR($C687="",$D687="",$H687="",$B687=""),"",IF(COUNTIFS($C$5:$C$804,$C687,$D$5:$D$804,$D687,$H$5:$H$804,$H687,$B$5:$B$804,$B687)&gt;1,"Takror",""))</f>
        <v/>
      </c>
    </row>
    <row r="688" customFormat="false" ht="15" hidden="false" customHeight="false" outlineLevel="0" collapsed="false">
      <c r="A688" s="8" t="n">
        <v>684</v>
      </c>
      <c r="B688" s="13"/>
      <c r="C688" s="12"/>
      <c r="D688" s="13"/>
      <c r="E688" s="24"/>
      <c r="F688" s="12"/>
      <c r="G688" s="14" t="str">
        <f aca="false">IF(OR($D688="",$B688=""),"",INT(($B688-$D688)/365.25))</f>
        <v/>
      </c>
      <c r="H688" s="12"/>
      <c r="I688" s="12"/>
      <c r="J688" s="25"/>
      <c r="K688" s="13"/>
      <c r="L688" s="12"/>
      <c r="M688" s="14" t="str">
        <f aca="false">IF(OR($C688="",$D688="",$H688="",$B688=""),"",IF(COUNTIFS($C$5:$C$804,$C688,$D$5:$D$804,$D688,$H$5:$H$804,$H688,$B$5:$B$804,$B688)&gt;1,"Takror",""))</f>
        <v/>
      </c>
    </row>
    <row r="689" customFormat="false" ht="15" hidden="false" customHeight="false" outlineLevel="0" collapsed="false">
      <c r="A689" s="8" t="n">
        <v>685</v>
      </c>
      <c r="B689" s="13"/>
      <c r="C689" s="12"/>
      <c r="D689" s="13"/>
      <c r="E689" s="24"/>
      <c r="F689" s="12"/>
      <c r="G689" s="14" t="str">
        <f aca="false">IF(OR($D689="",$B689=""),"",INT(($B689-$D689)/365.25))</f>
        <v/>
      </c>
      <c r="H689" s="12"/>
      <c r="I689" s="12"/>
      <c r="J689" s="25"/>
      <c r="K689" s="13"/>
      <c r="L689" s="12"/>
      <c r="M689" s="14" t="str">
        <f aca="false">IF(OR($C689="",$D689="",$H689="",$B689=""),"",IF(COUNTIFS($C$5:$C$804,$C689,$D$5:$D$804,$D689,$H$5:$H$804,$H689,$B$5:$B$804,$B689)&gt;1,"Takror",""))</f>
        <v/>
      </c>
    </row>
    <row r="690" customFormat="false" ht="15" hidden="false" customHeight="false" outlineLevel="0" collapsed="false">
      <c r="A690" s="8" t="n">
        <v>686</v>
      </c>
      <c r="B690" s="13"/>
      <c r="C690" s="12"/>
      <c r="D690" s="13"/>
      <c r="E690" s="24"/>
      <c r="F690" s="12"/>
      <c r="G690" s="14" t="str">
        <f aca="false">IF(OR($D690="",$B690=""),"",INT(($B690-$D690)/365.25))</f>
        <v/>
      </c>
      <c r="H690" s="12"/>
      <c r="I690" s="12"/>
      <c r="J690" s="25"/>
      <c r="K690" s="13"/>
      <c r="L690" s="12"/>
      <c r="M690" s="14" t="str">
        <f aca="false">IF(OR($C690="",$D690="",$H690="",$B690=""),"",IF(COUNTIFS($C$5:$C$804,$C690,$D$5:$D$804,$D690,$H$5:$H$804,$H690,$B$5:$B$804,$B690)&gt;1,"Takror",""))</f>
        <v/>
      </c>
    </row>
    <row r="691" customFormat="false" ht="15" hidden="false" customHeight="false" outlineLevel="0" collapsed="false">
      <c r="A691" s="8" t="n">
        <v>687</v>
      </c>
      <c r="B691" s="13"/>
      <c r="C691" s="12"/>
      <c r="D691" s="13"/>
      <c r="E691" s="24"/>
      <c r="F691" s="12"/>
      <c r="G691" s="14" t="str">
        <f aca="false">IF(OR($D691="",$B691=""),"",INT(($B691-$D691)/365.25))</f>
        <v/>
      </c>
      <c r="H691" s="12"/>
      <c r="I691" s="12"/>
      <c r="J691" s="25"/>
      <c r="K691" s="13"/>
      <c r="L691" s="12"/>
      <c r="M691" s="14" t="str">
        <f aca="false">IF(OR($C691="",$D691="",$H691="",$B691=""),"",IF(COUNTIFS($C$5:$C$804,$C691,$D$5:$D$804,$D691,$H$5:$H$804,$H691,$B$5:$B$804,$B691)&gt;1,"Takror",""))</f>
        <v/>
      </c>
    </row>
    <row r="692" customFormat="false" ht="15" hidden="false" customHeight="false" outlineLevel="0" collapsed="false">
      <c r="A692" s="8" t="n">
        <v>688</v>
      </c>
      <c r="B692" s="13"/>
      <c r="C692" s="12"/>
      <c r="D692" s="13"/>
      <c r="E692" s="24"/>
      <c r="F692" s="12"/>
      <c r="G692" s="14" t="str">
        <f aca="false">IF(OR($D692="",$B692=""),"",INT(($B692-$D692)/365.25))</f>
        <v/>
      </c>
      <c r="H692" s="12"/>
      <c r="I692" s="12"/>
      <c r="J692" s="25"/>
      <c r="K692" s="13"/>
      <c r="L692" s="12"/>
      <c r="M692" s="14" t="str">
        <f aca="false">IF(OR($C692="",$D692="",$H692="",$B692=""),"",IF(COUNTIFS($C$5:$C$804,$C692,$D$5:$D$804,$D692,$H$5:$H$804,$H692,$B$5:$B$804,$B692)&gt;1,"Takror",""))</f>
        <v/>
      </c>
    </row>
    <row r="693" customFormat="false" ht="15" hidden="false" customHeight="false" outlineLevel="0" collapsed="false">
      <c r="A693" s="8" t="n">
        <v>689</v>
      </c>
      <c r="B693" s="13"/>
      <c r="C693" s="12"/>
      <c r="D693" s="13"/>
      <c r="E693" s="24"/>
      <c r="F693" s="12"/>
      <c r="G693" s="14" t="str">
        <f aca="false">IF(OR($D693="",$B693=""),"",INT(($B693-$D693)/365.25))</f>
        <v/>
      </c>
      <c r="H693" s="12"/>
      <c r="I693" s="12"/>
      <c r="J693" s="25"/>
      <c r="K693" s="13"/>
      <c r="L693" s="12"/>
      <c r="M693" s="14" t="str">
        <f aca="false">IF(OR($C693="",$D693="",$H693="",$B693=""),"",IF(COUNTIFS($C$5:$C$804,$C693,$D$5:$D$804,$D693,$H$5:$H$804,$H693,$B$5:$B$804,$B693)&gt;1,"Takror",""))</f>
        <v/>
      </c>
    </row>
    <row r="694" customFormat="false" ht="15" hidden="false" customHeight="false" outlineLevel="0" collapsed="false">
      <c r="A694" s="8" t="n">
        <v>690</v>
      </c>
      <c r="B694" s="13"/>
      <c r="C694" s="12"/>
      <c r="D694" s="13"/>
      <c r="E694" s="24"/>
      <c r="F694" s="12"/>
      <c r="G694" s="14" t="str">
        <f aca="false">IF(OR($D694="",$B694=""),"",INT(($B694-$D694)/365.25))</f>
        <v/>
      </c>
      <c r="H694" s="12"/>
      <c r="I694" s="12"/>
      <c r="J694" s="25"/>
      <c r="K694" s="13"/>
      <c r="L694" s="12"/>
      <c r="M694" s="14" t="str">
        <f aca="false">IF(OR($C694="",$D694="",$H694="",$B694=""),"",IF(COUNTIFS($C$5:$C$804,$C694,$D$5:$D$804,$D694,$H$5:$H$804,$H694,$B$5:$B$804,$B694)&gt;1,"Takror",""))</f>
        <v/>
      </c>
    </row>
    <row r="695" customFormat="false" ht="15" hidden="false" customHeight="false" outlineLevel="0" collapsed="false">
      <c r="A695" s="8" t="n">
        <v>691</v>
      </c>
      <c r="B695" s="13"/>
      <c r="C695" s="12"/>
      <c r="D695" s="13"/>
      <c r="E695" s="24"/>
      <c r="F695" s="12"/>
      <c r="G695" s="14" t="str">
        <f aca="false">IF(OR($D695="",$B695=""),"",INT(($B695-$D695)/365.25))</f>
        <v/>
      </c>
      <c r="H695" s="12"/>
      <c r="I695" s="12"/>
      <c r="J695" s="25"/>
      <c r="K695" s="13"/>
      <c r="L695" s="12"/>
      <c r="M695" s="14" t="str">
        <f aca="false">IF(OR($C695="",$D695="",$H695="",$B695=""),"",IF(COUNTIFS($C$5:$C$804,$C695,$D$5:$D$804,$D695,$H$5:$H$804,$H695,$B$5:$B$804,$B695)&gt;1,"Takror",""))</f>
        <v/>
      </c>
    </row>
    <row r="696" customFormat="false" ht="15" hidden="false" customHeight="false" outlineLevel="0" collapsed="false">
      <c r="A696" s="8" t="n">
        <v>692</v>
      </c>
      <c r="B696" s="13"/>
      <c r="C696" s="12"/>
      <c r="D696" s="13"/>
      <c r="E696" s="24"/>
      <c r="F696" s="12"/>
      <c r="G696" s="14" t="str">
        <f aca="false">IF(OR($D696="",$B696=""),"",INT(($B696-$D696)/365.25))</f>
        <v/>
      </c>
      <c r="H696" s="12"/>
      <c r="I696" s="12"/>
      <c r="J696" s="25"/>
      <c r="K696" s="13"/>
      <c r="L696" s="12"/>
      <c r="M696" s="14" t="str">
        <f aca="false">IF(OR($C696="",$D696="",$H696="",$B696=""),"",IF(COUNTIFS($C$5:$C$804,$C696,$D$5:$D$804,$D696,$H$5:$H$804,$H696,$B$5:$B$804,$B696)&gt;1,"Takror",""))</f>
        <v/>
      </c>
    </row>
    <row r="697" customFormat="false" ht="15" hidden="false" customHeight="false" outlineLevel="0" collapsed="false">
      <c r="A697" s="8" t="n">
        <v>693</v>
      </c>
      <c r="B697" s="13"/>
      <c r="C697" s="12"/>
      <c r="D697" s="13"/>
      <c r="E697" s="24"/>
      <c r="F697" s="12"/>
      <c r="G697" s="14" t="str">
        <f aca="false">IF(OR($D697="",$B697=""),"",INT(($B697-$D697)/365.25))</f>
        <v/>
      </c>
      <c r="H697" s="12"/>
      <c r="I697" s="12"/>
      <c r="J697" s="25"/>
      <c r="K697" s="13"/>
      <c r="L697" s="12"/>
      <c r="M697" s="14" t="str">
        <f aca="false">IF(OR($C697="",$D697="",$H697="",$B697=""),"",IF(COUNTIFS($C$5:$C$804,$C697,$D$5:$D$804,$D697,$H$5:$H$804,$H697,$B$5:$B$804,$B697)&gt;1,"Takror",""))</f>
        <v/>
      </c>
    </row>
    <row r="698" customFormat="false" ht="15" hidden="false" customHeight="false" outlineLevel="0" collapsed="false">
      <c r="A698" s="8" t="n">
        <v>694</v>
      </c>
      <c r="B698" s="13"/>
      <c r="C698" s="12"/>
      <c r="D698" s="13"/>
      <c r="E698" s="24"/>
      <c r="F698" s="12"/>
      <c r="G698" s="14" t="str">
        <f aca="false">IF(OR($D698="",$B698=""),"",INT(($B698-$D698)/365.25))</f>
        <v/>
      </c>
      <c r="H698" s="12"/>
      <c r="I698" s="12"/>
      <c r="J698" s="25"/>
      <c r="K698" s="13"/>
      <c r="L698" s="12"/>
      <c r="M698" s="14" t="str">
        <f aca="false">IF(OR($C698="",$D698="",$H698="",$B698=""),"",IF(COUNTIFS($C$5:$C$804,$C698,$D$5:$D$804,$D698,$H$5:$H$804,$H698,$B$5:$B$804,$B698)&gt;1,"Takror",""))</f>
        <v/>
      </c>
    </row>
    <row r="699" customFormat="false" ht="15" hidden="false" customHeight="false" outlineLevel="0" collapsed="false">
      <c r="A699" s="8" t="n">
        <v>695</v>
      </c>
      <c r="B699" s="13"/>
      <c r="C699" s="12"/>
      <c r="D699" s="13"/>
      <c r="E699" s="24"/>
      <c r="F699" s="12"/>
      <c r="G699" s="14" t="str">
        <f aca="false">IF(OR($D699="",$B699=""),"",INT(($B699-$D699)/365.25))</f>
        <v/>
      </c>
      <c r="H699" s="12"/>
      <c r="I699" s="12"/>
      <c r="J699" s="25"/>
      <c r="K699" s="13"/>
      <c r="L699" s="12"/>
      <c r="M699" s="14" t="str">
        <f aca="false">IF(OR($C699="",$D699="",$H699="",$B699=""),"",IF(COUNTIFS($C$5:$C$804,$C699,$D$5:$D$804,$D699,$H$5:$H$804,$H699,$B$5:$B$804,$B699)&gt;1,"Takror",""))</f>
        <v/>
      </c>
    </row>
    <row r="700" customFormat="false" ht="15" hidden="false" customHeight="false" outlineLevel="0" collapsed="false">
      <c r="A700" s="8" t="n">
        <v>696</v>
      </c>
      <c r="B700" s="13"/>
      <c r="C700" s="12"/>
      <c r="D700" s="13"/>
      <c r="E700" s="24"/>
      <c r="F700" s="12"/>
      <c r="G700" s="14" t="str">
        <f aca="false">IF(OR($D700="",$B700=""),"",INT(($B700-$D700)/365.25))</f>
        <v/>
      </c>
      <c r="H700" s="12"/>
      <c r="I700" s="12"/>
      <c r="J700" s="25"/>
      <c r="K700" s="13"/>
      <c r="L700" s="12"/>
      <c r="M700" s="14" t="str">
        <f aca="false">IF(OR($C700="",$D700="",$H700="",$B700=""),"",IF(COUNTIFS($C$5:$C$804,$C700,$D$5:$D$804,$D700,$H$5:$H$804,$H700,$B$5:$B$804,$B700)&gt;1,"Takror",""))</f>
        <v/>
      </c>
    </row>
    <row r="701" customFormat="false" ht="15" hidden="false" customHeight="false" outlineLevel="0" collapsed="false">
      <c r="A701" s="8" t="n">
        <v>697</v>
      </c>
      <c r="B701" s="13"/>
      <c r="C701" s="12"/>
      <c r="D701" s="13"/>
      <c r="E701" s="24"/>
      <c r="F701" s="12"/>
      <c r="G701" s="14" t="str">
        <f aca="false">IF(OR($D701="",$B701=""),"",INT(($B701-$D701)/365.25))</f>
        <v/>
      </c>
      <c r="H701" s="12"/>
      <c r="I701" s="12"/>
      <c r="J701" s="25"/>
      <c r="K701" s="13"/>
      <c r="L701" s="12"/>
      <c r="M701" s="14" t="str">
        <f aca="false">IF(OR($C701="",$D701="",$H701="",$B701=""),"",IF(COUNTIFS($C$5:$C$804,$C701,$D$5:$D$804,$D701,$H$5:$H$804,$H701,$B$5:$B$804,$B701)&gt;1,"Takror",""))</f>
        <v/>
      </c>
    </row>
    <row r="702" customFormat="false" ht="15" hidden="false" customHeight="false" outlineLevel="0" collapsed="false">
      <c r="A702" s="8" t="n">
        <v>698</v>
      </c>
      <c r="B702" s="13"/>
      <c r="C702" s="12"/>
      <c r="D702" s="13"/>
      <c r="E702" s="24"/>
      <c r="F702" s="12"/>
      <c r="G702" s="14" t="str">
        <f aca="false">IF(OR($D702="",$B702=""),"",INT(($B702-$D702)/365.25))</f>
        <v/>
      </c>
      <c r="H702" s="12"/>
      <c r="I702" s="12"/>
      <c r="J702" s="25"/>
      <c r="K702" s="13"/>
      <c r="L702" s="12"/>
      <c r="M702" s="14" t="str">
        <f aca="false">IF(OR($C702="",$D702="",$H702="",$B702=""),"",IF(COUNTIFS($C$5:$C$804,$C702,$D$5:$D$804,$D702,$H$5:$H$804,$H702,$B$5:$B$804,$B702)&gt;1,"Takror",""))</f>
        <v/>
      </c>
    </row>
    <row r="703" customFormat="false" ht="15" hidden="false" customHeight="false" outlineLevel="0" collapsed="false">
      <c r="A703" s="8" t="n">
        <v>699</v>
      </c>
      <c r="B703" s="13"/>
      <c r="C703" s="12"/>
      <c r="D703" s="13"/>
      <c r="E703" s="24"/>
      <c r="F703" s="12"/>
      <c r="G703" s="14" t="str">
        <f aca="false">IF(OR($D703="",$B703=""),"",INT(($B703-$D703)/365.25))</f>
        <v/>
      </c>
      <c r="H703" s="12"/>
      <c r="I703" s="12"/>
      <c r="J703" s="25"/>
      <c r="K703" s="13"/>
      <c r="L703" s="12"/>
      <c r="M703" s="14" t="str">
        <f aca="false">IF(OR($C703="",$D703="",$H703="",$B703=""),"",IF(COUNTIFS($C$5:$C$804,$C703,$D$5:$D$804,$D703,$H$5:$H$804,$H703,$B$5:$B$804,$B703)&gt;1,"Takror",""))</f>
        <v/>
      </c>
    </row>
    <row r="704" customFormat="false" ht="15" hidden="false" customHeight="false" outlineLevel="0" collapsed="false">
      <c r="A704" s="8" t="n">
        <v>700</v>
      </c>
      <c r="B704" s="13"/>
      <c r="C704" s="12"/>
      <c r="D704" s="13"/>
      <c r="E704" s="24"/>
      <c r="F704" s="12"/>
      <c r="G704" s="14" t="str">
        <f aca="false">IF(OR($D704="",$B704=""),"",INT(($B704-$D704)/365.25))</f>
        <v/>
      </c>
      <c r="H704" s="12"/>
      <c r="I704" s="12"/>
      <c r="J704" s="25"/>
      <c r="K704" s="13"/>
      <c r="L704" s="12"/>
      <c r="M704" s="14" t="str">
        <f aca="false">IF(OR($C704="",$D704="",$H704="",$B704=""),"",IF(COUNTIFS($C$5:$C$804,$C704,$D$5:$D$804,$D704,$H$5:$H$804,$H704,$B$5:$B$804,$B704)&gt;1,"Takror",""))</f>
        <v/>
      </c>
    </row>
    <row r="705" customFormat="false" ht="15" hidden="false" customHeight="false" outlineLevel="0" collapsed="false">
      <c r="A705" s="8" t="n">
        <v>701</v>
      </c>
      <c r="B705" s="13"/>
      <c r="C705" s="12"/>
      <c r="D705" s="13"/>
      <c r="E705" s="24"/>
      <c r="F705" s="12"/>
      <c r="G705" s="14" t="str">
        <f aca="false">IF(OR($D705="",$B705=""),"",INT(($B705-$D705)/365.25))</f>
        <v/>
      </c>
      <c r="H705" s="12"/>
      <c r="I705" s="12"/>
      <c r="J705" s="25"/>
      <c r="K705" s="13"/>
      <c r="L705" s="12"/>
      <c r="M705" s="14" t="str">
        <f aca="false">IF(OR($C705="",$D705="",$H705="",$B705=""),"",IF(COUNTIFS($C$5:$C$804,$C705,$D$5:$D$804,$D705,$H$5:$H$804,$H705,$B$5:$B$804,$B705)&gt;1,"Takror",""))</f>
        <v/>
      </c>
    </row>
    <row r="706" customFormat="false" ht="15" hidden="false" customHeight="false" outlineLevel="0" collapsed="false">
      <c r="A706" s="8" t="n">
        <v>702</v>
      </c>
      <c r="B706" s="13"/>
      <c r="C706" s="12"/>
      <c r="D706" s="13"/>
      <c r="E706" s="24"/>
      <c r="F706" s="12"/>
      <c r="G706" s="14" t="str">
        <f aca="false">IF(OR($D706="",$B706=""),"",INT(($B706-$D706)/365.25))</f>
        <v/>
      </c>
      <c r="H706" s="12"/>
      <c r="I706" s="12"/>
      <c r="J706" s="25"/>
      <c r="K706" s="13"/>
      <c r="L706" s="12"/>
      <c r="M706" s="14" t="str">
        <f aca="false">IF(OR($C706="",$D706="",$H706="",$B706=""),"",IF(COUNTIFS($C$5:$C$804,$C706,$D$5:$D$804,$D706,$H$5:$H$804,$H706,$B$5:$B$804,$B706)&gt;1,"Takror",""))</f>
        <v/>
      </c>
    </row>
    <row r="707" customFormat="false" ht="15" hidden="false" customHeight="false" outlineLevel="0" collapsed="false">
      <c r="A707" s="8" t="n">
        <v>703</v>
      </c>
      <c r="B707" s="13"/>
      <c r="C707" s="12"/>
      <c r="D707" s="13"/>
      <c r="E707" s="24"/>
      <c r="F707" s="12"/>
      <c r="G707" s="14" t="str">
        <f aca="false">IF(OR($D707="",$B707=""),"",INT(($B707-$D707)/365.25))</f>
        <v/>
      </c>
      <c r="H707" s="12"/>
      <c r="I707" s="12"/>
      <c r="J707" s="25"/>
      <c r="K707" s="13"/>
      <c r="L707" s="12"/>
      <c r="M707" s="14" t="str">
        <f aca="false">IF(OR($C707="",$D707="",$H707="",$B707=""),"",IF(COUNTIFS($C$5:$C$804,$C707,$D$5:$D$804,$D707,$H$5:$H$804,$H707,$B$5:$B$804,$B707)&gt;1,"Takror",""))</f>
        <v/>
      </c>
    </row>
    <row r="708" customFormat="false" ht="15" hidden="false" customHeight="false" outlineLevel="0" collapsed="false">
      <c r="A708" s="8" t="n">
        <v>704</v>
      </c>
      <c r="B708" s="13"/>
      <c r="C708" s="12"/>
      <c r="D708" s="13"/>
      <c r="E708" s="24"/>
      <c r="F708" s="12"/>
      <c r="G708" s="14" t="str">
        <f aca="false">IF(OR($D708="",$B708=""),"",INT(($B708-$D708)/365.25))</f>
        <v/>
      </c>
      <c r="H708" s="12"/>
      <c r="I708" s="12"/>
      <c r="J708" s="25"/>
      <c r="K708" s="13"/>
      <c r="L708" s="12"/>
      <c r="M708" s="14" t="str">
        <f aca="false">IF(OR($C708="",$D708="",$H708="",$B708=""),"",IF(COUNTIFS($C$5:$C$804,$C708,$D$5:$D$804,$D708,$H$5:$H$804,$H708,$B$5:$B$804,$B708)&gt;1,"Takror",""))</f>
        <v/>
      </c>
    </row>
    <row r="709" customFormat="false" ht="15" hidden="false" customHeight="false" outlineLevel="0" collapsed="false">
      <c r="A709" s="8" t="n">
        <v>705</v>
      </c>
      <c r="B709" s="13"/>
      <c r="C709" s="12"/>
      <c r="D709" s="13"/>
      <c r="E709" s="24"/>
      <c r="F709" s="12"/>
      <c r="G709" s="14" t="str">
        <f aca="false">IF(OR($D709="",$B709=""),"",INT(($B709-$D709)/365.25))</f>
        <v/>
      </c>
      <c r="H709" s="12"/>
      <c r="I709" s="12"/>
      <c r="J709" s="25"/>
      <c r="K709" s="13"/>
      <c r="L709" s="12"/>
      <c r="M709" s="14" t="str">
        <f aca="false">IF(OR($C709="",$D709="",$H709="",$B709=""),"",IF(COUNTIFS($C$5:$C$804,$C709,$D$5:$D$804,$D709,$H$5:$H$804,$H709,$B$5:$B$804,$B709)&gt;1,"Takror",""))</f>
        <v/>
      </c>
    </row>
    <row r="710" customFormat="false" ht="15" hidden="false" customHeight="false" outlineLevel="0" collapsed="false">
      <c r="A710" s="8" t="n">
        <v>706</v>
      </c>
      <c r="B710" s="13"/>
      <c r="C710" s="12"/>
      <c r="D710" s="13"/>
      <c r="E710" s="24"/>
      <c r="F710" s="12"/>
      <c r="G710" s="14" t="str">
        <f aca="false">IF(OR($D710="",$B710=""),"",INT(($B710-$D710)/365.25))</f>
        <v/>
      </c>
      <c r="H710" s="12"/>
      <c r="I710" s="12"/>
      <c r="J710" s="25"/>
      <c r="K710" s="13"/>
      <c r="L710" s="12"/>
      <c r="M710" s="14" t="str">
        <f aca="false">IF(OR($C710="",$D710="",$H710="",$B710=""),"",IF(COUNTIFS($C$5:$C$804,$C710,$D$5:$D$804,$D710,$H$5:$H$804,$H710,$B$5:$B$804,$B710)&gt;1,"Takror",""))</f>
        <v/>
      </c>
    </row>
    <row r="711" customFormat="false" ht="15" hidden="false" customHeight="false" outlineLevel="0" collapsed="false">
      <c r="A711" s="8" t="n">
        <v>707</v>
      </c>
      <c r="B711" s="13"/>
      <c r="C711" s="12"/>
      <c r="D711" s="13"/>
      <c r="E711" s="24"/>
      <c r="F711" s="12"/>
      <c r="G711" s="14" t="str">
        <f aca="false">IF(OR($D711="",$B711=""),"",INT(($B711-$D711)/365.25))</f>
        <v/>
      </c>
      <c r="H711" s="12"/>
      <c r="I711" s="12"/>
      <c r="J711" s="25"/>
      <c r="K711" s="13"/>
      <c r="L711" s="12"/>
      <c r="M711" s="14" t="str">
        <f aca="false">IF(OR($C711="",$D711="",$H711="",$B711=""),"",IF(COUNTIFS($C$5:$C$804,$C711,$D$5:$D$804,$D711,$H$5:$H$804,$H711,$B$5:$B$804,$B711)&gt;1,"Takror",""))</f>
        <v/>
      </c>
    </row>
    <row r="712" customFormat="false" ht="15" hidden="false" customHeight="false" outlineLevel="0" collapsed="false">
      <c r="A712" s="8" t="n">
        <v>708</v>
      </c>
      <c r="B712" s="13"/>
      <c r="C712" s="12"/>
      <c r="D712" s="13"/>
      <c r="E712" s="24"/>
      <c r="F712" s="12"/>
      <c r="G712" s="14" t="str">
        <f aca="false">IF(OR($D712="",$B712=""),"",INT(($B712-$D712)/365.25))</f>
        <v/>
      </c>
      <c r="H712" s="12"/>
      <c r="I712" s="12"/>
      <c r="J712" s="25"/>
      <c r="K712" s="13"/>
      <c r="L712" s="12"/>
      <c r="M712" s="14" t="str">
        <f aca="false">IF(OR($C712="",$D712="",$H712="",$B712=""),"",IF(COUNTIFS($C$5:$C$804,$C712,$D$5:$D$804,$D712,$H$5:$H$804,$H712,$B$5:$B$804,$B712)&gt;1,"Takror",""))</f>
        <v/>
      </c>
    </row>
    <row r="713" customFormat="false" ht="15" hidden="false" customHeight="false" outlineLevel="0" collapsed="false">
      <c r="A713" s="8" t="n">
        <v>709</v>
      </c>
      <c r="B713" s="13"/>
      <c r="C713" s="12"/>
      <c r="D713" s="13"/>
      <c r="E713" s="24"/>
      <c r="F713" s="12"/>
      <c r="G713" s="14" t="str">
        <f aca="false">IF(OR($D713="",$B713=""),"",INT(($B713-$D713)/365.25))</f>
        <v/>
      </c>
      <c r="H713" s="12"/>
      <c r="I713" s="12"/>
      <c r="J713" s="25"/>
      <c r="K713" s="13"/>
      <c r="L713" s="12"/>
      <c r="M713" s="14" t="str">
        <f aca="false">IF(OR($C713="",$D713="",$H713="",$B713=""),"",IF(COUNTIFS($C$5:$C$804,$C713,$D$5:$D$804,$D713,$H$5:$H$804,$H713,$B$5:$B$804,$B713)&gt;1,"Takror",""))</f>
        <v/>
      </c>
    </row>
    <row r="714" customFormat="false" ht="15" hidden="false" customHeight="false" outlineLevel="0" collapsed="false">
      <c r="A714" s="8" t="n">
        <v>710</v>
      </c>
      <c r="B714" s="13"/>
      <c r="C714" s="12"/>
      <c r="D714" s="13"/>
      <c r="E714" s="24"/>
      <c r="F714" s="12"/>
      <c r="G714" s="14" t="str">
        <f aca="false">IF(OR($D714="",$B714=""),"",INT(($B714-$D714)/365.25))</f>
        <v/>
      </c>
      <c r="H714" s="12"/>
      <c r="I714" s="12"/>
      <c r="J714" s="25"/>
      <c r="K714" s="13"/>
      <c r="L714" s="12"/>
      <c r="M714" s="14" t="str">
        <f aca="false">IF(OR($C714="",$D714="",$H714="",$B714=""),"",IF(COUNTIFS($C$5:$C$804,$C714,$D$5:$D$804,$D714,$H$5:$H$804,$H714,$B$5:$B$804,$B714)&gt;1,"Takror",""))</f>
        <v/>
      </c>
    </row>
    <row r="715" customFormat="false" ht="15" hidden="false" customHeight="false" outlineLevel="0" collapsed="false">
      <c r="A715" s="8" t="n">
        <v>711</v>
      </c>
      <c r="B715" s="13"/>
      <c r="C715" s="12"/>
      <c r="D715" s="13"/>
      <c r="E715" s="24"/>
      <c r="F715" s="12"/>
      <c r="G715" s="14" t="str">
        <f aca="false">IF(OR($D715="",$B715=""),"",INT(($B715-$D715)/365.25))</f>
        <v/>
      </c>
      <c r="H715" s="12"/>
      <c r="I715" s="12"/>
      <c r="J715" s="25"/>
      <c r="K715" s="13"/>
      <c r="L715" s="12"/>
      <c r="M715" s="14" t="str">
        <f aca="false">IF(OR($C715="",$D715="",$H715="",$B715=""),"",IF(COUNTIFS($C$5:$C$804,$C715,$D$5:$D$804,$D715,$H$5:$H$804,$H715,$B$5:$B$804,$B715)&gt;1,"Takror",""))</f>
        <v/>
      </c>
    </row>
    <row r="716" customFormat="false" ht="15" hidden="false" customHeight="false" outlineLevel="0" collapsed="false">
      <c r="A716" s="8" t="n">
        <v>712</v>
      </c>
      <c r="B716" s="13"/>
      <c r="C716" s="12"/>
      <c r="D716" s="13"/>
      <c r="E716" s="24"/>
      <c r="F716" s="12"/>
      <c r="G716" s="14" t="str">
        <f aca="false">IF(OR($D716="",$B716=""),"",INT(($B716-$D716)/365.25))</f>
        <v/>
      </c>
      <c r="H716" s="12"/>
      <c r="I716" s="12"/>
      <c r="J716" s="25"/>
      <c r="K716" s="13"/>
      <c r="L716" s="12"/>
      <c r="M716" s="14" t="str">
        <f aca="false">IF(OR($C716="",$D716="",$H716="",$B716=""),"",IF(COUNTIFS($C$5:$C$804,$C716,$D$5:$D$804,$D716,$H$5:$H$804,$H716,$B$5:$B$804,$B716)&gt;1,"Takror",""))</f>
        <v/>
      </c>
    </row>
    <row r="717" customFormat="false" ht="15" hidden="false" customHeight="false" outlineLevel="0" collapsed="false">
      <c r="A717" s="8" t="n">
        <v>713</v>
      </c>
      <c r="B717" s="13"/>
      <c r="C717" s="12"/>
      <c r="D717" s="13"/>
      <c r="E717" s="24"/>
      <c r="F717" s="12"/>
      <c r="G717" s="14" t="str">
        <f aca="false">IF(OR($D717="",$B717=""),"",INT(($B717-$D717)/365.25))</f>
        <v/>
      </c>
      <c r="H717" s="12"/>
      <c r="I717" s="12"/>
      <c r="J717" s="25"/>
      <c r="K717" s="13"/>
      <c r="L717" s="12"/>
      <c r="M717" s="14" t="str">
        <f aca="false">IF(OR($C717="",$D717="",$H717="",$B717=""),"",IF(COUNTIFS($C$5:$C$804,$C717,$D$5:$D$804,$D717,$H$5:$H$804,$H717,$B$5:$B$804,$B717)&gt;1,"Takror",""))</f>
        <v/>
      </c>
    </row>
    <row r="718" customFormat="false" ht="15" hidden="false" customHeight="false" outlineLevel="0" collapsed="false">
      <c r="A718" s="8" t="n">
        <v>714</v>
      </c>
      <c r="B718" s="13"/>
      <c r="C718" s="12"/>
      <c r="D718" s="13"/>
      <c r="E718" s="24"/>
      <c r="F718" s="12"/>
      <c r="G718" s="14" t="str">
        <f aca="false">IF(OR($D718="",$B718=""),"",INT(($B718-$D718)/365.25))</f>
        <v/>
      </c>
      <c r="H718" s="12"/>
      <c r="I718" s="12"/>
      <c r="J718" s="25"/>
      <c r="K718" s="13"/>
      <c r="L718" s="12"/>
      <c r="M718" s="14" t="str">
        <f aca="false">IF(OR($C718="",$D718="",$H718="",$B718=""),"",IF(COUNTIFS($C$5:$C$804,$C718,$D$5:$D$804,$D718,$H$5:$H$804,$H718,$B$5:$B$804,$B718)&gt;1,"Takror",""))</f>
        <v/>
      </c>
    </row>
    <row r="719" customFormat="false" ht="15" hidden="false" customHeight="false" outlineLevel="0" collapsed="false">
      <c r="A719" s="8" t="n">
        <v>715</v>
      </c>
      <c r="B719" s="13"/>
      <c r="C719" s="12"/>
      <c r="D719" s="13"/>
      <c r="E719" s="24"/>
      <c r="F719" s="12"/>
      <c r="G719" s="14" t="str">
        <f aca="false">IF(OR($D719="",$B719=""),"",INT(($B719-$D719)/365.25))</f>
        <v/>
      </c>
      <c r="H719" s="12"/>
      <c r="I719" s="12"/>
      <c r="J719" s="25"/>
      <c r="K719" s="13"/>
      <c r="L719" s="12"/>
      <c r="M719" s="14" t="str">
        <f aca="false">IF(OR($C719="",$D719="",$H719="",$B719=""),"",IF(COUNTIFS($C$5:$C$804,$C719,$D$5:$D$804,$D719,$H$5:$H$804,$H719,$B$5:$B$804,$B719)&gt;1,"Takror",""))</f>
        <v/>
      </c>
    </row>
    <row r="720" customFormat="false" ht="15" hidden="false" customHeight="false" outlineLevel="0" collapsed="false">
      <c r="A720" s="8" t="n">
        <v>716</v>
      </c>
      <c r="B720" s="13"/>
      <c r="C720" s="12"/>
      <c r="D720" s="13"/>
      <c r="E720" s="24"/>
      <c r="F720" s="12"/>
      <c r="G720" s="14" t="str">
        <f aca="false">IF(OR($D720="",$B720=""),"",INT(($B720-$D720)/365.25))</f>
        <v/>
      </c>
      <c r="H720" s="12"/>
      <c r="I720" s="12"/>
      <c r="J720" s="25"/>
      <c r="K720" s="13"/>
      <c r="L720" s="12"/>
      <c r="M720" s="14" t="str">
        <f aca="false">IF(OR($C720="",$D720="",$H720="",$B720=""),"",IF(COUNTIFS($C$5:$C$804,$C720,$D$5:$D$804,$D720,$H$5:$H$804,$H720,$B$5:$B$804,$B720)&gt;1,"Takror",""))</f>
        <v/>
      </c>
    </row>
    <row r="721" customFormat="false" ht="15" hidden="false" customHeight="false" outlineLevel="0" collapsed="false">
      <c r="A721" s="8" t="n">
        <v>717</v>
      </c>
      <c r="B721" s="13"/>
      <c r="C721" s="12"/>
      <c r="D721" s="13"/>
      <c r="E721" s="24"/>
      <c r="F721" s="12"/>
      <c r="G721" s="14" t="str">
        <f aca="false">IF(OR($D721="",$B721=""),"",INT(($B721-$D721)/365.25))</f>
        <v/>
      </c>
      <c r="H721" s="12"/>
      <c r="I721" s="12"/>
      <c r="J721" s="25"/>
      <c r="K721" s="13"/>
      <c r="L721" s="12"/>
      <c r="M721" s="14" t="str">
        <f aca="false">IF(OR($C721="",$D721="",$H721="",$B721=""),"",IF(COUNTIFS($C$5:$C$804,$C721,$D$5:$D$804,$D721,$H$5:$H$804,$H721,$B$5:$B$804,$B721)&gt;1,"Takror",""))</f>
        <v/>
      </c>
    </row>
    <row r="722" customFormat="false" ht="15" hidden="false" customHeight="false" outlineLevel="0" collapsed="false">
      <c r="A722" s="8" t="n">
        <v>718</v>
      </c>
      <c r="B722" s="13"/>
      <c r="C722" s="12"/>
      <c r="D722" s="13"/>
      <c r="E722" s="24"/>
      <c r="F722" s="12"/>
      <c r="G722" s="14" t="str">
        <f aca="false">IF(OR($D722="",$B722=""),"",INT(($B722-$D722)/365.25))</f>
        <v/>
      </c>
      <c r="H722" s="12"/>
      <c r="I722" s="12"/>
      <c r="J722" s="25"/>
      <c r="K722" s="13"/>
      <c r="L722" s="12"/>
      <c r="M722" s="14" t="str">
        <f aca="false">IF(OR($C722="",$D722="",$H722="",$B722=""),"",IF(COUNTIFS($C$5:$C$804,$C722,$D$5:$D$804,$D722,$H$5:$H$804,$H722,$B$5:$B$804,$B722)&gt;1,"Takror",""))</f>
        <v/>
      </c>
    </row>
    <row r="723" customFormat="false" ht="15" hidden="false" customHeight="false" outlineLevel="0" collapsed="false">
      <c r="A723" s="8" t="n">
        <v>719</v>
      </c>
      <c r="B723" s="13"/>
      <c r="C723" s="12"/>
      <c r="D723" s="13"/>
      <c r="E723" s="24"/>
      <c r="F723" s="12"/>
      <c r="G723" s="14" t="str">
        <f aca="false">IF(OR($D723="",$B723=""),"",INT(($B723-$D723)/365.25))</f>
        <v/>
      </c>
      <c r="H723" s="12"/>
      <c r="I723" s="12"/>
      <c r="J723" s="25"/>
      <c r="K723" s="13"/>
      <c r="L723" s="12"/>
      <c r="M723" s="14" t="str">
        <f aca="false">IF(OR($C723="",$D723="",$H723="",$B723=""),"",IF(COUNTIFS($C$5:$C$804,$C723,$D$5:$D$804,$D723,$H$5:$H$804,$H723,$B$5:$B$804,$B723)&gt;1,"Takror",""))</f>
        <v/>
      </c>
    </row>
    <row r="724" customFormat="false" ht="15" hidden="false" customHeight="false" outlineLevel="0" collapsed="false">
      <c r="A724" s="8" t="n">
        <v>720</v>
      </c>
      <c r="B724" s="13"/>
      <c r="C724" s="12"/>
      <c r="D724" s="13"/>
      <c r="E724" s="24"/>
      <c r="F724" s="12"/>
      <c r="G724" s="14" t="str">
        <f aca="false">IF(OR($D724="",$B724=""),"",INT(($B724-$D724)/365.25))</f>
        <v/>
      </c>
      <c r="H724" s="12"/>
      <c r="I724" s="12"/>
      <c r="J724" s="25"/>
      <c r="K724" s="13"/>
      <c r="L724" s="12"/>
      <c r="M724" s="14" t="str">
        <f aca="false">IF(OR($C724="",$D724="",$H724="",$B724=""),"",IF(COUNTIFS($C$5:$C$804,$C724,$D$5:$D$804,$D724,$H$5:$H$804,$H724,$B$5:$B$804,$B724)&gt;1,"Takror",""))</f>
        <v/>
      </c>
    </row>
    <row r="725" customFormat="false" ht="15" hidden="false" customHeight="false" outlineLevel="0" collapsed="false">
      <c r="A725" s="8" t="n">
        <v>721</v>
      </c>
      <c r="B725" s="13"/>
      <c r="C725" s="12"/>
      <c r="D725" s="13"/>
      <c r="E725" s="24"/>
      <c r="F725" s="12"/>
      <c r="G725" s="14" t="str">
        <f aca="false">IF(OR($D725="",$B725=""),"",INT(($B725-$D725)/365.25))</f>
        <v/>
      </c>
      <c r="H725" s="12"/>
      <c r="I725" s="12"/>
      <c r="J725" s="25"/>
      <c r="K725" s="13"/>
      <c r="L725" s="12"/>
      <c r="M725" s="14" t="str">
        <f aca="false">IF(OR($C725="",$D725="",$H725="",$B725=""),"",IF(COUNTIFS($C$5:$C$804,$C725,$D$5:$D$804,$D725,$H$5:$H$804,$H725,$B$5:$B$804,$B725)&gt;1,"Takror",""))</f>
        <v/>
      </c>
    </row>
    <row r="726" customFormat="false" ht="15" hidden="false" customHeight="false" outlineLevel="0" collapsed="false">
      <c r="A726" s="8" t="n">
        <v>722</v>
      </c>
      <c r="B726" s="13"/>
      <c r="C726" s="12"/>
      <c r="D726" s="13"/>
      <c r="E726" s="24"/>
      <c r="F726" s="12"/>
      <c r="G726" s="14" t="str">
        <f aca="false">IF(OR($D726="",$B726=""),"",INT(($B726-$D726)/365.25))</f>
        <v/>
      </c>
      <c r="H726" s="12"/>
      <c r="I726" s="12"/>
      <c r="J726" s="25"/>
      <c r="K726" s="13"/>
      <c r="L726" s="12"/>
      <c r="M726" s="14" t="str">
        <f aca="false">IF(OR($C726="",$D726="",$H726="",$B726=""),"",IF(COUNTIFS($C$5:$C$804,$C726,$D$5:$D$804,$D726,$H$5:$H$804,$H726,$B$5:$B$804,$B726)&gt;1,"Takror",""))</f>
        <v/>
      </c>
    </row>
    <row r="727" customFormat="false" ht="15" hidden="false" customHeight="false" outlineLevel="0" collapsed="false">
      <c r="A727" s="8" t="n">
        <v>723</v>
      </c>
      <c r="B727" s="13"/>
      <c r="C727" s="12"/>
      <c r="D727" s="13"/>
      <c r="E727" s="24"/>
      <c r="F727" s="12"/>
      <c r="G727" s="14" t="str">
        <f aca="false">IF(OR($D727="",$B727=""),"",INT(($B727-$D727)/365.25))</f>
        <v/>
      </c>
      <c r="H727" s="12"/>
      <c r="I727" s="12"/>
      <c r="J727" s="25"/>
      <c r="K727" s="13"/>
      <c r="L727" s="12"/>
      <c r="M727" s="14" t="str">
        <f aca="false">IF(OR($C727="",$D727="",$H727="",$B727=""),"",IF(COUNTIFS($C$5:$C$804,$C727,$D$5:$D$804,$D727,$H$5:$H$804,$H727,$B$5:$B$804,$B727)&gt;1,"Takror",""))</f>
        <v/>
      </c>
    </row>
    <row r="728" customFormat="false" ht="15" hidden="false" customHeight="false" outlineLevel="0" collapsed="false">
      <c r="A728" s="8" t="n">
        <v>724</v>
      </c>
      <c r="B728" s="13"/>
      <c r="C728" s="12"/>
      <c r="D728" s="13"/>
      <c r="E728" s="24"/>
      <c r="F728" s="12"/>
      <c r="G728" s="14" t="str">
        <f aca="false">IF(OR($D728="",$B728=""),"",INT(($B728-$D728)/365.25))</f>
        <v/>
      </c>
      <c r="H728" s="12"/>
      <c r="I728" s="12"/>
      <c r="J728" s="25"/>
      <c r="K728" s="13"/>
      <c r="L728" s="12"/>
      <c r="M728" s="14" t="str">
        <f aca="false">IF(OR($C728="",$D728="",$H728="",$B728=""),"",IF(COUNTIFS($C$5:$C$804,$C728,$D$5:$D$804,$D728,$H$5:$H$804,$H728,$B$5:$B$804,$B728)&gt;1,"Takror",""))</f>
        <v/>
      </c>
    </row>
    <row r="729" customFormat="false" ht="15" hidden="false" customHeight="false" outlineLevel="0" collapsed="false">
      <c r="A729" s="8" t="n">
        <v>725</v>
      </c>
      <c r="B729" s="13"/>
      <c r="C729" s="12"/>
      <c r="D729" s="13"/>
      <c r="E729" s="24"/>
      <c r="F729" s="12"/>
      <c r="G729" s="14" t="str">
        <f aca="false">IF(OR($D729="",$B729=""),"",INT(($B729-$D729)/365.25))</f>
        <v/>
      </c>
      <c r="H729" s="12"/>
      <c r="I729" s="12"/>
      <c r="J729" s="25"/>
      <c r="K729" s="13"/>
      <c r="L729" s="12"/>
      <c r="M729" s="14" t="str">
        <f aca="false">IF(OR($C729="",$D729="",$H729="",$B729=""),"",IF(COUNTIFS($C$5:$C$804,$C729,$D$5:$D$804,$D729,$H$5:$H$804,$H729,$B$5:$B$804,$B729)&gt;1,"Takror",""))</f>
        <v/>
      </c>
    </row>
    <row r="730" customFormat="false" ht="15" hidden="false" customHeight="false" outlineLevel="0" collapsed="false">
      <c r="A730" s="8" t="n">
        <v>726</v>
      </c>
      <c r="B730" s="13"/>
      <c r="C730" s="12"/>
      <c r="D730" s="13"/>
      <c r="E730" s="24"/>
      <c r="F730" s="12"/>
      <c r="G730" s="14" t="str">
        <f aca="false">IF(OR($D730="",$B730=""),"",INT(($B730-$D730)/365.25))</f>
        <v/>
      </c>
      <c r="H730" s="12"/>
      <c r="I730" s="12"/>
      <c r="J730" s="25"/>
      <c r="K730" s="13"/>
      <c r="L730" s="12"/>
      <c r="M730" s="14" t="str">
        <f aca="false">IF(OR($C730="",$D730="",$H730="",$B730=""),"",IF(COUNTIFS($C$5:$C$804,$C730,$D$5:$D$804,$D730,$H$5:$H$804,$H730,$B$5:$B$804,$B730)&gt;1,"Takror",""))</f>
        <v/>
      </c>
    </row>
    <row r="731" customFormat="false" ht="15" hidden="false" customHeight="false" outlineLevel="0" collapsed="false">
      <c r="A731" s="8" t="n">
        <v>727</v>
      </c>
      <c r="B731" s="13"/>
      <c r="C731" s="12"/>
      <c r="D731" s="13"/>
      <c r="E731" s="24"/>
      <c r="F731" s="12"/>
      <c r="G731" s="14" t="str">
        <f aca="false">IF(OR($D731="",$B731=""),"",INT(($B731-$D731)/365.25))</f>
        <v/>
      </c>
      <c r="H731" s="12"/>
      <c r="I731" s="12"/>
      <c r="J731" s="25"/>
      <c r="K731" s="13"/>
      <c r="L731" s="12"/>
      <c r="M731" s="14" t="str">
        <f aca="false">IF(OR($C731="",$D731="",$H731="",$B731=""),"",IF(COUNTIFS($C$5:$C$804,$C731,$D$5:$D$804,$D731,$H$5:$H$804,$H731,$B$5:$B$804,$B731)&gt;1,"Takror",""))</f>
        <v/>
      </c>
    </row>
    <row r="732" customFormat="false" ht="15" hidden="false" customHeight="false" outlineLevel="0" collapsed="false">
      <c r="A732" s="8" t="n">
        <v>728</v>
      </c>
      <c r="B732" s="13"/>
      <c r="C732" s="12"/>
      <c r="D732" s="13"/>
      <c r="E732" s="24"/>
      <c r="F732" s="12"/>
      <c r="G732" s="14" t="str">
        <f aca="false">IF(OR($D732="",$B732=""),"",INT(($B732-$D732)/365.25))</f>
        <v/>
      </c>
      <c r="H732" s="12"/>
      <c r="I732" s="12"/>
      <c r="J732" s="25"/>
      <c r="K732" s="13"/>
      <c r="L732" s="12"/>
      <c r="M732" s="14" t="str">
        <f aca="false">IF(OR($C732="",$D732="",$H732="",$B732=""),"",IF(COUNTIFS($C$5:$C$804,$C732,$D$5:$D$804,$D732,$H$5:$H$804,$H732,$B$5:$B$804,$B732)&gt;1,"Takror",""))</f>
        <v/>
      </c>
    </row>
    <row r="733" customFormat="false" ht="15" hidden="false" customHeight="false" outlineLevel="0" collapsed="false">
      <c r="A733" s="8" t="n">
        <v>729</v>
      </c>
      <c r="B733" s="13"/>
      <c r="C733" s="12"/>
      <c r="D733" s="13"/>
      <c r="E733" s="24"/>
      <c r="F733" s="12"/>
      <c r="G733" s="14" t="str">
        <f aca="false">IF(OR($D733="",$B733=""),"",INT(($B733-$D733)/365.25))</f>
        <v/>
      </c>
      <c r="H733" s="12"/>
      <c r="I733" s="12"/>
      <c r="J733" s="25"/>
      <c r="K733" s="13"/>
      <c r="L733" s="12"/>
      <c r="M733" s="14" t="str">
        <f aca="false">IF(OR($C733="",$D733="",$H733="",$B733=""),"",IF(COUNTIFS($C$5:$C$804,$C733,$D$5:$D$804,$D733,$H$5:$H$804,$H733,$B$5:$B$804,$B733)&gt;1,"Takror",""))</f>
        <v/>
      </c>
    </row>
    <row r="734" customFormat="false" ht="15" hidden="false" customHeight="false" outlineLevel="0" collapsed="false">
      <c r="A734" s="8" t="n">
        <v>730</v>
      </c>
      <c r="B734" s="13"/>
      <c r="C734" s="12"/>
      <c r="D734" s="13"/>
      <c r="E734" s="24"/>
      <c r="F734" s="12"/>
      <c r="G734" s="14" t="str">
        <f aca="false">IF(OR($D734="",$B734=""),"",INT(($B734-$D734)/365.25))</f>
        <v/>
      </c>
      <c r="H734" s="12"/>
      <c r="I734" s="12"/>
      <c r="J734" s="25"/>
      <c r="K734" s="13"/>
      <c r="L734" s="12"/>
      <c r="M734" s="14" t="str">
        <f aca="false">IF(OR($C734="",$D734="",$H734="",$B734=""),"",IF(COUNTIFS($C$5:$C$804,$C734,$D$5:$D$804,$D734,$H$5:$H$804,$H734,$B$5:$B$804,$B734)&gt;1,"Takror",""))</f>
        <v/>
      </c>
    </row>
    <row r="735" customFormat="false" ht="15" hidden="false" customHeight="false" outlineLevel="0" collapsed="false">
      <c r="A735" s="8" t="n">
        <v>731</v>
      </c>
      <c r="B735" s="13"/>
      <c r="C735" s="12"/>
      <c r="D735" s="13"/>
      <c r="E735" s="24"/>
      <c r="F735" s="12"/>
      <c r="G735" s="14" t="str">
        <f aca="false">IF(OR($D735="",$B735=""),"",INT(($B735-$D735)/365.25))</f>
        <v/>
      </c>
      <c r="H735" s="12"/>
      <c r="I735" s="12"/>
      <c r="J735" s="25"/>
      <c r="K735" s="13"/>
      <c r="L735" s="12"/>
      <c r="M735" s="14" t="str">
        <f aca="false">IF(OR($C735="",$D735="",$H735="",$B735=""),"",IF(COUNTIFS($C$5:$C$804,$C735,$D$5:$D$804,$D735,$H$5:$H$804,$H735,$B$5:$B$804,$B735)&gt;1,"Takror",""))</f>
        <v/>
      </c>
    </row>
    <row r="736" customFormat="false" ht="15" hidden="false" customHeight="false" outlineLevel="0" collapsed="false">
      <c r="A736" s="8" t="n">
        <v>732</v>
      </c>
      <c r="B736" s="13"/>
      <c r="C736" s="12"/>
      <c r="D736" s="13"/>
      <c r="E736" s="24"/>
      <c r="F736" s="12"/>
      <c r="G736" s="14" t="str">
        <f aca="false">IF(OR($D736="",$B736=""),"",INT(($B736-$D736)/365.25))</f>
        <v/>
      </c>
      <c r="H736" s="12"/>
      <c r="I736" s="12"/>
      <c r="J736" s="25"/>
      <c r="K736" s="13"/>
      <c r="L736" s="12"/>
      <c r="M736" s="14" t="str">
        <f aca="false">IF(OR($C736="",$D736="",$H736="",$B736=""),"",IF(COUNTIFS($C$5:$C$804,$C736,$D$5:$D$804,$D736,$H$5:$H$804,$H736,$B$5:$B$804,$B736)&gt;1,"Takror",""))</f>
        <v/>
      </c>
    </row>
    <row r="737" customFormat="false" ht="15" hidden="false" customHeight="false" outlineLevel="0" collapsed="false">
      <c r="A737" s="8" t="n">
        <v>733</v>
      </c>
      <c r="B737" s="13"/>
      <c r="C737" s="12"/>
      <c r="D737" s="13"/>
      <c r="E737" s="24"/>
      <c r="F737" s="12"/>
      <c r="G737" s="14" t="str">
        <f aca="false">IF(OR($D737="",$B737=""),"",INT(($B737-$D737)/365.25))</f>
        <v/>
      </c>
      <c r="H737" s="12"/>
      <c r="I737" s="12"/>
      <c r="J737" s="25"/>
      <c r="K737" s="13"/>
      <c r="L737" s="12"/>
      <c r="M737" s="14" t="str">
        <f aca="false">IF(OR($C737="",$D737="",$H737="",$B737=""),"",IF(COUNTIFS($C$5:$C$804,$C737,$D$5:$D$804,$D737,$H$5:$H$804,$H737,$B$5:$B$804,$B737)&gt;1,"Takror",""))</f>
        <v/>
      </c>
    </row>
    <row r="738" customFormat="false" ht="15" hidden="false" customHeight="false" outlineLevel="0" collapsed="false">
      <c r="A738" s="8" t="n">
        <v>734</v>
      </c>
      <c r="B738" s="13"/>
      <c r="C738" s="12"/>
      <c r="D738" s="13"/>
      <c r="E738" s="24"/>
      <c r="F738" s="12"/>
      <c r="G738" s="14" t="str">
        <f aca="false">IF(OR($D738="",$B738=""),"",INT(($B738-$D738)/365.25))</f>
        <v/>
      </c>
      <c r="H738" s="12"/>
      <c r="I738" s="12"/>
      <c r="J738" s="25"/>
      <c r="K738" s="13"/>
      <c r="L738" s="12"/>
      <c r="M738" s="14" t="str">
        <f aca="false">IF(OR($C738="",$D738="",$H738="",$B738=""),"",IF(COUNTIFS($C$5:$C$804,$C738,$D$5:$D$804,$D738,$H$5:$H$804,$H738,$B$5:$B$804,$B738)&gt;1,"Takror",""))</f>
        <v/>
      </c>
    </row>
    <row r="739" customFormat="false" ht="15" hidden="false" customHeight="false" outlineLevel="0" collapsed="false">
      <c r="A739" s="8" t="n">
        <v>735</v>
      </c>
      <c r="B739" s="13"/>
      <c r="C739" s="12"/>
      <c r="D739" s="13"/>
      <c r="E739" s="24"/>
      <c r="F739" s="12"/>
      <c r="G739" s="14" t="str">
        <f aca="false">IF(OR($D739="",$B739=""),"",INT(($B739-$D739)/365.25))</f>
        <v/>
      </c>
      <c r="H739" s="12"/>
      <c r="I739" s="12"/>
      <c r="J739" s="25"/>
      <c r="K739" s="13"/>
      <c r="L739" s="12"/>
      <c r="M739" s="14" t="str">
        <f aca="false">IF(OR($C739="",$D739="",$H739="",$B739=""),"",IF(COUNTIFS($C$5:$C$804,$C739,$D$5:$D$804,$D739,$H$5:$H$804,$H739,$B$5:$B$804,$B739)&gt;1,"Takror",""))</f>
        <v/>
      </c>
    </row>
    <row r="740" customFormat="false" ht="15" hidden="false" customHeight="false" outlineLevel="0" collapsed="false">
      <c r="A740" s="8" t="n">
        <v>736</v>
      </c>
      <c r="B740" s="13"/>
      <c r="C740" s="12"/>
      <c r="D740" s="13"/>
      <c r="E740" s="24"/>
      <c r="F740" s="12"/>
      <c r="G740" s="14" t="str">
        <f aca="false">IF(OR($D740="",$B740=""),"",INT(($B740-$D740)/365.25))</f>
        <v/>
      </c>
      <c r="H740" s="12"/>
      <c r="I740" s="12"/>
      <c r="J740" s="25"/>
      <c r="K740" s="13"/>
      <c r="L740" s="12"/>
      <c r="M740" s="14" t="str">
        <f aca="false">IF(OR($C740="",$D740="",$H740="",$B740=""),"",IF(COUNTIFS($C$5:$C$804,$C740,$D$5:$D$804,$D740,$H$5:$H$804,$H740,$B$5:$B$804,$B740)&gt;1,"Takror",""))</f>
        <v/>
      </c>
    </row>
    <row r="741" customFormat="false" ht="15" hidden="false" customHeight="false" outlineLevel="0" collapsed="false">
      <c r="A741" s="8" t="n">
        <v>737</v>
      </c>
      <c r="B741" s="13"/>
      <c r="C741" s="12"/>
      <c r="D741" s="13"/>
      <c r="E741" s="24"/>
      <c r="F741" s="12"/>
      <c r="G741" s="14" t="str">
        <f aca="false">IF(OR($D741="",$B741=""),"",INT(($B741-$D741)/365.25))</f>
        <v/>
      </c>
      <c r="H741" s="12"/>
      <c r="I741" s="12"/>
      <c r="J741" s="25"/>
      <c r="K741" s="13"/>
      <c r="L741" s="12"/>
      <c r="M741" s="14" t="str">
        <f aca="false">IF(OR($C741="",$D741="",$H741="",$B741=""),"",IF(COUNTIFS($C$5:$C$804,$C741,$D$5:$D$804,$D741,$H$5:$H$804,$H741,$B$5:$B$804,$B741)&gt;1,"Takror",""))</f>
        <v/>
      </c>
    </row>
    <row r="742" customFormat="false" ht="15" hidden="false" customHeight="false" outlineLevel="0" collapsed="false">
      <c r="A742" s="8" t="n">
        <v>738</v>
      </c>
      <c r="B742" s="13"/>
      <c r="C742" s="12"/>
      <c r="D742" s="13"/>
      <c r="E742" s="24"/>
      <c r="F742" s="12"/>
      <c r="G742" s="14" t="str">
        <f aca="false">IF(OR($D742="",$B742=""),"",INT(($B742-$D742)/365.25))</f>
        <v/>
      </c>
      <c r="H742" s="12"/>
      <c r="I742" s="12"/>
      <c r="J742" s="25"/>
      <c r="K742" s="13"/>
      <c r="L742" s="12"/>
      <c r="M742" s="14" t="str">
        <f aca="false">IF(OR($C742="",$D742="",$H742="",$B742=""),"",IF(COUNTIFS($C$5:$C$804,$C742,$D$5:$D$804,$D742,$H$5:$H$804,$H742,$B$5:$B$804,$B742)&gt;1,"Takror",""))</f>
        <v/>
      </c>
    </row>
    <row r="743" customFormat="false" ht="15" hidden="false" customHeight="false" outlineLevel="0" collapsed="false">
      <c r="A743" s="8" t="n">
        <v>739</v>
      </c>
      <c r="B743" s="13"/>
      <c r="C743" s="12"/>
      <c r="D743" s="13"/>
      <c r="E743" s="24"/>
      <c r="F743" s="12"/>
      <c r="G743" s="14" t="str">
        <f aca="false">IF(OR($D743="",$B743=""),"",INT(($B743-$D743)/365.25))</f>
        <v/>
      </c>
      <c r="H743" s="12"/>
      <c r="I743" s="12"/>
      <c r="J743" s="25"/>
      <c r="K743" s="13"/>
      <c r="L743" s="12"/>
      <c r="M743" s="14" t="str">
        <f aca="false">IF(OR($C743="",$D743="",$H743="",$B743=""),"",IF(COUNTIFS($C$5:$C$804,$C743,$D$5:$D$804,$D743,$H$5:$H$804,$H743,$B$5:$B$804,$B743)&gt;1,"Takror",""))</f>
        <v/>
      </c>
    </row>
    <row r="744" customFormat="false" ht="15" hidden="false" customHeight="false" outlineLevel="0" collapsed="false">
      <c r="A744" s="8" t="n">
        <v>740</v>
      </c>
      <c r="B744" s="13"/>
      <c r="C744" s="12"/>
      <c r="D744" s="13"/>
      <c r="E744" s="24"/>
      <c r="F744" s="12"/>
      <c r="G744" s="14" t="str">
        <f aca="false">IF(OR($D744="",$B744=""),"",INT(($B744-$D744)/365.25))</f>
        <v/>
      </c>
      <c r="H744" s="12"/>
      <c r="I744" s="12"/>
      <c r="J744" s="25"/>
      <c r="K744" s="13"/>
      <c r="L744" s="12"/>
      <c r="M744" s="14" t="str">
        <f aca="false">IF(OR($C744="",$D744="",$H744="",$B744=""),"",IF(COUNTIFS($C$5:$C$804,$C744,$D$5:$D$804,$D744,$H$5:$H$804,$H744,$B$5:$B$804,$B744)&gt;1,"Takror",""))</f>
        <v/>
      </c>
    </row>
    <row r="745" customFormat="false" ht="15" hidden="false" customHeight="false" outlineLevel="0" collapsed="false">
      <c r="A745" s="8" t="n">
        <v>741</v>
      </c>
      <c r="B745" s="13"/>
      <c r="C745" s="12"/>
      <c r="D745" s="13"/>
      <c r="E745" s="24"/>
      <c r="F745" s="12"/>
      <c r="G745" s="14" t="str">
        <f aca="false">IF(OR($D745="",$B745=""),"",INT(($B745-$D745)/365.25))</f>
        <v/>
      </c>
      <c r="H745" s="12"/>
      <c r="I745" s="12"/>
      <c r="J745" s="25"/>
      <c r="K745" s="13"/>
      <c r="L745" s="12"/>
      <c r="M745" s="14" t="str">
        <f aca="false">IF(OR($C745="",$D745="",$H745="",$B745=""),"",IF(COUNTIFS($C$5:$C$804,$C745,$D$5:$D$804,$D745,$H$5:$H$804,$H745,$B$5:$B$804,$B745)&gt;1,"Takror",""))</f>
        <v/>
      </c>
    </row>
    <row r="746" customFormat="false" ht="15" hidden="false" customHeight="false" outlineLevel="0" collapsed="false">
      <c r="A746" s="8" t="n">
        <v>742</v>
      </c>
      <c r="B746" s="13"/>
      <c r="C746" s="12"/>
      <c r="D746" s="13"/>
      <c r="E746" s="24"/>
      <c r="F746" s="12"/>
      <c r="G746" s="14" t="str">
        <f aca="false">IF(OR($D746="",$B746=""),"",INT(($B746-$D746)/365.25))</f>
        <v/>
      </c>
      <c r="H746" s="12"/>
      <c r="I746" s="12"/>
      <c r="J746" s="25"/>
      <c r="K746" s="13"/>
      <c r="L746" s="12"/>
      <c r="M746" s="14" t="str">
        <f aca="false">IF(OR($C746="",$D746="",$H746="",$B746=""),"",IF(COUNTIFS($C$5:$C$804,$C746,$D$5:$D$804,$D746,$H$5:$H$804,$H746,$B$5:$B$804,$B746)&gt;1,"Takror",""))</f>
        <v/>
      </c>
    </row>
    <row r="747" customFormat="false" ht="15" hidden="false" customHeight="false" outlineLevel="0" collapsed="false">
      <c r="A747" s="8" t="n">
        <v>743</v>
      </c>
      <c r="B747" s="13"/>
      <c r="C747" s="12"/>
      <c r="D747" s="13"/>
      <c r="E747" s="24"/>
      <c r="F747" s="12"/>
      <c r="G747" s="14" t="str">
        <f aca="false">IF(OR($D747="",$B747=""),"",INT(($B747-$D747)/365.25))</f>
        <v/>
      </c>
      <c r="H747" s="12"/>
      <c r="I747" s="12"/>
      <c r="J747" s="25"/>
      <c r="K747" s="13"/>
      <c r="L747" s="12"/>
      <c r="M747" s="14" t="str">
        <f aca="false">IF(OR($C747="",$D747="",$H747="",$B747=""),"",IF(COUNTIFS($C$5:$C$804,$C747,$D$5:$D$804,$D747,$H$5:$H$804,$H747,$B$5:$B$804,$B747)&gt;1,"Takror",""))</f>
        <v/>
      </c>
    </row>
    <row r="748" customFormat="false" ht="15" hidden="false" customHeight="false" outlineLevel="0" collapsed="false">
      <c r="A748" s="8" t="n">
        <v>744</v>
      </c>
      <c r="B748" s="13"/>
      <c r="C748" s="12"/>
      <c r="D748" s="13"/>
      <c r="E748" s="24"/>
      <c r="F748" s="12"/>
      <c r="G748" s="14" t="str">
        <f aca="false">IF(OR($D748="",$B748=""),"",INT(($B748-$D748)/365.25))</f>
        <v/>
      </c>
      <c r="H748" s="12"/>
      <c r="I748" s="12"/>
      <c r="J748" s="25"/>
      <c r="K748" s="13"/>
      <c r="L748" s="12"/>
      <c r="M748" s="14" t="str">
        <f aca="false">IF(OR($C748="",$D748="",$H748="",$B748=""),"",IF(COUNTIFS($C$5:$C$804,$C748,$D$5:$D$804,$D748,$H$5:$H$804,$H748,$B$5:$B$804,$B748)&gt;1,"Takror",""))</f>
        <v/>
      </c>
    </row>
    <row r="749" customFormat="false" ht="15" hidden="false" customHeight="false" outlineLevel="0" collapsed="false">
      <c r="A749" s="8" t="n">
        <v>745</v>
      </c>
      <c r="B749" s="13"/>
      <c r="C749" s="12"/>
      <c r="D749" s="13"/>
      <c r="E749" s="24"/>
      <c r="F749" s="12"/>
      <c r="G749" s="14" t="str">
        <f aca="false">IF(OR($D749="",$B749=""),"",INT(($B749-$D749)/365.25))</f>
        <v/>
      </c>
      <c r="H749" s="12"/>
      <c r="I749" s="12"/>
      <c r="J749" s="25"/>
      <c r="K749" s="13"/>
      <c r="L749" s="12"/>
      <c r="M749" s="14" t="str">
        <f aca="false">IF(OR($C749="",$D749="",$H749="",$B749=""),"",IF(COUNTIFS($C$5:$C$804,$C749,$D$5:$D$804,$D749,$H$5:$H$804,$H749,$B$5:$B$804,$B749)&gt;1,"Takror",""))</f>
        <v/>
      </c>
    </row>
    <row r="750" customFormat="false" ht="15" hidden="false" customHeight="false" outlineLevel="0" collapsed="false">
      <c r="A750" s="8" t="n">
        <v>746</v>
      </c>
      <c r="B750" s="13"/>
      <c r="C750" s="12"/>
      <c r="D750" s="13"/>
      <c r="E750" s="24"/>
      <c r="F750" s="12"/>
      <c r="G750" s="14" t="str">
        <f aca="false">IF(OR($D750="",$B750=""),"",INT(($B750-$D750)/365.25))</f>
        <v/>
      </c>
      <c r="H750" s="12"/>
      <c r="I750" s="12"/>
      <c r="J750" s="25"/>
      <c r="K750" s="13"/>
      <c r="L750" s="12"/>
      <c r="M750" s="14" t="str">
        <f aca="false">IF(OR($C750="",$D750="",$H750="",$B750=""),"",IF(COUNTIFS($C$5:$C$804,$C750,$D$5:$D$804,$D750,$H$5:$H$804,$H750,$B$5:$B$804,$B750)&gt;1,"Takror",""))</f>
        <v/>
      </c>
    </row>
    <row r="751" customFormat="false" ht="15" hidden="false" customHeight="false" outlineLevel="0" collapsed="false">
      <c r="A751" s="8" t="n">
        <v>747</v>
      </c>
      <c r="B751" s="13"/>
      <c r="C751" s="12"/>
      <c r="D751" s="13"/>
      <c r="E751" s="24"/>
      <c r="F751" s="12"/>
      <c r="G751" s="14" t="str">
        <f aca="false">IF(OR($D751="",$B751=""),"",INT(($B751-$D751)/365.25))</f>
        <v/>
      </c>
      <c r="H751" s="12"/>
      <c r="I751" s="12"/>
      <c r="J751" s="25"/>
      <c r="K751" s="13"/>
      <c r="L751" s="12"/>
      <c r="M751" s="14" t="str">
        <f aca="false">IF(OR($C751="",$D751="",$H751="",$B751=""),"",IF(COUNTIFS($C$5:$C$804,$C751,$D$5:$D$804,$D751,$H$5:$H$804,$H751,$B$5:$B$804,$B751)&gt;1,"Takror",""))</f>
        <v/>
      </c>
    </row>
    <row r="752" customFormat="false" ht="15" hidden="false" customHeight="false" outlineLevel="0" collapsed="false">
      <c r="A752" s="8" t="n">
        <v>748</v>
      </c>
      <c r="B752" s="13"/>
      <c r="C752" s="12"/>
      <c r="D752" s="13"/>
      <c r="E752" s="24"/>
      <c r="F752" s="12"/>
      <c r="G752" s="14" t="str">
        <f aca="false">IF(OR($D752="",$B752=""),"",INT(($B752-$D752)/365.25))</f>
        <v/>
      </c>
      <c r="H752" s="12"/>
      <c r="I752" s="12"/>
      <c r="J752" s="25"/>
      <c r="K752" s="13"/>
      <c r="L752" s="12"/>
      <c r="M752" s="14" t="str">
        <f aca="false">IF(OR($C752="",$D752="",$H752="",$B752=""),"",IF(COUNTIFS($C$5:$C$804,$C752,$D$5:$D$804,$D752,$H$5:$H$804,$H752,$B$5:$B$804,$B752)&gt;1,"Takror",""))</f>
        <v/>
      </c>
    </row>
    <row r="753" customFormat="false" ht="15" hidden="false" customHeight="false" outlineLevel="0" collapsed="false">
      <c r="A753" s="8" t="n">
        <v>749</v>
      </c>
      <c r="B753" s="13"/>
      <c r="C753" s="12"/>
      <c r="D753" s="13"/>
      <c r="E753" s="24"/>
      <c r="F753" s="12"/>
      <c r="G753" s="14" t="str">
        <f aca="false">IF(OR($D753="",$B753=""),"",INT(($B753-$D753)/365.25))</f>
        <v/>
      </c>
      <c r="H753" s="12"/>
      <c r="I753" s="12"/>
      <c r="J753" s="25"/>
      <c r="K753" s="13"/>
      <c r="L753" s="12"/>
      <c r="M753" s="14" t="str">
        <f aca="false">IF(OR($C753="",$D753="",$H753="",$B753=""),"",IF(COUNTIFS($C$5:$C$804,$C753,$D$5:$D$804,$D753,$H$5:$H$804,$H753,$B$5:$B$804,$B753)&gt;1,"Takror",""))</f>
        <v/>
      </c>
    </row>
    <row r="754" customFormat="false" ht="15" hidden="false" customHeight="false" outlineLevel="0" collapsed="false">
      <c r="A754" s="8" t="n">
        <v>750</v>
      </c>
      <c r="B754" s="13"/>
      <c r="C754" s="12"/>
      <c r="D754" s="13"/>
      <c r="E754" s="24"/>
      <c r="F754" s="12"/>
      <c r="G754" s="14" t="str">
        <f aca="false">IF(OR($D754="",$B754=""),"",INT(($B754-$D754)/365.25))</f>
        <v/>
      </c>
      <c r="H754" s="12"/>
      <c r="I754" s="12"/>
      <c r="J754" s="25"/>
      <c r="K754" s="13"/>
      <c r="L754" s="12"/>
      <c r="M754" s="14" t="str">
        <f aca="false">IF(OR($C754="",$D754="",$H754="",$B754=""),"",IF(COUNTIFS($C$5:$C$804,$C754,$D$5:$D$804,$D754,$H$5:$H$804,$H754,$B$5:$B$804,$B754)&gt;1,"Takror",""))</f>
        <v/>
      </c>
    </row>
    <row r="755" customFormat="false" ht="15" hidden="false" customHeight="false" outlineLevel="0" collapsed="false">
      <c r="A755" s="8" t="n">
        <v>751</v>
      </c>
      <c r="B755" s="13"/>
      <c r="C755" s="12"/>
      <c r="D755" s="13"/>
      <c r="E755" s="24"/>
      <c r="F755" s="12"/>
      <c r="G755" s="14" t="str">
        <f aca="false">IF(OR($D755="",$B755=""),"",INT(($B755-$D755)/365.25))</f>
        <v/>
      </c>
      <c r="H755" s="12"/>
      <c r="I755" s="12"/>
      <c r="J755" s="25"/>
      <c r="K755" s="13"/>
      <c r="L755" s="12"/>
      <c r="M755" s="14" t="str">
        <f aca="false">IF(OR($C755="",$D755="",$H755="",$B755=""),"",IF(COUNTIFS($C$5:$C$804,$C755,$D$5:$D$804,$D755,$H$5:$H$804,$H755,$B$5:$B$804,$B755)&gt;1,"Takror",""))</f>
        <v/>
      </c>
    </row>
    <row r="756" customFormat="false" ht="15" hidden="false" customHeight="false" outlineLevel="0" collapsed="false">
      <c r="A756" s="8" t="n">
        <v>752</v>
      </c>
      <c r="B756" s="13"/>
      <c r="C756" s="12"/>
      <c r="D756" s="13"/>
      <c r="E756" s="24"/>
      <c r="F756" s="12"/>
      <c r="G756" s="14" t="str">
        <f aca="false">IF(OR($D756="",$B756=""),"",INT(($B756-$D756)/365.25))</f>
        <v/>
      </c>
      <c r="H756" s="12"/>
      <c r="I756" s="12"/>
      <c r="J756" s="25"/>
      <c r="K756" s="13"/>
      <c r="L756" s="12"/>
      <c r="M756" s="14" t="str">
        <f aca="false">IF(OR($C756="",$D756="",$H756="",$B756=""),"",IF(COUNTIFS($C$5:$C$804,$C756,$D$5:$D$804,$D756,$H$5:$H$804,$H756,$B$5:$B$804,$B756)&gt;1,"Takror",""))</f>
        <v/>
      </c>
    </row>
    <row r="757" customFormat="false" ht="15" hidden="false" customHeight="false" outlineLevel="0" collapsed="false">
      <c r="A757" s="8" t="n">
        <v>753</v>
      </c>
      <c r="B757" s="13"/>
      <c r="C757" s="12"/>
      <c r="D757" s="13"/>
      <c r="E757" s="24"/>
      <c r="F757" s="12"/>
      <c r="G757" s="14" t="str">
        <f aca="false">IF(OR($D757="",$B757=""),"",INT(($B757-$D757)/365.25))</f>
        <v/>
      </c>
      <c r="H757" s="12"/>
      <c r="I757" s="12"/>
      <c r="J757" s="25"/>
      <c r="K757" s="13"/>
      <c r="L757" s="12"/>
      <c r="M757" s="14" t="str">
        <f aca="false">IF(OR($C757="",$D757="",$H757="",$B757=""),"",IF(COUNTIFS($C$5:$C$804,$C757,$D$5:$D$804,$D757,$H$5:$H$804,$H757,$B$5:$B$804,$B757)&gt;1,"Takror",""))</f>
        <v/>
      </c>
    </row>
    <row r="758" customFormat="false" ht="15" hidden="false" customHeight="false" outlineLevel="0" collapsed="false">
      <c r="A758" s="8" t="n">
        <v>754</v>
      </c>
      <c r="B758" s="13"/>
      <c r="C758" s="12"/>
      <c r="D758" s="13"/>
      <c r="E758" s="24"/>
      <c r="F758" s="12"/>
      <c r="G758" s="14" t="str">
        <f aca="false">IF(OR($D758="",$B758=""),"",INT(($B758-$D758)/365.25))</f>
        <v/>
      </c>
      <c r="H758" s="12"/>
      <c r="I758" s="12"/>
      <c r="J758" s="25"/>
      <c r="K758" s="13"/>
      <c r="L758" s="12"/>
      <c r="M758" s="14" t="str">
        <f aca="false">IF(OR($C758="",$D758="",$H758="",$B758=""),"",IF(COUNTIFS($C$5:$C$804,$C758,$D$5:$D$804,$D758,$H$5:$H$804,$H758,$B$5:$B$804,$B758)&gt;1,"Takror",""))</f>
        <v/>
      </c>
    </row>
    <row r="759" customFormat="false" ht="15" hidden="false" customHeight="false" outlineLevel="0" collapsed="false">
      <c r="A759" s="8" t="n">
        <v>755</v>
      </c>
      <c r="B759" s="13"/>
      <c r="C759" s="12"/>
      <c r="D759" s="13"/>
      <c r="E759" s="24"/>
      <c r="F759" s="12"/>
      <c r="G759" s="14" t="str">
        <f aca="false">IF(OR($D759="",$B759=""),"",INT(($B759-$D759)/365.25))</f>
        <v/>
      </c>
      <c r="H759" s="12"/>
      <c r="I759" s="12"/>
      <c r="J759" s="25"/>
      <c r="K759" s="13"/>
      <c r="L759" s="12"/>
      <c r="M759" s="14" t="str">
        <f aca="false">IF(OR($C759="",$D759="",$H759="",$B759=""),"",IF(COUNTIFS($C$5:$C$804,$C759,$D$5:$D$804,$D759,$H$5:$H$804,$H759,$B$5:$B$804,$B759)&gt;1,"Takror",""))</f>
        <v/>
      </c>
    </row>
    <row r="760" customFormat="false" ht="15" hidden="false" customHeight="false" outlineLevel="0" collapsed="false">
      <c r="A760" s="8" t="n">
        <v>756</v>
      </c>
      <c r="B760" s="13"/>
      <c r="C760" s="12"/>
      <c r="D760" s="13"/>
      <c r="E760" s="24"/>
      <c r="F760" s="12"/>
      <c r="G760" s="14" t="str">
        <f aca="false">IF(OR($D760="",$B760=""),"",INT(($B760-$D760)/365.25))</f>
        <v/>
      </c>
      <c r="H760" s="12"/>
      <c r="I760" s="12"/>
      <c r="J760" s="25"/>
      <c r="K760" s="13"/>
      <c r="L760" s="12"/>
      <c r="M760" s="14" t="str">
        <f aca="false">IF(OR($C760="",$D760="",$H760="",$B760=""),"",IF(COUNTIFS($C$5:$C$804,$C760,$D$5:$D$804,$D760,$H$5:$H$804,$H760,$B$5:$B$804,$B760)&gt;1,"Takror",""))</f>
        <v/>
      </c>
    </row>
    <row r="761" customFormat="false" ht="15" hidden="false" customHeight="false" outlineLevel="0" collapsed="false">
      <c r="A761" s="8" t="n">
        <v>757</v>
      </c>
      <c r="B761" s="13"/>
      <c r="C761" s="12"/>
      <c r="D761" s="13"/>
      <c r="E761" s="24"/>
      <c r="F761" s="12"/>
      <c r="G761" s="14" t="str">
        <f aca="false">IF(OR($D761="",$B761=""),"",INT(($B761-$D761)/365.25))</f>
        <v/>
      </c>
      <c r="H761" s="12"/>
      <c r="I761" s="12"/>
      <c r="J761" s="25"/>
      <c r="K761" s="13"/>
      <c r="L761" s="12"/>
      <c r="M761" s="14" t="str">
        <f aca="false">IF(OR($C761="",$D761="",$H761="",$B761=""),"",IF(COUNTIFS($C$5:$C$804,$C761,$D$5:$D$804,$D761,$H$5:$H$804,$H761,$B$5:$B$804,$B761)&gt;1,"Takror",""))</f>
        <v/>
      </c>
    </row>
    <row r="762" customFormat="false" ht="15" hidden="false" customHeight="false" outlineLevel="0" collapsed="false">
      <c r="A762" s="8" t="n">
        <v>758</v>
      </c>
      <c r="B762" s="13"/>
      <c r="C762" s="12"/>
      <c r="D762" s="13"/>
      <c r="E762" s="24"/>
      <c r="F762" s="12"/>
      <c r="G762" s="14" t="str">
        <f aca="false">IF(OR($D762="",$B762=""),"",INT(($B762-$D762)/365.25))</f>
        <v/>
      </c>
      <c r="H762" s="12"/>
      <c r="I762" s="12"/>
      <c r="J762" s="25"/>
      <c r="K762" s="13"/>
      <c r="L762" s="12"/>
      <c r="M762" s="14" t="str">
        <f aca="false">IF(OR($C762="",$D762="",$H762="",$B762=""),"",IF(COUNTIFS($C$5:$C$804,$C762,$D$5:$D$804,$D762,$H$5:$H$804,$H762,$B$5:$B$804,$B762)&gt;1,"Takror",""))</f>
        <v/>
      </c>
    </row>
    <row r="763" customFormat="false" ht="15" hidden="false" customHeight="false" outlineLevel="0" collapsed="false">
      <c r="A763" s="8" t="n">
        <v>759</v>
      </c>
      <c r="B763" s="13"/>
      <c r="C763" s="12"/>
      <c r="D763" s="13"/>
      <c r="E763" s="24"/>
      <c r="F763" s="12"/>
      <c r="G763" s="14" t="str">
        <f aca="false">IF(OR($D763="",$B763=""),"",INT(($B763-$D763)/365.25))</f>
        <v/>
      </c>
      <c r="H763" s="12"/>
      <c r="I763" s="12"/>
      <c r="J763" s="25"/>
      <c r="K763" s="13"/>
      <c r="L763" s="12"/>
      <c r="M763" s="14" t="str">
        <f aca="false">IF(OR($C763="",$D763="",$H763="",$B763=""),"",IF(COUNTIFS($C$5:$C$804,$C763,$D$5:$D$804,$D763,$H$5:$H$804,$H763,$B$5:$B$804,$B763)&gt;1,"Takror",""))</f>
        <v/>
      </c>
    </row>
    <row r="764" customFormat="false" ht="15" hidden="false" customHeight="false" outlineLevel="0" collapsed="false">
      <c r="A764" s="8" t="n">
        <v>760</v>
      </c>
      <c r="B764" s="13"/>
      <c r="C764" s="12"/>
      <c r="D764" s="13"/>
      <c r="E764" s="24"/>
      <c r="F764" s="12"/>
      <c r="G764" s="14" t="str">
        <f aca="false">IF(OR($D764="",$B764=""),"",INT(($B764-$D764)/365.25))</f>
        <v/>
      </c>
      <c r="H764" s="12"/>
      <c r="I764" s="12"/>
      <c r="J764" s="25"/>
      <c r="K764" s="13"/>
      <c r="L764" s="12"/>
      <c r="M764" s="14" t="str">
        <f aca="false">IF(OR($C764="",$D764="",$H764="",$B764=""),"",IF(COUNTIFS($C$5:$C$804,$C764,$D$5:$D$804,$D764,$H$5:$H$804,$H764,$B$5:$B$804,$B764)&gt;1,"Takror",""))</f>
        <v/>
      </c>
    </row>
    <row r="765" customFormat="false" ht="15" hidden="false" customHeight="false" outlineLevel="0" collapsed="false">
      <c r="A765" s="8" t="n">
        <v>761</v>
      </c>
      <c r="B765" s="13"/>
      <c r="C765" s="12"/>
      <c r="D765" s="13"/>
      <c r="E765" s="24"/>
      <c r="F765" s="12"/>
      <c r="G765" s="14" t="str">
        <f aca="false">IF(OR($D765="",$B765=""),"",INT(($B765-$D765)/365.25))</f>
        <v/>
      </c>
      <c r="H765" s="12"/>
      <c r="I765" s="12"/>
      <c r="J765" s="25"/>
      <c r="K765" s="13"/>
      <c r="L765" s="12"/>
      <c r="M765" s="14" t="str">
        <f aca="false">IF(OR($C765="",$D765="",$H765="",$B765=""),"",IF(COUNTIFS($C$5:$C$804,$C765,$D$5:$D$804,$D765,$H$5:$H$804,$H765,$B$5:$B$804,$B765)&gt;1,"Takror",""))</f>
        <v/>
      </c>
    </row>
    <row r="766" customFormat="false" ht="15" hidden="false" customHeight="false" outlineLevel="0" collapsed="false">
      <c r="A766" s="8" t="n">
        <v>762</v>
      </c>
      <c r="B766" s="13"/>
      <c r="C766" s="12"/>
      <c r="D766" s="13"/>
      <c r="E766" s="24"/>
      <c r="F766" s="12"/>
      <c r="G766" s="14" t="str">
        <f aca="false">IF(OR($D766="",$B766=""),"",INT(($B766-$D766)/365.25))</f>
        <v/>
      </c>
      <c r="H766" s="12"/>
      <c r="I766" s="12"/>
      <c r="J766" s="25"/>
      <c r="K766" s="13"/>
      <c r="L766" s="12"/>
      <c r="M766" s="14" t="str">
        <f aca="false">IF(OR($C766="",$D766="",$H766="",$B766=""),"",IF(COUNTIFS($C$5:$C$804,$C766,$D$5:$D$804,$D766,$H$5:$H$804,$H766,$B$5:$B$804,$B766)&gt;1,"Takror",""))</f>
        <v/>
      </c>
    </row>
    <row r="767" customFormat="false" ht="15" hidden="false" customHeight="false" outlineLevel="0" collapsed="false">
      <c r="A767" s="8" t="n">
        <v>763</v>
      </c>
      <c r="B767" s="13"/>
      <c r="C767" s="12"/>
      <c r="D767" s="13"/>
      <c r="E767" s="24"/>
      <c r="F767" s="12"/>
      <c r="G767" s="14" t="str">
        <f aca="false">IF(OR($D767="",$B767=""),"",INT(($B767-$D767)/365.25))</f>
        <v/>
      </c>
      <c r="H767" s="12"/>
      <c r="I767" s="12"/>
      <c r="J767" s="25"/>
      <c r="K767" s="13"/>
      <c r="L767" s="12"/>
      <c r="M767" s="14" t="str">
        <f aca="false">IF(OR($C767="",$D767="",$H767="",$B767=""),"",IF(COUNTIFS($C$5:$C$804,$C767,$D$5:$D$804,$D767,$H$5:$H$804,$H767,$B$5:$B$804,$B767)&gt;1,"Takror",""))</f>
        <v/>
      </c>
    </row>
    <row r="768" customFormat="false" ht="15" hidden="false" customHeight="false" outlineLevel="0" collapsed="false">
      <c r="A768" s="8" t="n">
        <v>764</v>
      </c>
      <c r="B768" s="13"/>
      <c r="C768" s="12"/>
      <c r="D768" s="13"/>
      <c r="E768" s="24"/>
      <c r="F768" s="12"/>
      <c r="G768" s="14" t="str">
        <f aca="false">IF(OR($D768="",$B768=""),"",INT(($B768-$D768)/365.25))</f>
        <v/>
      </c>
      <c r="H768" s="12"/>
      <c r="I768" s="12"/>
      <c r="J768" s="25"/>
      <c r="K768" s="13"/>
      <c r="L768" s="12"/>
      <c r="M768" s="14" t="str">
        <f aca="false">IF(OR($C768="",$D768="",$H768="",$B768=""),"",IF(COUNTIFS($C$5:$C$804,$C768,$D$5:$D$804,$D768,$H$5:$H$804,$H768,$B$5:$B$804,$B768)&gt;1,"Takror",""))</f>
        <v/>
      </c>
    </row>
    <row r="769" customFormat="false" ht="15" hidden="false" customHeight="false" outlineLevel="0" collapsed="false">
      <c r="A769" s="8" t="n">
        <v>765</v>
      </c>
      <c r="B769" s="13"/>
      <c r="C769" s="12"/>
      <c r="D769" s="13"/>
      <c r="E769" s="24"/>
      <c r="F769" s="12"/>
      <c r="G769" s="14" t="str">
        <f aca="false">IF(OR($D769="",$B769=""),"",INT(($B769-$D769)/365.25))</f>
        <v/>
      </c>
      <c r="H769" s="12"/>
      <c r="I769" s="12"/>
      <c r="J769" s="25"/>
      <c r="K769" s="13"/>
      <c r="L769" s="12"/>
      <c r="M769" s="14" t="str">
        <f aca="false">IF(OR($C769="",$D769="",$H769="",$B769=""),"",IF(COUNTIFS($C$5:$C$804,$C769,$D$5:$D$804,$D769,$H$5:$H$804,$H769,$B$5:$B$804,$B769)&gt;1,"Takror",""))</f>
        <v/>
      </c>
    </row>
    <row r="770" customFormat="false" ht="15" hidden="false" customHeight="false" outlineLevel="0" collapsed="false">
      <c r="A770" s="8" t="n">
        <v>766</v>
      </c>
      <c r="B770" s="13"/>
      <c r="C770" s="12"/>
      <c r="D770" s="13"/>
      <c r="E770" s="24"/>
      <c r="F770" s="12"/>
      <c r="G770" s="14" t="str">
        <f aca="false">IF(OR($D770="",$B770=""),"",INT(($B770-$D770)/365.25))</f>
        <v/>
      </c>
      <c r="H770" s="12"/>
      <c r="I770" s="12"/>
      <c r="J770" s="25"/>
      <c r="K770" s="13"/>
      <c r="L770" s="12"/>
      <c r="M770" s="14" t="str">
        <f aca="false">IF(OR($C770="",$D770="",$H770="",$B770=""),"",IF(COUNTIFS($C$5:$C$804,$C770,$D$5:$D$804,$D770,$H$5:$H$804,$H770,$B$5:$B$804,$B770)&gt;1,"Takror",""))</f>
        <v/>
      </c>
    </row>
    <row r="771" customFormat="false" ht="15" hidden="false" customHeight="false" outlineLevel="0" collapsed="false">
      <c r="A771" s="8" t="n">
        <v>767</v>
      </c>
      <c r="B771" s="13"/>
      <c r="C771" s="12"/>
      <c r="D771" s="13"/>
      <c r="E771" s="24"/>
      <c r="F771" s="12"/>
      <c r="G771" s="14" t="str">
        <f aca="false">IF(OR($D771="",$B771=""),"",INT(($B771-$D771)/365.25))</f>
        <v/>
      </c>
      <c r="H771" s="12"/>
      <c r="I771" s="12"/>
      <c r="J771" s="25"/>
      <c r="K771" s="13"/>
      <c r="L771" s="12"/>
      <c r="M771" s="14" t="str">
        <f aca="false">IF(OR($C771="",$D771="",$H771="",$B771=""),"",IF(COUNTIFS($C$5:$C$804,$C771,$D$5:$D$804,$D771,$H$5:$H$804,$H771,$B$5:$B$804,$B771)&gt;1,"Takror",""))</f>
        <v/>
      </c>
    </row>
    <row r="772" customFormat="false" ht="15" hidden="false" customHeight="false" outlineLevel="0" collapsed="false">
      <c r="A772" s="8" t="n">
        <v>768</v>
      </c>
      <c r="B772" s="13"/>
      <c r="C772" s="12"/>
      <c r="D772" s="13"/>
      <c r="E772" s="24"/>
      <c r="F772" s="12"/>
      <c r="G772" s="14" t="str">
        <f aca="false">IF(OR($D772="",$B772=""),"",INT(($B772-$D772)/365.25))</f>
        <v/>
      </c>
      <c r="H772" s="12"/>
      <c r="I772" s="12"/>
      <c r="J772" s="25"/>
      <c r="K772" s="13"/>
      <c r="L772" s="12"/>
      <c r="M772" s="14" t="str">
        <f aca="false">IF(OR($C772="",$D772="",$H772="",$B772=""),"",IF(COUNTIFS($C$5:$C$804,$C772,$D$5:$D$804,$D772,$H$5:$H$804,$H772,$B$5:$B$804,$B772)&gt;1,"Takror",""))</f>
        <v/>
      </c>
    </row>
    <row r="773" customFormat="false" ht="15" hidden="false" customHeight="false" outlineLevel="0" collapsed="false">
      <c r="A773" s="8" t="n">
        <v>769</v>
      </c>
      <c r="B773" s="13"/>
      <c r="C773" s="12"/>
      <c r="D773" s="13"/>
      <c r="E773" s="24"/>
      <c r="F773" s="12"/>
      <c r="G773" s="14" t="str">
        <f aca="false">IF(OR($D773="",$B773=""),"",INT(($B773-$D773)/365.25))</f>
        <v/>
      </c>
      <c r="H773" s="12"/>
      <c r="I773" s="12"/>
      <c r="J773" s="25"/>
      <c r="K773" s="13"/>
      <c r="L773" s="12"/>
      <c r="M773" s="14" t="str">
        <f aca="false">IF(OR($C773="",$D773="",$H773="",$B773=""),"",IF(COUNTIFS($C$5:$C$804,$C773,$D$5:$D$804,$D773,$H$5:$H$804,$H773,$B$5:$B$804,$B773)&gt;1,"Takror",""))</f>
        <v/>
      </c>
    </row>
    <row r="774" customFormat="false" ht="15" hidden="false" customHeight="false" outlineLevel="0" collapsed="false">
      <c r="A774" s="8" t="n">
        <v>770</v>
      </c>
      <c r="B774" s="13"/>
      <c r="C774" s="12"/>
      <c r="D774" s="13"/>
      <c r="E774" s="24"/>
      <c r="F774" s="12"/>
      <c r="G774" s="14" t="str">
        <f aca="false">IF(OR($D774="",$B774=""),"",INT(($B774-$D774)/365.25))</f>
        <v/>
      </c>
      <c r="H774" s="12"/>
      <c r="I774" s="12"/>
      <c r="J774" s="25"/>
      <c r="K774" s="13"/>
      <c r="L774" s="12"/>
      <c r="M774" s="14" t="str">
        <f aca="false">IF(OR($C774="",$D774="",$H774="",$B774=""),"",IF(COUNTIFS($C$5:$C$804,$C774,$D$5:$D$804,$D774,$H$5:$H$804,$H774,$B$5:$B$804,$B774)&gt;1,"Takror",""))</f>
        <v/>
      </c>
    </row>
    <row r="775" customFormat="false" ht="15" hidden="false" customHeight="false" outlineLevel="0" collapsed="false">
      <c r="A775" s="8" t="n">
        <v>771</v>
      </c>
      <c r="B775" s="13"/>
      <c r="C775" s="12"/>
      <c r="D775" s="13"/>
      <c r="E775" s="24"/>
      <c r="F775" s="12"/>
      <c r="G775" s="14" t="str">
        <f aca="false">IF(OR($D775="",$B775=""),"",INT(($B775-$D775)/365.25))</f>
        <v/>
      </c>
      <c r="H775" s="12"/>
      <c r="I775" s="12"/>
      <c r="J775" s="25"/>
      <c r="K775" s="13"/>
      <c r="L775" s="12"/>
      <c r="M775" s="14" t="str">
        <f aca="false">IF(OR($C775="",$D775="",$H775="",$B775=""),"",IF(COUNTIFS($C$5:$C$804,$C775,$D$5:$D$804,$D775,$H$5:$H$804,$H775,$B$5:$B$804,$B775)&gt;1,"Takror",""))</f>
        <v/>
      </c>
    </row>
    <row r="776" customFormat="false" ht="15" hidden="false" customHeight="false" outlineLevel="0" collapsed="false">
      <c r="A776" s="8" t="n">
        <v>772</v>
      </c>
      <c r="B776" s="13"/>
      <c r="C776" s="12"/>
      <c r="D776" s="13"/>
      <c r="E776" s="24"/>
      <c r="F776" s="12"/>
      <c r="G776" s="14" t="str">
        <f aca="false">IF(OR($D776="",$B776=""),"",INT(($B776-$D776)/365.25))</f>
        <v/>
      </c>
      <c r="H776" s="12"/>
      <c r="I776" s="12"/>
      <c r="J776" s="25"/>
      <c r="K776" s="13"/>
      <c r="L776" s="12"/>
      <c r="M776" s="14" t="str">
        <f aca="false">IF(OR($C776="",$D776="",$H776="",$B776=""),"",IF(COUNTIFS($C$5:$C$804,$C776,$D$5:$D$804,$D776,$H$5:$H$804,$H776,$B$5:$B$804,$B776)&gt;1,"Takror",""))</f>
        <v/>
      </c>
    </row>
    <row r="777" customFormat="false" ht="15" hidden="false" customHeight="false" outlineLevel="0" collapsed="false">
      <c r="A777" s="8" t="n">
        <v>773</v>
      </c>
      <c r="B777" s="13"/>
      <c r="C777" s="12"/>
      <c r="D777" s="13"/>
      <c r="E777" s="24"/>
      <c r="F777" s="12"/>
      <c r="G777" s="14" t="str">
        <f aca="false">IF(OR($D777="",$B777=""),"",INT(($B777-$D777)/365.25))</f>
        <v/>
      </c>
      <c r="H777" s="12"/>
      <c r="I777" s="12"/>
      <c r="J777" s="25"/>
      <c r="K777" s="13"/>
      <c r="L777" s="12"/>
      <c r="M777" s="14" t="str">
        <f aca="false">IF(OR($C777="",$D777="",$H777="",$B777=""),"",IF(COUNTIFS($C$5:$C$804,$C777,$D$5:$D$804,$D777,$H$5:$H$804,$H777,$B$5:$B$804,$B777)&gt;1,"Takror",""))</f>
        <v/>
      </c>
    </row>
    <row r="778" customFormat="false" ht="15" hidden="false" customHeight="false" outlineLevel="0" collapsed="false">
      <c r="A778" s="8" t="n">
        <v>774</v>
      </c>
      <c r="B778" s="13"/>
      <c r="C778" s="12"/>
      <c r="D778" s="13"/>
      <c r="E778" s="24"/>
      <c r="F778" s="12"/>
      <c r="G778" s="14" t="str">
        <f aca="false">IF(OR($D778="",$B778=""),"",INT(($B778-$D778)/365.25))</f>
        <v/>
      </c>
      <c r="H778" s="12"/>
      <c r="I778" s="12"/>
      <c r="J778" s="25"/>
      <c r="K778" s="13"/>
      <c r="L778" s="12"/>
      <c r="M778" s="14" t="str">
        <f aca="false">IF(OR($C778="",$D778="",$H778="",$B778=""),"",IF(COUNTIFS($C$5:$C$804,$C778,$D$5:$D$804,$D778,$H$5:$H$804,$H778,$B$5:$B$804,$B778)&gt;1,"Takror",""))</f>
        <v/>
      </c>
    </row>
    <row r="779" customFormat="false" ht="15" hidden="false" customHeight="false" outlineLevel="0" collapsed="false">
      <c r="A779" s="8" t="n">
        <v>775</v>
      </c>
      <c r="B779" s="13"/>
      <c r="C779" s="12"/>
      <c r="D779" s="13"/>
      <c r="E779" s="24"/>
      <c r="F779" s="12"/>
      <c r="G779" s="14" t="str">
        <f aca="false">IF(OR($D779="",$B779=""),"",INT(($B779-$D779)/365.25))</f>
        <v/>
      </c>
      <c r="H779" s="12"/>
      <c r="I779" s="12"/>
      <c r="J779" s="25"/>
      <c r="K779" s="13"/>
      <c r="L779" s="12"/>
      <c r="M779" s="14" t="str">
        <f aca="false">IF(OR($C779="",$D779="",$H779="",$B779=""),"",IF(COUNTIFS($C$5:$C$804,$C779,$D$5:$D$804,$D779,$H$5:$H$804,$H779,$B$5:$B$804,$B779)&gt;1,"Takror",""))</f>
        <v/>
      </c>
    </row>
    <row r="780" customFormat="false" ht="15" hidden="false" customHeight="false" outlineLevel="0" collapsed="false">
      <c r="A780" s="8" t="n">
        <v>776</v>
      </c>
      <c r="B780" s="13"/>
      <c r="C780" s="12"/>
      <c r="D780" s="13"/>
      <c r="E780" s="24"/>
      <c r="F780" s="12"/>
      <c r="G780" s="14" t="str">
        <f aca="false">IF(OR($D780="",$B780=""),"",INT(($B780-$D780)/365.25))</f>
        <v/>
      </c>
      <c r="H780" s="12"/>
      <c r="I780" s="12"/>
      <c r="J780" s="25"/>
      <c r="K780" s="13"/>
      <c r="L780" s="12"/>
      <c r="M780" s="14" t="str">
        <f aca="false">IF(OR($C780="",$D780="",$H780="",$B780=""),"",IF(COUNTIFS($C$5:$C$804,$C780,$D$5:$D$804,$D780,$H$5:$H$804,$H780,$B$5:$B$804,$B780)&gt;1,"Takror",""))</f>
        <v/>
      </c>
    </row>
    <row r="781" customFormat="false" ht="15" hidden="false" customHeight="false" outlineLevel="0" collapsed="false">
      <c r="A781" s="8" t="n">
        <v>777</v>
      </c>
      <c r="B781" s="13"/>
      <c r="C781" s="12"/>
      <c r="D781" s="13"/>
      <c r="E781" s="24"/>
      <c r="F781" s="12"/>
      <c r="G781" s="14" t="str">
        <f aca="false">IF(OR($D781="",$B781=""),"",INT(($B781-$D781)/365.25))</f>
        <v/>
      </c>
      <c r="H781" s="12"/>
      <c r="I781" s="12"/>
      <c r="J781" s="25"/>
      <c r="K781" s="13"/>
      <c r="L781" s="12"/>
      <c r="M781" s="14" t="str">
        <f aca="false">IF(OR($C781="",$D781="",$H781="",$B781=""),"",IF(COUNTIFS($C$5:$C$804,$C781,$D$5:$D$804,$D781,$H$5:$H$804,$H781,$B$5:$B$804,$B781)&gt;1,"Takror",""))</f>
        <v/>
      </c>
    </row>
    <row r="782" customFormat="false" ht="15" hidden="false" customHeight="false" outlineLevel="0" collapsed="false">
      <c r="A782" s="8" t="n">
        <v>778</v>
      </c>
      <c r="B782" s="13"/>
      <c r="C782" s="12"/>
      <c r="D782" s="13"/>
      <c r="E782" s="24"/>
      <c r="F782" s="12"/>
      <c r="G782" s="14" t="str">
        <f aca="false">IF(OR($D782="",$B782=""),"",INT(($B782-$D782)/365.25))</f>
        <v/>
      </c>
      <c r="H782" s="12"/>
      <c r="I782" s="12"/>
      <c r="J782" s="25"/>
      <c r="K782" s="13"/>
      <c r="L782" s="12"/>
      <c r="M782" s="14" t="str">
        <f aca="false">IF(OR($C782="",$D782="",$H782="",$B782=""),"",IF(COUNTIFS($C$5:$C$804,$C782,$D$5:$D$804,$D782,$H$5:$H$804,$H782,$B$5:$B$804,$B782)&gt;1,"Takror",""))</f>
        <v/>
      </c>
    </row>
    <row r="783" customFormat="false" ht="15" hidden="false" customHeight="false" outlineLevel="0" collapsed="false">
      <c r="A783" s="8" t="n">
        <v>779</v>
      </c>
      <c r="B783" s="13"/>
      <c r="C783" s="12"/>
      <c r="D783" s="13"/>
      <c r="E783" s="24"/>
      <c r="F783" s="12"/>
      <c r="G783" s="14" t="str">
        <f aca="false">IF(OR($D783="",$B783=""),"",INT(($B783-$D783)/365.25))</f>
        <v/>
      </c>
      <c r="H783" s="12"/>
      <c r="I783" s="12"/>
      <c r="J783" s="25"/>
      <c r="K783" s="13"/>
      <c r="L783" s="12"/>
      <c r="M783" s="14" t="str">
        <f aca="false">IF(OR($C783="",$D783="",$H783="",$B783=""),"",IF(COUNTIFS($C$5:$C$804,$C783,$D$5:$D$804,$D783,$H$5:$H$804,$H783,$B$5:$B$804,$B783)&gt;1,"Takror",""))</f>
        <v/>
      </c>
    </row>
    <row r="784" customFormat="false" ht="15" hidden="false" customHeight="false" outlineLevel="0" collapsed="false">
      <c r="A784" s="8" t="n">
        <v>780</v>
      </c>
      <c r="B784" s="13"/>
      <c r="C784" s="12"/>
      <c r="D784" s="13"/>
      <c r="E784" s="24"/>
      <c r="F784" s="12"/>
      <c r="G784" s="14" t="str">
        <f aca="false">IF(OR($D784="",$B784=""),"",INT(($B784-$D784)/365.25))</f>
        <v/>
      </c>
      <c r="H784" s="12"/>
      <c r="I784" s="12"/>
      <c r="J784" s="25"/>
      <c r="K784" s="13"/>
      <c r="L784" s="12"/>
      <c r="M784" s="14" t="str">
        <f aca="false">IF(OR($C784="",$D784="",$H784="",$B784=""),"",IF(COUNTIFS($C$5:$C$804,$C784,$D$5:$D$804,$D784,$H$5:$H$804,$H784,$B$5:$B$804,$B784)&gt;1,"Takror",""))</f>
        <v/>
      </c>
    </row>
    <row r="785" customFormat="false" ht="15" hidden="false" customHeight="false" outlineLevel="0" collapsed="false">
      <c r="A785" s="8" t="n">
        <v>781</v>
      </c>
      <c r="B785" s="13"/>
      <c r="C785" s="12"/>
      <c r="D785" s="13"/>
      <c r="E785" s="24"/>
      <c r="F785" s="12"/>
      <c r="G785" s="14" t="str">
        <f aca="false">IF(OR($D785="",$B785=""),"",INT(($B785-$D785)/365.25))</f>
        <v/>
      </c>
      <c r="H785" s="12"/>
      <c r="I785" s="12"/>
      <c r="J785" s="25"/>
      <c r="K785" s="13"/>
      <c r="L785" s="12"/>
      <c r="M785" s="14" t="str">
        <f aca="false">IF(OR($C785="",$D785="",$H785="",$B785=""),"",IF(COUNTIFS($C$5:$C$804,$C785,$D$5:$D$804,$D785,$H$5:$H$804,$H785,$B$5:$B$804,$B785)&gt;1,"Takror",""))</f>
        <v/>
      </c>
    </row>
    <row r="786" customFormat="false" ht="15" hidden="false" customHeight="false" outlineLevel="0" collapsed="false">
      <c r="A786" s="8" t="n">
        <v>782</v>
      </c>
      <c r="B786" s="13"/>
      <c r="C786" s="12"/>
      <c r="D786" s="13"/>
      <c r="E786" s="24"/>
      <c r="F786" s="12"/>
      <c r="G786" s="14" t="str">
        <f aca="false">IF(OR($D786="",$B786=""),"",INT(($B786-$D786)/365.25))</f>
        <v/>
      </c>
      <c r="H786" s="12"/>
      <c r="I786" s="12"/>
      <c r="J786" s="25"/>
      <c r="K786" s="13"/>
      <c r="L786" s="12"/>
      <c r="M786" s="14" t="str">
        <f aca="false">IF(OR($C786="",$D786="",$H786="",$B786=""),"",IF(COUNTIFS($C$5:$C$804,$C786,$D$5:$D$804,$D786,$H$5:$H$804,$H786,$B$5:$B$804,$B786)&gt;1,"Takror",""))</f>
        <v/>
      </c>
    </row>
    <row r="787" customFormat="false" ht="15" hidden="false" customHeight="false" outlineLevel="0" collapsed="false">
      <c r="A787" s="8" t="n">
        <v>783</v>
      </c>
      <c r="B787" s="13"/>
      <c r="C787" s="12"/>
      <c r="D787" s="13"/>
      <c r="E787" s="24"/>
      <c r="F787" s="12"/>
      <c r="G787" s="14" t="str">
        <f aca="false">IF(OR($D787="",$B787=""),"",INT(($B787-$D787)/365.25))</f>
        <v/>
      </c>
      <c r="H787" s="12"/>
      <c r="I787" s="12"/>
      <c r="J787" s="25"/>
      <c r="K787" s="13"/>
      <c r="L787" s="12"/>
      <c r="M787" s="14" t="str">
        <f aca="false">IF(OR($C787="",$D787="",$H787="",$B787=""),"",IF(COUNTIFS($C$5:$C$804,$C787,$D$5:$D$804,$D787,$H$5:$H$804,$H787,$B$5:$B$804,$B787)&gt;1,"Takror",""))</f>
        <v/>
      </c>
    </row>
    <row r="788" customFormat="false" ht="15" hidden="false" customHeight="false" outlineLevel="0" collapsed="false">
      <c r="A788" s="8" t="n">
        <v>784</v>
      </c>
      <c r="B788" s="13"/>
      <c r="C788" s="12"/>
      <c r="D788" s="13"/>
      <c r="E788" s="24"/>
      <c r="F788" s="12"/>
      <c r="G788" s="14" t="str">
        <f aca="false">IF(OR($D788="",$B788=""),"",INT(($B788-$D788)/365.25))</f>
        <v/>
      </c>
      <c r="H788" s="12"/>
      <c r="I788" s="12"/>
      <c r="J788" s="25"/>
      <c r="K788" s="13"/>
      <c r="L788" s="12"/>
      <c r="M788" s="14" t="str">
        <f aca="false">IF(OR($C788="",$D788="",$H788="",$B788=""),"",IF(COUNTIFS($C$5:$C$804,$C788,$D$5:$D$804,$D788,$H$5:$H$804,$H788,$B$5:$B$804,$B788)&gt;1,"Takror",""))</f>
        <v/>
      </c>
    </row>
    <row r="789" customFormat="false" ht="15" hidden="false" customHeight="false" outlineLevel="0" collapsed="false">
      <c r="A789" s="8" t="n">
        <v>785</v>
      </c>
      <c r="B789" s="13"/>
      <c r="C789" s="12"/>
      <c r="D789" s="13"/>
      <c r="E789" s="24"/>
      <c r="F789" s="12"/>
      <c r="G789" s="14" t="str">
        <f aca="false">IF(OR($D789="",$B789=""),"",INT(($B789-$D789)/365.25))</f>
        <v/>
      </c>
      <c r="H789" s="12"/>
      <c r="I789" s="12"/>
      <c r="J789" s="25"/>
      <c r="K789" s="13"/>
      <c r="L789" s="12"/>
      <c r="M789" s="14" t="str">
        <f aca="false">IF(OR($C789="",$D789="",$H789="",$B789=""),"",IF(COUNTIFS($C$5:$C$804,$C789,$D$5:$D$804,$D789,$H$5:$H$804,$H789,$B$5:$B$804,$B789)&gt;1,"Takror",""))</f>
        <v/>
      </c>
    </row>
    <row r="790" customFormat="false" ht="15" hidden="false" customHeight="false" outlineLevel="0" collapsed="false">
      <c r="A790" s="8" t="n">
        <v>786</v>
      </c>
      <c r="B790" s="13"/>
      <c r="C790" s="12"/>
      <c r="D790" s="13"/>
      <c r="E790" s="24"/>
      <c r="F790" s="12"/>
      <c r="G790" s="14" t="str">
        <f aca="false">IF(OR($D790="",$B790=""),"",INT(($B790-$D790)/365.25))</f>
        <v/>
      </c>
      <c r="H790" s="12"/>
      <c r="I790" s="12"/>
      <c r="J790" s="25"/>
      <c r="K790" s="13"/>
      <c r="L790" s="12"/>
      <c r="M790" s="14" t="str">
        <f aca="false">IF(OR($C790="",$D790="",$H790="",$B790=""),"",IF(COUNTIFS($C$5:$C$804,$C790,$D$5:$D$804,$D790,$H$5:$H$804,$H790,$B$5:$B$804,$B790)&gt;1,"Takror",""))</f>
        <v/>
      </c>
    </row>
    <row r="791" customFormat="false" ht="15" hidden="false" customHeight="false" outlineLevel="0" collapsed="false">
      <c r="A791" s="8" t="n">
        <v>787</v>
      </c>
      <c r="B791" s="13"/>
      <c r="C791" s="12"/>
      <c r="D791" s="13"/>
      <c r="E791" s="24"/>
      <c r="F791" s="12"/>
      <c r="G791" s="14" t="str">
        <f aca="false">IF(OR($D791="",$B791=""),"",INT(($B791-$D791)/365.25))</f>
        <v/>
      </c>
      <c r="H791" s="12"/>
      <c r="I791" s="12"/>
      <c r="J791" s="25"/>
      <c r="K791" s="13"/>
      <c r="L791" s="12"/>
      <c r="M791" s="14" t="str">
        <f aca="false">IF(OR($C791="",$D791="",$H791="",$B791=""),"",IF(COUNTIFS($C$5:$C$804,$C791,$D$5:$D$804,$D791,$H$5:$H$804,$H791,$B$5:$B$804,$B791)&gt;1,"Takror",""))</f>
        <v/>
      </c>
    </row>
    <row r="792" customFormat="false" ht="15" hidden="false" customHeight="false" outlineLevel="0" collapsed="false">
      <c r="A792" s="8" t="n">
        <v>788</v>
      </c>
      <c r="B792" s="13"/>
      <c r="C792" s="12"/>
      <c r="D792" s="13"/>
      <c r="E792" s="24"/>
      <c r="F792" s="12"/>
      <c r="G792" s="14" t="str">
        <f aca="false">IF(OR($D792="",$B792=""),"",INT(($B792-$D792)/365.25))</f>
        <v/>
      </c>
      <c r="H792" s="12"/>
      <c r="I792" s="12"/>
      <c r="J792" s="25"/>
      <c r="K792" s="13"/>
      <c r="L792" s="12"/>
      <c r="M792" s="14" t="str">
        <f aca="false">IF(OR($C792="",$D792="",$H792="",$B792=""),"",IF(COUNTIFS($C$5:$C$804,$C792,$D$5:$D$804,$D792,$H$5:$H$804,$H792,$B$5:$B$804,$B792)&gt;1,"Takror",""))</f>
        <v/>
      </c>
    </row>
    <row r="793" customFormat="false" ht="15" hidden="false" customHeight="false" outlineLevel="0" collapsed="false">
      <c r="A793" s="8" t="n">
        <v>789</v>
      </c>
      <c r="B793" s="13"/>
      <c r="C793" s="12"/>
      <c r="D793" s="13"/>
      <c r="E793" s="24"/>
      <c r="F793" s="12"/>
      <c r="G793" s="14" t="str">
        <f aca="false">IF(OR($D793="",$B793=""),"",INT(($B793-$D793)/365.25))</f>
        <v/>
      </c>
      <c r="H793" s="12"/>
      <c r="I793" s="12"/>
      <c r="J793" s="25"/>
      <c r="K793" s="13"/>
      <c r="L793" s="12"/>
      <c r="M793" s="14" t="str">
        <f aca="false">IF(OR($C793="",$D793="",$H793="",$B793=""),"",IF(COUNTIFS($C$5:$C$804,$C793,$D$5:$D$804,$D793,$H$5:$H$804,$H793,$B$5:$B$804,$B793)&gt;1,"Takror",""))</f>
        <v/>
      </c>
    </row>
    <row r="794" customFormat="false" ht="15" hidden="false" customHeight="false" outlineLevel="0" collapsed="false">
      <c r="A794" s="8" t="n">
        <v>790</v>
      </c>
      <c r="B794" s="13"/>
      <c r="C794" s="12"/>
      <c r="D794" s="13"/>
      <c r="E794" s="24"/>
      <c r="F794" s="12"/>
      <c r="G794" s="14" t="str">
        <f aca="false">IF(OR($D794="",$B794=""),"",INT(($B794-$D794)/365.25))</f>
        <v/>
      </c>
      <c r="H794" s="12"/>
      <c r="I794" s="12"/>
      <c r="J794" s="25"/>
      <c r="K794" s="13"/>
      <c r="L794" s="12"/>
      <c r="M794" s="14" t="str">
        <f aca="false">IF(OR($C794="",$D794="",$H794="",$B794=""),"",IF(COUNTIFS($C$5:$C$804,$C794,$D$5:$D$804,$D794,$H$5:$H$804,$H794,$B$5:$B$804,$B794)&gt;1,"Takror",""))</f>
        <v/>
      </c>
    </row>
    <row r="795" customFormat="false" ht="15" hidden="false" customHeight="false" outlineLevel="0" collapsed="false">
      <c r="A795" s="8" t="n">
        <v>791</v>
      </c>
      <c r="B795" s="13"/>
      <c r="C795" s="12"/>
      <c r="D795" s="13"/>
      <c r="E795" s="24"/>
      <c r="F795" s="12"/>
      <c r="G795" s="14" t="str">
        <f aca="false">IF(OR($D795="",$B795=""),"",INT(($B795-$D795)/365.25))</f>
        <v/>
      </c>
      <c r="H795" s="12"/>
      <c r="I795" s="12"/>
      <c r="J795" s="25"/>
      <c r="K795" s="13"/>
      <c r="L795" s="12"/>
      <c r="M795" s="14" t="str">
        <f aca="false">IF(OR($C795="",$D795="",$H795="",$B795=""),"",IF(COUNTIFS($C$5:$C$804,$C795,$D$5:$D$804,$D795,$H$5:$H$804,$H795,$B$5:$B$804,$B795)&gt;1,"Takror",""))</f>
        <v/>
      </c>
    </row>
    <row r="796" customFormat="false" ht="15" hidden="false" customHeight="false" outlineLevel="0" collapsed="false">
      <c r="A796" s="8" t="n">
        <v>792</v>
      </c>
      <c r="B796" s="13"/>
      <c r="C796" s="12"/>
      <c r="D796" s="13"/>
      <c r="E796" s="24"/>
      <c r="F796" s="12"/>
      <c r="G796" s="14" t="str">
        <f aca="false">IF(OR($D796="",$B796=""),"",INT(($B796-$D796)/365.25))</f>
        <v/>
      </c>
      <c r="H796" s="12"/>
      <c r="I796" s="12"/>
      <c r="J796" s="25"/>
      <c r="K796" s="13"/>
      <c r="L796" s="12"/>
      <c r="M796" s="14" t="str">
        <f aca="false">IF(OR($C796="",$D796="",$H796="",$B796=""),"",IF(COUNTIFS($C$5:$C$804,$C796,$D$5:$D$804,$D796,$H$5:$H$804,$H796,$B$5:$B$804,$B796)&gt;1,"Takror",""))</f>
        <v/>
      </c>
    </row>
    <row r="797" customFormat="false" ht="15" hidden="false" customHeight="false" outlineLevel="0" collapsed="false">
      <c r="A797" s="8" t="n">
        <v>793</v>
      </c>
      <c r="B797" s="13"/>
      <c r="C797" s="12"/>
      <c r="D797" s="13"/>
      <c r="E797" s="24"/>
      <c r="F797" s="12"/>
      <c r="G797" s="14" t="str">
        <f aca="false">IF(OR($D797="",$B797=""),"",INT(($B797-$D797)/365.25))</f>
        <v/>
      </c>
      <c r="H797" s="12"/>
      <c r="I797" s="12"/>
      <c r="J797" s="25"/>
      <c r="K797" s="13"/>
      <c r="L797" s="12"/>
      <c r="M797" s="14" t="str">
        <f aca="false">IF(OR($C797="",$D797="",$H797="",$B797=""),"",IF(COUNTIFS($C$5:$C$804,$C797,$D$5:$D$804,$D797,$H$5:$H$804,$H797,$B$5:$B$804,$B797)&gt;1,"Takror",""))</f>
        <v/>
      </c>
    </row>
    <row r="798" customFormat="false" ht="15" hidden="false" customHeight="false" outlineLevel="0" collapsed="false">
      <c r="A798" s="8" t="n">
        <v>794</v>
      </c>
      <c r="B798" s="13"/>
      <c r="C798" s="12"/>
      <c r="D798" s="13"/>
      <c r="E798" s="24"/>
      <c r="F798" s="12"/>
      <c r="G798" s="14" t="str">
        <f aca="false">IF(OR($D798="",$B798=""),"",INT(($B798-$D798)/365.25))</f>
        <v/>
      </c>
      <c r="H798" s="12"/>
      <c r="I798" s="12"/>
      <c r="J798" s="25"/>
      <c r="K798" s="13"/>
      <c r="L798" s="12"/>
      <c r="M798" s="14" t="str">
        <f aca="false">IF(OR($C798="",$D798="",$H798="",$B798=""),"",IF(COUNTIFS($C$5:$C$804,$C798,$D$5:$D$804,$D798,$H$5:$H$804,$H798,$B$5:$B$804,$B798)&gt;1,"Takror",""))</f>
        <v/>
      </c>
    </row>
    <row r="799" customFormat="false" ht="15" hidden="false" customHeight="false" outlineLevel="0" collapsed="false">
      <c r="A799" s="8" t="n">
        <v>795</v>
      </c>
      <c r="B799" s="13"/>
      <c r="C799" s="12"/>
      <c r="D799" s="13"/>
      <c r="E799" s="24"/>
      <c r="F799" s="12"/>
      <c r="G799" s="14" t="str">
        <f aca="false">IF(OR($D799="",$B799=""),"",INT(($B799-$D799)/365.25))</f>
        <v/>
      </c>
      <c r="H799" s="12"/>
      <c r="I799" s="12"/>
      <c r="J799" s="25"/>
      <c r="K799" s="13"/>
      <c r="L799" s="12"/>
      <c r="M799" s="14" t="str">
        <f aca="false">IF(OR($C799="",$D799="",$H799="",$B799=""),"",IF(COUNTIFS($C$5:$C$804,$C799,$D$5:$D$804,$D799,$H$5:$H$804,$H799,$B$5:$B$804,$B799)&gt;1,"Takror",""))</f>
        <v/>
      </c>
    </row>
    <row r="800" customFormat="false" ht="15" hidden="false" customHeight="false" outlineLevel="0" collapsed="false">
      <c r="A800" s="8" t="n">
        <v>796</v>
      </c>
      <c r="B800" s="13"/>
      <c r="C800" s="12"/>
      <c r="D800" s="13"/>
      <c r="E800" s="24"/>
      <c r="F800" s="12"/>
      <c r="G800" s="14" t="str">
        <f aca="false">IF(OR($D800="",$B800=""),"",INT(($B800-$D800)/365.25))</f>
        <v/>
      </c>
      <c r="H800" s="12"/>
      <c r="I800" s="12"/>
      <c r="J800" s="25"/>
      <c r="K800" s="13"/>
      <c r="L800" s="12"/>
      <c r="M800" s="14" t="str">
        <f aca="false">IF(OR($C800="",$D800="",$H800="",$B800=""),"",IF(COUNTIFS($C$5:$C$804,$C800,$D$5:$D$804,$D800,$H$5:$H$804,$H800,$B$5:$B$804,$B800)&gt;1,"Takror",""))</f>
        <v/>
      </c>
    </row>
    <row r="801" customFormat="false" ht="15" hidden="false" customHeight="false" outlineLevel="0" collapsed="false">
      <c r="A801" s="8" t="n">
        <v>797</v>
      </c>
      <c r="B801" s="13"/>
      <c r="C801" s="12"/>
      <c r="D801" s="13"/>
      <c r="E801" s="24"/>
      <c r="F801" s="12"/>
      <c r="G801" s="14" t="str">
        <f aca="false">IF(OR($D801="",$B801=""),"",INT(($B801-$D801)/365.25))</f>
        <v/>
      </c>
      <c r="H801" s="12"/>
      <c r="I801" s="12"/>
      <c r="J801" s="25"/>
      <c r="K801" s="13"/>
      <c r="L801" s="12"/>
      <c r="M801" s="14" t="str">
        <f aca="false">IF(OR($C801="",$D801="",$H801="",$B801=""),"",IF(COUNTIFS($C$5:$C$804,$C801,$D$5:$D$804,$D801,$H$5:$H$804,$H801,$B$5:$B$804,$B801)&gt;1,"Takror",""))</f>
        <v/>
      </c>
    </row>
    <row r="802" customFormat="false" ht="15" hidden="false" customHeight="false" outlineLevel="0" collapsed="false">
      <c r="A802" s="8" t="n">
        <v>798</v>
      </c>
      <c r="B802" s="13"/>
      <c r="C802" s="12"/>
      <c r="D802" s="13"/>
      <c r="E802" s="24"/>
      <c r="F802" s="12"/>
      <c r="G802" s="14" t="str">
        <f aca="false">IF(OR($D802="",$B802=""),"",INT(($B802-$D802)/365.25))</f>
        <v/>
      </c>
      <c r="H802" s="12"/>
      <c r="I802" s="12"/>
      <c r="J802" s="25"/>
      <c r="K802" s="13"/>
      <c r="L802" s="12"/>
      <c r="M802" s="14" t="str">
        <f aca="false">IF(OR($C802="",$D802="",$H802="",$B802=""),"",IF(COUNTIFS($C$5:$C$804,$C802,$D$5:$D$804,$D802,$H$5:$H$804,$H802,$B$5:$B$804,$B802)&gt;1,"Takror",""))</f>
        <v/>
      </c>
    </row>
    <row r="803" customFormat="false" ht="15" hidden="false" customHeight="false" outlineLevel="0" collapsed="false">
      <c r="A803" s="8" t="n">
        <v>799</v>
      </c>
      <c r="B803" s="13"/>
      <c r="C803" s="12"/>
      <c r="D803" s="13"/>
      <c r="E803" s="24"/>
      <c r="F803" s="12"/>
      <c r="G803" s="14" t="str">
        <f aca="false">IF(OR($D803="",$B803=""),"",INT(($B803-$D803)/365.25))</f>
        <v/>
      </c>
      <c r="H803" s="12"/>
      <c r="I803" s="12"/>
      <c r="J803" s="25"/>
      <c r="K803" s="13"/>
      <c r="L803" s="12"/>
      <c r="M803" s="14" t="str">
        <f aca="false">IF(OR($C803="",$D803="",$H803="",$B803=""),"",IF(COUNTIFS($C$5:$C$804,$C803,$D$5:$D$804,$D803,$H$5:$H$804,$H803,$B$5:$B$804,$B803)&gt;1,"Takror",""))</f>
        <v/>
      </c>
    </row>
    <row r="804" customFormat="false" ht="15" hidden="false" customHeight="false" outlineLevel="0" collapsed="false">
      <c r="A804" s="8" t="n">
        <v>800</v>
      </c>
      <c r="B804" s="13"/>
      <c r="C804" s="12"/>
      <c r="D804" s="13"/>
      <c r="E804" s="24"/>
      <c r="F804" s="12"/>
      <c r="G804" s="14" t="str">
        <f aca="false">IF(OR($D804="",$B804=""),"",INT(($B804-$D804)/365.25))</f>
        <v/>
      </c>
      <c r="H804" s="12"/>
      <c r="I804" s="12"/>
      <c r="J804" s="25"/>
      <c r="K804" s="13"/>
      <c r="L804" s="12"/>
      <c r="M804" s="14" t="str">
        <f aca="false">IF(OR($C804="",$D804="",$H804="",$B804=""),"",IF(COUNTIFS($C$5:$C$804,$C804,$D$5:$D$804,$D804,$H$5:$H$804,$H804,$B$5:$B$804,$B804)&gt;1,"Takror",""))</f>
        <v/>
      </c>
    </row>
  </sheetData>
  <autoFilter ref="A4:M804"/>
  <conditionalFormatting sqref="M5:M804">
    <cfRule type="expression" priority="2" aboveAverage="0" equalAverage="0" bottom="0" percent="0" rank="0" text="" dxfId="0">
      <formula>$M5="Takror"</formula>
    </cfRule>
  </conditionalFormatting>
  <dataValidations count="3">
    <dataValidation allowBlank="true" error="Sanani kiriting (kun.oy.yil) / Введите дату (дд.мм.гггг)" errorStyle="stop" errorTitle="Sana / Дата" operator="greaterThan" showDropDown="false" showErrorMessage="true" showInputMessage="false" sqref="B5:B804 D5:D804 K5:K8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8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J5:J804" type="list">
      <formula1>"Ambulator qabul,№154 ko‘rik,Boshqa"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</row>
    <row r="3" customFormat="false" ht="15" hidden="false" customHeight="false" outlineLevel="0" collapsed="false">
      <c r="A3" s="21" t="s">
        <v>258</v>
      </c>
      <c r="B3" s="22"/>
      <c r="C3" s="22"/>
      <c r="D3" s="22"/>
      <c r="E3" s="22"/>
      <c r="F3" s="22"/>
      <c r="G3" s="22"/>
      <c r="H3" s="22"/>
      <c r="I3" s="22"/>
      <c r="J3" s="22"/>
    </row>
    <row r="4" customFormat="false" ht="61.5" hidden="false" customHeight="true" outlineLevel="0" collapsed="false">
      <c r="A4" s="7" t="s">
        <v>12</v>
      </c>
      <c r="B4" s="7" t="s">
        <v>343</v>
      </c>
      <c r="C4" s="7" t="s">
        <v>260</v>
      </c>
      <c r="D4" s="7" t="s">
        <v>261</v>
      </c>
      <c r="E4" s="7" t="s">
        <v>262</v>
      </c>
      <c r="F4" s="7" t="s">
        <v>263</v>
      </c>
      <c r="G4" s="23" t="s">
        <v>264</v>
      </c>
      <c r="H4" s="7" t="s">
        <v>333</v>
      </c>
      <c r="I4" s="7" t="s">
        <v>278</v>
      </c>
      <c r="J4" s="23" t="s">
        <v>279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4"/>
      <c r="F5" s="12"/>
      <c r="G5" s="14" t="str">
        <f aca="false">IF(OR($D5="",$B5=""),"",INT(($B5-$D5)/365.25))</f>
        <v/>
      </c>
      <c r="H5" s="25"/>
      <c r="I5" s="12"/>
      <c r="J5" s="14" t="str">
        <f aca="false">IF(OR($C5="",$D5="",$B5=""),"",IF(COUNTIFS($C$5:$C$804,$C5,$D$5:$D$804,$D5,$B$5:$B$804,$B5)&gt;1,"Takror",""))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4"/>
      <c r="F6" s="12"/>
      <c r="G6" s="14" t="str">
        <f aca="false">IF(OR($D6="",$B6=""),"",INT(($B6-$D6)/365.25))</f>
        <v/>
      </c>
      <c r="H6" s="25"/>
      <c r="I6" s="12"/>
      <c r="J6" s="14" t="str">
        <f aca="false">IF(OR($C6="",$D6="",$B6=""),"",IF(COUNTIFS($C$5:$C$804,$C6,$D$5:$D$804,$D6,$B$5:$B$804,$B6)&gt;1,"Takror",""))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4"/>
      <c r="F7" s="12"/>
      <c r="G7" s="14" t="str">
        <f aca="false">IF(OR($D7="",$B7=""),"",INT(($B7-$D7)/365.25))</f>
        <v/>
      </c>
      <c r="H7" s="25"/>
      <c r="I7" s="12"/>
      <c r="J7" s="14" t="str">
        <f aca="false">IF(OR($C7="",$D7="",$B7=""),"",IF(COUNTIFS($C$5:$C$804,$C7,$D$5:$D$804,$D7,$B$5:$B$804,$B7)&gt;1,"Takror",""))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4"/>
      <c r="F8" s="12"/>
      <c r="G8" s="14" t="str">
        <f aca="false">IF(OR($D8="",$B8=""),"",INT(($B8-$D8)/365.25))</f>
        <v/>
      </c>
      <c r="H8" s="25"/>
      <c r="I8" s="12"/>
      <c r="J8" s="14" t="str">
        <f aca="false">IF(OR($C8="",$D8="",$B8=""),"",IF(COUNTIFS($C$5:$C$804,$C8,$D$5:$D$804,$D8,$B$5:$B$804,$B8)&gt;1,"Takror",""))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4"/>
      <c r="F9" s="12"/>
      <c r="G9" s="14" t="str">
        <f aca="false">IF(OR($D9="",$B9=""),"",INT(($B9-$D9)/365.25))</f>
        <v/>
      </c>
      <c r="H9" s="25"/>
      <c r="I9" s="12"/>
      <c r="J9" s="14" t="str">
        <f aca="false">IF(OR($C9="",$D9="",$B9=""),"",IF(COUNTIFS($C$5:$C$804,$C9,$D$5:$D$804,$D9,$B$5:$B$804,$B9)&gt;1,"Takror",""))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4"/>
      <c r="F10" s="12"/>
      <c r="G10" s="14" t="str">
        <f aca="false">IF(OR($D10="",$B10=""),"",INT(($B10-$D10)/365.25))</f>
        <v/>
      </c>
      <c r="H10" s="25"/>
      <c r="I10" s="12"/>
      <c r="J10" s="14" t="str">
        <f aca="false">IF(OR($C10="",$D10="",$B10=""),"",IF(COUNTIFS($C$5:$C$804,$C10,$D$5:$D$804,$D10,$B$5:$B$804,$B10)&gt;1,"Takror",""))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4"/>
      <c r="F11" s="12"/>
      <c r="G11" s="14" t="str">
        <f aca="false">IF(OR($D11="",$B11=""),"",INT(($B11-$D11)/365.25))</f>
        <v/>
      </c>
      <c r="H11" s="25"/>
      <c r="I11" s="12"/>
      <c r="J11" s="14" t="str">
        <f aca="false">IF(OR($C11="",$D11="",$B11=""),"",IF(COUNTIFS($C$5:$C$804,$C11,$D$5:$D$804,$D11,$B$5:$B$804,$B11)&gt;1,"Takror",""))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4"/>
      <c r="F12" s="12"/>
      <c r="G12" s="14" t="str">
        <f aca="false">IF(OR($D12="",$B12=""),"",INT(($B12-$D12)/365.25))</f>
        <v/>
      </c>
      <c r="H12" s="25"/>
      <c r="I12" s="12"/>
      <c r="J12" s="14" t="str">
        <f aca="false">IF(OR($C12="",$D12="",$B12=""),"",IF(COUNTIFS($C$5:$C$804,$C12,$D$5:$D$804,$D12,$B$5:$B$804,$B12)&gt;1,"Takror",""))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4"/>
      <c r="F13" s="12"/>
      <c r="G13" s="14" t="str">
        <f aca="false">IF(OR($D13="",$B13=""),"",INT(($B13-$D13)/365.25))</f>
        <v/>
      </c>
      <c r="H13" s="25"/>
      <c r="I13" s="12"/>
      <c r="J13" s="14" t="str">
        <f aca="false">IF(OR($C13="",$D13="",$B13=""),"",IF(COUNTIFS($C$5:$C$804,$C13,$D$5:$D$804,$D13,$B$5:$B$804,$B13)&gt;1,"Takror",""))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4"/>
      <c r="F14" s="12"/>
      <c r="G14" s="14" t="str">
        <f aca="false">IF(OR($D14="",$B14=""),"",INT(($B14-$D14)/365.25))</f>
        <v/>
      </c>
      <c r="H14" s="25"/>
      <c r="I14" s="12"/>
      <c r="J14" s="14" t="str">
        <f aca="false">IF(OR($C14="",$D14="",$B14=""),"",IF(COUNTIFS($C$5:$C$804,$C14,$D$5:$D$804,$D14,$B$5:$B$804,$B14)&gt;1,"Takror",""))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4"/>
      <c r="F15" s="12"/>
      <c r="G15" s="14" t="str">
        <f aca="false">IF(OR($D15="",$B15=""),"",INT(($B15-$D15)/365.25))</f>
        <v/>
      </c>
      <c r="H15" s="25"/>
      <c r="I15" s="12"/>
      <c r="J15" s="14" t="str">
        <f aca="false">IF(OR($C15="",$D15="",$B15=""),"",IF(COUNTIFS($C$5:$C$804,$C15,$D$5:$D$804,$D15,$B$5:$B$804,$B15)&gt;1,"Takror",""))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4"/>
      <c r="F16" s="12"/>
      <c r="G16" s="14" t="str">
        <f aca="false">IF(OR($D16="",$B16=""),"",INT(($B16-$D16)/365.25))</f>
        <v/>
      </c>
      <c r="H16" s="25"/>
      <c r="I16" s="12"/>
      <c r="J16" s="14" t="str">
        <f aca="false">IF(OR($C16="",$D16="",$B16=""),"",IF(COUNTIFS($C$5:$C$804,$C16,$D$5:$D$804,$D16,$B$5:$B$804,$B16)&gt;1,"Takror",""))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4"/>
      <c r="F17" s="12"/>
      <c r="G17" s="14" t="str">
        <f aca="false">IF(OR($D17="",$B17=""),"",INT(($B17-$D17)/365.25))</f>
        <v/>
      </c>
      <c r="H17" s="25"/>
      <c r="I17" s="12"/>
      <c r="J17" s="14" t="str">
        <f aca="false">IF(OR($C17="",$D17="",$B17=""),"",IF(COUNTIFS($C$5:$C$804,$C17,$D$5:$D$804,$D17,$B$5:$B$804,$B17)&gt;1,"Takror",""))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4"/>
      <c r="F18" s="12"/>
      <c r="G18" s="14" t="str">
        <f aca="false">IF(OR($D18="",$B18=""),"",INT(($B18-$D18)/365.25))</f>
        <v/>
      </c>
      <c r="H18" s="25"/>
      <c r="I18" s="12"/>
      <c r="J18" s="14" t="str">
        <f aca="false">IF(OR($C18="",$D18="",$B18=""),"",IF(COUNTIFS($C$5:$C$804,$C18,$D$5:$D$804,$D18,$B$5:$B$804,$B18)&gt;1,"Takror",""))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4"/>
      <c r="F19" s="12"/>
      <c r="G19" s="14" t="str">
        <f aca="false">IF(OR($D19="",$B19=""),"",INT(($B19-$D19)/365.25))</f>
        <v/>
      </c>
      <c r="H19" s="25"/>
      <c r="I19" s="12"/>
      <c r="J19" s="14" t="str">
        <f aca="false">IF(OR($C19="",$D19="",$B19=""),"",IF(COUNTIFS($C$5:$C$804,$C19,$D$5:$D$804,$D19,$B$5:$B$804,$B19)&gt;1,"Takror",""))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4"/>
      <c r="F20" s="12"/>
      <c r="G20" s="14" t="str">
        <f aca="false">IF(OR($D20="",$B20=""),"",INT(($B20-$D20)/365.25))</f>
        <v/>
      </c>
      <c r="H20" s="25"/>
      <c r="I20" s="12"/>
      <c r="J20" s="14" t="str">
        <f aca="false">IF(OR($C20="",$D20="",$B20=""),"",IF(COUNTIFS($C$5:$C$804,$C20,$D$5:$D$804,$D20,$B$5:$B$804,$B20)&gt;1,"Takror",""))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4"/>
      <c r="F21" s="12"/>
      <c r="G21" s="14" t="str">
        <f aca="false">IF(OR($D21="",$B21=""),"",INT(($B21-$D21)/365.25))</f>
        <v/>
      </c>
      <c r="H21" s="25"/>
      <c r="I21" s="12"/>
      <c r="J21" s="14" t="str">
        <f aca="false">IF(OR($C21="",$D21="",$B21=""),"",IF(COUNTIFS($C$5:$C$804,$C21,$D$5:$D$804,$D21,$B$5:$B$804,$B21)&gt;1,"Takror",""))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4"/>
      <c r="F22" s="12"/>
      <c r="G22" s="14" t="str">
        <f aca="false">IF(OR($D22="",$B22=""),"",INT(($B22-$D22)/365.25))</f>
        <v/>
      </c>
      <c r="H22" s="25"/>
      <c r="I22" s="12"/>
      <c r="J22" s="14" t="str">
        <f aca="false">IF(OR($C22="",$D22="",$B22=""),"",IF(COUNTIFS($C$5:$C$804,$C22,$D$5:$D$804,$D22,$B$5:$B$804,$B22)&gt;1,"Takror",""))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4"/>
      <c r="F23" s="12"/>
      <c r="G23" s="14" t="str">
        <f aca="false">IF(OR($D23="",$B23=""),"",INT(($B23-$D23)/365.25))</f>
        <v/>
      </c>
      <c r="H23" s="25"/>
      <c r="I23" s="12"/>
      <c r="J23" s="14" t="str">
        <f aca="false">IF(OR($C23="",$D23="",$B23=""),"",IF(COUNTIFS($C$5:$C$804,$C23,$D$5:$D$804,$D23,$B$5:$B$804,$B23)&gt;1,"Takror",""))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4"/>
      <c r="F24" s="12"/>
      <c r="G24" s="14" t="str">
        <f aca="false">IF(OR($D24="",$B24=""),"",INT(($B24-$D24)/365.25))</f>
        <v/>
      </c>
      <c r="H24" s="25"/>
      <c r="I24" s="12"/>
      <c r="J24" s="14" t="str">
        <f aca="false">IF(OR($C24="",$D24="",$B24=""),"",IF(COUNTIFS($C$5:$C$804,$C24,$D$5:$D$804,$D24,$B$5:$B$804,$B24)&gt;1,"Takror",""))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4"/>
      <c r="F25" s="12"/>
      <c r="G25" s="14" t="str">
        <f aca="false">IF(OR($D25="",$B25=""),"",INT(($B25-$D25)/365.25))</f>
        <v/>
      </c>
      <c r="H25" s="25"/>
      <c r="I25" s="12"/>
      <c r="J25" s="14" t="str">
        <f aca="false">IF(OR($C25="",$D25="",$B25=""),"",IF(COUNTIFS($C$5:$C$804,$C25,$D$5:$D$804,$D25,$B$5:$B$804,$B25)&gt;1,"Takror",""))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4"/>
      <c r="F26" s="12"/>
      <c r="G26" s="14" t="str">
        <f aca="false">IF(OR($D26="",$B26=""),"",INT(($B26-$D26)/365.25))</f>
        <v/>
      </c>
      <c r="H26" s="25"/>
      <c r="I26" s="12"/>
      <c r="J26" s="14" t="str">
        <f aca="false">IF(OR($C26="",$D26="",$B26=""),"",IF(COUNTIFS($C$5:$C$804,$C26,$D$5:$D$804,$D26,$B$5:$B$804,$B26)&gt;1,"Takror",""))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4"/>
      <c r="F27" s="12"/>
      <c r="G27" s="14" t="str">
        <f aca="false">IF(OR($D27="",$B27=""),"",INT(($B27-$D27)/365.25))</f>
        <v/>
      </c>
      <c r="H27" s="25"/>
      <c r="I27" s="12"/>
      <c r="J27" s="14" t="str">
        <f aca="false">IF(OR($C27="",$D27="",$B27=""),"",IF(COUNTIFS($C$5:$C$804,$C27,$D$5:$D$804,$D27,$B$5:$B$804,$B27)&gt;1,"Takror",""))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4"/>
      <c r="F28" s="12"/>
      <c r="G28" s="14" t="str">
        <f aca="false">IF(OR($D28="",$B28=""),"",INT(($B28-$D28)/365.25))</f>
        <v/>
      </c>
      <c r="H28" s="25"/>
      <c r="I28" s="12"/>
      <c r="J28" s="14" t="str">
        <f aca="false">IF(OR($C28="",$D28="",$B28=""),"",IF(COUNTIFS($C$5:$C$804,$C28,$D$5:$D$804,$D28,$B$5:$B$804,$B28)&gt;1,"Takror",""))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4"/>
      <c r="F29" s="12"/>
      <c r="G29" s="14" t="str">
        <f aca="false">IF(OR($D29="",$B29=""),"",INT(($B29-$D29)/365.25))</f>
        <v/>
      </c>
      <c r="H29" s="25"/>
      <c r="I29" s="12"/>
      <c r="J29" s="14" t="str">
        <f aca="false">IF(OR($C29="",$D29="",$B29=""),"",IF(COUNTIFS($C$5:$C$804,$C29,$D$5:$D$804,$D29,$B$5:$B$804,$B29)&gt;1,"Takror",""))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4"/>
      <c r="F30" s="12"/>
      <c r="G30" s="14" t="str">
        <f aca="false">IF(OR($D30="",$B30=""),"",INT(($B30-$D30)/365.25))</f>
        <v/>
      </c>
      <c r="H30" s="25"/>
      <c r="I30" s="12"/>
      <c r="J30" s="14" t="str">
        <f aca="false">IF(OR($C30="",$D30="",$B30=""),"",IF(COUNTIFS($C$5:$C$804,$C30,$D$5:$D$804,$D30,$B$5:$B$804,$B30)&gt;1,"Takror",""))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4"/>
      <c r="F31" s="12"/>
      <c r="G31" s="14" t="str">
        <f aca="false">IF(OR($D31="",$B31=""),"",INT(($B31-$D31)/365.25))</f>
        <v/>
      </c>
      <c r="H31" s="25"/>
      <c r="I31" s="12"/>
      <c r="J31" s="14" t="str">
        <f aca="false">IF(OR($C31="",$D31="",$B31=""),"",IF(COUNTIFS($C$5:$C$804,$C31,$D$5:$D$804,$D31,$B$5:$B$804,$B31)&gt;1,"Takror",""))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4"/>
      <c r="F32" s="12"/>
      <c r="G32" s="14" t="str">
        <f aca="false">IF(OR($D32="",$B32=""),"",INT(($B32-$D32)/365.25))</f>
        <v/>
      </c>
      <c r="H32" s="25"/>
      <c r="I32" s="12"/>
      <c r="J32" s="14" t="str">
        <f aca="false">IF(OR($C32="",$D32="",$B32=""),"",IF(COUNTIFS($C$5:$C$804,$C32,$D$5:$D$804,$D32,$B$5:$B$804,$B32)&gt;1,"Takror",""))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4"/>
      <c r="F33" s="12"/>
      <c r="G33" s="14" t="str">
        <f aca="false">IF(OR($D33="",$B33=""),"",INT(($B33-$D33)/365.25))</f>
        <v/>
      </c>
      <c r="H33" s="25"/>
      <c r="I33" s="12"/>
      <c r="J33" s="14" t="str">
        <f aca="false">IF(OR($C33="",$D33="",$B33=""),"",IF(COUNTIFS($C$5:$C$804,$C33,$D$5:$D$804,$D33,$B$5:$B$804,$B33)&gt;1,"Takror",""))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4"/>
      <c r="F34" s="12"/>
      <c r="G34" s="14" t="str">
        <f aca="false">IF(OR($D34="",$B34=""),"",INT(($B34-$D34)/365.25))</f>
        <v/>
      </c>
      <c r="H34" s="25"/>
      <c r="I34" s="12"/>
      <c r="J34" s="14" t="str">
        <f aca="false">IF(OR($C34="",$D34="",$B34=""),"",IF(COUNTIFS($C$5:$C$804,$C34,$D$5:$D$804,$D34,$B$5:$B$804,$B34)&gt;1,"Takror",""))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4"/>
      <c r="F35" s="12"/>
      <c r="G35" s="14" t="str">
        <f aca="false">IF(OR($D35="",$B35=""),"",INT(($B35-$D35)/365.25))</f>
        <v/>
      </c>
      <c r="H35" s="25"/>
      <c r="I35" s="12"/>
      <c r="J35" s="14" t="str">
        <f aca="false">IF(OR($C35="",$D35="",$B35=""),"",IF(COUNTIFS($C$5:$C$804,$C35,$D$5:$D$804,$D35,$B$5:$B$804,$B35)&gt;1,"Takror",""))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4"/>
      <c r="F36" s="12"/>
      <c r="G36" s="14" t="str">
        <f aca="false">IF(OR($D36="",$B36=""),"",INT(($B36-$D36)/365.25))</f>
        <v/>
      </c>
      <c r="H36" s="25"/>
      <c r="I36" s="12"/>
      <c r="J36" s="14" t="str">
        <f aca="false">IF(OR($C36="",$D36="",$B36=""),"",IF(COUNTIFS($C$5:$C$804,$C36,$D$5:$D$804,$D36,$B$5:$B$804,$B36)&gt;1,"Takror",""))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4"/>
      <c r="F37" s="12"/>
      <c r="G37" s="14" t="str">
        <f aca="false">IF(OR($D37="",$B37=""),"",INT(($B37-$D37)/365.25))</f>
        <v/>
      </c>
      <c r="H37" s="25"/>
      <c r="I37" s="12"/>
      <c r="J37" s="14" t="str">
        <f aca="false">IF(OR($C37="",$D37="",$B37=""),"",IF(COUNTIFS($C$5:$C$804,$C37,$D$5:$D$804,$D37,$B$5:$B$804,$B37)&gt;1,"Takror",""))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4"/>
      <c r="F38" s="12"/>
      <c r="G38" s="14" t="str">
        <f aca="false">IF(OR($D38="",$B38=""),"",INT(($B38-$D38)/365.25))</f>
        <v/>
      </c>
      <c r="H38" s="25"/>
      <c r="I38" s="12"/>
      <c r="J38" s="14" t="str">
        <f aca="false">IF(OR($C38="",$D38="",$B38=""),"",IF(COUNTIFS($C$5:$C$804,$C38,$D$5:$D$804,$D38,$B$5:$B$804,$B38)&gt;1,"Takror",""))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4"/>
      <c r="F39" s="12"/>
      <c r="G39" s="14" t="str">
        <f aca="false">IF(OR($D39="",$B39=""),"",INT(($B39-$D39)/365.25))</f>
        <v/>
      </c>
      <c r="H39" s="25"/>
      <c r="I39" s="12"/>
      <c r="J39" s="14" t="str">
        <f aca="false">IF(OR($C39="",$D39="",$B39=""),"",IF(COUNTIFS($C$5:$C$804,$C39,$D$5:$D$804,$D39,$B$5:$B$804,$B39)&gt;1,"Takror",""))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4"/>
      <c r="F40" s="12"/>
      <c r="G40" s="14" t="str">
        <f aca="false">IF(OR($D40="",$B40=""),"",INT(($B40-$D40)/365.25))</f>
        <v/>
      </c>
      <c r="H40" s="25"/>
      <c r="I40" s="12"/>
      <c r="J40" s="14" t="str">
        <f aca="false">IF(OR($C40="",$D40="",$B40=""),"",IF(COUNTIFS($C$5:$C$804,$C40,$D$5:$D$804,$D40,$B$5:$B$804,$B40)&gt;1,"Takror",""))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4"/>
      <c r="F41" s="12"/>
      <c r="G41" s="14" t="str">
        <f aca="false">IF(OR($D41="",$B41=""),"",INT(($B41-$D41)/365.25))</f>
        <v/>
      </c>
      <c r="H41" s="25"/>
      <c r="I41" s="12"/>
      <c r="J41" s="14" t="str">
        <f aca="false">IF(OR($C41="",$D41="",$B41=""),"",IF(COUNTIFS($C$5:$C$804,$C41,$D$5:$D$804,$D41,$B$5:$B$804,$B41)&gt;1,"Takror",""))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4"/>
      <c r="F42" s="12"/>
      <c r="G42" s="14" t="str">
        <f aca="false">IF(OR($D42="",$B42=""),"",INT(($B42-$D42)/365.25))</f>
        <v/>
      </c>
      <c r="H42" s="25"/>
      <c r="I42" s="12"/>
      <c r="J42" s="14" t="str">
        <f aca="false">IF(OR($C42="",$D42="",$B42=""),"",IF(COUNTIFS($C$5:$C$804,$C42,$D$5:$D$804,$D42,$B$5:$B$804,$B42)&gt;1,"Takror",""))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4"/>
      <c r="F43" s="12"/>
      <c r="G43" s="14" t="str">
        <f aca="false">IF(OR($D43="",$B43=""),"",INT(($B43-$D43)/365.25))</f>
        <v/>
      </c>
      <c r="H43" s="25"/>
      <c r="I43" s="12"/>
      <c r="J43" s="14" t="str">
        <f aca="false">IF(OR($C43="",$D43="",$B43=""),"",IF(COUNTIFS($C$5:$C$804,$C43,$D$5:$D$804,$D43,$B$5:$B$804,$B43)&gt;1,"Takror",""))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4"/>
      <c r="F44" s="12"/>
      <c r="G44" s="14" t="str">
        <f aca="false">IF(OR($D44="",$B44=""),"",INT(($B44-$D44)/365.25))</f>
        <v/>
      </c>
      <c r="H44" s="25"/>
      <c r="I44" s="12"/>
      <c r="J44" s="14" t="str">
        <f aca="false">IF(OR($C44="",$D44="",$B44=""),"",IF(COUNTIFS($C$5:$C$804,$C44,$D$5:$D$804,$D44,$B$5:$B$804,$B44)&gt;1,"Takror",""))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4"/>
      <c r="F45" s="12"/>
      <c r="G45" s="14" t="str">
        <f aca="false">IF(OR($D45="",$B45=""),"",INT(($B45-$D45)/365.25))</f>
        <v/>
      </c>
      <c r="H45" s="25"/>
      <c r="I45" s="12"/>
      <c r="J45" s="14" t="str">
        <f aca="false">IF(OR($C45="",$D45="",$B45=""),"",IF(COUNTIFS($C$5:$C$804,$C45,$D$5:$D$804,$D45,$B$5:$B$804,$B45)&gt;1,"Takror",""))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4"/>
      <c r="F46" s="12"/>
      <c r="G46" s="14" t="str">
        <f aca="false">IF(OR($D46="",$B46=""),"",INT(($B46-$D46)/365.25))</f>
        <v/>
      </c>
      <c r="H46" s="25"/>
      <c r="I46" s="12"/>
      <c r="J46" s="14" t="str">
        <f aca="false">IF(OR($C46="",$D46="",$B46=""),"",IF(COUNTIFS($C$5:$C$804,$C46,$D$5:$D$804,$D46,$B$5:$B$804,$B46)&gt;1,"Takror",""))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4"/>
      <c r="F47" s="12"/>
      <c r="G47" s="14" t="str">
        <f aca="false">IF(OR($D47="",$B47=""),"",INT(($B47-$D47)/365.25))</f>
        <v/>
      </c>
      <c r="H47" s="25"/>
      <c r="I47" s="12"/>
      <c r="J47" s="14" t="str">
        <f aca="false">IF(OR($C47="",$D47="",$B47=""),"",IF(COUNTIFS($C$5:$C$804,$C47,$D$5:$D$804,$D47,$B$5:$B$804,$B47)&gt;1,"Takror",""))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4"/>
      <c r="F48" s="12"/>
      <c r="G48" s="14" t="str">
        <f aca="false">IF(OR($D48="",$B48=""),"",INT(($B48-$D48)/365.25))</f>
        <v/>
      </c>
      <c r="H48" s="25"/>
      <c r="I48" s="12"/>
      <c r="J48" s="14" t="str">
        <f aca="false">IF(OR($C48="",$D48="",$B48=""),"",IF(COUNTIFS($C$5:$C$804,$C48,$D$5:$D$804,$D48,$B$5:$B$804,$B48)&gt;1,"Takror",""))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4"/>
      <c r="F49" s="12"/>
      <c r="G49" s="14" t="str">
        <f aca="false">IF(OR($D49="",$B49=""),"",INT(($B49-$D49)/365.25))</f>
        <v/>
      </c>
      <c r="H49" s="25"/>
      <c r="I49" s="12"/>
      <c r="J49" s="14" t="str">
        <f aca="false">IF(OR($C49="",$D49="",$B49=""),"",IF(COUNTIFS($C$5:$C$804,$C49,$D$5:$D$804,$D49,$B$5:$B$804,$B49)&gt;1,"Takror",""))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4"/>
      <c r="F50" s="12"/>
      <c r="G50" s="14" t="str">
        <f aca="false">IF(OR($D50="",$B50=""),"",INT(($B50-$D50)/365.25))</f>
        <v/>
      </c>
      <c r="H50" s="25"/>
      <c r="I50" s="12"/>
      <c r="J50" s="14" t="str">
        <f aca="false">IF(OR($C50="",$D50="",$B50=""),"",IF(COUNTIFS($C$5:$C$804,$C50,$D$5:$D$804,$D50,$B$5:$B$804,$B50)&gt;1,"Takror",""))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4"/>
      <c r="F51" s="12"/>
      <c r="G51" s="14" t="str">
        <f aca="false">IF(OR($D51="",$B51=""),"",INT(($B51-$D51)/365.25))</f>
        <v/>
      </c>
      <c r="H51" s="25"/>
      <c r="I51" s="12"/>
      <c r="J51" s="14" t="str">
        <f aca="false">IF(OR($C51="",$D51="",$B51=""),"",IF(COUNTIFS($C$5:$C$804,$C51,$D$5:$D$804,$D51,$B$5:$B$804,$B51)&gt;1,"Takror",""))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4"/>
      <c r="F52" s="12"/>
      <c r="G52" s="14" t="str">
        <f aca="false">IF(OR($D52="",$B52=""),"",INT(($B52-$D52)/365.25))</f>
        <v/>
      </c>
      <c r="H52" s="25"/>
      <c r="I52" s="12"/>
      <c r="J52" s="14" t="str">
        <f aca="false">IF(OR($C52="",$D52="",$B52=""),"",IF(COUNTIFS($C$5:$C$804,$C52,$D$5:$D$804,$D52,$B$5:$B$804,$B52)&gt;1,"Takror",""))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4"/>
      <c r="F53" s="12"/>
      <c r="G53" s="14" t="str">
        <f aca="false">IF(OR($D53="",$B53=""),"",INT(($B53-$D53)/365.25))</f>
        <v/>
      </c>
      <c r="H53" s="25"/>
      <c r="I53" s="12"/>
      <c r="J53" s="14" t="str">
        <f aca="false">IF(OR($C53="",$D53="",$B53=""),"",IF(COUNTIFS($C$5:$C$804,$C53,$D$5:$D$804,$D53,$B$5:$B$804,$B53)&gt;1,"Takror",""))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4"/>
      <c r="F54" s="12"/>
      <c r="G54" s="14" t="str">
        <f aca="false">IF(OR($D54="",$B54=""),"",INT(($B54-$D54)/365.25))</f>
        <v/>
      </c>
      <c r="H54" s="25"/>
      <c r="I54" s="12"/>
      <c r="J54" s="14" t="str">
        <f aca="false">IF(OR($C54="",$D54="",$B54=""),"",IF(COUNTIFS($C$5:$C$804,$C54,$D$5:$D$804,$D54,$B$5:$B$804,$B54)&gt;1,"Takror",""))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4"/>
      <c r="F55" s="12"/>
      <c r="G55" s="14" t="str">
        <f aca="false">IF(OR($D55="",$B55=""),"",INT(($B55-$D55)/365.25))</f>
        <v/>
      </c>
      <c r="H55" s="25"/>
      <c r="I55" s="12"/>
      <c r="J55" s="14" t="str">
        <f aca="false">IF(OR($C55="",$D55="",$B55=""),"",IF(COUNTIFS($C$5:$C$804,$C55,$D$5:$D$804,$D55,$B$5:$B$804,$B55)&gt;1,"Takror",""))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4"/>
      <c r="F56" s="12"/>
      <c r="G56" s="14" t="str">
        <f aca="false">IF(OR($D56="",$B56=""),"",INT(($B56-$D56)/365.25))</f>
        <v/>
      </c>
      <c r="H56" s="25"/>
      <c r="I56" s="12"/>
      <c r="J56" s="14" t="str">
        <f aca="false">IF(OR($C56="",$D56="",$B56=""),"",IF(COUNTIFS($C$5:$C$804,$C56,$D$5:$D$804,$D56,$B$5:$B$804,$B56)&gt;1,"Takror",""))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4"/>
      <c r="F57" s="12"/>
      <c r="G57" s="14" t="str">
        <f aca="false">IF(OR($D57="",$B57=""),"",INT(($B57-$D57)/365.25))</f>
        <v/>
      </c>
      <c r="H57" s="25"/>
      <c r="I57" s="12"/>
      <c r="J57" s="14" t="str">
        <f aca="false">IF(OR($C57="",$D57="",$B57=""),"",IF(COUNTIFS($C$5:$C$804,$C57,$D$5:$D$804,$D57,$B$5:$B$804,$B57)&gt;1,"Takror",""))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4"/>
      <c r="F58" s="12"/>
      <c r="G58" s="14" t="str">
        <f aca="false">IF(OR($D58="",$B58=""),"",INT(($B58-$D58)/365.25))</f>
        <v/>
      </c>
      <c r="H58" s="25"/>
      <c r="I58" s="12"/>
      <c r="J58" s="14" t="str">
        <f aca="false">IF(OR($C58="",$D58="",$B58=""),"",IF(COUNTIFS($C$5:$C$804,$C58,$D$5:$D$804,$D58,$B$5:$B$804,$B58)&gt;1,"Takror",""))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4"/>
      <c r="F59" s="12"/>
      <c r="G59" s="14" t="str">
        <f aca="false">IF(OR($D59="",$B59=""),"",INT(($B59-$D59)/365.25))</f>
        <v/>
      </c>
      <c r="H59" s="25"/>
      <c r="I59" s="12"/>
      <c r="J59" s="14" t="str">
        <f aca="false">IF(OR($C59="",$D59="",$B59=""),"",IF(COUNTIFS($C$5:$C$804,$C59,$D$5:$D$804,$D59,$B$5:$B$804,$B59)&gt;1,"Takror",""))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4"/>
      <c r="F60" s="12"/>
      <c r="G60" s="14" t="str">
        <f aca="false">IF(OR($D60="",$B60=""),"",INT(($B60-$D60)/365.25))</f>
        <v/>
      </c>
      <c r="H60" s="25"/>
      <c r="I60" s="12"/>
      <c r="J60" s="14" t="str">
        <f aca="false">IF(OR($C60="",$D60="",$B60=""),"",IF(COUNTIFS($C$5:$C$804,$C60,$D$5:$D$804,$D60,$B$5:$B$804,$B60)&gt;1,"Takror",""))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4"/>
      <c r="F61" s="12"/>
      <c r="G61" s="14" t="str">
        <f aca="false">IF(OR($D61="",$B61=""),"",INT(($B61-$D61)/365.25))</f>
        <v/>
      </c>
      <c r="H61" s="25"/>
      <c r="I61" s="12"/>
      <c r="J61" s="14" t="str">
        <f aca="false">IF(OR($C61="",$D61="",$B61=""),"",IF(COUNTIFS($C$5:$C$804,$C61,$D$5:$D$804,$D61,$B$5:$B$804,$B61)&gt;1,"Takror",""))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4"/>
      <c r="F62" s="12"/>
      <c r="G62" s="14" t="str">
        <f aca="false">IF(OR($D62="",$B62=""),"",INT(($B62-$D62)/365.25))</f>
        <v/>
      </c>
      <c r="H62" s="25"/>
      <c r="I62" s="12"/>
      <c r="J62" s="14" t="str">
        <f aca="false">IF(OR($C62="",$D62="",$B62=""),"",IF(COUNTIFS($C$5:$C$804,$C62,$D$5:$D$804,$D62,$B$5:$B$804,$B62)&gt;1,"Takror",""))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4"/>
      <c r="F63" s="12"/>
      <c r="G63" s="14" t="str">
        <f aca="false">IF(OR($D63="",$B63=""),"",INT(($B63-$D63)/365.25))</f>
        <v/>
      </c>
      <c r="H63" s="25"/>
      <c r="I63" s="12"/>
      <c r="J63" s="14" t="str">
        <f aca="false">IF(OR($C63="",$D63="",$B63=""),"",IF(COUNTIFS($C$5:$C$804,$C63,$D$5:$D$804,$D63,$B$5:$B$804,$B63)&gt;1,"Takror",""))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4"/>
      <c r="F64" s="12"/>
      <c r="G64" s="14" t="str">
        <f aca="false">IF(OR($D64="",$B64=""),"",INT(($B64-$D64)/365.25))</f>
        <v/>
      </c>
      <c r="H64" s="25"/>
      <c r="I64" s="12"/>
      <c r="J64" s="14" t="str">
        <f aca="false">IF(OR($C64="",$D64="",$B64=""),"",IF(COUNTIFS($C$5:$C$804,$C64,$D$5:$D$804,$D64,$B$5:$B$804,$B64)&gt;1,"Takror",""))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4"/>
      <c r="F65" s="12"/>
      <c r="G65" s="14" t="str">
        <f aca="false">IF(OR($D65="",$B65=""),"",INT(($B65-$D65)/365.25))</f>
        <v/>
      </c>
      <c r="H65" s="25"/>
      <c r="I65" s="12"/>
      <c r="J65" s="14" t="str">
        <f aca="false">IF(OR($C65="",$D65="",$B65=""),"",IF(COUNTIFS($C$5:$C$804,$C65,$D$5:$D$804,$D65,$B$5:$B$804,$B65)&gt;1,"Takror",""))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4"/>
      <c r="F66" s="12"/>
      <c r="G66" s="14" t="str">
        <f aca="false">IF(OR($D66="",$B66=""),"",INT(($B66-$D66)/365.25))</f>
        <v/>
      </c>
      <c r="H66" s="25"/>
      <c r="I66" s="12"/>
      <c r="J66" s="14" t="str">
        <f aca="false">IF(OR($C66="",$D66="",$B66=""),"",IF(COUNTIFS($C$5:$C$804,$C66,$D$5:$D$804,$D66,$B$5:$B$804,$B66)&gt;1,"Takror",""))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4"/>
      <c r="F67" s="12"/>
      <c r="G67" s="14" t="str">
        <f aca="false">IF(OR($D67="",$B67=""),"",INT(($B67-$D67)/365.25))</f>
        <v/>
      </c>
      <c r="H67" s="25"/>
      <c r="I67" s="12"/>
      <c r="J67" s="14" t="str">
        <f aca="false">IF(OR($C67="",$D67="",$B67=""),"",IF(COUNTIFS($C$5:$C$804,$C67,$D$5:$D$804,$D67,$B$5:$B$804,$B67)&gt;1,"Takror",""))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4"/>
      <c r="F68" s="12"/>
      <c r="G68" s="14" t="str">
        <f aca="false">IF(OR($D68="",$B68=""),"",INT(($B68-$D68)/365.25))</f>
        <v/>
      </c>
      <c r="H68" s="25"/>
      <c r="I68" s="12"/>
      <c r="J68" s="14" t="str">
        <f aca="false">IF(OR($C68="",$D68="",$B68=""),"",IF(COUNTIFS($C$5:$C$804,$C68,$D$5:$D$804,$D68,$B$5:$B$804,$B68)&gt;1,"Takror",""))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4"/>
      <c r="F69" s="12"/>
      <c r="G69" s="14" t="str">
        <f aca="false">IF(OR($D69="",$B69=""),"",INT(($B69-$D69)/365.25))</f>
        <v/>
      </c>
      <c r="H69" s="25"/>
      <c r="I69" s="12"/>
      <c r="J69" s="14" t="str">
        <f aca="false">IF(OR($C69="",$D69="",$B69=""),"",IF(COUNTIFS($C$5:$C$804,$C69,$D$5:$D$804,$D69,$B$5:$B$804,$B69)&gt;1,"Takror",""))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4"/>
      <c r="F70" s="12"/>
      <c r="G70" s="14" t="str">
        <f aca="false">IF(OR($D70="",$B70=""),"",INT(($B70-$D70)/365.25))</f>
        <v/>
      </c>
      <c r="H70" s="25"/>
      <c r="I70" s="12"/>
      <c r="J70" s="14" t="str">
        <f aca="false">IF(OR($C70="",$D70="",$B70=""),"",IF(COUNTIFS($C$5:$C$804,$C70,$D$5:$D$804,$D70,$B$5:$B$804,$B70)&gt;1,"Takror",""))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4"/>
      <c r="F71" s="12"/>
      <c r="G71" s="14" t="str">
        <f aca="false">IF(OR($D71="",$B71=""),"",INT(($B71-$D71)/365.25))</f>
        <v/>
      </c>
      <c r="H71" s="25"/>
      <c r="I71" s="12"/>
      <c r="J71" s="14" t="str">
        <f aca="false">IF(OR($C71="",$D71="",$B71=""),"",IF(COUNTIFS($C$5:$C$804,$C71,$D$5:$D$804,$D71,$B$5:$B$804,$B71)&gt;1,"Takror",""))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4"/>
      <c r="F72" s="12"/>
      <c r="G72" s="14" t="str">
        <f aca="false">IF(OR($D72="",$B72=""),"",INT(($B72-$D72)/365.25))</f>
        <v/>
      </c>
      <c r="H72" s="25"/>
      <c r="I72" s="12"/>
      <c r="J72" s="14" t="str">
        <f aca="false">IF(OR($C72="",$D72="",$B72=""),"",IF(COUNTIFS($C$5:$C$804,$C72,$D$5:$D$804,$D72,$B$5:$B$804,$B72)&gt;1,"Takror",""))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4"/>
      <c r="F73" s="12"/>
      <c r="G73" s="14" t="str">
        <f aca="false">IF(OR($D73="",$B73=""),"",INT(($B73-$D73)/365.25))</f>
        <v/>
      </c>
      <c r="H73" s="25"/>
      <c r="I73" s="12"/>
      <c r="J73" s="14" t="str">
        <f aca="false">IF(OR($C73="",$D73="",$B73=""),"",IF(COUNTIFS($C$5:$C$804,$C73,$D$5:$D$804,$D73,$B$5:$B$804,$B73)&gt;1,"Takror",""))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4"/>
      <c r="F74" s="12"/>
      <c r="G74" s="14" t="str">
        <f aca="false">IF(OR($D74="",$B74=""),"",INT(($B74-$D74)/365.25))</f>
        <v/>
      </c>
      <c r="H74" s="25"/>
      <c r="I74" s="12"/>
      <c r="J74" s="14" t="str">
        <f aca="false">IF(OR($C74="",$D74="",$B74=""),"",IF(COUNTIFS($C$5:$C$804,$C74,$D$5:$D$804,$D74,$B$5:$B$804,$B74)&gt;1,"Takror",""))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4"/>
      <c r="F75" s="12"/>
      <c r="G75" s="14" t="str">
        <f aca="false">IF(OR($D75="",$B75=""),"",INT(($B75-$D75)/365.25))</f>
        <v/>
      </c>
      <c r="H75" s="25"/>
      <c r="I75" s="12"/>
      <c r="J75" s="14" t="str">
        <f aca="false">IF(OR($C75="",$D75="",$B75=""),"",IF(COUNTIFS($C$5:$C$804,$C75,$D$5:$D$804,$D75,$B$5:$B$804,$B75)&gt;1,"Takror",""))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4"/>
      <c r="F76" s="12"/>
      <c r="G76" s="14" t="str">
        <f aca="false">IF(OR($D76="",$B76=""),"",INT(($B76-$D76)/365.25))</f>
        <v/>
      </c>
      <c r="H76" s="25"/>
      <c r="I76" s="12"/>
      <c r="J76" s="14" t="str">
        <f aca="false">IF(OR($C76="",$D76="",$B76=""),"",IF(COUNTIFS($C$5:$C$804,$C76,$D$5:$D$804,$D76,$B$5:$B$804,$B76)&gt;1,"Takror",""))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4"/>
      <c r="F77" s="12"/>
      <c r="G77" s="14" t="str">
        <f aca="false">IF(OR($D77="",$B77=""),"",INT(($B77-$D77)/365.25))</f>
        <v/>
      </c>
      <c r="H77" s="25"/>
      <c r="I77" s="12"/>
      <c r="J77" s="14" t="str">
        <f aca="false">IF(OR($C77="",$D77="",$B77=""),"",IF(COUNTIFS($C$5:$C$804,$C77,$D$5:$D$804,$D77,$B$5:$B$804,$B77)&gt;1,"Takror",""))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4"/>
      <c r="F78" s="12"/>
      <c r="G78" s="14" t="str">
        <f aca="false">IF(OR($D78="",$B78=""),"",INT(($B78-$D78)/365.25))</f>
        <v/>
      </c>
      <c r="H78" s="25"/>
      <c r="I78" s="12"/>
      <c r="J78" s="14" t="str">
        <f aca="false">IF(OR($C78="",$D78="",$B78=""),"",IF(COUNTIFS($C$5:$C$804,$C78,$D$5:$D$804,$D78,$B$5:$B$804,$B78)&gt;1,"Takror",""))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4"/>
      <c r="F79" s="12"/>
      <c r="G79" s="14" t="str">
        <f aca="false">IF(OR($D79="",$B79=""),"",INT(($B79-$D79)/365.25))</f>
        <v/>
      </c>
      <c r="H79" s="25"/>
      <c r="I79" s="12"/>
      <c r="J79" s="14" t="str">
        <f aca="false">IF(OR($C79="",$D79="",$B79=""),"",IF(COUNTIFS($C$5:$C$804,$C79,$D$5:$D$804,$D79,$B$5:$B$804,$B79)&gt;1,"Takror",""))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4"/>
      <c r="F80" s="12"/>
      <c r="G80" s="14" t="str">
        <f aca="false">IF(OR($D80="",$B80=""),"",INT(($B80-$D80)/365.25))</f>
        <v/>
      </c>
      <c r="H80" s="25"/>
      <c r="I80" s="12"/>
      <c r="J80" s="14" t="str">
        <f aca="false">IF(OR($C80="",$D80="",$B80=""),"",IF(COUNTIFS($C$5:$C$804,$C80,$D$5:$D$804,$D80,$B$5:$B$804,$B80)&gt;1,"Takror",""))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4"/>
      <c r="F81" s="12"/>
      <c r="G81" s="14" t="str">
        <f aca="false">IF(OR($D81="",$B81=""),"",INT(($B81-$D81)/365.25))</f>
        <v/>
      </c>
      <c r="H81" s="25"/>
      <c r="I81" s="12"/>
      <c r="J81" s="14" t="str">
        <f aca="false">IF(OR($C81="",$D81="",$B81=""),"",IF(COUNTIFS($C$5:$C$804,$C81,$D$5:$D$804,$D81,$B$5:$B$804,$B81)&gt;1,"Takror",""))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4"/>
      <c r="F82" s="12"/>
      <c r="G82" s="14" t="str">
        <f aca="false">IF(OR($D82="",$B82=""),"",INT(($B82-$D82)/365.25))</f>
        <v/>
      </c>
      <c r="H82" s="25"/>
      <c r="I82" s="12"/>
      <c r="J82" s="14" t="str">
        <f aca="false">IF(OR($C82="",$D82="",$B82=""),"",IF(COUNTIFS($C$5:$C$804,$C82,$D$5:$D$804,$D82,$B$5:$B$804,$B82)&gt;1,"Takror",""))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4"/>
      <c r="F83" s="12"/>
      <c r="G83" s="14" t="str">
        <f aca="false">IF(OR($D83="",$B83=""),"",INT(($B83-$D83)/365.25))</f>
        <v/>
      </c>
      <c r="H83" s="25"/>
      <c r="I83" s="12"/>
      <c r="J83" s="14" t="str">
        <f aca="false">IF(OR($C83="",$D83="",$B83=""),"",IF(COUNTIFS($C$5:$C$804,$C83,$D$5:$D$804,$D83,$B$5:$B$804,$B83)&gt;1,"Takror",""))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4"/>
      <c r="F84" s="12"/>
      <c r="G84" s="14" t="str">
        <f aca="false">IF(OR($D84="",$B84=""),"",INT(($B84-$D84)/365.25))</f>
        <v/>
      </c>
      <c r="H84" s="25"/>
      <c r="I84" s="12"/>
      <c r="J84" s="14" t="str">
        <f aca="false">IF(OR($C84="",$D84="",$B84=""),"",IF(COUNTIFS($C$5:$C$804,$C84,$D$5:$D$804,$D84,$B$5:$B$804,$B84)&gt;1,"Takror",""))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4"/>
      <c r="F85" s="12"/>
      <c r="G85" s="14" t="str">
        <f aca="false">IF(OR($D85="",$B85=""),"",INT(($B85-$D85)/365.25))</f>
        <v/>
      </c>
      <c r="H85" s="25"/>
      <c r="I85" s="12"/>
      <c r="J85" s="14" t="str">
        <f aca="false">IF(OR($C85="",$D85="",$B85=""),"",IF(COUNTIFS($C$5:$C$804,$C85,$D$5:$D$804,$D85,$B$5:$B$804,$B85)&gt;1,"Takror",""))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4"/>
      <c r="F86" s="12"/>
      <c r="G86" s="14" t="str">
        <f aca="false">IF(OR($D86="",$B86=""),"",INT(($B86-$D86)/365.25))</f>
        <v/>
      </c>
      <c r="H86" s="25"/>
      <c r="I86" s="12"/>
      <c r="J86" s="14" t="str">
        <f aca="false">IF(OR($C86="",$D86="",$B86=""),"",IF(COUNTIFS($C$5:$C$804,$C86,$D$5:$D$804,$D86,$B$5:$B$804,$B86)&gt;1,"Takror",""))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4"/>
      <c r="F87" s="12"/>
      <c r="G87" s="14" t="str">
        <f aca="false">IF(OR($D87="",$B87=""),"",INT(($B87-$D87)/365.25))</f>
        <v/>
      </c>
      <c r="H87" s="25"/>
      <c r="I87" s="12"/>
      <c r="J87" s="14" t="str">
        <f aca="false">IF(OR($C87="",$D87="",$B87=""),"",IF(COUNTIFS($C$5:$C$804,$C87,$D$5:$D$804,$D87,$B$5:$B$804,$B87)&gt;1,"Takror",""))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4"/>
      <c r="F88" s="12"/>
      <c r="G88" s="14" t="str">
        <f aca="false">IF(OR($D88="",$B88=""),"",INT(($B88-$D88)/365.25))</f>
        <v/>
      </c>
      <c r="H88" s="25"/>
      <c r="I88" s="12"/>
      <c r="J88" s="14" t="str">
        <f aca="false">IF(OR($C88="",$D88="",$B88=""),"",IF(COUNTIFS($C$5:$C$804,$C88,$D$5:$D$804,$D88,$B$5:$B$804,$B88)&gt;1,"Takror",""))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4"/>
      <c r="F89" s="12"/>
      <c r="G89" s="14" t="str">
        <f aca="false">IF(OR($D89="",$B89=""),"",INT(($B89-$D89)/365.25))</f>
        <v/>
      </c>
      <c r="H89" s="25"/>
      <c r="I89" s="12"/>
      <c r="J89" s="14" t="str">
        <f aca="false">IF(OR($C89="",$D89="",$B89=""),"",IF(COUNTIFS($C$5:$C$804,$C89,$D$5:$D$804,$D89,$B$5:$B$804,$B89)&gt;1,"Takror",""))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4"/>
      <c r="F90" s="12"/>
      <c r="G90" s="14" t="str">
        <f aca="false">IF(OR($D90="",$B90=""),"",INT(($B90-$D90)/365.25))</f>
        <v/>
      </c>
      <c r="H90" s="25"/>
      <c r="I90" s="12"/>
      <c r="J90" s="14" t="str">
        <f aca="false">IF(OR($C90="",$D90="",$B90=""),"",IF(COUNTIFS($C$5:$C$804,$C90,$D$5:$D$804,$D90,$B$5:$B$804,$B90)&gt;1,"Takror",""))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4"/>
      <c r="F91" s="12"/>
      <c r="G91" s="14" t="str">
        <f aca="false">IF(OR($D91="",$B91=""),"",INT(($B91-$D91)/365.25))</f>
        <v/>
      </c>
      <c r="H91" s="25"/>
      <c r="I91" s="12"/>
      <c r="J91" s="14" t="str">
        <f aca="false">IF(OR($C91="",$D91="",$B91=""),"",IF(COUNTIFS($C$5:$C$804,$C91,$D$5:$D$804,$D91,$B$5:$B$804,$B91)&gt;1,"Takror",""))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4"/>
      <c r="F92" s="12"/>
      <c r="G92" s="14" t="str">
        <f aca="false">IF(OR($D92="",$B92=""),"",INT(($B92-$D92)/365.25))</f>
        <v/>
      </c>
      <c r="H92" s="25"/>
      <c r="I92" s="12"/>
      <c r="J92" s="14" t="str">
        <f aca="false">IF(OR($C92="",$D92="",$B92=""),"",IF(COUNTIFS($C$5:$C$804,$C92,$D$5:$D$804,$D92,$B$5:$B$804,$B92)&gt;1,"Takror",""))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4"/>
      <c r="F93" s="12"/>
      <c r="G93" s="14" t="str">
        <f aca="false">IF(OR($D93="",$B93=""),"",INT(($B93-$D93)/365.25))</f>
        <v/>
      </c>
      <c r="H93" s="25"/>
      <c r="I93" s="12"/>
      <c r="J93" s="14" t="str">
        <f aca="false">IF(OR($C93="",$D93="",$B93=""),"",IF(COUNTIFS($C$5:$C$804,$C93,$D$5:$D$804,$D93,$B$5:$B$804,$B93)&gt;1,"Takror",""))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4"/>
      <c r="F94" s="12"/>
      <c r="G94" s="14" t="str">
        <f aca="false">IF(OR($D94="",$B94=""),"",INT(($B94-$D94)/365.25))</f>
        <v/>
      </c>
      <c r="H94" s="25"/>
      <c r="I94" s="12"/>
      <c r="J94" s="14" t="str">
        <f aca="false">IF(OR($C94="",$D94="",$B94=""),"",IF(COUNTIFS($C$5:$C$804,$C94,$D$5:$D$804,$D94,$B$5:$B$804,$B94)&gt;1,"Takror",""))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4"/>
      <c r="F95" s="12"/>
      <c r="G95" s="14" t="str">
        <f aca="false">IF(OR($D95="",$B95=""),"",INT(($B95-$D95)/365.25))</f>
        <v/>
      </c>
      <c r="H95" s="25"/>
      <c r="I95" s="12"/>
      <c r="J95" s="14" t="str">
        <f aca="false">IF(OR($C95="",$D95="",$B95=""),"",IF(COUNTIFS($C$5:$C$804,$C95,$D$5:$D$804,$D95,$B$5:$B$804,$B95)&gt;1,"Takror",""))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4"/>
      <c r="F96" s="12"/>
      <c r="G96" s="14" t="str">
        <f aca="false">IF(OR($D96="",$B96=""),"",INT(($B96-$D96)/365.25))</f>
        <v/>
      </c>
      <c r="H96" s="25"/>
      <c r="I96" s="12"/>
      <c r="J96" s="14" t="str">
        <f aca="false">IF(OR($C96="",$D96="",$B96=""),"",IF(COUNTIFS($C$5:$C$804,$C96,$D$5:$D$804,$D96,$B$5:$B$804,$B96)&gt;1,"Takror",""))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4"/>
      <c r="F97" s="12"/>
      <c r="G97" s="14" t="str">
        <f aca="false">IF(OR($D97="",$B97=""),"",INT(($B97-$D97)/365.25))</f>
        <v/>
      </c>
      <c r="H97" s="25"/>
      <c r="I97" s="12"/>
      <c r="J97" s="14" t="str">
        <f aca="false">IF(OR($C97="",$D97="",$B97=""),"",IF(COUNTIFS($C$5:$C$804,$C97,$D$5:$D$804,$D97,$B$5:$B$804,$B97)&gt;1,"Takror",""))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4"/>
      <c r="F98" s="12"/>
      <c r="G98" s="14" t="str">
        <f aca="false">IF(OR($D98="",$B98=""),"",INT(($B98-$D98)/365.25))</f>
        <v/>
      </c>
      <c r="H98" s="25"/>
      <c r="I98" s="12"/>
      <c r="J98" s="14" t="str">
        <f aca="false">IF(OR($C98="",$D98="",$B98=""),"",IF(COUNTIFS($C$5:$C$804,$C98,$D$5:$D$804,$D98,$B$5:$B$804,$B98)&gt;1,"Takror",""))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4"/>
      <c r="F99" s="12"/>
      <c r="G99" s="14" t="str">
        <f aca="false">IF(OR($D99="",$B99=""),"",INT(($B99-$D99)/365.25))</f>
        <v/>
      </c>
      <c r="H99" s="25"/>
      <c r="I99" s="12"/>
      <c r="J99" s="14" t="str">
        <f aca="false">IF(OR($C99="",$D99="",$B99=""),"",IF(COUNTIFS($C$5:$C$804,$C99,$D$5:$D$804,$D99,$B$5:$B$804,$B99)&gt;1,"Takror",""))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4"/>
      <c r="F100" s="12"/>
      <c r="G100" s="14" t="str">
        <f aca="false">IF(OR($D100="",$B100=""),"",INT(($B100-$D100)/365.25))</f>
        <v/>
      </c>
      <c r="H100" s="25"/>
      <c r="I100" s="12"/>
      <c r="J100" s="14" t="str">
        <f aca="false">IF(OR($C100="",$D100="",$B100=""),"",IF(COUNTIFS($C$5:$C$804,$C100,$D$5:$D$804,$D100,$B$5:$B$804,$B100)&gt;1,"Takror",""))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4"/>
      <c r="F101" s="12"/>
      <c r="G101" s="14" t="str">
        <f aca="false">IF(OR($D101="",$B101=""),"",INT(($B101-$D101)/365.25))</f>
        <v/>
      </c>
      <c r="H101" s="25"/>
      <c r="I101" s="12"/>
      <c r="J101" s="14" t="str">
        <f aca="false">IF(OR($C101="",$D101="",$B101=""),"",IF(COUNTIFS($C$5:$C$804,$C101,$D$5:$D$804,$D101,$B$5:$B$804,$B101)&gt;1,"Takror",""))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4"/>
      <c r="F102" s="12"/>
      <c r="G102" s="14" t="str">
        <f aca="false">IF(OR($D102="",$B102=""),"",INT(($B102-$D102)/365.25))</f>
        <v/>
      </c>
      <c r="H102" s="25"/>
      <c r="I102" s="12"/>
      <c r="J102" s="14" t="str">
        <f aca="false">IF(OR($C102="",$D102="",$B102=""),"",IF(COUNTIFS($C$5:$C$804,$C102,$D$5:$D$804,$D102,$B$5:$B$804,$B102)&gt;1,"Takror",""))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4"/>
      <c r="F103" s="12"/>
      <c r="G103" s="14" t="str">
        <f aca="false">IF(OR($D103="",$B103=""),"",INT(($B103-$D103)/365.25))</f>
        <v/>
      </c>
      <c r="H103" s="25"/>
      <c r="I103" s="12"/>
      <c r="J103" s="14" t="str">
        <f aca="false">IF(OR($C103="",$D103="",$B103=""),"",IF(COUNTIFS($C$5:$C$804,$C103,$D$5:$D$804,$D103,$B$5:$B$804,$B103)&gt;1,"Takror",""))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4"/>
      <c r="F104" s="12"/>
      <c r="G104" s="14" t="str">
        <f aca="false">IF(OR($D104="",$B104=""),"",INT(($B104-$D104)/365.25))</f>
        <v/>
      </c>
      <c r="H104" s="25"/>
      <c r="I104" s="12"/>
      <c r="J104" s="14" t="str">
        <f aca="false">IF(OR($C104="",$D104="",$B104=""),"",IF(COUNTIFS($C$5:$C$804,$C104,$D$5:$D$804,$D104,$B$5:$B$804,$B104)&gt;1,"Takror",""))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4"/>
      <c r="F105" s="12"/>
      <c r="G105" s="14" t="str">
        <f aca="false">IF(OR($D105="",$B105=""),"",INT(($B105-$D105)/365.25))</f>
        <v/>
      </c>
      <c r="H105" s="25"/>
      <c r="I105" s="12"/>
      <c r="J105" s="14" t="str">
        <f aca="false">IF(OR($C105="",$D105="",$B105=""),"",IF(COUNTIFS($C$5:$C$804,$C105,$D$5:$D$804,$D105,$B$5:$B$804,$B105)&gt;1,"Takror",""))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4"/>
      <c r="F106" s="12"/>
      <c r="G106" s="14" t="str">
        <f aca="false">IF(OR($D106="",$B106=""),"",INT(($B106-$D106)/365.25))</f>
        <v/>
      </c>
      <c r="H106" s="25"/>
      <c r="I106" s="12"/>
      <c r="J106" s="14" t="str">
        <f aca="false">IF(OR($C106="",$D106="",$B106=""),"",IF(COUNTIFS($C$5:$C$804,$C106,$D$5:$D$804,$D106,$B$5:$B$804,$B106)&gt;1,"Takror",""))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4"/>
      <c r="F107" s="12"/>
      <c r="G107" s="14" t="str">
        <f aca="false">IF(OR($D107="",$B107=""),"",INT(($B107-$D107)/365.25))</f>
        <v/>
      </c>
      <c r="H107" s="25"/>
      <c r="I107" s="12"/>
      <c r="J107" s="14" t="str">
        <f aca="false">IF(OR($C107="",$D107="",$B107=""),"",IF(COUNTIFS($C$5:$C$804,$C107,$D$5:$D$804,$D107,$B$5:$B$804,$B107)&gt;1,"Takror",""))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4"/>
      <c r="F108" s="12"/>
      <c r="G108" s="14" t="str">
        <f aca="false">IF(OR($D108="",$B108=""),"",INT(($B108-$D108)/365.25))</f>
        <v/>
      </c>
      <c r="H108" s="25"/>
      <c r="I108" s="12"/>
      <c r="J108" s="14" t="str">
        <f aca="false">IF(OR($C108="",$D108="",$B108=""),"",IF(COUNTIFS($C$5:$C$804,$C108,$D$5:$D$804,$D108,$B$5:$B$804,$B108)&gt;1,"Takror",""))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4"/>
      <c r="F109" s="12"/>
      <c r="G109" s="14" t="str">
        <f aca="false">IF(OR($D109="",$B109=""),"",INT(($B109-$D109)/365.25))</f>
        <v/>
      </c>
      <c r="H109" s="25"/>
      <c r="I109" s="12"/>
      <c r="J109" s="14" t="str">
        <f aca="false">IF(OR($C109="",$D109="",$B109=""),"",IF(COUNTIFS($C$5:$C$804,$C109,$D$5:$D$804,$D109,$B$5:$B$804,$B109)&gt;1,"Takror",""))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4"/>
      <c r="F110" s="12"/>
      <c r="G110" s="14" t="str">
        <f aca="false">IF(OR($D110="",$B110=""),"",INT(($B110-$D110)/365.25))</f>
        <v/>
      </c>
      <c r="H110" s="25"/>
      <c r="I110" s="12"/>
      <c r="J110" s="14" t="str">
        <f aca="false">IF(OR($C110="",$D110="",$B110=""),"",IF(COUNTIFS($C$5:$C$804,$C110,$D$5:$D$804,$D110,$B$5:$B$804,$B110)&gt;1,"Takror",""))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4"/>
      <c r="F111" s="12"/>
      <c r="G111" s="14" t="str">
        <f aca="false">IF(OR($D111="",$B111=""),"",INT(($B111-$D111)/365.25))</f>
        <v/>
      </c>
      <c r="H111" s="25"/>
      <c r="I111" s="12"/>
      <c r="J111" s="14" t="str">
        <f aca="false">IF(OR($C111="",$D111="",$B111=""),"",IF(COUNTIFS($C$5:$C$804,$C111,$D$5:$D$804,$D111,$B$5:$B$804,$B111)&gt;1,"Takror",""))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4"/>
      <c r="F112" s="12"/>
      <c r="G112" s="14" t="str">
        <f aca="false">IF(OR($D112="",$B112=""),"",INT(($B112-$D112)/365.25))</f>
        <v/>
      </c>
      <c r="H112" s="25"/>
      <c r="I112" s="12"/>
      <c r="J112" s="14" t="str">
        <f aca="false">IF(OR($C112="",$D112="",$B112=""),"",IF(COUNTIFS($C$5:$C$804,$C112,$D$5:$D$804,$D112,$B$5:$B$804,$B112)&gt;1,"Takror",""))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4"/>
      <c r="F113" s="12"/>
      <c r="G113" s="14" t="str">
        <f aca="false">IF(OR($D113="",$B113=""),"",INT(($B113-$D113)/365.25))</f>
        <v/>
      </c>
      <c r="H113" s="25"/>
      <c r="I113" s="12"/>
      <c r="J113" s="14" t="str">
        <f aca="false">IF(OR($C113="",$D113="",$B113=""),"",IF(COUNTIFS($C$5:$C$804,$C113,$D$5:$D$804,$D113,$B$5:$B$804,$B113)&gt;1,"Takror",""))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4"/>
      <c r="F114" s="12"/>
      <c r="G114" s="14" t="str">
        <f aca="false">IF(OR($D114="",$B114=""),"",INT(($B114-$D114)/365.25))</f>
        <v/>
      </c>
      <c r="H114" s="25"/>
      <c r="I114" s="12"/>
      <c r="J114" s="14" t="str">
        <f aca="false">IF(OR($C114="",$D114="",$B114=""),"",IF(COUNTIFS($C$5:$C$804,$C114,$D$5:$D$804,$D114,$B$5:$B$804,$B114)&gt;1,"Takror",""))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4"/>
      <c r="F115" s="12"/>
      <c r="G115" s="14" t="str">
        <f aca="false">IF(OR($D115="",$B115=""),"",INT(($B115-$D115)/365.25))</f>
        <v/>
      </c>
      <c r="H115" s="25"/>
      <c r="I115" s="12"/>
      <c r="J115" s="14" t="str">
        <f aca="false">IF(OR($C115="",$D115="",$B115=""),"",IF(COUNTIFS($C$5:$C$804,$C115,$D$5:$D$804,$D115,$B$5:$B$804,$B115)&gt;1,"Takror",""))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4"/>
      <c r="F116" s="12"/>
      <c r="G116" s="14" t="str">
        <f aca="false">IF(OR($D116="",$B116=""),"",INT(($B116-$D116)/365.25))</f>
        <v/>
      </c>
      <c r="H116" s="25"/>
      <c r="I116" s="12"/>
      <c r="J116" s="14" t="str">
        <f aca="false">IF(OR($C116="",$D116="",$B116=""),"",IF(COUNTIFS($C$5:$C$804,$C116,$D$5:$D$804,$D116,$B$5:$B$804,$B116)&gt;1,"Takror",""))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4"/>
      <c r="F117" s="12"/>
      <c r="G117" s="14" t="str">
        <f aca="false">IF(OR($D117="",$B117=""),"",INT(($B117-$D117)/365.25))</f>
        <v/>
      </c>
      <c r="H117" s="25"/>
      <c r="I117" s="12"/>
      <c r="J117" s="14" t="str">
        <f aca="false">IF(OR($C117="",$D117="",$B117=""),"",IF(COUNTIFS($C$5:$C$804,$C117,$D$5:$D$804,$D117,$B$5:$B$804,$B117)&gt;1,"Takror",""))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4"/>
      <c r="F118" s="12"/>
      <c r="G118" s="14" t="str">
        <f aca="false">IF(OR($D118="",$B118=""),"",INT(($B118-$D118)/365.25))</f>
        <v/>
      </c>
      <c r="H118" s="25"/>
      <c r="I118" s="12"/>
      <c r="J118" s="14" t="str">
        <f aca="false">IF(OR($C118="",$D118="",$B118=""),"",IF(COUNTIFS($C$5:$C$804,$C118,$D$5:$D$804,$D118,$B$5:$B$804,$B118)&gt;1,"Takror",""))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4"/>
      <c r="F119" s="12"/>
      <c r="G119" s="14" t="str">
        <f aca="false">IF(OR($D119="",$B119=""),"",INT(($B119-$D119)/365.25))</f>
        <v/>
      </c>
      <c r="H119" s="25"/>
      <c r="I119" s="12"/>
      <c r="J119" s="14" t="str">
        <f aca="false">IF(OR($C119="",$D119="",$B119=""),"",IF(COUNTIFS($C$5:$C$804,$C119,$D$5:$D$804,$D119,$B$5:$B$804,$B119)&gt;1,"Takror",""))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4"/>
      <c r="F120" s="12"/>
      <c r="G120" s="14" t="str">
        <f aca="false">IF(OR($D120="",$B120=""),"",INT(($B120-$D120)/365.25))</f>
        <v/>
      </c>
      <c r="H120" s="25"/>
      <c r="I120" s="12"/>
      <c r="J120" s="14" t="str">
        <f aca="false">IF(OR($C120="",$D120="",$B120=""),"",IF(COUNTIFS($C$5:$C$804,$C120,$D$5:$D$804,$D120,$B$5:$B$804,$B120)&gt;1,"Takror",""))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4"/>
      <c r="F121" s="12"/>
      <c r="G121" s="14" t="str">
        <f aca="false">IF(OR($D121="",$B121=""),"",INT(($B121-$D121)/365.25))</f>
        <v/>
      </c>
      <c r="H121" s="25"/>
      <c r="I121" s="12"/>
      <c r="J121" s="14" t="str">
        <f aca="false">IF(OR($C121="",$D121="",$B121=""),"",IF(COUNTIFS($C$5:$C$804,$C121,$D$5:$D$804,$D121,$B$5:$B$804,$B121)&gt;1,"Takror",""))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4"/>
      <c r="F122" s="12"/>
      <c r="G122" s="14" t="str">
        <f aca="false">IF(OR($D122="",$B122=""),"",INT(($B122-$D122)/365.25))</f>
        <v/>
      </c>
      <c r="H122" s="25"/>
      <c r="I122" s="12"/>
      <c r="J122" s="14" t="str">
        <f aca="false">IF(OR($C122="",$D122="",$B122=""),"",IF(COUNTIFS($C$5:$C$804,$C122,$D$5:$D$804,$D122,$B$5:$B$804,$B122)&gt;1,"Takror",""))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4"/>
      <c r="F123" s="12"/>
      <c r="G123" s="14" t="str">
        <f aca="false">IF(OR($D123="",$B123=""),"",INT(($B123-$D123)/365.25))</f>
        <v/>
      </c>
      <c r="H123" s="25"/>
      <c r="I123" s="12"/>
      <c r="J123" s="14" t="str">
        <f aca="false">IF(OR($C123="",$D123="",$B123=""),"",IF(COUNTIFS($C$5:$C$804,$C123,$D$5:$D$804,$D123,$B$5:$B$804,$B123)&gt;1,"Takror",""))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4"/>
      <c r="F124" s="12"/>
      <c r="G124" s="14" t="str">
        <f aca="false">IF(OR($D124="",$B124=""),"",INT(($B124-$D124)/365.25))</f>
        <v/>
      </c>
      <c r="H124" s="25"/>
      <c r="I124" s="12"/>
      <c r="J124" s="14" t="str">
        <f aca="false">IF(OR($C124="",$D124="",$B124=""),"",IF(COUNTIFS($C$5:$C$804,$C124,$D$5:$D$804,$D124,$B$5:$B$804,$B124)&gt;1,"Takror",""))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4"/>
      <c r="F125" s="12"/>
      <c r="G125" s="14" t="str">
        <f aca="false">IF(OR($D125="",$B125=""),"",INT(($B125-$D125)/365.25))</f>
        <v/>
      </c>
      <c r="H125" s="25"/>
      <c r="I125" s="12"/>
      <c r="J125" s="14" t="str">
        <f aca="false">IF(OR($C125="",$D125="",$B125=""),"",IF(COUNTIFS($C$5:$C$804,$C125,$D$5:$D$804,$D125,$B$5:$B$804,$B125)&gt;1,"Takror",""))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4"/>
      <c r="F126" s="12"/>
      <c r="G126" s="14" t="str">
        <f aca="false">IF(OR($D126="",$B126=""),"",INT(($B126-$D126)/365.25))</f>
        <v/>
      </c>
      <c r="H126" s="25"/>
      <c r="I126" s="12"/>
      <c r="J126" s="14" t="str">
        <f aca="false">IF(OR($C126="",$D126="",$B126=""),"",IF(COUNTIFS($C$5:$C$804,$C126,$D$5:$D$804,$D126,$B$5:$B$804,$B126)&gt;1,"Takror",""))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4"/>
      <c r="F127" s="12"/>
      <c r="G127" s="14" t="str">
        <f aca="false">IF(OR($D127="",$B127=""),"",INT(($B127-$D127)/365.25))</f>
        <v/>
      </c>
      <c r="H127" s="25"/>
      <c r="I127" s="12"/>
      <c r="J127" s="14" t="str">
        <f aca="false">IF(OR($C127="",$D127="",$B127=""),"",IF(COUNTIFS($C$5:$C$804,$C127,$D$5:$D$804,$D127,$B$5:$B$804,$B127)&gt;1,"Takror",""))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4"/>
      <c r="F128" s="12"/>
      <c r="G128" s="14" t="str">
        <f aca="false">IF(OR($D128="",$B128=""),"",INT(($B128-$D128)/365.25))</f>
        <v/>
      </c>
      <c r="H128" s="25"/>
      <c r="I128" s="12"/>
      <c r="J128" s="14" t="str">
        <f aca="false">IF(OR($C128="",$D128="",$B128=""),"",IF(COUNTIFS($C$5:$C$804,$C128,$D$5:$D$804,$D128,$B$5:$B$804,$B128)&gt;1,"Takror",""))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4"/>
      <c r="F129" s="12"/>
      <c r="G129" s="14" t="str">
        <f aca="false">IF(OR($D129="",$B129=""),"",INT(($B129-$D129)/365.25))</f>
        <v/>
      </c>
      <c r="H129" s="25"/>
      <c r="I129" s="12"/>
      <c r="J129" s="14" t="str">
        <f aca="false">IF(OR($C129="",$D129="",$B129=""),"",IF(COUNTIFS($C$5:$C$804,$C129,$D$5:$D$804,$D129,$B$5:$B$804,$B129)&gt;1,"Takror",""))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4"/>
      <c r="F130" s="12"/>
      <c r="G130" s="14" t="str">
        <f aca="false">IF(OR($D130="",$B130=""),"",INT(($B130-$D130)/365.25))</f>
        <v/>
      </c>
      <c r="H130" s="25"/>
      <c r="I130" s="12"/>
      <c r="J130" s="14" t="str">
        <f aca="false">IF(OR($C130="",$D130="",$B130=""),"",IF(COUNTIFS($C$5:$C$804,$C130,$D$5:$D$804,$D130,$B$5:$B$804,$B130)&gt;1,"Takror",""))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4"/>
      <c r="F131" s="12"/>
      <c r="G131" s="14" t="str">
        <f aca="false">IF(OR($D131="",$B131=""),"",INT(($B131-$D131)/365.25))</f>
        <v/>
      </c>
      <c r="H131" s="25"/>
      <c r="I131" s="12"/>
      <c r="J131" s="14" t="str">
        <f aca="false">IF(OR($C131="",$D131="",$B131=""),"",IF(COUNTIFS($C$5:$C$804,$C131,$D$5:$D$804,$D131,$B$5:$B$804,$B131)&gt;1,"Takror",""))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4"/>
      <c r="F132" s="12"/>
      <c r="G132" s="14" t="str">
        <f aca="false">IF(OR($D132="",$B132=""),"",INT(($B132-$D132)/365.25))</f>
        <v/>
      </c>
      <c r="H132" s="25"/>
      <c r="I132" s="12"/>
      <c r="J132" s="14" t="str">
        <f aca="false">IF(OR($C132="",$D132="",$B132=""),"",IF(COUNTIFS($C$5:$C$804,$C132,$D$5:$D$804,$D132,$B$5:$B$804,$B132)&gt;1,"Takror",""))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4"/>
      <c r="F133" s="12"/>
      <c r="G133" s="14" t="str">
        <f aca="false">IF(OR($D133="",$B133=""),"",INT(($B133-$D133)/365.25))</f>
        <v/>
      </c>
      <c r="H133" s="25"/>
      <c r="I133" s="12"/>
      <c r="J133" s="14" t="str">
        <f aca="false">IF(OR($C133="",$D133="",$B133=""),"",IF(COUNTIFS($C$5:$C$804,$C133,$D$5:$D$804,$D133,$B$5:$B$804,$B133)&gt;1,"Takror",""))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4"/>
      <c r="F134" s="12"/>
      <c r="G134" s="14" t="str">
        <f aca="false">IF(OR($D134="",$B134=""),"",INT(($B134-$D134)/365.25))</f>
        <v/>
      </c>
      <c r="H134" s="25"/>
      <c r="I134" s="12"/>
      <c r="J134" s="14" t="str">
        <f aca="false">IF(OR($C134="",$D134="",$B134=""),"",IF(COUNTIFS($C$5:$C$804,$C134,$D$5:$D$804,$D134,$B$5:$B$804,$B134)&gt;1,"Takror",""))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4"/>
      <c r="F135" s="12"/>
      <c r="G135" s="14" t="str">
        <f aca="false">IF(OR($D135="",$B135=""),"",INT(($B135-$D135)/365.25))</f>
        <v/>
      </c>
      <c r="H135" s="25"/>
      <c r="I135" s="12"/>
      <c r="J135" s="14" t="str">
        <f aca="false">IF(OR($C135="",$D135="",$B135=""),"",IF(COUNTIFS($C$5:$C$804,$C135,$D$5:$D$804,$D135,$B$5:$B$804,$B135)&gt;1,"Takror",""))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4"/>
      <c r="F136" s="12"/>
      <c r="G136" s="14" t="str">
        <f aca="false">IF(OR($D136="",$B136=""),"",INT(($B136-$D136)/365.25))</f>
        <v/>
      </c>
      <c r="H136" s="25"/>
      <c r="I136" s="12"/>
      <c r="J136" s="14" t="str">
        <f aca="false">IF(OR($C136="",$D136="",$B136=""),"",IF(COUNTIFS($C$5:$C$804,$C136,$D$5:$D$804,$D136,$B$5:$B$804,$B136)&gt;1,"Takror",""))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4"/>
      <c r="F137" s="12"/>
      <c r="G137" s="14" t="str">
        <f aca="false">IF(OR($D137="",$B137=""),"",INT(($B137-$D137)/365.25))</f>
        <v/>
      </c>
      <c r="H137" s="25"/>
      <c r="I137" s="12"/>
      <c r="J137" s="14" t="str">
        <f aca="false">IF(OR($C137="",$D137="",$B137=""),"",IF(COUNTIFS($C$5:$C$804,$C137,$D$5:$D$804,$D137,$B$5:$B$804,$B137)&gt;1,"Takror",""))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4"/>
      <c r="F138" s="12"/>
      <c r="G138" s="14" t="str">
        <f aca="false">IF(OR($D138="",$B138=""),"",INT(($B138-$D138)/365.25))</f>
        <v/>
      </c>
      <c r="H138" s="25"/>
      <c r="I138" s="12"/>
      <c r="J138" s="14" t="str">
        <f aca="false">IF(OR($C138="",$D138="",$B138=""),"",IF(COUNTIFS($C$5:$C$804,$C138,$D$5:$D$804,$D138,$B$5:$B$804,$B138)&gt;1,"Takror",""))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4"/>
      <c r="F139" s="12"/>
      <c r="G139" s="14" t="str">
        <f aca="false">IF(OR($D139="",$B139=""),"",INT(($B139-$D139)/365.25))</f>
        <v/>
      </c>
      <c r="H139" s="25"/>
      <c r="I139" s="12"/>
      <c r="J139" s="14" t="str">
        <f aca="false">IF(OR($C139="",$D139="",$B139=""),"",IF(COUNTIFS($C$5:$C$804,$C139,$D$5:$D$804,$D139,$B$5:$B$804,$B139)&gt;1,"Takror",""))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4"/>
      <c r="F140" s="12"/>
      <c r="G140" s="14" t="str">
        <f aca="false">IF(OR($D140="",$B140=""),"",INT(($B140-$D140)/365.25))</f>
        <v/>
      </c>
      <c r="H140" s="25"/>
      <c r="I140" s="12"/>
      <c r="J140" s="14" t="str">
        <f aca="false">IF(OR($C140="",$D140="",$B140=""),"",IF(COUNTIFS($C$5:$C$804,$C140,$D$5:$D$804,$D140,$B$5:$B$804,$B140)&gt;1,"Takror",""))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4"/>
      <c r="F141" s="12"/>
      <c r="G141" s="14" t="str">
        <f aca="false">IF(OR($D141="",$B141=""),"",INT(($B141-$D141)/365.25))</f>
        <v/>
      </c>
      <c r="H141" s="25"/>
      <c r="I141" s="12"/>
      <c r="J141" s="14" t="str">
        <f aca="false">IF(OR($C141="",$D141="",$B141=""),"",IF(COUNTIFS($C$5:$C$804,$C141,$D$5:$D$804,$D141,$B$5:$B$804,$B141)&gt;1,"Takror",""))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4"/>
      <c r="F142" s="12"/>
      <c r="G142" s="14" t="str">
        <f aca="false">IF(OR($D142="",$B142=""),"",INT(($B142-$D142)/365.25))</f>
        <v/>
      </c>
      <c r="H142" s="25"/>
      <c r="I142" s="12"/>
      <c r="J142" s="14" t="str">
        <f aca="false">IF(OR($C142="",$D142="",$B142=""),"",IF(COUNTIFS($C$5:$C$804,$C142,$D$5:$D$804,$D142,$B$5:$B$804,$B142)&gt;1,"Takror",""))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4"/>
      <c r="F143" s="12"/>
      <c r="G143" s="14" t="str">
        <f aca="false">IF(OR($D143="",$B143=""),"",INT(($B143-$D143)/365.25))</f>
        <v/>
      </c>
      <c r="H143" s="25"/>
      <c r="I143" s="12"/>
      <c r="J143" s="14" t="str">
        <f aca="false">IF(OR($C143="",$D143="",$B143=""),"",IF(COUNTIFS($C$5:$C$804,$C143,$D$5:$D$804,$D143,$B$5:$B$804,$B143)&gt;1,"Takror",""))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4"/>
      <c r="F144" s="12"/>
      <c r="G144" s="14" t="str">
        <f aca="false">IF(OR($D144="",$B144=""),"",INT(($B144-$D144)/365.25))</f>
        <v/>
      </c>
      <c r="H144" s="25"/>
      <c r="I144" s="12"/>
      <c r="J144" s="14" t="str">
        <f aca="false">IF(OR($C144="",$D144="",$B144=""),"",IF(COUNTIFS($C$5:$C$804,$C144,$D$5:$D$804,$D144,$B$5:$B$804,$B144)&gt;1,"Takror",""))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4"/>
      <c r="F145" s="12"/>
      <c r="G145" s="14" t="str">
        <f aca="false">IF(OR($D145="",$B145=""),"",INT(($B145-$D145)/365.25))</f>
        <v/>
      </c>
      <c r="H145" s="25"/>
      <c r="I145" s="12"/>
      <c r="J145" s="14" t="str">
        <f aca="false">IF(OR($C145="",$D145="",$B145=""),"",IF(COUNTIFS($C$5:$C$804,$C145,$D$5:$D$804,$D145,$B$5:$B$804,$B145)&gt;1,"Takror",""))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4"/>
      <c r="F146" s="12"/>
      <c r="G146" s="14" t="str">
        <f aca="false">IF(OR($D146="",$B146=""),"",INT(($B146-$D146)/365.25))</f>
        <v/>
      </c>
      <c r="H146" s="25"/>
      <c r="I146" s="12"/>
      <c r="J146" s="14" t="str">
        <f aca="false">IF(OR($C146="",$D146="",$B146=""),"",IF(COUNTIFS($C$5:$C$804,$C146,$D$5:$D$804,$D146,$B$5:$B$804,$B146)&gt;1,"Takror",""))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4"/>
      <c r="F147" s="12"/>
      <c r="G147" s="14" t="str">
        <f aca="false">IF(OR($D147="",$B147=""),"",INT(($B147-$D147)/365.25))</f>
        <v/>
      </c>
      <c r="H147" s="25"/>
      <c r="I147" s="12"/>
      <c r="J147" s="14" t="str">
        <f aca="false">IF(OR($C147="",$D147="",$B147=""),"",IF(COUNTIFS($C$5:$C$804,$C147,$D$5:$D$804,$D147,$B$5:$B$804,$B147)&gt;1,"Takror",""))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4"/>
      <c r="F148" s="12"/>
      <c r="G148" s="14" t="str">
        <f aca="false">IF(OR($D148="",$B148=""),"",INT(($B148-$D148)/365.25))</f>
        <v/>
      </c>
      <c r="H148" s="25"/>
      <c r="I148" s="12"/>
      <c r="J148" s="14" t="str">
        <f aca="false">IF(OR($C148="",$D148="",$B148=""),"",IF(COUNTIFS($C$5:$C$804,$C148,$D$5:$D$804,$D148,$B$5:$B$804,$B148)&gt;1,"Takror",""))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4"/>
      <c r="F149" s="12"/>
      <c r="G149" s="14" t="str">
        <f aca="false">IF(OR($D149="",$B149=""),"",INT(($B149-$D149)/365.25))</f>
        <v/>
      </c>
      <c r="H149" s="25"/>
      <c r="I149" s="12"/>
      <c r="J149" s="14" t="str">
        <f aca="false">IF(OR($C149="",$D149="",$B149=""),"",IF(COUNTIFS($C$5:$C$804,$C149,$D$5:$D$804,$D149,$B$5:$B$804,$B149)&gt;1,"Takror",""))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4"/>
      <c r="F150" s="12"/>
      <c r="G150" s="14" t="str">
        <f aca="false">IF(OR($D150="",$B150=""),"",INT(($B150-$D150)/365.25))</f>
        <v/>
      </c>
      <c r="H150" s="25"/>
      <c r="I150" s="12"/>
      <c r="J150" s="14" t="str">
        <f aca="false">IF(OR($C150="",$D150="",$B150=""),"",IF(COUNTIFS($C$5:$C$804,$C150,$D$5:$D$804,$D150,$B$5:$B$804,$B150)&gt;1,"Takror",""))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4"/>
      <c r="F151" s="12"/>
      <c r="G151" s="14" t="str">
        <f aca="false">IF(OR($D151="",$B151=""),"",INT(($B151-$D151)/365.25))</f>
        <v/>
      </c>
      <c r="H151" s="25"/>
      <c r="I151" s="12"/>
      <c r="J151" s="14" t="str">
        <f aca="false">IF(OR($C151="",$D151="",$B151=""),"",IF(COUNTIFS($C$5:$C$804,$C151,$D$5:$D$804,$D151,$B$5:$B$804,$B151)&gt;1,"Takror",""))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4"/>
      <c r="F152" s="12"/>
      <c r="G152" s="14" t="str">
        <f aca="false">IF(OR($D152="",$B152=""),"",INT(($B152-$D152)/365.25))</f>
        <v/>
      </c>
      <c r="H152" s="25"/>
      <c r="I152" s="12"/>
      <c r="J152" s="14" t="str">
        <f aca="false">IF(OR($C152="",$D152="",$B152=""),"",IF(COUNTIFS($C$5:$C$804,$C152,$D$5:$D$804,$D152,$B$5:$B$804,$B152)&gt;1,"Takror",""))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4"/>
      <c r="F153" s="12"/>
      <c r="G153" s="14" t="str">
        <f aca="false">IF(OR($D153="",$B153=""),"",INT(($B153-$D153)/365.25))</f>
        <v/>
      </c>
      <c r="H153" s="25"/>
      <c r="I153" s="12"/>
      <c r="J153" s="14" t="str">
        <f aca="false">IF(OR($C153="",$D153="",$B153=""),"",IF(COUNTIFS($C$5:$C$804,$C153,$D$5:$D$804,$D153,$B$5:$B$804,$B153)&gt;1,"Takror",""))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4"/>
      <c r="F154" s="12"/>
      <c r="G154" s="14" t="str">
        <f aca="false">IF(OR($D154="",$B154=""),"",INT(($B154-$D154)/365.25))</f>
        <v/>
      </c>
      <c r="H154" s="25"/>
      <c r="I154" s="12"/>
      <c r="J154" s="14" t="str">
        <f aca="false">IF(OR($C154="",$D154="",$B154=""),"",IF(COUNTIFS($C$5:$C$804,$C154,$D$5:$D$804,$D154,$B$5:$B$804,$B154)&gt;1,"Takror",""))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4"/>
      <c r="F155" s="12"/>
      <c r="G155" s="14" t="str">
        <f aca="false">IF(OR($D155="",$B155=""),"",INT(($B155-$D155)/365.25))</f>
        <v/>
      </c>
      <c r="H155" s="25"/>
      <c r="I155" s="12"/>
      <c r="J155" s="14" t="str">
        <f aca="false">IF(OR($C155="",$D155="",$B155=""),"",IF(COUNTIFS($C$5:$C$804,$C155,$D$5:$D$804,$D155,$B$5:$B$804,$B155)&gt;1,"Takror",""))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4"/>
      <c r="F156" s="12"/>
      <c r="G156" s="14" t="str">
        <f aca="false">IF(OR($D156="",$B156=""),"",INT(($B156-$D156)/365.25))</f>
        <v/>
      </c>
      <c r="H156" s="25"/>
      <c r="I156" s="12"/>
      <c r="J156" s="14" t="str">
        <f aca="false">IF(OR($C156="",$D156="",$B156=""),"",IF(COUNTIFS($C$5:$C$804,$C156,$D$5:$D$804,$D156,$B$5:$B$804,$B156)&gt;1,"Takror",""))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4"/>
      <c r="F157" s="12"/>
      <c r="G157" s="14" t="str">
        <f aca="false">IF(OR($D157="",$B157=""),"",INT(($B157-$D157)/365.25))</f>
        <v/>
      </c>
      <c r="H157" s="25"/>
      <c r="I157" s="12"/>
      <c r="J157" s="14" t="str">
        <f aca="false">IF(OR($C157="",$D157="",$B157=""),"",IF(COUNTIFS($C$5:$C$804,$C157,$D$5:$D$804,$D157,$B$5:$B$804,$B157)&gt;1,"Takror",""))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4"/>
      <c r="F158" s="12"/>
      <c r="G158" s="14" t="str">
        <f aca="false">IF(OR($D158="",$B158=""),"",INT(($B158-$D158)/365.25))</f>
        <v/>
      </c>
      <c r="H158" s="25"/>
      <c r="I158" s="12"/>
      <c r="J158" s="14" t="str">
        <f aca="false">IF(OR($C158="",$D158="",$B158=""),"",IF(COUNTIFS($C$5:$C$804,$C158,$D$5:$D$804,$D158,$B$5:$B$804,$B158)&gt;1,"Takror",""))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4"/>
      <c r="F159" s="12"/>
      <c r="G159" s="14" t="str">
        <f aca="false">IF(OR($D159="",$B159=""),"",INT(($B159-$D159)/365.25))</f>
        <v/>
      </c>
      <c r="H159" s="25"/>
      <c r="I159" s="12"/>
      <c r="J159" s="14" t="str">
        <f aca="false">IF(OR($C159="",$D159="",$B159=""),"",IF(COUNTIFS($C$5:$C$804,$C159,$D$5:$D$804,$D159,$B$5:$B$804,$B159)&gt;1,"Takror",""))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4"/>
      <c r="F160" s="12"/>
      <c r="G160" s="14" t="str">
        <f aca="false">IF(OR($D160="",$B160=""),"",INT(($B160-$D160)/365.25))</f>
        <v/>
      </c>
      <c r="H160" s="25"/>
      <c r="I160" s="12"/>
      <c r="J160" s="14" t="str">
        <f aca="false">IF(OR($C160="",$D160="",$B160=""),"",IF(COUNTIFS($C$5:$C$804,$C160,$D$5:$D$804,$D160,$B$5:$B$804,$B160)&gt;1,"Takror",""))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4"/>
      <c r="F161" s="12"/>
      <c r="G161" s="14" t="str">
        <f aca="false">IF(OR($D161="",$B161=""),"",INT(($B161-$D161)/365.25))</f>
        <v/>
      </c>
      <c r="H161" s="25"/>
      <c r="I161" s="12"/>
      <c r="J161" s="14" t="str">
        <f aca="false">IF(OR($C161="",$D161="",$B161=""),"",IF(COUNTIFS($C$5:$C$804,$C161,$D$5:$D$804,$D161,$B$5:$B$804,$B161)&gt;1,"Takror",""))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4"/>
      <c r="F162" s="12"/>
      <c r="G162" s="14" t="str">
        <f aca="false">IF(OR($D162="",$B162=""),"",INT(($B162-$D162)/365.25))</f>
        <v/>
      </c>
      <c r="H162" s="25"/>
      <c r="I162" s="12"/>
      <c r="J162" s="14" t="str">
        <f aca="false">IF(OR($C162="",$D162="",$B162=""),"",IF(COUNTIFS($C$5:$C$804,$C162,$D$5:$D$804,$D162,$B$5:$B$804,$B162)&gt;1,"Takror",""))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4"/>
      <c r="F163" s="12"/>
      <c r="G163" s="14" t="str">
        <f aca="false">IF(OR($D163="",$B163=""),"",INT(($B163-$D163)/365.25))</f>
        <v/>
      </c>
      <c r="H163" s="25"/>
      <c r="I163" s="12"/>
      <c r="J163" s="14" t="str">
        <f aca="false">IF(OR($C163="",$D163="",$B163=""),"",IF(COUNTIFS($C$5:$C$804,$C163,$D$5:$D$804,$D163,$B$5:$B$804,$B163)&gt;1,"Takror",""))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4"/>
      <c r="F164" s="12"/>
      <c r="G164" s="14" t="str">
        <f aca="false">IF(OR($D164="",$B164=""),"",INT(($B164-$D164)/365.25))</f>
        <v/>
      </c>
      <c r="H164" s="25"/>
      <c r="I164" s="12"/>
      <c r="J164" s="14" t="str">
        <f aca="false">IF(OR($C164="",$D164="",$B164=""),"",IF(COUNTIFS($C$5:$C$804,$C164,$D$5:$D$804,$D164,$B$5:$B$804,$B164)&gt;1,"Takror",""))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4"/>
      <c r="F165" s="12"/>
      <c r="G165" s="14" t="str">
        <f aca="false">IF(OR($D165="",$B165=""),"",INT(($B165-$D165)/365.25))</f>
        <v/>
      </c>
      <c r="H165" s="25"/>
      <c r="I165" s="12"/>
      <c r="J165" s="14" t="str">
        <f aca="false">IF(OR($C165="",$D165="",$B165=""),"",IF(COUNTIFS($C$5:$C$804,$C165,$D$5:$D$804,$D165,$B$5:$B$804,$B165)&gt;1,"Takror",""))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4"/>
      <c r="F166" s="12"/>
      <c r="G166" s="14" t="str">
        <f aca="false">IF(OR($D166="",$B166=""),"",INT(($B166-$D166)/365.25))</f>
        <v/>
      </c>
      <c r="H166" s="25"/>
      <c r="I166" s="12"/>
      <c r="J166" s="14" t="str">
        <f aca="false">IF(OR($C166="",$D166="",$B166=""),"",IF(COUNTIFS($C$5:$C$804,$C166,$D$5:$D$804,$D166,$B$5:$B$804,$B166)&gt;1,"Takror",""))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4"/>
      <c r="F167" s="12"/>
      <c r="G167" s="14" t="str">
        <f aca="false">IF(OR($D167="",$B167=""),"",INT(($B167-$D167)/365.25))</f>
        <v/>
      </c>
      <c r="H167" s="25"/>
      <c r="I167" s="12"/>
      <c r="J167" s="14" t="str">
        <f aca="false">IF(OR($C167="",$D167="",$B167=""),"",IF(COUNTIFS($C$5:$C$804,$C167,$D$5:$D$804,$D167,$B$5:$B$804,$B167)&gt;1,"Takror",""))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4"/>
      <c r="F168" s="12"/>
      <c r="G168" s="14" t="str">
        <f aca="false">IF(OR($D168="",$B168=""),"",INT(($B168-$D168)/365.25))</f>
        <v/>
      </c>
      <c r="H168" s="25"/>
      <c r="I168" s="12"/>
      <c r="J168" s="14" t="str">
        <f aca="false">IF(OR($C168="",$D168="",$B168=""),"",IF(COUNTIFS($C$5:$C$804,$C168,$D$5:$D$804,$D168,$B$5:$B$804,$B168)&gt;1,"Takror",""))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4"/>
      <c r="F169" s="12"/>
      <c r="G169" s="14" t="str">
        <f aca="false">IF(OR($D169="",$B169=""),"",INT(($B169-$D169)/365.25))</f>
        <v/>
      </c>
      <c r="H169" s="25"/>
      <c r="I169" s="12"/>
      <c r="J169" s="14" t="str">
        <f aca="false">IF(OR($C169="",$D169="",$B169=""),"",IF(COUNTIFS($C$5:$C$804,$C169,$D$5:$D$804,$D169,$B$5:$B$804,$B169)&gt;1,"Takror",""))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4"/>
      <c r="F170" s="12"/>
      <c r="G170" s="14" t="str">
        <f aca="false">IF(OR($D170="",$B170=""),"",INT(($B170-$D170)/365.25))</f>
        <v/>
      </c>
      <c r="H170" s="25"/>
      <c r="I170" s="12"/>
      <c r="J170" s="14" t="str">
        <f aca="false">IF(OR($C170="",$D170="",$B170=""),"",IF(COUNTIFS($C$5:$C$804,$C170,$D$5:$D$804,$D170,$B$5:$B$804,$B170)&gt;1,"Takror",""))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4"/>
      <c r="F171" s="12"/>
      <c r="G171" s="14" t="str">
        <f aca="false">IF(OR($D171="",$B171=""),"",INT(($B171-$D171)/365.25))</f>
        <v/>
      </c>
      <c r="H171" s="25"/>
      <c r="I171" s="12"/>
      <c r="J171" s="14" t="str">
        <f aca="false">IF(OR($C171="",$D171="",$B171=""),"",IF(COUNTIFS($C$5:$C$804,$C171,$D$5:$D$804,$D171,$B$5:$B$804,$B171)&gt;1,"Takror",""))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4"/>
      <c r="F172" s="12"/>
      <c r="G172" s="14" t="str">
        <f aca="false">IF(OR($D172="",$B172=""),"",INT(($B172-$D172)/365.25))</f>
        <v/>
      </c>
      <c r="H172" s="25"/>
      <c r="I172" s="12"/>
      <c r="J172" s="14" t="str">
        <f aca="false">IF(OR($C172="",$D172="",$B172=""),"",IF(COUNTIFS($C$5:$C$804,$C172,$D$5:$D$804,$D172,$B$5:$B$804,$B172)&gt;1,"Takror",""))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4"/>
      <c r="F173" s="12"/>
      <c r="G173" s="14" t="str">
        <f aca="false">IF(OR($D173="",$B173=""),"",INT(($B173-$D173)/365.25))</f>
        <v/>
      </c>
      <c r="H173" s="25"/>
      <c r="I173" s="12"/>
      <c r="J173" s="14" t="str">
        <f aca="false">IF(OR($C173="",$D173="",$B173=""),"",IF(COUNTIFS($C$5:$C$804,$C173,$D$5:$D$804,$D173,$B$5:$B$804,$B173)&gt;1,"Takror",""))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4"/>
      <c r="F174" s="12"/>
      <c r="G174" s="14" t="str">
        <f aca="false">IF(OR($D174="",$B174=""),"",INT(($B174-$D174)/365.25))</f>
        <v/>
      </c>
      <c r="H174" s="25"/>
      <c r="I174" s="12"/>
      <c r="J174" s="14" t="str">
        <f aca="false">IF(OR($C174="",$D174="",$B174=""),"",IF(COUNTIFS($C$5:$C$804,$C174,$D$5:$D$804,$D174,$B$5:$B$804,$B174)&gt;1,"Takror",""))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4"/>
      <c r="F175" s="12"/>
      <c r="G175" s="14" t="str">
        <f aca="false">IF(OR($D175="",$B175=""),"",INT(($B175-$D175)/365.25))</f>
        <v/>
      </c>
      <c r="H175" s="25"/>
      <c r="I175" s="12"/>
      <c r="J175" s="14" t="str">
        <f aca="false">IF(OR($C175="",$D175="",$B175=""),"",IF(COUNTIFS($C$5:$C$804,$C175,$D$5:$D$804,$D175,$B$5:$B$804,$B175)&gt;1,"Takror",""))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4"/>
      <c r="F176" s="12"/>
      <c r="G176" s="14" t="str">
        <f aca="false">IF(OR($D176="",$B176=""),"",INT(($B176-$D176)/365.25))</f>
        <v/>
      </c>
      <c r="H176" s="25"/>
      <c r="I176" s="12"/>
      <c r="J176" s="14" t="str">
        <f aca="false">IF(OR($C176="",$D176="",$B176=""),"",IF(COUNTIFS($C$5:$C$804,$C176,$D$5:$D$804,$D176,$B$5:$B$804,$B176)&gt;1,"Takror",""))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4"/>
      <c r="F177" s="12"/>
      <c r="G177" s="14" t="str">
        <f aca="false">IF(OR($D177="",$B177=""),"",INT(($B177-$D177)/365.25))</f>
        <v/>
      </c>
      <c r="H177" s="25"/>
      <c r="I177" s="12"/>
      <c r="J177" s="14" t="str">
        <f aca="false">IF(OR($C177="",$D177="",$B177=""),"",IF(COUNTIFS($C$5:$C$804,$C177,$D$5:$D$804,$D177,$B$5:$B$804,$B177)&gt;1,"Takror",""))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4"/>
      <c r="F178" s="12"/>
      <c r="G178" s="14" t="str">
        <f aca="false">IF(OR($D178="",$B178=""),"",INT(($B178-$D178)/365.25))</f>
        <v/>
      </c>
      <c r="H178" s="25"/>
      <c r="I178" s="12"/>
      <c r="J178" s="14" t="str">
        <f aca="false">IF(OR($C178="",$D178="",$B178=""),"",IF(COUNTIFS($C$5:$C$804,$C178,$D$5:$D$804,$D178,$B$5:$B$804,$B178)&gt;1,"Takror",""))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4"/>
      <c r="F179" s="12"/>
      <c r="G179" s="14" t="str">
        <f aca="false">IF(OR($D179="",$B179=""),"",INT(($B179-$D179)/365.25))</f>
        <v/>
      </c>
      <c r="H179" s="25"/>
      <c r="I179" s="12"/>
      <c r="J179" s="14" t="str">
        <f aca="false">IF(OR($C179="",$D179="",$B179=""),"",IF(COUNTIFS($C$5:$C$804,$C179,$D$5:$D$804,$D179,$B$5:$B$804,$B179)&gt;1,"Takror",""))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4"/>
      <c r="F180" s="12"/>
      <c r="G180" s="14" t="str">
        <f aca="false">IF(OR($D180="",$B180=""),"",INT(($B180-$D180)/365.25))</f>
        <v/>
      </c>
      <c r="H180" s="25"/>
      <c r="I180" s="12"/>
      <c r="J180" s="14" t="str">
        <f aca="false">IF(OR($C180="",$D180="",$B180=""),"",IF(COUNTIFS($C$5:$C$804,$C180,$D$5:$D$804,$D180,$B$5:$B$804,$B180)&gt;1,"Takror",""))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4"/>
      <c r="F181" s="12"/>
      <c r="G181" s="14" t="str">
        <f aca="false">IF(OR($D181="",$B181=""),"",INT(($B181-$D181)/365.25))</f>
        <v/>
      </c>
      <c r="H181" s="25"/>
      <c r="I181" s="12"/>
      <c r="J181" s="14" t="str">
        <f aca="false">IF(OR($C181="",$D181="",$B181=""),"",IF(COUNTIFS($C$5:$C$804,$C181,$D$5:$D$804,$D181,$B$5:$B$804,$B181)&gt;1,"Takror",""))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4"/>
      <c r="F182" s="12"/>
      <c r="G182" s="14" t="str">
        <f aca="false">IF(OR($D182="",$B182=""),"",INT(($B182-$D182)/365.25))</f>
        <v/>
      </c>
      <c r="H182" s="25"/>
      <c r="I182" s="12"/>
      <c r="J182" s="14" t="str">
        <f aca="false">IF(OR($C182="",$D182="",$B182=""),"",IF(COUNTIFS($C$5:$C$804,$C182,$D$5:$D$804,$D182,$B$5:$B$804,$B182)&gt;1,"Takror",""))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4"/>
      <c r="F183" s="12"/>
      <c r="G183" s="14" t="str">
        <f aca="false">IF(OR($D183="",$B183=""),"",INT(($B183-$D183)/365.25))</f>
        <v/>
      </c>
      <c r="H183" s="25"/>
      <c r="I183" s="12"/>
      <c r="J183" s="14" t="str">
        <f aca="false">IF(OR($C183="",$D183="",$B183=""),"",IF(COUNTIFS($C$5:$C$804,$C183,$D$5:$D$804,$D183,$B$5:$B$804,$B183)&gt;1,"Takror",""))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4"/>
      <c r="F184" s="12"/>
      <c r="G184" s="14" t="str">
        <f aca="false">IF(OR($D184="",$B184=""),"",INT(($B184-$D184)/365.25))</f>
        <v/>
      </c>
      <c r="H184" s="25"/>
      <c r="I184" s="12"/>
      <c r="J184" s="14" t="str">
        <f aca="false">IF(OR($C184="",$D184="",$B184=""),"",IF(COUNTIFS($C$5:$C$804,$C184,$D$5:$D$804,$D184,$B$5:$B$804,$B184)&gt;1,"Takror",""))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4"/>
      <c r="F185" s="12"/>
      <c r="G185" s="14" t="str">
        <f aca="false">IF(OR($D185="",$B185=""),"",INT(($B185-$D185)/365.25))</f>
        <v/>
      </c>
      <c r="H185" s="25"/>
      <c r="I185" s="12"/>
      <c r="J185" s="14" t="str">
        <f aca="false">IF(OR($C185="",$D185="",$B185=""),"",IF(COUNTIFS($C$5:$C$804,$C185,$D$5:$D$804,$D185,$B$5:$B$804,$B185)&gt;1,"Takror",""))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4"/>
      <c r="F186" s="12"/>
      <c r="G186" s="14" t="str">
        <f aca="false">IF(OR($D186="",$B186=""),"",INT(($B186-$D186)/365.25))</f>
        <v/>
      </c>
      <c r="H186" s="25"/>
      <c r="I186" s="12"/>
      <c r="J186" s="14" t="str">
        <f aca="false">IF(OR($C186="",$D186="",$B186=""),"",IF(COUNTIFS($C$5:$C$804,$C186,$D$5:$D$804,$D186,$B$5:$B$804,$B186)&gt;1,"Takror",""))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4"/>
      <c r="F187" s="12"/>
      <c r="G187" s="14" t="str">
        <f aca="false">IF(OR($D187="",$B187=""),"",INT(($B187-$D187)/365.25))</f>
        <v/>
      </c>
      <c r="H187" s="25"/>
      <c r="I187" s="12"/>
      <c r="J187" s="14" t="str">
        <f aca="false">IF(OR($C187="",$D187="",$B187=""),"",IF(COUNTIFS($C$5:$C$804,$C187,$D$5:$D$804,$D187,$B$5:$B$804,$B187)&gt;1,"Takror",""))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4"/>
      <c r="F188" s="12"/>
      <c r="G188" s="14" t="str">
        <f aca="false">IF(OR($D188="",$B188=""),"",INT(($B188-$D188)/365.25))</f>
        <v/>
      </c>
      <c r="H188" s="25"/>
      <c r="I188" s="12"/>
      <c r="J188" s="14" t="str">
        <f aca="false">IF(OR($C188="",$D188="",$B188=""),"",IF(COUNTIFS($C$5:$C$804,$C188,$D$5:$D$804,$D188,$B$5:$B$804,$B188)&gt;1,"Takror",""))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4"/>
      <c r="F189" s="12"/>
      <c r="G189" s="14" t="str">
        <f aca="false">IF(OR($D189="",$B189=""),"",INT(($B189-$D189)/365.25))</f>
        <v/>
      </c>
      <c r="H189" s="25"/>
      <c r="I189" s="12"/>
      <c r="J189" s="14" t="str">
        <f aca="false">IF(OR($C189="",$D189="",$B189=""),"",IF(COUNTIFS($C$5:$C$804,$C189,$D$5:$D$804,$D189,$B$5:$B$804,$B189)&gt;1,"Takror",""))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4"/>
      <c r="F190" s="12"/>
      <c r="G190" s="14" t="str">
        <f aca="false">IF(OR($D190="",$B190=""),"",INT(($B190-$D190)/365.25))</f>
        <v/>
      </c>
      <c r="H190" s="25"/>
      <c r="I190" s="12"/>
      <c r="J190" s="14" t="str">
        <f aca="false">IF(OR($C190="",$D190="",$B190=""),"",IF(COUNTIFS($C$5:$C$804,$C190,$D$5:$D$804,$D190,$B$5:$B$804,$B190)&gt;1,"Takror",""))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4"/>
      <c r="F191" s="12"/>
      <c r="G191" s="14" t="str">
        <f aca="false">IF(OR($D191="",$B191=""),"",INT(($B191-$D191)/365.25))</f>
        <v/>
      </c>
      <c r="H191" s="25"/>
      <c r="I191" s="12"/>
      <c r="J191" s="14" t="str">
        <f aca="false">IF(OR($C191="",$D191="",$B191=""),"",IF(COUNTIFS($C$5:$C$804,$C191,$D$5:$D$804,$D191,$B$5:$B$804,$B191)&gt;1,"Takror",""))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4"/>
      <c r="F192" s="12"/>
      <c r="G192" s="14" t="str">
        <f aca="false">IF(OR($D192="",$B192=""),"",INT(($B192-$D192)/365.25))</f>
        <v/>
      </c>
      <c r="H192" s="25"/>
      <c r="I192" s="12"/>
      <c r="J192" s="14" t="str">
        <f aca="false">IF(OR($C192="",$D192="",$B192=""),"",IF(COUNTIFS($C$5:$C$804,$C192,$D$5:$D$804,$D192,$B$5:$B$804,$B192)&gt;1,"Takror",""))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4"/>
      <c r="F193" s="12"/>
      <c r="G193" s="14" t="str">
        <f aca="false">IF(OR($D193="",$B193=""),"",INT(($B193-$D193)/365.25))</f>
        <v/>
      </c>
      <c r="H193" s="25"/>
      <c r="I193" s="12"/>
      <c r="J193" s="14" t="str">
        <f aca="false">IF(OR($C193="",$D193="",$B193=""),"",IF(COUNTIFS($C$5:$C$804,$C193,$D$5:$D$804,$D193,$B$5:$B$804,$B193)&gt;1,"Takror",""))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4"/>
      <c r="F194" s="12"/>
      <c r="G194" s="14" t="str">
        <f aca="false">IF(OR($D194="",$B194=""),"",INT(($B194-$D194)/365.25))</f>
        <v/>
      </c>
      <c r="H194" s="25"/>
      <c r="I194" s="12"/>
      <c r="J194" s="14" t="str">
        <f aca="false">IF(OR($C194="",$D194="",$B194=""),"",IF(COUNTIFS($C$5:$C$804,$C194,$D$5:$D$804,$D194,$B$5:$B$804,$B194)&gt;1,"Takror",""))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4"/>
      <c r="F195" s="12"/>
      <c r="G195" s="14" t="str">
        <f aca="false">IF(OR($D195="",$B195=""),"",INT(($B195-$D195)/365.25))</f>
        <v/>
      </c>
      <c r="H195" s="25"/>
      <c r="I195" s="12"/>
      <c r="J195" s="14" t="str">
        <f aca="false">IF(OR($C195="",$D195="",$B195=""),"",IF(COUNTIFS($C$5:$C$804,$C195,$D$5:$D$804,$D195,$B$5:$B$804,$B195)&gt;1,"Takror",""))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4"/>
      <c r="F196" s="12"/>
      <c r="G196" s="14" t="str">
        <f aca="false">IF(OR($D196="",$B196=""),"",INT(($B196-$D196)/365.25))</f>
        <v/>
      </c>
      <c r="H196" s="25"/>
      <c r="I196" s="12"/>
      <c r="J196" s="14" t="str">
        <f aca="false">IF(OR($C196="",$D196="",$B196=""),"",IF(COUNTIFS($C$5:$C$804,$C196,$D$5:$D$804,$D196,$B$5:$B$804,$B196)&gt;1,"Takror",""))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4"/>
      <c r="F197" s="12"/>
      <c r="G197" s="14" t="str">
        <f aca="false">IF(OR($D197="",$B197=""),"",INT(($B197-$D197)/365.25))</f>
        <v/>
      </c>
      <c r="H197" s="25"/>
      <c r="I197" s="12"/>
      <c r="J197" s="14" t="str">
        <f aca="false">IF(OR($C197="",$D197="",$B197=""),"",IF(COUNTIFS($C$5:$C$804,$C197,$D$5:$D$804,$D197,$B$5:$B$804,$B197)&gt;1,"Takror",""))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4"/>
      <c r="F198" s="12"/>
      <c r="G198" s="14" t="str">
        <f aca="false">IF(OR($D198="",$B198=""),"",INT(($B198-$D198)/365.25))</f>
        <v/>
      </c>
      <c r="H198" s="25"/>
      <c r="I198" s="12"/>
      <c r="J198" s="14" t="str">
        <f aca="false">IF(OR($C198="",$D198="",$B198=""),"",IF(COUNTIFS($C$5:$C$804,$C198,$D$5:$D$804,$D198,$B$5:$B$804,$B198)&gt;1,"Takror",""))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4"/>
      <c r="F199" s="12"/>
      <c r="G199" s="14" t="str">
        <f aca="false">IF(OR($D199="",$B199=""),"",INT(($B199-$D199)/365.25))</f>
        <v/>
      </c>
      <c r="H199" s="25"/>
      <c r="I199" s="12"/>
      <c r="J199" s="14" t="str">
        <f aca="false">IF(OR($C199="",$D199="",$B199=""),"",IF(COUNTIFS($C$5:$C$804,$C199,$D$5:$D$804,$D199,$B$5:$B$804,$B199)&gt;1,"Takror",""))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4"/>
      <c r="F200" s="12"/>
      <c r="G200" s="14" t="str">
        <f aca="false">IF(OR($D200="",$B200=""),"",INT(($B200-$D200)/365.25))</f>
        <v/>
      </c>
      <c r="H200" s="25"/>
      <c r="I200" s="12"/>
      <c r="J200" s="14" t="str">
        <f aca="false">IF(OR($C200="",$D200="",$B200=""),"",IF(COUNTIFS($C$5:$C$804,$C200,$D$5:$D$804,$D200,$B$5:$B$804,$B200)&gt;1,"Takror",""))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4"/>
      <c r="F201" s="12"/>
      <c r="G201" s="14" t="str">
        <f aca="false">IF(OR($D201="",$B201=""),"",INT(($B201-$D201)/365.25))</f>
        <v/>
      </c>
      <c r="H201" s="25"/>
      <c r="I201" s="12"/>
      <c r="J201" s="14" t="str">
        <f aca="false">IF(OR($C201="",$D201="",$B201=""),"",IF(COUNTIFS($C$5:$C$804,$C201,$D$5:$D$804,$D201,$B$5:$B$804,$B201)&gt;1,"Takror",""))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4"/>
      <c r="F202" s="12"/>
      <c r="G202" s="14" t="str">
        <f aca="false">IF(OR($D202="",$B202=""),"",INT(($B202-$D202)/365.25))</f>
        <v/>
      </c>
      <c r="H202" s="25"/>
      <c r="I202" s="12"/>
      <c r="J202" s="14" t="str">
        <f aca="false">IF(OR($C202="",$D202="",$B202=""),"",IF(COUNTIFS($C$5:$C$804,$C202,$D$5:$D$804,$D202,$B$5:$B$804,$B202)&gt;1,"Takror",""))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4"/>
      <c r="F203" s="12"/>
      <c r="G203" s="14" t="str">
        <f aca="false">IF(OR($D203="",$B203=""),"",INT(($B203-$D203)/365.25))</f>
        <v/>
      </c>
      <c r="H203" s="25"/>
      <c r="I203" s="12"/>
      <c r="J203" s="14" t="str">
        <f aca="false">IF(OR($C203="",$D203="",$B203=""),"",IF(COUNTIFS($C$5:$C$804,$C203,$D$5:$D$804,$D203,$B$5:$B$804,$B203)&gt;1,"Takror",""))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4"/>
      <c r="F204" s="12"/>
      <c r="G204" s="14" t="str">
        <f aca="false">IF(OR($D204="",$B204=""),"",INT(($B204-$D204)/365.25))</f>
        <v/>
      </c>
      <c r="H204" s="25"/>
      <c r="I204" s="12"/>
      <c r="J204" s="14" t="str">
        <f aca="false">IF(OR($C204="",$D204="",$B204=""),"",IF(COUNTIFS($C$5:$C$804,$C204,$D$5:$D$804,$D204,$B$5:$B$804,$B204)&gt;1,"Takror",""))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4"/>
      <c r="F205" s="12"/>
      <c r="G205" s="14" t="str">
        <f aca="false">IF(OR($D205="",$B205=""),"",INT(($B205-$D205)/365.25))</f>
        <v/>
      </c>
      <c r="H205" s="25"/>
      <c r="I205" s="12"/>
      <c r="J205" s="14" t="str">
        <f aca="false">IF(OR($C205="",$D205="",$B205=""),"",IF(COUNTIFS($C$5:$C$804,$C205,$D$5:$D$804,$D205,$B$5:$B$804,$B205)&gt;1,"Takror",""))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4"/>
      <c r="F206" s="12"/>
      <c r="G206" s="14" t="str">
        <f aca="false">IF(OR($D206="",$B206=""),"",INT(($B206-$D206)/365.25))</f>
        <v/>
      </c>
      <c r="H206" s="25"/>
      <c r="I206" s="12"/>
      <c r="J206" s="14" t="str">
        <f aca="false">IF(OR($C206="",$D206="",$B206=""),"",IF(COUNTIFS($C$5:$C$804,$C206,$D$5:$D$804,$D206,$B$5:$B$804,$B206)&gt;1,"Takror",""))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4"/>
      <c r="F207" s="12"/>
      <c r="G207" s="14" t="str">
        <f aca="false">IF(OR($D207="",$B207=""),"",INT(($B207-$D207)/365.25))</f>
        <v/>
      </c>
      <c r="H207" s="25"/>
      <c r="I207" s="12"/>
      <c r="J207" s="14" t="str">
        <f aca="false">IF(OR($C207="",$D207="",$B207=""),"",IF(COUNTIFS($C$5:$C$804,$C207,$D$5:$D$804,$D207,$B$5:$B$804,$B207)&gt;1,"Takror",""))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4"/>
      <c r="F208" s="12"/>
      <c r="G208" s="14" t="str">
        <f aca="false">IF(OR($D208="",$B208=""),"",INT(($B208-$D208)/365.25))</f>
        <v/>
      </c>
      <c r="H208" s="25"/>
      <c r="I208" s="12"/>
      <c r="J208" s="14" t="str">
        <f aca="false">IF(OR($C208="",$D208="",$B208=""),"",IF(COUNTIFS($C$5:$C$804,$C208,$D$5:$D$804,$D208,$B$5:$B$804,$B208)&gt;1,"Takror",""))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4"/>
      <c r="F209" s="12"/>
      <c r="G209" s="14" t="str">
        <f aca="false">IF(OR($D209="",$B209=""),"",INT(($B209-$D209)/365.25))</f>
        <v/>
      </c>
      <c r="H209" s="25"/>
      <c r="I209" s="12"/>
      <c r="J209" s="14" t="str">
        <f aca="false">IF(OR($C209="",$D209="",$B209=""),"",IF(COUNTIFS($C$5:$C$804,$C209,$D$5:$D$804,$D209,$B$5:$B$804,$B209)&gt;1,"Takror",""))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4"/>
      <c r="F210" s="12"/>
      <c r="G210" s="14" t="str">
        <f aca="false">IF(OR($D210="",$B210=""),"",INT(($B210-$D210)/365.25))</f>
        <v/>
      </c>
      <c r="H210" s="25"/>
      <c r="I210" s="12"/>
      <c r="J210" s="14" t="str">
        <f aca="false">IF(OR($C210="",$D210="",$B210=""),"",IF(COUNTIFS($C$5:$C$804,$C210,$D$5:$D$804,$D210,$B$5:$B$804,$B210)&gt;1,"Takror",""))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4"/>
      <c r="F211" s="12"/>
      <c r="G211" s="14" t="str">
        <f aca="false">IF(OR($D211="",$B211=""),"",INT(($B211-$D211)/365.25))</f>
        <v/>
      </c>
      <c r="H211" s="25"/>
      <c r="I211" s="12"/>
      <c r="J211" s="14" t="str">
        <f aca="false">IF(OR($C211="",$D211="",$B211=""),"",IF(COUNTIFS($C$5:$C$804,$C211,$D$5:$D$804,$D211,$B$5:$B$804,$B211)&gt;1,"Takror",""))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4"/>
      <c r="F212" s="12"/>
      <c r="G212" s="14" t="str">
        <f aca="false">IF(OR($D212="",$B212=""),"",INT(($B212-$D212)/365.25))</f>
        <v/>
      </c>
      <c r="H212" s="25"/>
      <c r="I212" s="12"/>
      <c r="J212" s="14" t="str">
        <f aca="false">IF(OR($C212="",$D212="",$B212=""),"",IF(COUNTIFS($C$5:$C$804,$C212,$D$5:$D$804,$D212,$B$5:$B$804,$B212)&gt;1,"Takror",""))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4"/>
      <c r="F213" s="12"/>
      <c r="G213" s="14" t="str">
        <f aca="false">IF(OR($D213="",$B213=""),"",INT(($B213-$D213)/365.25))</f>
        <v/>
      </c>
      <c r="H213" s="25"/>
      <c r="I213" s="12"/>
      <c r="J213" s="14" t="str">
        <f aca="false">IF(OR($C213="",$D213="",$B213=""),"",IF(COUNTIFS($C$5:$C$804,$C213,$D$5:$D$804,$D213,$B$5:$B$804,$B213)&gt;1,"Takror",""))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4"/>
      <c r="F214" s="12"/>
      <c r="G214" s="14" t="str">
        <f aca="false">IF(OR($D214="",$B214=""),"",INT(($B214-$D214)/365.25))</f>
        <v/>
      </c>
      <c r="H214" s="25"/>
      <c r="I214" s="12"/>
      <c r="J214" s="14" t="str">
        <f aca="false">IF(OR($C214="",$D214="",$B214=""),"",IF(COUNTIFS($C$5:$C$804,$C214,$D$5:$D$804,$D214,$B$5:$B$804,$B214)&gt;1,"Takror",""))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4"/>
      <c r="F215" s="12"/>
      <c r="G215" s="14" t="str">
        <f aca="false">IF(OR($D215="",$B215=""),"",INT(($B215-$D215)/365.25))</f>
        <v/>
      </c>
      <c r="H215" s="25"/>
      <c r="I215" s="12"/>
      <c r="J215" s="14" t="str">
        <f aca="false">IF(OR($C215="",$D215="",$B215=""),"",IF(COUNTIFS($C$5:$C$804,$C215,$D$5:$D$804,$D215,$B$5:$B$804,$B215)&gt;1,"Takror",""))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4"/>
      <c r="F216" s="12"/>
      <c r="G216" s="14" t="str">
        <f aca="false">IF(OR($D216="",$B216=""),"",INT(($B216-$D216)/365.25))</f>
        <v/>
      </c>
      <c r="H216" s="25"/>
      <c r="I216" s="12"/>
      <c r="J216" s="14" t="str">
        <f aca="false">IF(OR($C216="",$D216="",$B216=""),"",IF(COUNTIFS($C$5:$C$804,$C216,$D$5:$D$804,$D216,$B$5:$B$804,$B216)&gt;1,"Takror",""))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4"/>
      <c r="F217" s="12"/>
      <c r="G217" s="14" t="str">
        <f aca="false">IF(OR($D217="",$B217=""),"",INT(($B217-$D217)/365.25))</f>
        <v/>
      </c>
      <c r="H217" s="25"/>
      <c r="I217" s="12"/>
      <c r="J217" s="14" t="str">
        <f aca="false">IF(OR($C217="",$D217="",$B217=""),"",IF(COUNTIFS($C$5:$C$804,$C217,$D$5:$D$804,$D217,$B$5:$B$804,$B217)&gt;1,"Takror",""))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4"/>
      <c r="F218" s="12"/>
      <c r="G218" s="14" t="str">
        <f aca="false">IF(OR($D218="",$B218=""),"",INT(($B218-$D218)/365.25))</f>
        <v/>
      </c>
      <c r="H218" s="25"/>
      <c r="I218" s="12"/>
      <c r="J218" s="14" t="str">
        <f aca="false">IF(OR($C218="",$D218="",$B218=""),"",IF(COUNTIFS($C$5:$C$804,$C218,$D$5:$D$804,$D218,$B$5:$B$804,$B218)&gt;1,"Takror",""))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4"/>
      <c r="F219" s="12"/>
      <c r="G219" s="14" t="str">
        <f aca="false">IF(OR($D219="",$B219=""),"",INT(($B219-$D219)/365.25))</f>
        <v/>
      </c>
      <c r="H219" s="25"/>
      <c r="I219" s="12"/>
      <c r="J219" s="14" t="str">
        <f aca="false">IF(OR($C219="",$D219="",$B219=""),"",IF(COUNTIFS($C$5:$C$804,$C219,$D$5:$D$804,$D219,$B$5:$B$804,$B219)&gt;1,"Takror",""))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4"/>
      <c r="F220" s="12"/>
      <c r="G220" s="14" t="str">
        <f aca="false">IF(OR($D220="",$B220=""),"",INT(($B220-$D220)/365.25))</f>
        <v/>
      </c>
      <c r="H220" s="25"/>
      <c r="I220" s="12"/>
      <c r="J220" s="14" t="str">
        <f aca="false">IF(OR($C220="",$D220="",$B220=""),"",IF(COUNTIFS($C$5:$C$804,$C220,$D$5:$D$804,$D220,$B$5:$B$804,$B220)&gt;1,"Takror",""))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4"/>
      <c r="F221" s="12"/>
      <c r="G221" s="14" t="str">
        <f aca="false">IF(OR($D221="",$B221=""),"",INT(($B221-$D221)/365.25))</f>
        <v/>
      </c>
      <c r="H221" s="25"/>
      <c r="I221" s="12"/>
      <c r="J221" s="14" t="str">
        <f aca="false">IF(OR($C221="",$D221="",$B221=""),"",IF(COUNTIFS($C$5:$C$804,$C221,$D$5:$D$804,$D221,$B$5:$B$804,$B221)&gt;1,"Takror",""))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4"/>
      <c r="F222" s="12"/>
      <c r="G222" s="14" t="str">
        <f aca="false">IF(OR($D222="",$B222=""),"",INT(($B222-$D222)/365.25))</f>
        <v/>
      </c>
      <c r="H222" s="25"/>
      <c r="I222" s="12"/>
      <c r="J222" s="14" t="str">
        <f aca="false">IF(OR($C222="",$D222="",$B222=""),"",IF(COUNTIFS($C$5:$C$804,$C222,$D$5:$D$804,$D222,$B$5:$B$804,$B222)&gt;1,"Takror",""))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4"/>
      <c r="F223" s="12"/>
      <c r="G223" s="14" t="str">
        <f aca="false">IF(OR($D223="",$B223=""),"",INT(($B223-$D223)/365.25))</f>
        <v/>
      </c>
      <c r="H223" s="25"/>
      <c r="I223" s="12"/>
      <c r="J223" s="14" t="str">
        <f aca="false">IF(OR($C223="",$D223="",$B223=""),"",IF(COUNTIFS($C$5:$C$804,$C223,$D$5:$D$804,$D223,$B$5:$B$804,$B223)&gt;1,"Takror",""))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4"/>
      <c r="F224" s="12"/>
      <c r="G224" s="14" t="str">
        <f aca="false">IF(OR($D224="",$B224=""),"",INT(($B224-$D224)/365.25))</f>
        <v/>
      </c>
      <c r="H224" s="25"/>
      <c r="I224" s="12"/>
      <c r="J224" s="14" t="str">
        <f aca="false">IF(OR($C224="",$D224="",$B224=""),"",IF(COUNTIFS($C$5:$C$804,$C224,$D$5:$D$804,$D224,$B$5:$B$804,$B224)&gt;1,"Takror",""))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4"/>
      <c r="F225" s="12"/>
      <c r="G225" s="14" t="str">
        <f aca="false">IF(OR($D225="",$B225=""),"",INT(($B225-$D225)/365.25))</f>
        <v/>
      </c>
      <c r="H225" s="25"/>
      <c r="I225" s="12"/>
      <c r="J225" s="14" t="str">
        <f aca="false">IF(OR($C225="",$D225="",$B225=""),"",IF(COUNTIFS($C$5:$C$804,$C225,$D$5:$D$804,$D225,$B$5:$B$804,$B225)&gt;1,"Takror",""))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4"/>
      <c r="F226" s="12"/>
      <c r="G226" s="14" t="str">
        <f aca="false">IF(OR($D226="",$B226=""),"",INT(($B226-$D226)/365.25))</f>
        <v/>
      </c>
      <c r="H226" s="25"/>
      <c r="I226" s="12"/>
      <c r="J226" s="14" t="str">
        <f aca="false">IF(OR($C226="",$D226="",$B226=""),"",IF(COUNTIFS($C$5:$C$804,$C226,$D$5:$D$804,$D226,$B$5:$B$804,$B226)&gt;1,"Takror",""))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4"/>
      <c r="F227" s="12"/>
      <c r="G227" s="14" t="str">
        <f aca="false">IF(OR($D227="",$B227=""),"",INT(($B227-$D227)/365.25))</f>
        <v/>
      </c>
      <c r="H227" s="25"/>
      <c r="I227" s="12"/>
      <c r="J227" s="14" t="str">
        <f aca="false">IF(OR($C227="",$D227="",$B227=""),"",IF(COUNTIFS($C$5:$C$804,$C227,$D$5:$D$804,$D227,$B$5:$B$804,$B227)&gt;1,"Takror",""))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4"/>
      <c r="F228" s="12"/>
      <c r="G228" s="14" t="str">
        <f aca="false">IF(OR($D228="",$B228=""),"",INT(($B228-$D228)/365.25))</f>
        <v/>
      </c>
      <c r="H228" s="25"/>
      <c r="I228" s="12"/>
      <c r="J228" s="14" t="str">
        <f aca="false">IF(OR($C228="",$D228="",$B228=""),"",IF(COUNTIFS($C$5:$C$804,$C228,$D$5:$D$804,$D228,$B$5:$B$804,$B228)&gt;1,"Takror",""))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4"/>
      <c r="F229" s="12"/>
      <c r="G229" s="14" t="str">
        <f aca="false">IF(OR($D229="",$B229=""),"",INT(($B229-$D229)/365.25))</f>
        <v/>
      </c>
      <c r="H229" s="25"/>
      <c r="I229" s="12"/>
      <c r="J229" s="14" t="str">
        <f aca="false">IF(OR($C229="",$D229="",$B229=""),"",IF(COUNTIFS($C$5:$C$804,$C229,$D$5:$D$804,$D229,$B$5:$B$804,$B229)&gt;1,"Takror",""))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4"/>
      <c r="F230" s="12"/>
      <c r="G230" s="14" t="str">
        <f aca="false">IF(OR($D230="",$B230=""),"",INT(($B230-$D230)/365.25))</f>
        <v/>
      </c>
      <c r="H230" s="25"/>
      <c r="I230" s="12"/>
      <c r="J230" s="14" t="str">
        <f aca="false">IF(OR($C230="",$D230="",$B230=""),"",IF(COUNTIFS($C$5:$C$804,$C230,$D$5:$D$804,$D230,$B$5:$B$804,$B230)&gt;1,"Takror",""))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4"/>
      <c r="F231" s="12"/>
      <c r="G231" s="14" t="str">
        <f aca="false">IF(OR($D231="",$B231=""),"",INT(($B231-$D231)/365.25))</f>
        <v/>
      </c>
      <c r="H231" s="25"/>
      <c r="I231" s="12"/>
      <c r="J231" s="14" t="str">
        <f aca="false">IF(OR($C231="",$D231="",$B231=""),"",IF(COUNTIFS($C$5:$C$804,$C231,$D$5:$D$804,$D231,$B$5:$B$804,$B231)&gt;1,"Takror",""))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4"/>
      <c r="F232" s="12"/>
      <c r="G232" s="14" t="str">
        <f aca="false">IF(OR($D232="",$B232=""),"",INT(($B232-$D232)/365.25))</f>
        <v/>
      </c>
      <c r="H232" s="25"/>
      <c r="I232" s="12"/>
      <c r="J232" s="14" t="str">
        <f aca="false">IF(OR($C232="",$D232="",$B232=""),"",IF(COUNTIFS($C$5:$C$804,$C232,$D$5:$D$804,$D232,$B$5:$B$804,$B232)&gt;1,"Takror",""))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4"/>
      <c r="F233" s="12"/>
      <c r="G233" s="14" t="str">
        <f aca="false">IF(OR($D233="",$B233=""),"",INT(($B233-$D233)/365.25))</f>
        <v/>
      </c>
      <c r="H233" s="25"/>
      <c r="I233" s="12"/>
      <c r="J233" s="14" t="str">
        <f aca="false">IF(OR($C233="",$D233="",$B233=""),"",IF(COUNTIFS($C$5:$C$804,$C233,$D$5:$D$804,$D233,$B$5:$B$804,$B233)&gt;1,"Takror",""))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4"/>
      <c r="F234" s="12"/>
      <c r="G234" s="14" t="str">
        <f aca="false">IF(OR($D234="",$B234=""),"",INT(($B234-$D234)/365.25))</f>
        <v/>
      </c>
      <c r="H234" s="25"/>
      <c r="I234" s="12"/>
      <c r="J234" s="14" t="str">
        <f aca="false">IF(OR($C234="",$D234="",$B234=""),"",IF(COUNTIFS($C$5:$C$804,$C234,$D$5:$D$804,$D234,$B$5:$B$804,$B234)&gt;1,"Takror",""))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4"/>
      <c r="F235" s="12"/>
      <c r="G235" s="14" t="str">
        <f aca="false">IF(OR($D235="",$B235=""),"",INT(($B235-$D235)/365.25))</f>
        <v/>
      </c>
      <c r="H235" s="25"/>
      <c r="I235" s="12"/>
      <c r="J235" s="14" t="str">
        <f aca="false">IF(OR($C235="",$D235="",$B235=""),"",IF(COUNTIFS($C$5:$C$804,$C235,$D$5:$D$804,$D235,$B$5:$B$804,$B235)&gt;1,"Takror",""))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4"/>
      <c r="F236" s="12"/>
      <c r="G236" s="14" t="str">
        <f aca="false">IF(OR($D236="",$B236=""),"",INT(($B236-$D236)/365.25))</f>
        <v/>
      </c>
      <c r="H236" s="25"/>
      <c r="I236" s="12"/>
      <c r="J236" s="14" t="str">
        <f aca="false">IF(OR($C236="",$D236="",$B236=""),"",IF(COUNTIFS($C$5:$C$804,$C236,$D$5:$D$804,$D236,$B$5:$B$804,$B236)&gt;1,"Takror",""))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4"/>
      <c r="F237" s="12"/>
      <c r="G237" s="14" t="str">
        <f aca="false">IF(OR($D237="",$B237=""),"",INT(($B237-$D237)/365.25))</f>
        <v/>
      </c>
      <c r="H237" s="25"/>
      <c r="I237" s="12"/>
      <c r="J237" s="14" t="str">
        <f aca="false">IF(OR($C237="",$D237="",$B237=""),"",IF(COUNTIFS($C$5:$C$804,$C237,$D$5:$D$804,$D237,$B$5:$B$804,$B237)&gt;1,"Takror",""))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4"/>
      <c r="F238" s="12"/>
      <c r="G238" s="14" t="str">
        <f aca="false">IF(OR($D238="",$B238=""),"",INT(($B238-$D238)/365.25))</f>
        <v/>
      </c>
      <c r="H238" s="25"/>
      <c r="I238" s="12"/>
      <c r="J238" s="14" t="str">
        <f aca="false">IF(OR($C238="",$D238="",$B238=""),"",IF(COUNTIFS($C$5:$C$804,$C238,$D$5:$D$804,$D238,$B$5:$B$804,$B238)&gt;1,"Takror",""))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4"/>
      <c r="F239" s="12"/>
      <c r="G239" s="14" t="str">
        <f aca="false">IF(OR($D239="",$B239=""),"",INT(($B239-$D239)/365.25))</f>
        <v/>
      </c>
      <c r="H239" s="25"/>
      <c r="I239" s="12"/>
      <c r="J239" s="14" t="str">
        <f aca="false">IF(OR($C239="",$D239="",$B239=""),"",IF(COUNTIFS($C$5:$C$804,$C239,$D$5:$D$804,$D239,$B$5:$B$804,$B239)&gt;1,"Takror",""))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4"/>
      <c r="F240" s="12"/>
      <c r="G240" s="14" t="str">
        <f aca="false">IF(OR($D240="",$B240=""),"",INT(($B240-$D240)/365.25))</f>
        <v/>
      </c>
      <c r="H240" s="25"/>
      <c r="I240" s="12"/>
      <c r="J240" s="14" t="str">
        <f aca="false">IF(OR($C240="",$D240="",$B240=""),"",IF(COUNTIFS($C$5:$C$804,$C240,$D$5:$D$804,$D240,$B$5:$B$804,$B240)&gt;1,"Takror",""))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4"/>
      <c r="F241" s="12"/>
      <c r="G241" s="14" t="str">
        <f aca="false">IF(OR($D241="",$B241=""),"",INT(($B241-$D241)/365.25))</f>
        <v/>
      </c>
      <c r="H241" s="25"/>
      <c r="I241" s="12"/>
      <c r="J241" s="14" t="str">
        <f aca="false">IF(OR($C241="",$D241="",$B241=""),"",IF(COUNTIFS($C$5:$C$804,$C241,$D$5:$D$804,$D241,$B$5:$B$804,$B241)&gt;1,"Takror",""))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4"/>
      <c r="F242" s="12"/>
      <c r="G242" s="14" t="str">
        <f aca="false">IF(OR($D242="",$B242=""),"",INT(($B242-$D242)/365.25))</f>
        <v/>
      </c>
      <c r="H242" s="25"/>
      <c r="I242" s="12"/>
      <c r="J242" s="14" t="str">
        <f aca="false">IF(OR($C242="",$D242="",$B242=""),"",IF(COUNTIFS($C$5:$C$804,$C242,$D$5:$D$804,$D242,$B$5:$B$804,$B242)&gt;1,"Takror",""))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4"/>
      <c r="F243" s="12"/>
      <c r="G243" s="14" t="str">
        <f aca="false">IF(OR($D243="",$B243=""),"",INT(($B243-$D243)/365.25))</f>
        <v/>
      </c>
      <c r="H243" s="25"/>
      <c r="I243" s="12"/>
      <c r="J243" s="14" t="str">
        <f aca="false">IF(OR($C243="",$D243="",$B243=""),"",IF(COUNTIFS($C$5:$C$804,$C243,$D$5:$D$804,$D243,$B$5:$B$804,$B243)&gt;1,"Takror",""))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4"/>
      <c r="F244" s="12"/>
      <c r="G244" s="14" t="str">
        <f aca="false">IF(OR($D244="",$B244=""),"",INT(($B244-$D244)/365.25))</f>
        <v/>
      </c>
      <c r="H244" s="25"/>
      <c r="I244" s="12"/>
      <c r="J244" s="14" t="str">
        <f aca="false">IF(OR($C244="",$D244="",$B244=""),"",IF(COUNTIFS($C$5:$C$804,$C244,$D$5:$D$804,$D244,$B$5:$B$804,$B244)&gt;1,"Takror",""))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4"/>
      <c r="F245" s="12"/>
      <c r="G245" s="14" t="str">
        <f aca="false">IF(OR($D245="",$B245=""),"",INT(($B245-$D245)/365.25))</f>
        <v/>
      </c>
      <c r="H245" s="25"/>
      <c r="I245" s="12"/>
      <c r="J245" s="14" t="str">
        <f aca="false">IF(OR($C245="",$D245="",$B245=""),"",IF(COUNTIFS($C$5:$C$804,$C245,$D$5:$D$804,$D245,$B$5:$B$804,$B245)&gt;1,"Takror",""))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4"/>
      <c r="F246" s="12"/>
      <c r="G246" s="14" t="str">
        <f aca="false">IF(OR($D246="",$B246=""),"",INT(($B246-$D246)/365.25))</f>
        <v/>
      </c>
      <c r="H246" s="25"/>
      <c r="I246" s="12"/>
      <c r="J246" s="14" t="str">
        <f aca="false">IF(OR($C246="",$D246="",$B246=""),"",IF(COUNTIFS($C$5:$C$804,$C246,$D$5:$D$804,$D246,$B$5:$B$804,$B246)&gt;1,"Takror",""))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4"/>
      <c r="F247" s="12"/>
      <c r="G247" s="14" t="str">
        <f aca="false">IF(OR($D247="",$B247=""),"",INT(($B247-$D247)/365.25))</f>
        <v/>
      </c>
      <c r="H247" s="25"/>
      <c r="I247" s="12"/>
      <c r="J247" s="14" t="str">
        <f aca="false">IF(OR($C247="",$D247="",$B247=""),"",IF(COUNTIFS($C$5:$C$804,$C247,$D$5:$D$804,$D247,$B$5:$B$804,$B247)&gt;1,"Takror",""))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4"/>
      <c r="F248" s="12"/>
      <c r="G248" s="14" t="str">
        <f aca="false">IF(OR($D248="",$B248=""),"",INT(($B248-$D248)/365.25))</f>
        <v/>
      </c>
      <c r="H248" s="25"/>
      <c r="I248" s="12"/>
      <c r="J248" s="14" t="str">
        <f aca="false">IF(OR($C248="",$D248="",$B248=""),"",IF(COUNTIFS($C$5:$C$804,$C248,$D$5:$D$804,$D248,$B$5:$B$804,$B248)&gt;1,"Takror",""))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4"/>
      <c r="F249" s="12"/>
      <c r="G249" s="14" t="str">
        <f aca="false">IF(OR($D249="",$B249=""),"",INT(($B249-$D249)/365.25))</f>
        <v/>
      </c>
      <c r="H249" s="25"/>
      <c r="I249" s="12"/>
      <c r="J249" s="14" t="str">
        <f aca="false">IF(OR($C249="",$D249="",$B249=""),"",IF(COUNTIFS($C$5:$C$804,$C249,$D$5:$D$804,$D249,$B$5:$B$804,$B249)&gt;1,"Takror",""))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4"/>
      <c r="F250" s="12"/>
      <c r="G250" s="14" t="str">
        <f aca="false">IF(OR($D250="",$B250=""),"",INT(($B250-$D250)/365.25))</f>
        <v/>
      </c>
      <c r="H250" s="25"/>
      <c r="I250" s="12"/>
      <c r="J250" s="14" t="str">
        <f aca="false">IF(OR($C250="",$D250="",$B250=""),"",IF(COUNTIFS($C$5:$C$804,$C250,$D$5:$D$804,$D250,$B$5:$B$804,$B250)&gt;1,"Takror",""))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4"/>
      <c r="F251" s="12"/>
      <c r="G251" s="14" t="str">
        <f aca="false">IF(OR($D251="",$B251=""),"",INT(($B251-$D251)/365.25))</f>
        <v/>
      </c>
      <c r="H251" s="25"/>
      <c r="I251" s="12"/>
      <c r="J251" s="14" t="str">
        <f aca="false">IF(OR($C251="",$D251="",$B251=""),"",IF(COUNTIFS($C$5:$C$804,$C251,$D$5:$D$804,$D251,$B$5:$B$804,$B251)&gt;1,"Takror",""))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4"/>
      <c r="F252" s="12"/>
      <c r="G252" s="14" t="str">
        <f aca="false">IF(OR($D252="",$B252=""),"",INT(($B252-$D252)/365.25))</f>
        <v/>
      </c>
      <c r="H252" s="25"/>
      <c r="I252" s="12"/>
      <c r="J252" s="14" t="str">
        <f aca="false">IF(OR($C252="",$D252="",$B252=""),"",IF(COUNTIFS($C$5:$C$804,$C252,$D$5:$D$804,$D252,$B$5:$B$804,$B252)&gt;1,"Takror",""))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4"/>
      <c r="F253" s="12"/>
      <c r="G253" s="14" t="str">
        <f aca="false">IF(OR($D253="",$B253=""),"",INT(($B253-$D253)/365.25))</f>
        <v/>
      </c>
      <c r="H253" s="25"/>
      <c r="I253" s="12"/>
      <c r="J253" s="14" t="str">
        <f aca="false">IF(OR($C253="",$D253="",$B253=""),"",IF(COUNTIFS($C$5:$C$804,$C253,$D$5:$D$804,$D253,$B$5:$B$804,$B253)&gt;1,"Takror",""))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4"/>
      <c r="F254" s="12"/>
      <c r="G254" s="14" t="str">
        <f aca="false">IF(OR($D254="",$B254=""),"",INT(($B254-$D254)/365.25))</f>
        <v/>
      </c>
      <c r="H254" s="25"/>
      <c r="I254" s="12"/>
      <c r="J254" s="14" t="str">
        <f aca="false">IF(OR($C254="",$D254="",$B254=""),"",IF(COUNTIFS($C$5:$C$804,$C254,$D$5:$D$804,$D254,$B$5:$B$804,$B254)&gt;1,"Takror",""))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4"/>
      <c r="F255" s="12"/>
      <c r="G255" s="14" t="str">
        <f aca="false">IF(OR($D255="",$B255=""),"",INT(($B255-$D255)/365.25))</f>
        <v/>
      </c>
      <c r="H255" s="25"/>
      <c r="I255" s="12"/>
      <c r="J255" s="14" t="str">
        <f aca="false">IF(OR($C255="",$D255="",$B255=""),"",IF(COUNTIFS($C$5:$C$804,$C255,$D$5:$D$804,$D255,$B$5:$B$804,$B255)&gt;1,"Takror",""))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4"/>
      <c r="F256" s="12"/>
      <c r="G256" s="14" t="str">
        <f aca="false">IF(OR($D256="",$B256=""),"",INT(($B256-$D256)/365.25))</f>
        <v/>
      </c>
      <c r="H256" s="25"/>
      <c r="I256" s="12"/>
      <c r="J256" s="14" t="str">
        <f aca="false">IF(OR($C256="",$D256="",$B256=""),"",IF(COUNTIFS($C$5:$C$804,$C256,$D$5:$D$804,$D256,$B$5:$B$804,$B256)&gt;1,"Takror",""))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4"/>
      <c r="F257" s="12"/>
      <c r="G257" s="14" t="str">
        <f aca="false">IF(OR($D257="",$B257=""),"",INT(($B257-$D257)/365.25))</f>
        <v/>
      </c>
      <c r="H257" s="25"/>
      <c r="I257" s="12"/>
      <c r="J257" s="14" t="str">
        <f aca="false">IF(OR($C257="",$D257="",$B257=""),"",IF(COUNTIFS($C$5:$C$804,$C257,$D$5:$D$804,$D257,$B$5:$B$804,$B257)&gt;1,"Takror",""))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4"/>
      <c r="F258" s="12"/>
      <c r="G258" s="14" t="str">
        <f aca="false">IF(OR($D258="",$B258=""),"",INT(($B258-$D258)/365.25))</f>
        <v/>
      </c>
      <c r="H258" s="25"/>
      <c r="I258" s="12"/>
      <c r="J258" s="14" t="str">
        <f aca="false">IF(OR($C258="",$D258="",$B258=""),"",IF(COUNTIFS($C$5:$C$804,$C258,$D$5:$D$804,$D258,$B$5:$B$804,$B258)&gt;1,"Takror",""))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4"/>
      <c r="F259" s="12"/>
      <c r="G259" s="14" t="str">
        <f aca="false">IF(OR($D259="",$B259=""),"",INT(($B259-$D259)/365.25))</f>
        <v/>
      </c>
      <c r="H259" s="25"/>
      <c r="I259" s="12"/>
      <c r="J259" s="14" t="str">
        <f aca="false">IF(OR($C259="",$D259="",$B259=""),"",IF(COUNTIFS($C$5:$C$804,$C259,$D$5:$D$804,$D259,$B$5:$B$804,$B259)&gt;1,"Takror",""))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4"/>
      <c r="F260" s="12"/>
      <c r="G260" s="14" t="str">
        <f aca="false">IF(OR($D260="",$B260=""),"",INT(($B260-$D260)/365.25))</f>
        <v/>
      </c>
      <c r="H260" s="25"/>
      <c r="I260" s="12"/>
      <c r="J260" s="14" t="str">
        <f aca="false">IF(OR($C260="",$D260="",$B260=""),"",IF(COUNTIFS($C$5:$C$804,$C260,$D$5:$D$804,$D260,$B$5:$B$804,$B260)&gt;1,"Takror",""))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4"/>
      <c r="F261" s="12"/>
      <c r="G261" s="14" t="str">
        <f aca="false">IF(OR($D261="",$B261=""),"",INT(($B261-$D261)/365.25))</f>
        <v/>
      </c>
      <c r="H261" s="25"/>
      <c r="I261" s="12"/>
      <c r="J261" s="14" t="str">
        <f aca="false">IF(OR($C261="",$D261="",$B261=""),"",IF(COUNTIFS($C$5:$C$804,$C261,$D$5:$D$804,$D261,$B$5:$B$804,$B261)&gt;1,"Takror",""))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4"/>
      <c r="F262" s="12"/>
      <c r="G262" s="14" t="str">
        <f aca="false">IF(OR($D262="",$B262=""),"",INT(($B262-$D262)/365.25))</f>
        <v/>
      </c>
      <c r="H262" s="25"/>
      <c r="I262" s="12"/>
      <c r="J262" s="14" t="str">
        <f aca="false">IF(OR($C262="",$D262="",$B262=""),"",IF(COUNTIFS($C$5:$C$804,$C262,$D$5:$D$804,$D262,$B$5:$B$804,$B262)&gt;1,"Takror",""))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4"/>
      <c r="F263" s="12"/>
      <c r="G263" s="14" t="str">
        <f aca="false">IF(OR($D263="",$B263=""),"",INT(($B263-$D263)/365.25))</f>
        <v/>
      </c>
      <c r="H263" s="25"/>
      <c r="I263" s="12"/>
      <c r="J263" s="14" t="str">
        <f aca="false">IF(OR($C263="",$D263="",$B263=""),"",IF(COUNTIFS($C$5:$C$804,$C263,$D$5:$D$804,$D263,$B$5:$B$804,$B263)&gt;1,"Takror",""))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4"/>
      <c r="F264" s="12"/>
      <c r="G264" s="14" t="str">
        <f aca="false">IF(OR($D264="",$B264=""),"",INT(($B264-$D264)/365.25))</f>
        <v/>
      </c>
      <c r="H264" s="25"/>
      <c r="I264" s="12"/>
      <c r="J264" s="14" t="str">
        <f aca="false">IF(OR($C264="",$D264="",$B264=""),"",IF(COUNTIFS($C$5:$C$804,$C264,$D$5:$D$804,$D264,$B$5:$B$804,$B264)&gt;1,"Takror",""))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4"/>
      <c r="F265" s="12"/>
      <c r="G265" s="14" t="str">
        <f aca="false">IF(OR($D265="",$B265=""),"",INT(($B265-$D265)/365.25))</f>
        <v/>
      </c>
      <c r="H265" s="25"/>
      <c r="I265" s="12"/>
      <c r="J265" s="14" t="str">
        <f aca="false">IF(OR($C265="",$D265="",$B265=""),"",IF(COUNTIFS($C$5:$C$804,$C265,$D$5:$D$804,$D265,$B$5:$B$804,$B265)&gt;1,"Takror",""))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4"/>
      <c r="F266" s="12"/>
      <c r="G266" s="14" t="str">
        <f aca="false">IF(OR($D266="",$B266=""),"",INT(($B266-$D266)/365.25))</f>
        <v/>
      </c>
      <c r="H266" s="25"/>
      <c r="I266" s="12"/>
      <c r="J266" s="14" t="str">
        <f aca="false">IF(OR($C266="",$D266="",$B266=""),"",IF(COUNTIFS($C$5:$C$804,$C266,$D$5:$D$804,$D266,$B$5:$B$804,$B266)&gt;1,"Takror",""))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4"/>
      <c r="F267" s="12"/>
      <c r="G267" s="14" t="str">
        <f aca="false">IF(OR($D267="",$B267=""),"",INT(($B267-$D267)/365.25))</f>
        <v/>
      </c>
      <c r="H267" s="25"/>
      <c r="I267" s="12"/>
      <c r="J267" s="14" t="str">
        <f aca="false">IF(OR($C267="",$D267="",$B267=""),"",IF(COUNTIFS($C$5:$C$804,$C267,$D$5:$D$804,$D267,$B$5:$B$804,$B267)&gt;1,"Takror",""))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4"/>
      <c r="F268" s="12"/>
      <c r="G268" s="14" t="str">
        <f aca="false">IF(OR($D268="",$B268=""),"",INT(($B268-$D268)/365.25))</f>
        <v/>
      </c>
      <c r="H268" s="25"/>
      <c r="I268" s="12"/>
      <c r="J268" s="14" t="str">
        <f aca="false">IF(OR($C268="",$D268="",$B268=""),"",IF(COUNTIFS($C$5:$C$804,$C268,$D$5:$D$804,$D268,$B$5:$B$804,$B268)&gt;1,"Takror",""))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4"/>
      <c r="F269" s="12"/>
      <c r="G269" s="14" t="str">
        <f aca="false">IF(OR($D269="",$B269=""),"",INT(($B269-$D269)/365.25))</f>
        <v/>
      </c>
      <c r="H269" s="25"/>
      <c r="I269" s="12"/>
      <c r="J269" s="14" t="str">
        <f aca="false">IF(OR($C269="",$D269="",$B269=""),"",IF(COUNTIFS($C$5:$C$804,$C269,$D$5:$D$804,$D269,$B$5:$B$804,$B269)&gt;1,"Takror",""))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4"/>
      <c r="F270" s="12"/>
      <c r="G270" s="14" t="str">
        <f aca="false">IF(OR($D270="",$B270=""),"",INT(($B270-$D270)/365.25))</f>
        <v/>
      </c>
      <c r="H270" s="25"/>
      <c r="I270" s="12"/>
      <c r="J270" s="14" t="str">
        <f aca="false">IF(OR($C270="",$D270="",$B270=""),"",IF(COUNTIFS($C$5:$C$804,$C270,$D$5:$D$804,$D270,$B$5:$B$804,$B270)&gt;1,"Takror",""))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4"/>
      <c r="F271" s="12"/>
      <c r="G271" s="14" t="str">
        <f aca="false">IF(OR($D271="",$B271=""),"",INT(($B271-$D271)/365.25))</f>
        <v/>
      </c>
      <c r="H271" s="25"/>
      <c r="I271" s="12"/>
      <c r="J271" s="14" t="str">
        <f aca="false">IF(OR($C271="",$D271="",$B271=""),"",IF(COUNTIFS($C$5:$C$804,$C271,$D$5:$D$804,$D271,$B$5:$B$804,$B271)&gt;1,"Takror",""))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4"/>
      <c r="F272" s="12"/>
      <c r="G272" s="14" t="str">
        <f aca="false">IF(OR($D272="",$B272=""),"",INT(($B272-$D272)/365.25))</f>
        <v/>
      </c>
      <c r="H272" s="25"/>
      <c r="I272" s="12"/>
      <c r="J272" s="14" t="str">
        <f aca="false">IF(OR($C272="",$D272="",$B272=""),"",IF(COUNTIFS($C$5:$C$804,$C272,$D$5:$D$804,$D272,$B$5:$B$804,$B272)&gt;1,"Takror",""))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4"/>
      <c r="F273" s="12"/>
      <c r="G273" s="14" t="str">
        <f aca="false">IF(OR($D273="",$B273=""),"",INT(($B273-$D273)/365.25))</f>
        <v/>
      </c>
      <c r="H273" s="25"/>
      <c r="I273" s="12"/>
      <c r="J273" s="14" t="str">
        <f aca="false">IF(OR($C273="",$D273="",$B273=""),"",IF(COUNTIFS($C$5:$C$804,$C273,$D$5:$D$804,$D273,$B$5:$B$804,$B273)&gt;1,"Takror",""))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4"/>
      <c r="F274" s="12"/>
      <c r="G274" s="14" t="str">
        <f aca="false">IF(OR($D274="",$B274=""),"",INT(($B274-$D274)/365.25))</f>
        <v/>
      </c>
      <c r="H274" s="25"/>
      <c r="I274" s="12"/>
      <c r="J274" s="14" t="str">
        <f aca="false">IF(OR($C274="",$D274="",$B274=""),"",IF(COUNTIFS($C$5:$C$804,$C274,$D$5:$D$804,$D274,$B$5:$B$804,$B274)&gt;1,"Takror",""))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4"/>
      <c r="F275" s="12"/>
      <c r="G275" s="14" t="str">
        <f aca="false">IF(OR($D275="",$B275=""),"",INT(($B275-$D275)/365.25))</f>
        <v/>
      </c>
      <c r="H275" s="25"/>
      <c r="I275" s="12"/>
      <c r="J275" s="14" t="str">
        <f aca="false">IF(OR($C275="",$D275="",$B275=""),"",IF(COUNTIFS($C$5:$C$804,$C275,$D$5:$D$804,$D275,$B$5:$B$804,$B275)&gt;1,"Takror",""))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4"/>
      <c r="F276" s="12"/>
      <c r="G276" s="14" t="str">
        <f aca="false">IF(OR($D276="",$B276=""),"",INT(($B276-$D276)/365.25))</f>
        <v/>
      </c>
      <c r="H276" s="25"/>
      <c r="I276" s="12"/>
      <c r="J276" s="14" t="str">
        <f aca="false">IF(OR($C276="",$D276="",$B276=""),"",IF(COUNTIFS($C$5:$C$804,$C276,$D$5:$D$804,$D276,$B$5:$B$804,$B276)&gt;1,"Takror",""))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4"/>
      <c r="F277" s="12"/>
      <c r="G277" s="14" t="str">
        <f aca="false">IF(OR($D277="",$B277=""),"",INT(($B277-$D277)/365.25))</f>
        <v/>
      </c>
      <c r="H277" s="25"/>
      <c r="I277" s="12"/>
      <c r="J277" s="14" t="str">
        <f aca="false">IF(OR($C277="",$D277="",$B277=""),"",IF(COUNTIFS($C$5:$C$804,$C277,$D$5:$D$804,$D277,$B$5:$B$804,$B277)&gt;1,"Takror",""))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4"/>
      <c r="F278" s="12"/>
      <c r="G278" s="14" t="str">
        <f aca="false">IF(OR($D278="",$B278=""),"",INT(($B278-$D278)/365.25))</f>
        <v/>
      </c>
      <c r="H278" s="25"/>
      <c r="I278" s="12"/>
      <c r="J278" s="14" t="str">
        <f aca="false">IF(OR($C278="",$D278="",$B278=""),"",IF(COUNTIFS($C$5:$C$804,$C278,$D$5:$D$804,$D278,$B$5:$B$804,$B278)&gt;1,"Takror",""))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4"/>
      <c r="F279" s="12"/>
      <c r="G279" s="14" t="str">
        <f aca="false">IF(OR($D279="",$B279=""),"",INT(($B279-$D279)/365.25))</f>
        <v/>
      </c>
      <c r="H279" s="25"/>
      <c r="I279" s="12"/>
      <c r="J279" s="14" t="str">
        <f aca="false">IF(OR($C279="",$D279="",$B279=""),"",IF(COUNTIFS($C$5:$C$804,$C279,$D$5:$D$804,$D279,$B$5:$B$804,$B279)&gt;1,"Takror",""))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4"/>
      <c r="F280" s="12"/>
      <c r="G280" s="14" t="str">
        <f aca="false">IF(OR($D280="",$B280=""),"",INT(($B280-$D280)/365.25))</f>
        <v/>
      </c>
      <c r="H280" s="25"/>
      <c r="I280" s="12"/>
      <c r="J280" s="14" t="str">
        <f aca="false">IF(OR($C280="",$D280="",$B280=""),"",IF(COUNTIFS($C$5:$C$804,$C280,$D$5:$D$804,$D280,$B$5:$B$804,$B280)&gt;1,"Takror",""))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4"/>
      <c r="F281" s="12"/>
      <c r="G281" s="14" t="str">
        <f aca="false">IF(OR($D281="",$B281=""),"",INT(($B281-$D281)/365.25))</f>
        <v/>
      </c>
      <c r="H281" s="25"/>
      <c r="I281" s="12"/>
      <c r="J281" s="14" t="str">
        <f aca="false">IF(OR($C281="",$D281="",$B281=""),"",IF(COUNTIFS($C$5:$C$804,$C281,$D$5:$D$804,$D281,$B$5:$B$804,$B281)&gt;1,"Takror",""))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4"/>
      <c r="F282" s="12"/>
      <c r="G282" s="14" t="str">
        <f aca="false">IF(OR($D282="",$B282=""),"",INT(($B282-$D282)/365.25))</f>
        <v/>
      </c>
      <c r="H282" s="25"/>
      <c r="I282" s="12"/>
      <c r="J282" s="14" t="str">
        <f aca="false">IF(OR($C282="",$D282="",$B282=""),"",IF(COUNTIFS($C$5:$C$804,$C282,$D$5:$D$804,$D282,$B$5:$B$804,$B282)&gt;1,"Takror",""))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4"/>
      <c r="F283" s="12"/>
      <c r="G283" s="14" t="str">
        <f aca="false">IF(OR($D283="",$B283=""),"",INT(($B283-$D283)/365.25))</f>
        <v/>
      </c>
      <c r="H283" s="25"/>
      <c r="I283" s="12"/>
      <c r="J283" s="14" t="str">
        <f aca="false">IF(OR($C283="",$D283="",$B283=""),"",IF(COUNTIFS($C$5:$C$804,$C283,$D$5:$D$804,$D283,$B$5:$B$804,$B283)&gt;1,"Takror",""))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4"/>
      <c r="F284" s="12"/>
      <c r="G284" s="14" t="str">
        <f aca="false">IF(OR($D284="",$B284=""),"",INT(($B284-$D284)/365.25))</f>
        <v/>
      </c>
      <c r="H284" s="25"/>
      <c r="I284" s="12"/>
      <c r="J284" s="14" t="str">
        <f aca="false">IF(OR($C284="",$D284="",$B284=""),"",IF(COUNTIFS($C$5:$C$804,$C284,$D$5:$D$804,$D284,$B$5:$B$804,$B284)&gt;1,"Takror",""))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4"/>
      <c r="F285" s="12"/>
      <c r="G285" s="14" t="str">
        <f aca="false">IF(OR($D285="",$B285=""),"",INT(($B285-$D285)/365.25))</f>
        <v/>
      </c>
      <c r="H285" s="25"/>
      <c r="I285" s="12"/>
      <c r="J285" s="14" t="str">
        <f aca="false">IF(OR($C285="",$D285="",$B285=""),"",IF(COUNTIFS($C$5:$C$804,$C285,$D$5:$D$804,$D285,$B$5:$B$804,$B285)&gt;1,"Takror",""))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4"/>
      <c r="F286" s="12"/>
      <c r="G286" s="14" t="str">
        <f aca="false">IF(OR($D286="",$B286=""),"",INT(($B286-$D286)/365.25))</f>
        <v/>
      </c>
      <c r="H286" s="25"/>
      <c r="I286" s="12"/>
      <c r="J286" s="14" t="str">
        <f aca="false">IF(OR($C286="",$D286="",$B286=""),"",IF(COUNTIFS($C$5:$C$804,$C286,$D$5:$D$804,$D286,$B$5:$B$804,$B286)&gt;1,"Takror",""))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4"/>
      <c r="F287" s="12"/>
      <c r="G287" s="14" t="str">
        <f aca="false">IF(OR($D287="",$B287=""),"",INT(($B287-$D287)/365.25))</f>
        <v/>
      </c>
      <c r="H287" s="25"/>
      <c r="I287" s="12"/>
      <c r="J287" s="14" t="str">
        <f aca="false">IF(OR($C287="",$D287="",$B287=""),"",IF(COUNTIFS($C$5:$C$804,$C287,$D$5:$D$804,$D287,$B$5:$B$804,$B287)&gt;1,"Takror",""))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4"/>
      <c r="F288" s="12"/>
      <c r="G288" s="14" t="str">
        <f aca="false">IF(OR($D288="",$B288=""),"",INT(($B288-$D288)/365.25))</f>
        <v/>
      </c>
      <c r="H288" s="25"/>
      <c r="I288" s="12"/>
      <c r="J288" s="14" t="str">
        <f aca="false">IF(OR($C288="",$D288="",$B288=""),"",IF(COUNTIFS($C$5:$C$804,$C288,$D$5:$D$804,$D288,$B$5:$B$804,$B288)&gt;1,"Takror",""))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4"/>
      <c r="F289" s="12"/>
      <c r="G289" s="14" t="str">
        <f aca="false">IF(OR($D289="",$B289=""),"",INT(($B289-$D289)/365.25))</f>
        <v/>
      </c>
      <c r="H289" s="25"/>
      <c r="I289" s="12"/>
      <c r="J289" s="14" t="str">
        <f aca="false">IF(OR($C289="",$D289="",$B289=""),"",IF(COUNTIFS($C$5:$C$804,$C289,$D$5:$D$804,$D289,$B$5:$B$804,$B289)&gt;1,"Takror",""))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4"/>
      <c r="F290" s="12"/>
      <c r="G290" s="14" t="str">
        <f aca="false">IF(OR($D290="",$B290=""),"",INT(($B290-$D290)/365.25))</f>
        <v/>
      </c>
      <c r="H290" s="25"/>
      <c r="I290" s="12"/>
      <c r="J290" s="14" t="str">
        <f aca="false">IF(OR($C290="",$D290="",$B290=""),"",IF(COUNTIFS($C$5:$C$804,$C290,$D$5:$D$804,$D290,$B$5:$B$804,$B290)&gt;1,"Takror",""))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4"/>
      <c r="F291" s="12"/>
      <c r="G291" s="14" t="str">
        <f aca="false">IF(OR($D291="",$B291=""),"",INT(($B291-$D291)/365.25))</f>
        <v/>
      </c>
      <c r="H291" s="25"/>
      <c r="I291" s="12"/>
      <c r="J291" s="14" t="str">
        <f aca="false">IF(OR($C291="",$D291="",$B291=""),"",IF(COUNTIFS($C$5:$C$804,$C291,$D$5:$D$804,$D291,$B$5:$B$804,$B291)&gt;1,"Takror",""))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4"/>
      <c r="F292" s="12"/>
      <c r="G292" s="14" t="str">
        <f aca="false">IF(OR($D292="",$B292=""),"",INT(($B292-$D292)/365.25))</f>
        <v/>
      </c>
      <c r="H292" s="25"/>
      <c r="I292" s="12"/>
      <c r="J292" s="14" t="str">
        <f aca="false">IF(OR($C292="",$D292="",$B292=""),"",IF(COUNTIFS($C$5:$C$804,$C292,$D$5:$D$804,$D292,$B$5:$B$804,$B292)&gt;1,"Takror",""))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4"/>
      <c r="F293" s="12"/>
      <c r="G293" s="14" t="str">
        <f aca="false">IF(OR($D293="",$B293=""),"",INT(($B293-$D293)/365.25))</f>
        <v/>
      </c>
      <c r="H293" s="25"/>
      <c r="I293" s="12"/>
      <c r="J293" s="14" t="str">
        <f aca="false">IF(OR($C293="",$D293="",$B293=""),"",IF(COUNTIFS($C$5:$C$804,$C293,$D$5:$D$804,$D293,$B$5:$B$804,$B293)&gt;1,"Takror",""))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4"/>
      <c r="F294" s="12"/>
      <c r="G294" s="14" t="str">
        <f aca="false">IF(OR($D294="",$B294=""),"",INT(($B294-$D294)/365.25))</f>
        <v/>
      </c>
      <c r="H294" s="25"/>
      <c r="I294" s="12"/>
      <c r="J294" s="14" t="str">
        <f aca="false">IF(OR($C294="",$D294="",$B294=""),"",IF(COUNTIFS($C$5:$C$804,$C294,$D$5:$D$804,$D294,$B$5:$B$804,$B294)&gt;1,"Takror",""))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4"/>
      <c r="F295" s="12"/>
      <c r="G295" s="14" t="str">
        <f aca="false">IF(OR($D295="",$B295=""),"",INT(($B295-$D295)/365.25))</f>
        <v/>
      </c>
      <c r="H295" s="25"/>
      <c r="I295" s="12"/>
      <c r="J295" s="14" t="str">
        <f aca="false">IF(OR($C295="",$D295="",$B295=""),"",IF(COUNTIFS($C$5:$C$804,$C295,$D$5:$D$804,$D295,$B$5:$B$804,$B295)&gt;1,"Takror",""))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4"/>
      <c r="F296" s="12"/>
      <c r="G296" s="14" t="str">
        <f aca="false">IF(OR($D296="",$B296=""),"",INT(($B296-$D296)/365.25))</f>
        <v/>
      </c>
      <c r="H296" s="25"/>
      <c r="I296" s="12"/>
      <c r="J296" s="14" t="str">
        <f aca="false">IF(OR($C296="",$D296="",$B296=""),"",IF(COUNTIFS($C$5:$C$804,$C296,$D$5:$D$804,$D296,$B$5:$B$804,$B296)&gt;1,"Takror",""))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4"/>
      <c r="F297" s="12"/>
      <c r="G297" s="14" t="str">
        <f aca="false">IF(OR($D297="",$B297=""),"",INT(($B297-$D297)/365.25))</f>
        <v/>
      </c>
      <c r="H297" s="25"/>
      <c r="I297" s="12"/>
      <c r="J297" s="14" t="str">
        <f aca="false">IF(OR($C297="",$D297="",$B297=""),"",IF(COUNTIFS($C$5:$C$804,$C297,$D$5:$D$804,$D297,$B$5:$B$804,$B297)&gt;1,"Takror",""))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4"/>
      <c r="F298" s="12"/>
      <c r="G298" s="14" t="str">
        <f aca="false">IF(OR($D298="",$B298=""),"",INT(($B298-$D298)/365.25))</f>
        <v/>
      </c>
      <c r="H298" s="25"/>
      <c r="I298" s="12"/>
      <c r="J298" s="14" t="str">
        <f aca="false">IF(OR($C298="",$D298="",$B298=""),"",IF(COUNTIFS($C$5:$C$804,$C298,$D$5:$D$804,$D298,$B$5:$B$804,$B298)&gt;1,"Takror",""))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4"/>
      <c r="F299" s="12"/>
      <c r="G299" s="14" t="str">
        <f aca="false">IF(OR($D299="",$B299=""),"",INT(($B299-$D299)/365.25))</f>
        <v/>
      </c>
      <c r="H299" s="25"/>
      <c r="I299" s="12"/>
      <c r="J299" s="14" t="str">
        <f aca="false">IF(OR($C299="",$D299="",$B299=""),"",IF(COUNTIFS($C$5:$C$804,$C299,$D$5:$D$804,$D299,$B$5:$B$804,$B299)&gt;1,"Takror",""))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4"/>
      <c r="F300" s="12"/>
      <c r="G300" s="14" t="str">
        <f aca="false">IF(OR($D300="",$B300=""),"",INT(($B300-$D300)/365.25))</f>
        <v/>
      </c>
      <c r="H300" s="25"/>
      <c r="I300" s="12"/>
      <c r="J300" s="14" t="str">
        <f aca="false">IF(OR($C300="",$D300="",$B300=""),"",IF(COUNTIFS($C$5:$C$804,$C300,$D$5:$D$804,$D300,$B$5:$B$804,$B300)&gt;1,"Takror",""))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4"/>
      <c r="F301" s="12"/>
      <c r="G301" s="14" t="str">
        <f aca="false">IF(OR($D301="",$B301=""),"",INT(($B301-$D301)/365.25))</f>
        <v/>
      </c>
      <c r="H301" s="25"/>
      <c r="I301" s="12"/>
      <c r="J301" s="14" t="str">
        <f aca="false">IF(OR($C301="",$D301="",$B301=""),"",IF(COUNTIFS($C$5:$C$804,$C301,$D$5:$D$804,$D301,$B$5:$B$804,$B301)&gt;1,"Takror",""))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4"/>
      <c r="F302" s="12"/>
      <c r="G302" s="14" t="str">
        <f aca="false">IF(OR($D302="",$B302=""),"",INT(($B302-$D302)/365.25))</f>
        <v/>
      </c>
      <c r="H302" s="25"/>
      <c r="I302" s="12"/>
      <c r="J302" s="14" t="str">
        <f aca="false">IF(OR($C302="",$D302="",$B302=""),"",IF(COUNTIFS($C$5:$C$804,$C302,$D$5:$D$804,$D302,$B$5:$B$804,$B302)&gt;1,"Takror",""))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4"/>
      <c r="F303" s="12"/>
      <c r="G303" s="14" t="str">
        <f aca="false">IF(OR($D303="",$B303=""),"",INT(($B303-$D303)/365.25))</f>
        <v/>
      </c>
      <c r="H303" s="25"/>
      <c r="I303" s="12"/>
      <c r="J303" s="14" t="str">
        <f aca="false">IF(OR($C303="",$D303="",$B303=""),"",IF(COUNTIFS($C$5:$C$804,$C303,$D$5:$D$804,$D303,$B$5:$B$804,$B303)&gt;1,"Takror",""))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4"/>
      <c r="F304" s="12"/>
      <c r="G304" s="14" t="str">
        <f aca="false">IF(OR($D304="",$B304=""),"",INT(($B304-$D304)/365.25))</f>
        <v/>
      </c>
      <c r="H304" s="25"/>
      <c r="I304" s="12"/>
      <c r="J304" s="14" t="str">
        <f aca="false">IF(OR($C304="",$D304="",$B304=""),"",IF(COUNTIFS($C$5:$C$804,$C304,$D$5:$D$804,$D304,$B$5:$B$804,$B304)&gt;1,"Takror",""))</f>
        <v/>
      </c>
    </row>
    <row r="305" customFormat="false" ht="15" hidden="false" customHeight="false" outlineLevel="0" collapsed="false">
      <c r="A305" s="8" t="n">
        <v>301</v>
      </c>
      <c r="B305" s="13"/>
      <c r="C305" s="12"/>
      <c r="D305" s="13"/>
      <c r="E305" s="24"/>
      <c r="F305" s="12"/>
      <c r="G305" s="14" t="str">
        <f aca="false">IF(OR($D305="",$B305=""),"",INT(($B305-$D305)/365.25))</f>
        <v/>
      </c>
      <c r="H305" s="25"/>
      <c r="I305" s="12"/>
      <c r="J305" s="14" t="str">
        <f aca="false">IF(OR($C305="",$D305="",$B305=""),"",IF(COUNTIFS($C$5:$C$804,$C305,$D$5:$D$804,$D305,$B$5:$B$804,$B305)&gt;1,"Takror",""))</f>
        <v/>
      </c>
    </row>
    <row r="306" customFormat="false" ht="15" hidden="false" customHeight="false" outlineLevel="0" collapsed="false">
      <c r="A306" s="8" t="n">
        <v>302</v>
      </c>
      <c r="B306" s="13"/>
      <c r="C306" s="12"/>
      <c r="D306" s="13"/>
      <c r="E306" s="24"/>
      <c r="F306" s="12"/>
      <c r="G306" s="14" t="str">
        <f aca="false">IF(OR($D306="",$B306=""),"",INT(($B306-$D306)/365.25))</f>
        <v/>
      </c>
      <c r="H306" s="25"/>
      <c r="I306" s="12"/>
      <c r="J306" s="14" t="str">
        <f aca="false">IF(OR($C306="",$D306="",$B306=""),"",IF(COUNTIFS($C$5:$C$804,$C306,$D$5:$D$804,$D306,$B$5:$B$804,$B306)&gt;1,"Takror",""))</f>
        <v/>
      </c>
    </row>
    <row r="307" customFormat="false" ht="15" hidden="false" customHeight="false" outlineLevel="0" collapsed="false">
      <c r="A307" s="8" t="n">
        <v>303</v>
      </c>
      <c r="B307" s="13"/>
      <c r="C307" s="12"/>
      <c r="D307" s="13"/>
      <c r="E307" s="24"/>
      <c r="F307" s="12"/>
      <c r="G307" s="14" t="str">
        <f aca="false">IF(OR($D307="",$B307=""),"",INT(($B307-$D307)/365.25))</f>
        <v/>
      </c>
      <c r="H307" s="25"/>
      <c r="I307" s="12"/>
      <c r="J307" s="14" t="str">
        <f aca="false">IF(OR($C307="",$D307="",$B307=""),"",IF(COUNTIFS($C$5:$C$804,$C307,$D$5:$D$804,$D307,$B$5:$B$804,$B307)&gt;1,"Takror",""))</f>
        <v/>
      </c>
    </row>
    <row r="308" customFormat="false" ht="15" hidden="false" customHeight="false" outlineLevel="0" collapsed="false">
      <c r="A308" s="8" t="n">
        <v>304</v>
      </c>
      <c r="B308" s="13"/>
      <c r="C308" s="12"/>
      <c r="D308" s="13"/>
      <c r="E308" s="24"/>
      <c r="F308" s="12"/>
      <c r="G308" s="14" t="str">
        <f aca="false">IF(OR($D308="",$B308=""),"",INT(($B308-$D308)/365.25))</f>
        <v/>
      </c>
      <c r="H308" s="25"/>
      <c r="I308" s="12"/>
      <c r="J308" s="14" t="str">
        <f aca="false">IF(OR($C308="",$D308="",$B308=""),"",IF(COUNTIFS($C$5:$C$804,$C308,$D$5:$D$804,$D308,$B$5:$B$804,$B308)&gt;1,"Takror",""))</f>
        <v/>
      </c>
    </row>
    <row r="309" customFormat="false" ht="15" hidden="false" customHeight="false" outlineLevel="0" collapsed="false">
      <c r="A309" s="8" t="n">
        <v>305</v>
      </c>
      <c r="B309" s="13"/>
      <c r="C309" s="12"/>
      <c r="D309" s="13"/>
      <c r="E309" s="24"/>
      <c r="F309" s="12"/>
      <c r="G309" s="14" t="str">
        <f aca="false">IF(OR($D309="",$B309=""),"",INT(($B309-$D309)/365.25))</f>
        <v/>
      </c>
      <c r="H309" s="25"/>
      <c r="I309" s="12"/>
      <c r="J309" s="14" t="str">
        <f aca="false">IF(OR($C309="",$D309="",$B309=""),"",IF(COUNTIFS($C$5:$C$804,$C309,$D$5:$D$804,$D309,$B$5:$B$804,$B309)&gt;1,"Takror",""))</f>
        <v/>
      </c>
    </row>
    <row r="310" customFormat="false" ht="15" hidden="false" customHeight="false" outlineLevel="0" collapsed="false">
      <c r="A310" s="8" t="n">
        <v>306</v>
      </c>
      <c r="B310" s="13"/>
      <c r="C310" s="12"/>
      <c r="D310" s="13"/>
      <c r="E310" s="24"/>
      <c r="F310" s="12"/>
      <c r="G310" s="14" t="str">
        <f aca="false">IF(OR($D310="",$B310=""),"",INT(($B310-$D310)/365.25))</f>
        <v/>
      </c>
      <c r="H310" s="25"/>
      <c r="I310" s="12"/>
      <c r="J310" s="14" t="str">
        <f aca="false">IF(OR($C310="",$D310="",$B310=""),"",IF(COUNTIFS($C$5:$C$804,$C310,$D$5:$D$804,$D310,$B$5:$B$804,$B310)&gt;1,"Takror",""))</f>
        <v/>
      </c>
    </row>
    <row r="311" customFormat="false" ht="15" hidden="false" customHeight="false" outlineLevel="0" collapsed="false">
      <c r="A311" s="8" t="n">
        <v>307</v>
      </c>
      <c r="B311" s="13"/>
      <c r="C311" s="12"/>
      <c r="D311" s="13"/>
      <c r="E311" s="24"/>
      <c r="F311" s="12"/>
      <c r="G311" s="14" t="str">
        <f aca="false">IF(OR($D311="",$B311=""),"",INT(($B311-$D311)/365.25))</f>
        <v/>
      </c>
      <c r="H311" s="25"/>
      <c r="I311" s="12"/>
      <c r="J311" s="14" t="str">
        <f aca="false">IF(OR($C311="",$D311="",$B311=""),"",IF(COUNTIFS($C$5:$C$804,$C311,$D$5:$D$804,$D311,$B$5:$B$804,$B311)&gt;1,"Takror",""))</f>
        <v/>
      </c>
    </row>
    <row r="312" customFormat="false" ht="15" hidden="false" customHeight="false" outlineLevel="0" collapsed="false">
      <c r="A312" s="8" t="n">
        <v>308</v>
      </c>
      <c r="B312" s="13"/>
      <c r="C312" s="12"/>
      <c r="D312" s="13"/>
      <c r="E312" s="24"/>
      <c r="F312" s="12"/>
      <c r="G312" s="14" t="str">
        <f aca="false">IF(OR($D312="",$B312=""),"",INT(($B312-$D312)/365.25))</f>
        <v/>
      </c>
      <c r="H312" s="25"/>
      <c r="I312" s="12"/>
      <c r="J312" s="14" t="str">
        <f aca="false">IF(OR($C312="",$D312="",$B312=""),"",IF(COUNTIFS($C$5:$C$804,$C312,$D$5:$D$804,$D312,$B$5:$B$804,$B312)&gt;1,"Takror",""))</f>
        <v/>
      </c>
    </row>
    <row r="313" customFormat="false" ht="15" hidden="false" customHeight="false" outlineLevel="0" collapsed="false">
      <c r="A313" s="8" t="n">
        <v>309</v>
      </c>
      <c r="B313" s="13"/>
      <c r="C313" s="12"/>
      <c r="D313" s="13"/>
      <c r="E313" s="24"/>
      <c r="F313" s="12"/>
      <c r="G313" s="14" t="str">
        <f aca="false">IF(OR($D313="",$B313=""),"",INT(($B313-$D313)/365.25))</f>
        <v/>
      </c>
      <c r="H313" s="25"/>
      <c r="I313" s="12"/>
      <c r="J313" s="14" t="str">
        <f aca="false">IF(OR($C313="",$D313="",$B313=""),"",IF(COUNTIFS($C$5:$C$804,$C313,$D$5:$D$804,$D313,$B$5:$B$804,$B313)&gt;1,"Takror",""))</f>
        <v/>
      </c>
    </row>
    <row r="314" customFormat="false" ht="15" hidden="false" customHeight="false" outlineLevel="0" collapsed="false">
      <c r="A314" s="8" t="n">
        <v>310</v>
      </c>
      <c r="B314" s="13"/>
      <c r="C314" s="12"/>
      <c r="D314" s="13"/>
      <c r="E314" s="24"/>
      <c r="F314" s="12"/>
      <c r="G314" s="14" t="str">
        <f aca="false">IF(OR($D314="",$B314=""),"",INT(($B314-$D314)/365.25))</f>
        <v/>
      </c>
      <c r="H314" s="25"/>
      <c r="I314" s="12"/>
      <c r="J314" s="14" t="str">
        <f aca="false">IF(OR($C314="",$D314="",$B314=""),"",IF(COUNTIFS($C$5:$C$804,$C314,$D$5:$D$804,$D314,$B$5:$B$804,$B314)&gt;1,"Takror",""))</f>
        <v/>
      </c>
    </row>
    <row r="315" customFormat="false" ht="15" hidden="false" customHeight="false" outlineLevel="0" collapsed="false">
      <c r="A315" s="8" t="n">
        <v>311</v>
      </c>
      <c r="B315" s="13"/>
      <c r="C315" s="12"/>
      <c r="D315" s="13"/>
      <c r="E315" s="24"/>
      <c r="F315" s="12"/>
      <c r="G315" s="14" t="str">
        <f aca="false">IF(OR($D315="",$B315=""),"",INT(($B315-$D315)/365.25))</f>
        <v/>
      </c>
      <c r="H315" s="25"/>
      <c r="I315" s="12"/>
      <c r="J315" s="14" t="str">
        <f aca="false">IF(OR($C315="",$D315="",$B315=""),"",IF(COUNTIFS($C$5:$C$804,$C315,$D$5:$D$804,$D315,$B$5:$B$804,$B315)&gt;1,"Takror",""))</f>
        <v/>
      </c>
    </row>
    <row r="316" customFormat="false" ht="15" hidden="false" customHeight="false" outlineLevel="0" collapsed="false">
      <c r="A316" s="8" t="n">
        <v>312</v>
      </c>
      <c r="B316" s="13"/>
      <c r="C316" s="12"/>
      <c r="D316" s="13"/>
      <c r="E316" s="24"/>
      <c r="F316" s="12"/>
      <c r="G316" s="14" t="str">
        <f aca="false">IF(OR($D316="",$B316=""),"",INT(($B316-$D316)/365.25))</f>
        <v/>
      </c>
      <c r="H316" s="25"/>
      <c r="I316" s="12"/>
      <c r="J316" s="14" t="str">
        <f aca="false">IF(OR($C316="",$D316="",$B316=""),"",IF(COUNTIFS($C$5:$C$804,$C316,$D$5:$D$804,$D316,$B$5:$B$804,$B316)&gt;1,"Takror",""))</f>
        <v/>
      </c>
    </row>
    <row r="317" customFormat="false" ht="15" hidden="false" customHeight="false" outlineLevel="0" collapsed="false">
      <c r="A317" s="8" t="n">
        <v>313</v>
      </c>
      <c r="B317" s="13"/>
      <c r="C317" s="12"/>
      <c r="D317" s="13"/>
      <c r="E317" s="24"/>
      <c r="F317" s="12"/>
      <c r="G317" s="14" t="str">
        <f aca="false">IF(OR($D317="",$B317=""),"",INT(($B317-$D317)/365.25))</f>
        <v/>
      </c>
      <c r="H317" s="25"/>
      <c r="I317" s="12"/>
      <c r="J317" s="14" t="str">
        <f aca="false">IF(OR($C317="",$D317="",$B317=""),"",IF(COUNTIFS($C$5:$C$804,$C317,$D$5:$D$804,$D317,$B$5:$B$804,$B317)&gt;1,"Takror",""))</f>
        <v/>
      </c>
    </row>
    <row r="318" customFormat="false" ht="15" hidden="false" customHeight="false" outlineLevel="0" collapsed="false">
      <c r="A318" s="8" t="n">
        <v>314</v>
      </c>
      <c r="B318" s="13"/>
      <c r="C318" s="12"/>
      <c r="D318" s="13"/>
      <c r="E318" s="24"/>
      <c r="F318" s="12"/>
      <c r="G318" s="14" t="str">
        <f aca="false">IF(OR($D318="",$B318=""),"",INT(($B318-$D318)/365.25))</f>
        <v/>
      </c>
      <c r="H318" s="25"/>
      <c r="I318" s="12"/>
      <c r="J318" s="14" t="str">
        <f aca="false">IF(OR($C318="",$D318="",$B318=""),"",IF(COUNTIFS($C$5:$C$804,$C318,$D$5:$D$804,$D318,$B$5:$B$804,$B318)&gt;1,"Takror",""))</f>
        <v/>
      </c>
    </row>
    <row r="319" customFormat="false" ht="15" hidden="false" customHeight="false" outlineLevel="0" collapsed="false">
      <c r="A319" s="8" t="n">
        <v>315</v>
      </c>
      <c r="B319" s="13"/>
      <c r="C319" s="12"/>
      <c r="D319" s="13"/>
      <c r="E319" s="24"/>
      <c r="F319" s="12"/>
      <c r="G319" s="14" t="str">
        <f aca="false">IF(OR($D319="",$B319=""),"",INT(($B319-$D319)/365.25))</f>
        <v/>
      </c>
      <c r="H319" s="25"/>
      <c r="I319" s="12"/>
      <c r="J319" s="14" t="str">
        <f aca="false">IF(OR($C319="",$D319="",$B319=""),"",IF(COUNTIFS($C$5:$C$804,$C319,$D$5:$D$804,$D319,$B$5:$B$804,$B319)&gt;1,"Takror",""))</f>
        <v/>
      </c>
    </row>
    <row r="320" customFormat="false" ht="15" hidden="false" customHeight="false" outlineLevel="0" collapsed="false">
      <c r="A320" s="8" t="n">
        <v>316</v>
      </c>
      <c r="B320" s="13"/>
      <c r="C320" s="12"/>
      <c r="D320" s="13"/>
      <c r="E320" s="24"/>
      <c r="F320" s="12"/>
      <c r="G320" s="14" t="str">
        <f aca="false">IF(OR($D320="",$B320=""),"",INT(($B320-$D320)/365.25))</f>
        <v/>
      </c>
      <c r="H320" s="25"/>
      <c r="I320" s="12"/>
      <c r="J320" s="14" t="str">
        <f aca="false">IF(OR($C320="",$D320="",$B320=""),"",IF(COUNTIFS($C$5:$C$804,$C320,$D$5:$D$804,$D320,$B$5:$B$804,$B320)&gt;1,"Takror",""))</f>
        <v/>
      </c>
    </row>
    <row r="321" customFormat="false" ht="15" hidden="false" customHeight="false" outlineLevel="0" collapsed="false">
      <c r="A321" s="8" t="n">
        <v>317</v>
      </c>
      <c r="B321" s="13"/>
      <c r="C321" s="12"/>
      <c r="D321" s="13"/>
      <c r="E321" s="24"/>
      <c r="F321" s="12"/>
      <c r="G321" s="14" t="str">
        <f aca="false">IF(OR($D321="",$B321=""),"",INT(($B321-$D321)/365.25))</f>
        <v/>
      </c>
      <c r="H321" s="25"/>
      <c r="I321" s="12"/>
      <c r="J321" s="14" t="str">
        <f aca="false">IF(OR($C321="",$D321="",$B321=""),"",IF(COUNTIFS($C$5:$C$804,$C321,$D$5:$D$804,$D321,$B$5:$B$804,$B321)&gt;1,"Takror",""))</f>
        <v/>
      </c>
    </row>
    <row r="322" customFormat="false" ht="15" hidden="false" customHeight="false" outlineLevel="0" collapsed="false">
      <c r="A322" s="8" t="n">
        <v>318</v>
      </c>
      <c r="B322" s="13"/>
      <c r="C322" s="12"/>
      <c r="D322" s="13"/>
      <c r="E322" s="24"/>
      <c r="F322" s="12"/>
      <c r="G322" s="14" t="str">
        <f aca="false">IF(OR($D322="",$B322=""),"",INT(($B322-$D322)/365.25))</f>
        <v/>
      </c>
      <c r="H322" s="25"/>
      <c r="I322" s="12"/>
      <c r="J322" s="14" t="str">
        <f aca="false">IF(OR($C322="",$D322="",$B322=""),"",IF(COUNTIFS($C$5:$C$804,$C322,$D$5:$D$804,$D322,$B$5:$B$804,$B322)&gt;1,"Takror",""))</f>
        <v/>
      </c>
    </row>
    <row r="323" customFormat="false" ht="15" hidden="false" customHeight="false" outlineLevel="0" collapsed="false">
      <c r="A323" s="8" t="n">
        <v>319</v>
      </c>
      <c r="B323" s="13"/>
      <c r="C323" s="12"/>
      <c r="D323" s="13"/>
      <c r="E323" s="24"/>
      <c r="F323" s="12"/>
      <c r="G323" s="14" t="str">
        <f aca="false">IF(OR($D323="",$B323=""),"",INT(($B323-$D323)/365.25))</f>
        <v/>
      </c>
      <c r="H323" s="25"/>
      <c r="I323" s="12"/>
      <c r="J323" s="14" t="str">
        <f aca="false">IF(OR($C323="",$D323="",$B323=""),"",IF(COUNTIFS($C$5:$C$804,$C323,$D$5:$D$804,$D323,$B$5:$B$804,$B323)&gt;1,"Takror",""))</f>
        <v/>
      </c>
    </row>
    <row r="324" customFormat="false" ht="15" hidden="false" customHeight="false" outlineLevel="0" collapsed="false">
      <c r="A324" s="8" t="n">
        <v>320</v>
      </c>
      <c r="B324" s="13"/>
      <c r="C324" s="12"/>
      <c r="D324" s="13"/>
      <c r="E324" s="24"/>
      <c r="F324" s="12"/>
      <c r="G324" s="14" t="str">
        <f aca="false">IF(OR($D324="",$B324=""),"",INT(($B324-$D324)/365.25))</f>
        <v/>
      </c>
      <c r="H324" s="25"/>
      <c r="I324" s="12"/>
      <c r="J324" s="14" t="str">
        <f aca="false">IF(OR($C324="",$D324="",$B324=""),"",IF(COUNTIFS($C$5:$C$804,$C324,$D$5:$D$804,$D324,$B$5:$B$804,$B324)&gt;1,"Takror",""))</f>
        <v/>
      </c>
    </row>
    <row r="325" customFormat="false" ht="15" hidden="false" customHeight="false" outlineLevel="0" collapsed="false">
      <c r="A325" s="8" t="n">
        <v>321</v>
      </c>
      <c r="B325" s="13"/>
      <c r="C325" s="12"/>
      <c r="D325" s="13"/>
      <c r="E325" s="24"/>
      <c r="F325" s="12"/>
      <c r="G325" s="14" t="str">
        <f aca="false">IF(OR($D325="",$B325=""),"",INT(($B325-$D325)/365.25))</f>
        <v/>
      </c>
      <c r="H325" s="25"/>
      <c r="I325" s="12"/>
      <c r="J325" s="14" t="str">
        <f aca="false">IF(OR($C325="",$D325="",$B325=""),"",IF(COUNTIFS($C$5:$C$804,$C325,$D$5:$D$804,$D325,$B$5:$B$804,$B325)&gt;1,"Takror",""))</f>
        <v/>
      </c>
    </row>
    <row r="326" customFormat="false" ht="15" hidden="false" customHeight="false" outlineLevel="0" collapsed="false">
      <c r="A326" s="8" t="n">
        <v>322</v>
      </c>
      <c r="B326" s="13"/>
      <c r="C326" s="12"/>
      <c r="D326" s="13"/>
      <c r="E326" s="24"/>
      <c r="F326" s="12"/>
      <c r="G326" s="14" t="str">
        <f aca="false">IF(OR($D326="",$B326=""),"",INT(($B326-$D326)/365.25))</f>
        <v/>
      </c>
      <c r="H326" s="25"/>
      <c r="I326" s="12"/>
      <c r="J326" s="14" t="str">
        <f aca="false">IF(OR($C326="",$D326="",$B326=""),"",IF(COUNTIFS($C$5:$C$804,$C326,$D$5:$D$804,$D326,$B$5:$B$804,$B326)&gt;1,"Takror",""))</f>
        <v/>
      </c>
    </row>
    <row r="327" customFormat="false" ht="15" hidden="false" customHeight="false" outlineLevel="0" collapsed="false">
      <c r="A327" s="8" t="n">
        <v>323</v>
      </c>
      <c r="B327" s="13"/>
      <c r="C327" s="12"/>
      <c r="D327" s="13"/>
      <c r="E327" s="24"/>
      <c r="F327" s="12"/>
      <c r="G327" s="14" t="str">
        <f aca="false">IF(OR($D327="",$B327=""),"",INT(($B327-$D327)/365.25))</f>
        <v/>
      </c>
      <c r="H327" s="25"/>
      <c r="I327" s="12"/>
      <c r="J327" s="14" t="str">
        <f aca="false">IF(OR($C327="",$D327="",$B327=""),"",IF(COUNTIFS($C$5:$C$804,$C327,$D$5:$D$804,$D327,$B$5:$B$804,$B327)&gt;1,"Takror",""))</f>
        <v/>
      </c>
    </row>
    <row r="328" customFormat="false" ht="15" hidden="false" customHeight="false" outlineLevel="0" collapsed="false">
      <c r="A328" s="8" t="n">
        <v>324</v>
      </c>
      <c r="B328" s="13"/>
      <c r="C328" s="12"/>
      <c r="D328" s="13"/>
      <c r="E328" s="24"/>
      <c r="F328" s="12"/>
      <c r="G328" s="14" t="str">
        <f aca="false">IF(OR($D328="",$B328=""),"",INT(($B328-$D328)/365.25))</f>
        <v/>
      </c>
      <c r="H328" s="25"/>
      <c r="I328" s="12"/>
      <c r="J328" s="14" t="str">
        <f aca="false">IF(OR($C328="",$D328="",$B328=""),"",IF(COUNTIFS($C$5:$C$804,$C328,$D$5:$D$804,$D328,$B$5:$B$804,$B328)&gt;1,"Takror",""))</f>
        <v/>
      </c>
    </row>
    <row r="329" customFormat="false" ht="15" hidden="false" customHeight="false" outlineLevel="0" collapsed="false">
      <c r="A329" s="8" t="n">
        <v>325</v>
      </c>
      <c r="B329" s="13"/>
      <c r="C329" s="12"/>
      <c r="D329" s="13"/>
      <c r="E329" s="24"/>
      <c r="F329" s="12"/>
      <c r="G329" s="14" t="str">
        <f aca="false">IF(OR($D329="",$B329=""),"",INT(($B329-$D329)/365.25))</f>
        <v/>
      </c>
      <c r="H329" s="25"/>
      <c r="I329" s="12"/>
      <c r="J329" s="14" t="str">
        <f aca="false">IF(OR($C329="",$D329="",$B329=""),"",IF(COUNTIFS($C$5:$C$804,$C329,$D$5:$D$804,$D329,$B$5:$B$804,$B329)&gt;1,"Takror",""))</f>
        <v/>
      </c>
    </row>
    <row r="330" customFormat="false" ht="15" hidden="false" customHeight="false" outlineLevel="0" collapsed="false">
      <c r="A330" s="8" t="n">
        <v>326</v>
      </c>
      <c r="B330" s="13"/>
      <c r="C330" s="12"/>
      <c r="D330" s="13"/>
      <c r="E330" s="24"/>
      <c r="F330" s="12"/>
      <c r="G330" s="14" t="str">
        <f aca="false">IF(OR($D330="",$B330=""),"",INT(($B330-$D330)/365.25))</f>
        <v/>
      </c>
      <c r="H330" s="25"/>
      <c r="I330" s="12"/>
      <c r="J330" s="14" t="str">
        <f aca="false">IF(OR($C330="",$D330="",$B330=""),"",IF(COUNTIFS($C$5:$C$804,$C330,$D$5:$D$804,$D330,$B$5:$B$804,$B330)&gt;1,"Takror",""))</f>
        <v/>
      </c>
    </row>
    <row r="331" customFormat="false" ht="15" hidden="false" customHeight="false" outlineLevel="0" collapsed="false">
      <c r="A331" s="8" t="n">
        <v>327</v>
      </c>
      <c r="B331" s="13"/>
      <c r="C331" s="12"/>
      <c r="D331" s="13"/>
      <c r="E331" s="24"/>
      <c r="F331" s="12"/>
      <c r="G331" s="14" t="str">
        <f aca="false">IF(OR($D331="",$B331=""),"",INT(($B331-$D331)/365.25))</f>
        <v/>
      </c>
      <c r="H331" s="25"/>
      <c r="I331" s="12"/>
      <c r="J331" s="14" t="str">
        <f aca="false">IF(OR($C331="",$D331="",$B331=""),"",IF(COUNTIFS($C$5:$C$804,$C331,$D$5:$D$804,$D331,$B$5:$B$804,$B331)&gt;1,"Takror",""))</f>
        <v/>
      </c>
    </row>
    <row r="332" customFormat="false" ht="15" hidden="false" customHeight="false" outlineLevel="0" collapsed="false">
      <c r="A332" s="8" t="n">
        <v>328</v>
      </c>
      <c r="B332" s="13"/>
      <c r="C332" s="12"/>
      <c r="D332" s="13"/>
      <c r="E332" s="24"/>
      <c r="F332" s="12"/>
      <c r="G332" s="14" t="str">
        <f aca="false">IF(OR($D332="",$B332=""),"",INT(($B332-$D332)/365.25))</f>
        <v/>
      </c>
      <c r="H332" s="25"/>
      <c r="I332" s="12"/>
      <c r="J332" s="14" t="str">
        <f aca="false">IF(OR($C332="",$D332="",$B332=""),"",IF(COUNTIFS($C$5:$C$804,$C332,$D$5:$D$804,$D332,$B$5:$B$804,$B332)&gt;1,"Takror",""))</f>
        <v/>
      </c>
    </row>
    <row r="333" customFormat="false" ht="15" hidden="false" customHeight="false" outlineLevel="0" collapsed="false">
      <c r="A333" s="8" t="n">
        <v>329</v>
      </c>
      <c r="B333" s="13"/>
      <c r="C333" s="12"/>
      <c r="D333" s="13"/>
      <c r="E333" s="24"/>
      <c r="F333" s="12"/>
      <c r="G333" s="14" t="str">
        <f aca="false">IF(OR($D333="",$B333=""),"",INT(($B333-$D333)/365.25))</f>
        <v/>
      </c>
      <c r="H333" s="25"/>
      <c r="I333" s="12"/>
      <c r="J333" s="14" t="str">
        <f aca="false">IF(OR($C333="",$D333="",$B333=""),"",IF(COUNTIFS($C$5:$C$804,$C333,$D$5:$D$804,$D333,$B$5:$B$804,$B333)&gt;1,"Takror",""))</f>
        <v/>
      </c>
    </row>
    <row r="334" customFormat="false" ht="15" hidden="false" customHeight="false" outlineLevel="0" collapsed="false">
      <c r="A334" s="8" t="n">
        <v>330</v>
      </c>
      <c r="B334" s="13"/>
      <c r="C334" s="12"/>
      <c r="D334" s="13"/>
      <c r="E334" s="24"/>
      <c r="F334" s="12"/>
      <c r="G334" s="14" t="str">
        <f aca="false">IF(OR($D334="",$B334=""),"",INT(($B334-$D334)/365.25))</f>
        <v/>
      </c>
      <c r="H334" s="25"/>
      <c r="I334" s="12"/>
      <c r="J334" s="14" t="str">
        <f aca="false">IF(OR($C334="",$D334="",$B334=""),"",IF(COUNTIFS($C$5:$C$804,$C334,$D$5:$D$804,$D334,$B$5:$B$804,$B334)&gt;1,"Takror",""))</f>
        <v/>
      </c>
    </row>
    <row r="335" customFormat="false" ht="15" hidden="false" customHeight="false" outlineLevel="0" collapsed="false">
      <c r="A335" s="8" t="n">
        <v>331</v>
      </c>
      <c r="B335" s="13"/>
      <c r="C335" s="12"/>
      <c r="D335" s="13"/>
      <c r="E335" s="24"/>
      <c r="F335" s="12"/>
      <c r="G335" s="14" t="str">
        <f aca="false">IF(OR($D335="",$B335=""),"",INT(($B335-$D335)/365.25))</f>
        <v/>
      </c>
      <c r="H335" s="25"/>
      <c r="I335" s="12"/>
      <c r="J335" s="14" t="str">
        <f aca="false">IF(OR($C335="",$D335="",$B335=""),"",IF(COUNTIFS($C$5:$C$804,$C335,$D$5:$D$804,$D335,$B$5:$B$804,$B335)&gt;1,"Takror",""))</f>
        <v/>
      </c>
    </row>
    <row r="336" customFormat="false" ht="15" hidden="false" customHeight="false" outlineLevel="0" collapsed="false">
      <c r="A336" s="8" t="n">
        <v>332</v>
      </c>
      <c r="B336" s="13"/>
      <c r="C336" s="12"/>
      <c r="D336" s="13"/>
      <c r="E336" s="24"/>
      <c r="F336" s="12"/>
      <c r="G336" s="14" t="str">
        <f aca="false">IF(OR($D336="",$B336=""),"",INT(($B336-$D336)/365.25))</f>
        <v/>
      </c>
      <c r="H336" s="25"/>
      <c r="I336" s="12"/>
      <c r="J336" s="14" t="str">
        <f aca="false">IF(OR($C336="",$D336="",$B336=""),"",IF(COUNTIFS($C$5:$C$804,$C336,$D$5:$D$804,$D336,$B$5:$B$804,$B336)&gt;1,"Takror",""))</f>
        <v/>
      </c>
    </row>
    <row r="337" customFormat="false" ht="15" hidden="false" customHeight="false" outlineLevel="0" collapsed="false">
      <c r="A337" s="8" t="n">
        <v>333</v>
      </c>
      <c r="B337" s="13"/>
      <c r="C337" s="12"/>
      <c r="D337" s="13"/>
      <c r="E337" s="24"/>
      <c r="F337" s="12"/>
      <c r="G337" s="14" t="str">
        <f aca="false">IF(OR($D337="",$B337=""),"",INT(($B337-$D337)/365.25))</f>
        <v/>
      </c>
      <c r="H337" s="25"/>
      <c r="I337" s="12"/>
      <c r="J337" s="14" t="str">
        <f aca="false">IF(OR($C337="",$D337="",$B337=""),"",IF(COUNTIFS($C$5:$C$804,$C337,$D$5:$D$804,$D337,$B$5:$B$804,$B337)&gt;1,"Takror",""))</f>
        <v/>
      </c>
    </row>
    <row r="338" customFormat="false" ht="15" hidden="false" customHeight="false" outlineLevel="0" collapsed="false">
      <c r="A338" s="8" t="n">
        <v>334</v>
      </c>
      <c r="B338" s="13"/>
      <c r="C338" s="12"/>
      <c r="D338" s="13"/>
      <c r="E338" s="24"/>
      <c r="F338" s="12"/>
      <c r="G338" s="14" t="str">
        <f aca="false">IF(OR($D338="",$B338=""),"",INT(($B338-$D338)/365.25))</f>
        <v/>
      </c>
      <c r="H338" s="25"/>
      <c r="I338" s="12"/>
      <c r="J338" s="14" t="str">
        <f aca="false">IF(OR($C338="",$D338="",$B338=""),"",IF(COUNTIFS($C$5:$C$804,$C338,$D$5:$D$804,$D338,$B$5:$B$804,$B338)&gt;1,"Takror",""))</f>
        <v/>
      </c>
    </row>
    <row r="339" customFormat="false" ht="15" hidden="false" customHeight="false" outlineLevel="0" collapsed="false">
      <c r="A339" s="8" t="n">
        <v>335</v>
      </c>
      <c r="B339" s="13"/>
      <c r="C339" s="12"/>
      <c r="D339" s="13"/>
      <c r="E339" s="24"/>
      <c r="F339" s="12"/>
      <c r="G339" s="14" t="str">
        <f aca="false">IF(OR($D339="",$B339=""),"",INT(($B339-$D339)/365.25))</f>
        <v/>
      </c>
      <c r="H339" s="25"/>
      <c r="I339" s="12"/>
      <c r="J339" s="14" t="str">
        <f aca="false">IF(OR($C339="",$D339="",$B339=""),"",IF(COUNTIFS($C$5:$C$804,$C339,$D$5:$D$804,$D339,$B$5:$B$804,$B339)&gt;1,"Takror",""))</f>
        <v/>
      </c>
    </row>
    <row r="340" customFormat="false" ht="15" hidden="false" customHeight="false" outlineLevel="0" collapsed="false">
      <c r="A340" s="8" t="n">
        <v>336</v>
      </c>
      <c r="B340" s="13"/>
      <c r="C340" s="12"/>
      <c r="D340" s="13"/>
      <c r="E340" s="24"/>
      <c r="F340" s="12"/>
      <c r="G340" s="14" t="str">
        <f aca="false">IF(OR($D340="",$B340=""),"",INT(($B340-$D340)/365.25))</f>
        <v/>
      </c>
      <c r="H340" s="25"/>
      <c r="I340" s="12"/>
      <c r="J340" s="14" t="str">
        <f aca="false">IF(OR($C340="",$D340="",$B340=""),"",IF(COUNTIFS($C$5:$C$804,$C340,$D$5:$D$804,$D340,$B$5:$B$804,$B340)&gt;1,"Takror",""))</f>
        <v/>
      </c>
    </row>
    <row r="341" customFormat="false" ht="15" hidden="false" customHeight="false" outlineLevel="0" collapsed="false">
      <c r="A341" s="8" t="n">
        <v>337</v>
      </c>
      <c r="B341" s="13"/>
      <c r="C341" s="12"/>
      <c r="D341" s="13"/>
      <c r="E341" s="24"/>
      <c r="F341" s="12"/>
      <c r="G341" s="14" t="str">
        <f aca="false">IF(OR($D341="",$B341=""),"",INT(($B341-$D341)/365.25))</f>
        <v/>
      </c>
      <c r="H341" s="25"/>
      <c r="I341" s="12"/>
      <c r="J341" s="14" t="str">
        <f aca="false">IF(OR($C341="",$D341="",$B341=""),"",IF(COUNTIFS($C$5:$C$804,$C341,$D$5:$D$804,$D341,$B$5:$B$804,$B341)&gt;1,"Takror",""))</f>
        <v/>
      </c>
    </row>
    <row r="342" customFormat="false" ht="15" hidden="false" customHeight="false" outlineLevel="0" collapsed="false">
      <c r="A342" s="8" t="n">
        <v>338</v>
      </c>
      <c r="B342" s="13"/>
      <c r="C342" s="12"/>
      <c r="D342" s="13"/>
      <c r="E342" s="24"/>
      <c r="F342" s="12"/>
      <c r="G342" s="14" t="str">
        <f aca="false">IF(OR($D342="",$B342=""),"",INT(($B342-$D342)/365.25))</f>
        <v/>
      </c>
      <c r="H342" s="25"/>
      <c r="I342" s="12"/>
      <c r="J342" s="14" t="str">
        <f aca="false">IF(OR($C342="",$D342="",$B342=""),"",IF(COUNTIFS($C$5:$C$804,$C342,$D$5:$D$804,$D342,$B$5:$B$804,$B342)&gt;1,"Takror",""))</f>
        <v/>
      </c>
    </row>
    <row r="343" customFormat="false" ht="15" hidden="false" customHeight="false" outlineLevel="0" collapsed="false">
      <c r="A343" s="8" t="n">
        <v>339</v>
      </c>
      <c r="B343" s="13"/>
      <c r="C343" s="12"/>
      <c r="D343" s="13"/>
      <c r="E343" s="24"/>
      <c r="F343" s="12"/>
      <c r="G343" s="14" t="str">
        <f aca="false">IF(OR($D343="",$B343=""),"",INT(($B343-$D343)/365.25))</f>
        <v/>
      </c>
      <c r="H343" s="25"/>
      <c r="I343" s="12"/>
      <c r="J343" s="14" t="str">
        <f aca="false">IF(OR($C343="",$D343="",$B343=""),"",IF(COUNTIFS($C$5:$C$804,$C343,$D$5:$D$804,$D343,$B$5:$B$804,$B343)&gt;1,"Takror",""))</f>
        <v/>
      </c>
    </row>
    <row r="344" customFormat="false" ht="15" hidden="false" customHeight="false" outlineLevel="0" collapsed="false">
      <c r="A344" s="8" t="n">
        <v>340</v>
      </c>
      <c r="B344" s="13"/>
      <c r="C344" s="12"/>
      <c r="D344" s="13"/>
      <c r="E344" s="24"/>
      <c r="F344" s="12"/>
      <c r="G344" s="14" t="str">
        <f aca="false">IF(OR($D344="",$B344=""),"",INT(($B344-$D344)/365.25))</f>
        <v/>
      </c>
      <c r="H344" s="25"/>
      <c r="I344" s="12"/>
      <c r="J344" s="14" t="str">
        <f aca="false">IF(OR($C344="",$D344="",$B344=""),"",IF(COUNTIFS($C$5:$C$804,$C344,$D$5:$D$804,$D344,$B$5:$B$804,$B344)&gt;1,"Takror",""))</f>
        <v/>
      </c>
    </row>
    <row r="345" customFormat="false" ht="15" hidden="false" customHeight="false" outlineLevel="0" collapsed="false">
      <c r="A345" s="8" t="n">
        <v>341</v>
      </c>
      <c r="B345" s="13"/>
      <c r="C345" s="12"/>
      <c r="D345" s="13"/>
      <c r="E345" s="24"/>
      <c r="F345" s="12"/>
      <c r="G345" s="14" t="str">
        <f aca="false">IF(OR($D345="",$B345=""),"",INT(($B345-$D345)/365.25))</f>
        <v/>
      </c>
      <c r="H345" s="25"/>
      <c r="I345" s="12"/>
      <c r="J345" s="14" t="str">
        <f aca="false">IF(OR($C345="",$D345="",$B345=""),"",IF(COUNTIFS($C$5:$C$804,$C345,$D$5:$D$804,$D345,$B$5:$B$804,$B345)&gt;1,"Takror",""))</f>
        <v/>
      </c>
    </row>
    <row r="346" customFormat="false" ht="15" hidden="false" customHeight="false" outlineLevel="0" collapsed="false">
      <c r="A346" s="8" t="n">
        <v>342</v>
      </c>
      <c r="B346" s="13"/>
      <c r="C346" s="12"/>
      <c r="D346" s="13"/>
      <c r="E346" s="24"/>
      <c r="F346" s="12"/>
      <c r="G346" s="14" t="str">
        <f aca="false">IF(OR($D346="",$B346=""),"",INT(($B346-$D346)/365.25))</f>
        <v/>
      </c>
      <c r="H346" s="25"/>
      <c r="I346" s="12"/>
      <c r="J346" s="14" t="str">
        <f aca="false">IF(OR($C346="",$D346="",$B346=""),"",IF(COUNTIFS($C$5:$C$804,$C346,$D$5:$D$804,$D346,$B$5:$B$804,$B346)&gt;1,"Takror",""))</f>
        <v/>
      </c>
    </row>
    <row r="347" customFormat="false" ht="15" hidden="false" customHeight="false" outlineLevel="0" collapsed="false">
      <c r="A347" s="8" t="n">
        <v>343</v>
      </c>
      <c r="B347" s="13"/>
      <c r="C347" s="12"/>
      <c r="D347" s="13"/>
      <c r="E347" s="24"/>
      <c r="F347" s="12"/>
      <c r="G347" s="14" t="str">
        <f aca="false">IF(OR($D347="",$B347=""),"",INT(($B347-$D347)/365.25))</f>
        <v/>
      </c>
      <c r="H347" s="25"/>
      <c r="I347" s="12"/>
      <c r="J347" s="14" t="str">
        <f aca="false">IF(OR($C347="",$D347="",$B347=""),"",IF(COUNTIFS($C$5:$C$804,$C347,$D$5:$D$804,$D347,$B$5:$B$804,$B347)&gt;1,"Takror",""))</f>
        <v/>
      </c>
    </row>
    <row r="348" customFormat="false" ht="15" hidden="false" customHeight="false" outlineLevel="0" collapsed="false">
      <c r="A348" s="8" t="n">
        <v>344</v>
      </c>
      <c r="B348" s="13"/>
      <c r="C348" s="12"/>
      <c r="D348" s="13"/>
      <c r="E348" s="24"/>
      <c r="F348" s="12"/>
      <c r="G348" s="14" t="str">
        <f aca="false">IF(OR($D348="",$B348=""),"",INT(($B348-$D348)/365.25))</f>
        <v/>
      </c>
      <c r="H348" s="25"/>
      <c r="I348" s="12"/>
      <c r="J348" s="14" t="str">
        <f aca="false">IF(OR($C348="",$D348="",$B348=""),"",IF(COUNTIFS($C$5:$C$804,$C348,$D$5:$D$804,$D348,$B$5:$B$804,$B348)&gt;1,"Takror",""))</f>
        <v/>
      </c>
    </row>
    <row r="349" customFormat="false" ht="15" hidden="false" customHeight="false" outlineLevel="0" collapsed="false">
      <c r="A349" s="8" t="n">
        <v>345</v>
      </c>
      <c r="B349" s="13"/>
      <c r="C349" s="12"/>
      <c r="D349" s="13"/>
      <c r="E349" s="24"/>
      <c r="F349" s="12"/>
      <c r="G349" s="14" t="str">
        <f aca="false">IF(OR($D349="",$B349=""),"",INT(($B349-$D349)/365.25))</f>
        <v/>
      </c>
      <c r="H349" s="25"/>
      <c r="I349" s="12"/>
      <c r="J349" s="14" t="str">
        <f aca="false">IF(OR($C349="",$D349="",$B349=""),"",IF(COUNTIFS($C$5:$C$804,$C349,$D$5:$D$804,$D349,$B$5:$B$804,$B349)&gt;1,"Takror",""))</f>
        <v/>
      </c>
    </row>
    <row r="350" customFormat="false" ht="15" hidden="false" customHeight="false" outlineLevel="0" collapsed="false">
      <c r="A350" s="8" t="n">
        <v>346</v>
      </c>
      <c r="B350" s="13"/>
      <c r="C350" s="12"/>
      <c r="D350" s="13"/>
      <c r="E350" s="24"/>
      <c r="F350" s="12"/>
      <c r="G350" s="14" t="str">
        <f aca="false">IF(OR($D350="",$B350=""),"",INT(($B350-$D350)/365.25))</f>
        <v/>
      </c>
      <c r="H350" s="25"/>
      <c r="I350" s="12"/>
      <c r="J350" s="14" t="str">
        <f aca="false">IF(OR($C350="",$D350="",$B350=""),"",IF(COUNTIFS($C$5:$C$804,$C350,$D$5:$D$804,$D350,$B$5:$B$804,$B350)&gt;1,"Takror",""))</f>
        <v/>
      </c>
    </row>
    <row r="351" customFormat="false" ht="15" hidden="false" customHeight="false" outlineLevel="0" collapsed="false">
      <c r="A351" s="8" t="n">
        <v>347</v>
      </c>
      <c r="B351" s="13"/>
      <c r="C351" s="12"/>
      <c r="D351" s="13"/>
      <c r="E351" s="24"/>
      <c r="F351" s="12"/>
      <c r="G351" s="14" t="str">
        <f aca="false">IF(OR($D351="",$B351=""),"",INT(($B351-$D351)/365.25))</f>
        <v/>
      </c>
      <c r="H351" s="25"/>
      <c r="I351" s="12"/>
      <c r="J351" s="14" t="str">
        <f aca="false">IF(OR($C351="",$D351="",$B351=""),"",IF(COUNTIFS($C$5:$C$804,$C351,$D$5:$D$804,$D351,$B$5:$B$804,$B351)&gt;1,"Takror",""))</f>
        <v/>
      </c>
    </row>
    <row r="352" customFormat="false" ht="15" hidden="false" customHeight="false" outlineLevel="0" collapsed="false">
      <c r="A352" s="8" t="n">
        <v>348</v>
      </c>
      <c r="B352" s="13"/>
      <c r="C352" s="12"/>
      <c r="D352" s="13"/>
      <c r="E352" s="24"/>
      <c r="F352" s="12"/>
      <c r="G352" s="14" t="str">
        <f aca="false">IF(OR($D352="",$B352=""),"",INT(($B352-$D352)/365.25))</f>
        <v/>
      </c>
      <c r="H352" s="25"/>
      <c r="I352" s="12"/>
      <c r="J352" s="14" t="str">
        <f aca="false">IF(OR($C352="",$D352="",$B352=""),"",IF(COUNTIFS($C$5:$C$804,$C352,$D$5:$D$804,$D352,$B$5:$B$804,$B352)&gt;1,"Takror",""))</f>
        <v/>
      </c>
    </row>
    <row r="353" customFormat="false" ht="15" hidden="false" customHeight="false" outlineLevel="0" collapsed="false">
      <c r="A353" s="8" t="n">
        <v>349</v>
      </c>
      <c r="B353" s="13"/>
      <c r="C353" s="12"/>
      <c r="D353" s="13"/>
      <c r="E353" s="24"/>
      <c r="F353" s="12"/>
      <c r="G353" s="14" t="str">
        <f aca="false">IF(OR($D353="",$B353=""),"",INT(($B353-$D353)/365.25))</f>
        <v/>
      </c>
      <c r="H353" s="25"/>
      <c r="I353" s="12"/>
      <c r="J353" s="14" t="str">
        <f aca="false">IF(OR($C353="",$D353="",$B353=""),"",IF(COUNTIFS($C$5:$C$804,$C353,$D$5:$D$804,$D353,$B$5:$B$804,$B353)&gt;1,"Takror",""))</f>
        <v/>
      </c>
    </row>
    <row r="354" customFormat="false" ht="15" hidden="false" customHeight="false" outlineLevel="0" collapsed="false">
      <c r="A354" s="8" t="n">
        <v>350</v>
      </c>
      <c r="B354" s="13"/>
      <c r="C354" s="12"/>
      <c r="D354" s="13"/>
      <c r="E354" s="24"/>
      <c r="F354" s="12"/>
      <c r="G354" s="14" t="str">
        <f aca="false">IF(OR($D354="",$B354=""),"",INT(($B354-$D354)/365.25))</f>
        <v/>
      </c>
      <c r="H354" s="25"/>
      <c r="I354" s="12"/>
      <c r="J354" s="14" t="str">
        <f aca="false">IF(OR($C354="",$D354="",$B354=""),"",IF(COUNTIFS($C$5:$C$804,$C354,$D$5:$D$804,$D354,$B$5:$B$804,$B354)&gt;1,"Takror",""))</f>
        <v/>
      </c>
    </row>
    <row r="355" customFormat="false" ht="15" hidden="false" customHeight="false" outlineLevel="0" collapsed="false">
      <c r="A355" s="8" t="n">
        <v>351</v>
      </c>
      <c r="B355" s="13"/>
      <c r="C355" s="12"/>
      <c r="D355" s="13"/>
      <c r="E355" s="24"/>
      <c r="F355" s="12"/>
      <c r="G355" s="14" t="str">
        <f aca="false">IF(OR($D355="",$B355=""),"",INT(($B355-$D355)/365.25))</f>
        <v/>
      </c>
      <c r="H355" s="25"/>
      <c r="I355" s="12"/>
      <c r="J355" s="14" t="str">
        <f aca="false">IF(OR($C355="",$D355="",$B355=""),"",IF(COUNTIFS($C$5:$C$804,$C355,$D$5:$D$804,$D355,$B$5:$B$804,$B355)&gt;1,"Takror",""))</f>
        <v/>
      </c>
    </row>
    <row r="356" customFormat="false" ht="15" hidden="false" customHeight="false" outlineLevel="0" collapsed="false">
      <c r="A356" s="8" t="n">
        <v>352</v>
      </c>
      <c r="B356" s="13"/>
      <c r="C356" s="12"/>
      <c r="D356" s="13"/>
      <c r="E356" s="24"/>
      <c r="F356" s="12"/>
      <c r="G356" s="14" t="str">
        <f aca="false">IF(OR($D356="",$B356=""),"",INT(($B356-$D356)/365.25))</f>
        <v/>
      </c>
      <c r="H356" s="25"/>
      <c r="I356" s="12"/>
      <c r="J356" s="14" t="str">
        <f aca="false">IF(OR($C356="",$D356="",$B356=""),"",IF(COUNTIFS($C$5:$C$804,$C356,$D$5:$D$804,$D356,$B$5:$B$804,$B356)&gt;1,"Takror",""))</f>
        <v/>
      </c>
    </row>
    <row r="357" customFormat="false" ht="15" hidden="false" customHeight="false" outlineLevel="0" collapsed="false">
      <c r="A357" s="8" t="n">
        <v>353</v>
      </c>
      <c r="B357" s="13"/>
      <c r="C357" s="12"/>
      <c r="D357" s="13"/>
      <c r="E357" s="24"/>
      <c r="F357" s="12"/>
      <c r="G357" s="14" t="str">
        <f aca="false">IF(OR($D357="",$B357=""),"",INT(($B357-$D357)/365.25))</f>
        <v/>
      </c>
      <c r="H357" s="25"/>
      <c r="I357" s="12"/>
      <c r="J357" s="14" t="str">
        <f aca="false">IF(OR($C357="",$D357="",$B357=""),"",IF(COUNTIFS($C$5:$C$804,$C357,$D$5:$D$804,$D357,$B$5:$B$804,$B357)&gt;1,"Takror",""))</f>
        <v/>
      </c>
    </row>
    <row r="358" customFormat="false" ht="15" hidden="false" customHeight="false" outlineLevel="0" collapsed="false">
      <c r="A358" s="8" t="n">
        <v>354</v>
      </c>
      <c r="B358" s="13"/>
      <c r="C358" s="12"/>
      <c r="D358" s="13"/>
      <c r="E358" s="24"/>
      <c r="F358" s="12"/>
      <c r="G358" s="14" t="str">
        <f aca="false">IF(OR($D358="",$B358=""),"",INT(($B358-$D358)/365.25))</f>
        <v/>
      </c>
      <c r="H358" s="25"/>
      <c r="I358" s="12"/>
      <c r="J358" s="14" t="str">
        <f aca="false">IF(OR($C358="",$D358="",$B358=""),"",IF(COUNTIFS($C$5:$C$804,$C358,$D$5:$D$804,$D358,$B$5:$B$804,$B358)&gt;1,"Takror",""))</f>
        <v/>
      </c>
    </row>
    <row r="359" customFormat="false" ht="15" hidden="false" customHeight="false" outlineLevel="0" collapsed="false">
      <c r="A359" s="8" t="n">
        <v>355</v>
      </c>
      <c r="B359" s="13"/>
      <c r="C359" s="12"/>
      <c r="D359" s="13"/>
      <c r="E359" s="24"/>
      <c r="F359" s="12"/>
      <c r="G359" s="14" t="str">
        <f aca="false">IF(OR($D359="",$B359=""),"",INT(($B359-$D359)/365.25))</f>
        <v/>
      </c>
      <c r="H359" s="25"/>
      <c r="I359" s="12"/>
      <c r="J359" s="14" t="str">
        <f aca="false">IF(OR($C359="",$D359="",$B359=""),"",IF(COUNTIFS($C$5:$C$804,$C359,$D$5:$D$804,$D359,$B$5:$B$804,$B359)&gt;1,"Takror",""))</f>
        <v/>
      </c>
    </row>
    <row r="360" customFormat="false" ht="15" hidden="false" customHeight="false" outlineLevel="0" collapsed="false">
      <c r="A360" s="8" t="n">
        <v>356</v>
      </c>
      <c r="B360" s="13"/>
      <c r="C360" s="12"/>
      <c r="D360" s="13"/>
      <c r="E360" s="24"/>
      <c r="F360" s="12"/>
      <c r="G360" s="14" t="str">
        <f aca="false">IF(OR($D360="",$B360=""),"",INT(($B360-$D360)/365.25))</f>
        <v/>
      </c>
      <c r="H360" s="25"/>
      <c r="I360" s="12"/>
      <c r="J360" s="14" t="str">
        <f aca="false">IF(OR($C360="",$D360="",$B360=""),"",IF(COUNTIFS($C$5:$C$804,$C360,$D$5:$D$804,$D360,$B$5:$B$804,$B360)&gt;1,"Takror",""))</f>
        <v/>
      </c>
    </row>
    <row r="361" customFormat="false" ht="15" hidden="false" customHeight="false" outlineLevel="0" collapsed="false">
      <c r="A361" s="8" t="n">
        <v>357</v>
      </c>
      <c r="B361" s="13"/>
      <c r="C361" s="12"/>
      <c r="D361" s="13"/>
      <c r="E361" s="24"/>
      <c r="F361" s="12"/>
      <c r="G361" s="14" t="str">
        <f aca="false">IF(OR($D361="",$B361=""),"",INT(($B361-$D361)/365.25))</f>
        <v/>
      </c>
      <c r="H361" s="25"/>
      <c r="I361" s="12"/>
      <c r="J361" s="14" t="str">
        <f aca="false">IF(OR($C361="",$D361="",$B361=""),"",IF(COUNTIFS($C$5:$C$804,$C361,$D$5:$D$804,$D361,$B$5:$B$804,$B361)&gt;1,"Takror",""))</f>
        <v/>
      </c>
    </row>
    <row r="362" customFormat="false" ht="15" hidden="false" customHeight="false" outlineLevel="0" collapsed="false">
      <c r="A362" s="8" t="n">
        <v>358</v>
      </c>
      <c r="B362" s="13"/>
      <c r="C362" s="12"/>
      <c r="D362" s="13"/>
      <c r="E362" s="24"/>
      <c r="F362" s="12"/>
      <c r="G362" s="14" t="str">
        <f aca="false">IF(OR($D362="",$B362=""),"",INT(($B362-$D362)/365.25))</f>
        <v/>
      </c>
      <c r="H362" s="25"/>
      <c r="I362" s="12"/>
      <c r="J362" s="14" t="str">
        <f aca="false">IF(OR($C362="",$D362="",$B362=""),"",IF(COUNTIFS($C$5:$C$804,$C362,$D$5:$D$804,$D362,$B$5:$B$804,$B362)&gt;1,"Takror",""))</f>
        <v/>
      </c>
    </row>
    <row r="363" customFormat="false" ht="15" hidden="false" customHeight="false" outlineLevel="0" collapsed="false">
      <c r="A363" s="8" t="n">
        <v>359</v>
      </c>
      <c r="B363" s="13"/>
      <c r="C363" s="12"/>
      <c r="D363" s="13"/>
      <c r="E363" s="24"/>
      <c r="F363" s="12"/>
      <c r="G363" s="14" t="str">
        <f aca="false">IF(OR($D363="",$B363=""),"",INT(($B363-$D363)/365.25))</f>
        <v/>
      </c>
      <c r="H363" s="25"/>
      <c r="I363" s="12"/>
      <c r="J363" s="14" t="str">
        <f aca="false">IF(OR($C363="",$D363="",$B363=""),"",IF(COUNTIFS($C$5:$C$804,$C363,$D$5:$D$804,$D363,$B$5:$B$804,$B363)&gt;1,"Takror",""))</f>
        <v/>
      </c>
    </row>
    <row r="364" customFormat="false" ht="15" hidden="false" customHeight="false" outlineLevel="0" collapsed="false">
      <c r="A364" s="8" t="n">
        <v>360</v>
      </c>
      <c r="B364" s="13"/>
      <c r="C364" s="12"/>
      <c r="D364" s="13"/>
      <c r="E364" s="24"/>
      <c r="F364" s="12"/>
      <c r="G364" s="14" t="str">
        <f aca="false">IF(OR($D364="",$B364=""),"",INT(($B364-$D364)/365.25))</f>
        <v/>
      </c>
      <c r="H364" s="25"/>
      <c r="I364" s="12"/>
      <c r="J364" s="14" t="str">
        <f aca="false">IF(OR($C364="",$D364="",$B364=""),"",IF(COUNTIFS($C$5:$C$804,$C364,$D$5:$D$804,$D364,$B$5:$B$804,$B364)&gt;1,"Takror",""))</f>
        <v/>
      </c>
    </row>
    <row r="365" customFormat="false" ht="15" hidden="false" customHeight="false" outlineLevel="0" collapsed="false">
      <c r="A365" s="8" t="n">
        <v>361</v>
      </c>
      <c r="B365" s="13"/>
      <c r="C365" s="12"/>
      <c r="D365" s="13"/>
      <c r="E365" s="24"/>
      <c r="F365" s="12"/>
      <c r="G365" s="14" t="str">
        <f aca="false">IF(OR($D365="",$B365=""),"",INT(($B365-$D365)/365.25))</f>
        <v/>
      </c>
      <c r="H365" s="25"/>
      <c r="I365" s="12"/>
      <c r="J365" s="14" t="str">
        <f aca="false">IF(OR($C365="",$D365="",$B365=""),"",IF(COUNTIFS($C$5:$C$804,$C365,$D$5:$D$804,$D365,$B$5:$B$804,$B365)&gt;1,"Takror",""))</f>
        <v/>
      </c>
    </row>
    <row r="366" customFormat="false" ht="15" hidden="false" customHeight="false" outlineLevel="0" collapsed="false">
      <c r="A366" s="8" t="n">
        <v>362</v>
      </c>
      <c r="B366" s="13"/>
      <c r="C366" s="12"/>
      <c r="D366" s="13"/>
      <c r="E366" s="24"/>
      <c r="F366" s="12"/>
      <c r="G366" s="14" t="str">
        <f aca="false">IF(OR($D366="",$B366=""),"",INT(($B366-$D366)/365.25))</f>
        <v/>
      </c>
      <c r="H366" s="25"/>
      <c r="I366" s="12"/>
      <c r="J366" s="14" t="str">
        <f aca="false">IF(OR($C366="",$D366="",$B366=""),"",IF(COUNTIFS($C$5:$C$804,$C366,$D$5:$D$804,$D366,$B$5:$B$804,$B366)&gt;1,"Takror",""))</f>
        <v/>
      </c>
    </row>
    <row r="367" customFormat="false" ht="15" hidden="false" customHeight="false" outlineLevel="0" collapsed="false">
      <c r="A367" s="8" t="n">
        <v>363</v>
      </c>
      <c r="B367" s="13"/>
      <c r="C367" s="12"/>
      <c r="D367" s="13"/>
      <c r="E367" s="24"/>
      <c r="F367" s="12"/>
      <c r="G367" s="14" t="str">
        <f aca="false">IF(OR($D367="",$B367=""),"",INT(($B367-$D367)/365.25))</f>
        <v/>
      </c>
      <c r="H367" s="25"/>
      <c r="I367" s="12"/>
      <c r="J367" s="14" t="str">
        <f aca="false">IF(OR($C367="",$D367="",$B367=""),"",IF(COUNTIFS($C$5:$C$804,$C367,$D$5:$D$804,$D367,$B$5:$B$804,$B367)&gt;1,"Takror",""))</f>
        <v/>
      </c>
    </row>
    <row r="368" customFormat="false" ht="15" hidden="false" customHeight="false" outlineLevel="0" collapsed="false">
      <c r="A368" s="8" t="n">
        <v>364</v>
      </c>
      <c r="B368" s="13"/>
      <c r="C368" s="12"/>
      <c r="D368" s="13"/>
      <c r="E368" s="24"/>
      <c r="F368" s="12"/>
      <c r="G368" s="14" t="str">
        <f aca="false">IF(OR($D368="",$B368=""),"",INT(($B368-$D368)/365.25))</f>
        <v/>
      </c>
      <c r="H368" s="25"/>
      <c r="I368" s="12"/>
      <c r="J368" s="14" t="str">
        <f aca="false">IF(OR($C368="",$D368="",$B368=""),"",IF(COUNTIFS($C$5:$C$804,$C368,$D$5:$D$804,$D368,$B$5:$B$804,$B368)&gt;1,"Takror",""))</f>
        <v/>
      </c>
    </row>
    <row r="369" customFormat="false" ht="15" hidden="false" customHeight="false" outlineLevel="0" collapsed="false">
      <c r="A369" s="8" t="n">
        <v>365</v>
      </c>
      <c r="B369" s="13"/>
      <c r="C369" s="12"/>
      <c r="D369" s="13"/>
      <c r="E369" s="24"/>
      <c r="F369" s="12"/>
      <c r="G369" s="14" t="str">
        <f aca="false">IF(OR($D369="",$B369=""),"",INT(($B369-$D369)/365.25))</f>
        <v/>
      </c>
      <c r="H369" s="25"/>
      <c r="I369" s="12"/>
      <c r="J369" s="14" t="str">
        <f aca="false">IF(OR($C369="",$D369="",$B369=""),"",IF(COUNTIFS($C$5:$C$804,$C369,$D$5:$D$804,$D369,$B$5:$B$804,$B369)&gt;1,"Takror",""))</f>
        <v/>
      </c>
    </row>
    <row r="370" customFormat="false" ht="15" hidden="false" customHeight="false" outlineLevel="0" collapsed="false">
      <c r="A370" s="8" t="n">
        <v>366</v>
      </c>
      <c r="B370" s="13"/>
      <c r="C370" s="12"/>
      <c r="D370" s="13"/>
      <c r="E370" s="24"/>
      <c r="F370" s="12"/>
      <c r="G370" s="14" t="str">
        <f aca="false">IF(OR($D370="",$B370=""),"",INT(($B370-$D370)/365.25))</f>
        <v/>
      </c>
      <c r="H370" s="25"/>
      <c r="I370" s="12"/>
      <c r="J370" s="14" t="str">
        <f aca="false">IF(OR($C370="",$D370="",$B370=""),"",IF(COUNTIFS($C$5:$C$804,$C370,$D$5:$D$804,$D370,$B$5:$B$804,$B370)&gt;1,"Takror",""))</f>
        <v/>
      </c>
    </row>
    <row r="371" customFormat="false" ht="15" hidden="false" customHeight="false" outlineLevel="0" collapsed="false">
      <c r="A371" s="8" t="n">
        <v>367</v>
      </c>
      <c r="B371" s="13"/>
      <c r="C371" s="12"/>
      <c r="D371" s="13"/>
      <c r="E371" s="24"/>
      <c r="F371" s="12"/>
      <c r="G371" s="14" t="str">
        <f aca="false">IF(OR($D371="",$B371=""),"",INT(($B371-$D371)/365.25))</f>
        <v/>
      </c>
      <c r="H371" s="25"/>
      <c r="I371" s="12"/>
      <c r="J371" s="14" t="str">
        <f aca="false">IF(OR($C371="",$D371="",$B371=""),"",IF(COUNTIFS($C$5:$C$804,$C371,$D$5:$D$804,$D371,$B$5:$B$804,$B371)&gt;1,"Takror",""))</f>
        <v/>
      </c>
    </row>
    <row r="372" customFormat="false" ht="15" hidden="false" customHeight="false" outlineLevel="0" collapsed="false">
      <c r="A372" s="8" t="n">
        <v>368</v>
      </c>
      <c r="B372" s="13"/>
      <c r="C372" s="12"/>
      <c r="D372" s="13"/>
      <c r="E372" s="24"/>
      <c r="F372" s="12"/>
      <c r="G372" s="14" t="str">
        <f aca="false">IF(OR($D372="",$B372=""),"",INT(($B372-$D372)/365.25))</f>
        <v/>
      </c>
      <c r="H372" s="25"/>
      <c r="I372" s="12"/>
      <c r="J372" s="14" t="str">
        <f aca="false">IF(OR($C372="",$D372="",$B372=""),"",IF(COUNTIFS($C$5:$C$804,$C372,$D$5:$D$804,$D372,$B$5:$B$804,$B372)&gt;1,"Takror",""))</f>
        <v/>
      </c>
    </row>
    <row r="373" customFormat="false" ht="15" hidden="false" customHeight="false" outlineLevel="0" collapsed="false">
      <c r="A373" s="8" t="n">
        <v>369</v>
      </c>
      <c r="B373" s="13"/>
      <c r="C373" s="12"/>
      <c r="D373" s="13"/>
      <c r="E373" s="24"/>
      <c r="F373" s="12"/>
      <c r="G373" s="14" t="str">
        <f aca="false">IF(OR($D373="",$B373=""),"",INT(($B373-$D373)/365.25))</f>
        <v/>
      </c>
      <c r="H373" s="25"/>
      <c r="I373" s="12"/>
      <c r="J373" s="14" t="str">
        <f aca="false">IF(OR($C373="",$D373="",$B373=""),"",IF(COUNTIFS($C$5:$C$804,$C373,$D$5:$D$804,$D373,$B$5:$B$804,$B373)&gt;1,"Takror",""))</f>
        <v/>
      </c>
    </row>
    <row r="374" customFormat="false" ht="15" hidden="false" customHeight="false" outlineLevel="0" collapsed="false">
      <c r="A374" s="8" t="n">
        <v>370</v>
      </c>
      <c r="B374" s="13"/>
      <c r="C374" s="12"/>
      <c r="D374" s="13"/>
      <c r="E374" s="24"/>
      <c r="F374" s="12"/>
      <c r="G374" s="14" t="str">
        <f aca="false">IF(OR($D374="",$B374=""),"",INT(($B374-$D374)/365.25))</f>
        <v/>
      </c>
      <c r="H374" s="25"/>
      <c r="I374" s="12"/>
      <c r="J374" s="14" t="str">
        <f aca="false">IF(OR($C374="",$D374="",$B374=""),"",IF(COUNTIFS($C$5:$C$804,$C374,$D$5:$D$804,$D374,$B$5:$B$804,$B374)&gt;1,"Takror",""))</f>
        <v/>
      </c>
    </row>
    <row r="375" customFormat="false" ht="15" hidden="false" customHeight="false" outlineLevel="0" collapsed="false">
      <c r="A375" s="8" t="n">
        <v>371</v>
      </c>
      <c r="B375" s="13"/>
      <c r="C375" s="12"/>
      <c r="D375" s="13"/>
      <c r="E375" s="24"/>
      <c r="F375" s="12"/>
      <c r="G375" s="14" t="str">
        <f aca="false">IF(OR($D375="",$B375=""),"",INT(($B375-$D375)/365.25))</f>
        <v/>
      </c>
      <c r="H375" s="25"/>
      <c r="I375" s="12"/>
      <c r="J375" s="14" t="str">
        <f aca="false">IF(OR($C375="",$D375="",$B375=""),"",IF(COUNTIFS($C$5:$C$804,$C375,$D$5:$D$804,$D375,$B$5:$B$804,$B375)&gt;1,"Takror",""))</f>
        <v/>
      </c>
    </row>
    <row r="376" customFormat="false" ht="15" hidden="false" customHeight="false" outlineLevel="0" collapsed="false">
      <c r="A376" s="8" t="n">
        <v>372</v>
      </c>
      <c r="B376" s="13"/>
      <c r="C376" s="12"/>
      <c r="D376" s="13"/>
      <c r="E376" s="24"/>
      <c r="F376" s="12"/>
      <c r="G376" s="14" t="str">
        <f aca="false">IF(OR($D376="",$B376=""),"",INT(($B376-$D376)/365.25))</f>
        <v/>
      </c>
      <c r="H376" s="25"/>
      <c r="I376" s="12"/>
      <c r="J376" s="14" t="str">
        <f aca="false">IF(OR($C376="",$D376="",$B376=""),"",IF(COUNTIFS($C$5:$C$804,$C376,$D$5:$D$804,$D376,$B$5:$B$804,$B376)&gt;1,"Takror",""))</f>
        <v/>
      </c>
    </row>
    <row r="377" customFormat="false" ht="15" hidden="false" customHeight="false" outlineLevel="0" collapsed="false">
      <c r="A377" s="8" t="n">
        <v>373</v>
      </c>
      <c r="B377" s="13"/>
      <c r="C377" s="12"/>
      <c r="D377" s="13"/>
      <c r="E377" s="24"/>
      <c r="F377" s="12"/>
      <c r="G377" s="14" t="str">
        <f aca="false">IF(OR($D377="",$B377=""),"",INT(($B377-$D377)/365.25))</f>
        <v/>
      </c>
      <c r="H377" s="25"/>
      <c r="I377" s="12"/>
      <c r="J377" s="14" t="str">
        <f aca="false">IF(OR($C377="",$D377="",$B377=""),"",IF(COUNTIFS($C$5:$C$804,$C377,$D$5:$D$804,$D377,$B$5:$B$804,$B377)&gt;1,"Takror",""))</f>
        <v/>
      </c>
    </row>
    <row r="378" customFormat="false" ht="15" hidden="false" customHeight="false" outlineLevel="0" collapsed="false">
      <c r="A378" s="8" t="n">
        <v>374</v>
      </c>
      <c r="B378" s="13"/>
      <c r="C378" s="12"/>
      <c r="D378" s="13"/>
      <c r="E378" s="24"/>
      <c r="F378" s="12"/>
      <c r="G378" s="14" t="str">
        <f aca="false">IF(OR($D378="",$B378=""),"",INT(($B378-$D378)/365.25))</f>
        <v/>
      </c>
      <c r="H378" s="25"/>
      <c r="I378" s="12"/>
      <c r="J378" s="14" t="str">
        <f aca="false">IF(OR($C378="",$D378="",$B378=""),"",IF(COUNTIFS($C$5:$C$804,$C378,$D$5:$D$804,$D378,$B$5:$B$804,$B378)&gt;1,"Takror",""))</f>
        <v/>
      </c>
    </row>
    <row r="379" customFormat="false" ht="15" hidden="false" customHeight="false" outlineLevel="0" collapsed="false">
      <c r="A379" s="8" t="n">
        <v>375</v>
      </c>
      <c r="B379" s="13"/>
      <c r="C379" s="12"/>
      <c r="D379" s="13"/>
      <c r="E379" s="24"/>
      <c r="F379" s="12"/>
      <c r="G379" s="14" t="str">
        <f aca="false">IF(OR($D379="",$B379=""),"",INT(($B379-$D379)/365.25))</f>
        <v/>
      </c>
      <c r="H379" s="25"/>
      <c r="I379" s="12"/>
      <c r="J379" s="14" t="str">
        <f aca="false">IF(OR($C379="",$D379="",$B379=""),"",IF(COUNTIFS($C$5:$C$804,$C379,$D$5:$D$804,$D379,$B$5:$B$804,$B379)&gt;1,"Takror",""))</f>
        <v/>
      </c>
    </row>
    <row r="380" customFormat="false" ht="15" hidden="false" customHeight="false" outlineLevel="0" collapsed="false">
      <c r="A380" s="8" t="n">
        <v>376</v>
      </c>
      <c r="B380" s="13"/>
      <c r="C380" s="12"/>
      <c r="D380" s="13"/>
      <c r="E380" s="24"/>
      <c r="F380" s="12"/>
      <c r="G380" s="14" t="str">
        <f aca="false">IF(OR($D380="",$B380=""),"",INT(($B380-$D380)/365.25))</f>
        <v/>
      </c>
      <c r="H380" s="25"/>
      <c r="I380" s="12"/>
      <c r="J380" s="14" t="str">
        <f aca="false">IF(OR($C380="",$D380="",$B380=""),"",IF(COUNTIFS($C$5:$C$804,$C380,$D$5:$D$804,$D380,$B$5:$B$804,$B380)&gt;1,"Takror",""))</f>
        <v/>
      </c>
    </row>
    <row r="381" customFormat="false" ht="15" hidden="false" customHeight="false" outlineLevel="0" collapsed="false">
      <c r="A381" s="8" t="n">
        <v>377</v>
      </c>
      <c r="B381" s="13"/>
      <c r="C381" s="12"/>
      <c r="D381" s="13"/>
      <c r="E381" s="24"/>
      <c r="F381" s="12"/>
      <c r="G381" s="14" t="str">
        <f aca="false">IF(OR($D381="",$B381=""),"",INT(($B381-$D381)/365.25))</f>
        <v/>
      </c>
      <c r="H381" s="25"/>
      <c r="I381" s="12"/>
      <c r="J381" s="14" t="str">
        <f aca="false">IF(OR($C381="",$D381="",$B381=""),"",IF(COUNTIFS($C$5:$C$804,$C381,$D$5:$D$804,$D381,$B$5:$B$804,$B381)&gt;1,"Takror",""))</f>
        <v/>
      </c>
    </row>
    <row r="382" customFormat="false" ht="15" hidden="false" customHeight="false" outlineLevel="0" collapsed="false">
      <c r="A382" s="8" t="n">
        <v>378</v>
      </c>
      <c r="B382" s="13"/>
      <c r="C382" s="12"/>
      <c r="D382" s="13"/>
      <c r="E382" s="24"/>
      <c r="F382" s="12"/>
      <c r="G382" s="14" t="str">
        <f aca="false">IF(OR($D382="",$B382=""),"",INT(($B382-$D382)/365.25))</f>
        <v/>
      </c>
      <c r="H382" s="25"/>
      <c r="I382" s="12"/>
      <c r="J382" s="14" t="str">
        <f aca="false">IF(OR($C382="",$D382="",$B382=""),"",IF(COUNTIFS($C$5:$C$804,$C382,$D$5:$D$804,$D382,$B$5:$B$804,$B382)&gt;1,"Takror",""))</f>
        <v/>
      </c>
    </row>
    <row r="383" customFormat="false" ht="15" hidden="false" customHeight="false" outlineLevel="0" collapsed="false">
      <c r="A383" s="8" t="n">
        <v>379</v>
      </c>
      <c r="B383" s="13"/>
      <c r="C383" s="12"/>
      <c r="D383" s="13"/>
      <c r="E383" s="24"/>
      <c r="F383" s="12"/>
      <c r="G383" s="14" t="str">
        <f aca="false">IF(OR($D383="",$B383=""),"",INT(($B383-$D383)/365.25))</f>
        <v/>
      </c>
      <c r="H383" s="25"/>
      <c r="I383" s="12"/>
      <c r="J383" s="14" t="str">
        <f aca="false">IF(OR($C383="",$D383="",$B383=""),"",IF(COUNTIFS($C$5:$C$804,$C383,$D$5:$D$804,$D383,$B$5:$B$804,$B383)&gt;1,"Takror",""))</f>
        <v/>
      </c>
    </row>
    <row r="384" customFormat="false" ht="15" hidden="false" customHeight="false" outlineLevel="0" collapsed="false">
      <c r="A384" s="8" t="n">
        <v>380</v>
      </c>
      <c r="B384" s="13"/>
      <c r="C384" s="12"/>
      <c r="D384" s="13"/>
      <c r="E384" s="24"/>
      <c r="F384" s="12"/>
      <c r="G384" s="14" t="str">
        <f aca="false">IF(OR($D384="",$B384=""),"",INT(($B384-$D384)/365.25))</f>
        <v/>
      </c>
      <c r="H384" s="25"/>
      <c r="I384" s="12"/>
      <c r="J384" s="14" t="str">
        <f aca="false">IF(OR($C384="",$D384="",$B384=""),"",IF(COUNTIFS($C$5:$C$804,$C384,$D$5:$D$804,$D384,$B$5:$B$804,$B384)&gt;1,"Takror",""))</f>
        <v/>
      </c>
    </row>
    <row r="385" customFormat="false" ht="15" hidden="false" customHeight="false" outlineLevel="0" collapsed="false">
      <c r="A385" s="8" t="n">
        <v>381</v>
      </c>
      <c r="B385" s="13"/>
      <c r="C385" s="12"/>
      <c r="D385" s="13"/>
      <c r="E385" s="24"/>
      <c r="F385" s="12"/>
      <c r="G385" s="14" t="str">
        <f aca="false">IF(OR($D385="",$B385=""),"",INT(($B385-$D385)/365.25))</f>
        <v/>
      </c>
      <c r="H385" s="25"/>
      <c r="I385" s="12"/>
      <c r="J385" s="14" t="str">
        <f aca="false">IF(OR($C385="",$D385="",$B385=""),"",IF(COUNTIFS($C$5:$C$804,$C385,$D$5:$D$804,$D385,$B$5:$B$804,$B385)&gt;1,"Takror",""))</f>
        <v/>
      </c>
    </row>
    <row r="386" customFormat="false" ht="15" hidden="false" customHeight="false" outlineLevel="0" collapsed="false">
      <c r="A386" s="8" t="n">
        <v>382</v>
      </c>
      <c r="B386" s="13"/>
      <c r="C386" s="12"/>
      <c r="D386" s="13"/>
      <c r="E386" s="24"/>
      <c r="F386" s="12"/>
      <c r="G386" s="14" t="str">
        <f aca="false">IF(OR($D386="",$B386=""),"",INT(($B386-$D386)/365.25))</f>
        <v/>
      </c>
      <c r="H386" s="25"/>
      <c r="I386" s="12"/>
      <c r="J386" s="14" t="str">
        <f aca="false">IF(OR($C386="",$D386="",$B386=""),"",IF(COUNTIFS($C$5:$C$804,$C386,$D$5:$D$804,$D386,$B$5:$B$804,$B386)&gt;1,"Takror",""))</f>
        <v/>
      </c>
    </row>
    <row r="387" customFormat="false" ht="15" hidden="false" customHeight="false" outlineLevel="0" collapsed="false">
      <c r="A387" s="8" t="n">
        <v>383</v>
      </c>
      <c r="B387" s="13"/>
      <c r="C387" s="12"/>
      <c r="D387" s="13"/>
      <c r="E387" s="24"/>
      <c r="F387" s="12"/>
      <c r="G387" s="14" t="str">
        <f aca="false">IF(OR($D387="",$B387=""),"",INT(($B387-$D387)/365.25))</f>
        <v/>
      </c>
      <c r="H387" s="25"/>
      <c r="I387" s="12"/>
      <c r="J387" s="14" t="str">
        <f aca="false">IF(OR($C387="",$D387="",$B387=""),"",IF(COUNTIFS($C$5:$C$804,$C387,$D$5:$D$804,$D387,$B$5:$B$804,$B387)&gt;1,"Takror",""))</f>
        <v/>
      </c>
    </row>
    <row r="388" customFormat="false" ht="15" hidden="false" customHeight="false" outlineLevel="0" collapsed="false">
      <c r="A388" s="8" t="n">
        <v>384</v>
      </c>
      <c r="B388" s="13"/>
      <c r="C388" s="12"/>
      <c r="D388" s="13"/>
      <c r="E388" s="24"/>
      <c r="F388" s="12"/>
      <c r="G388" s="14" t="str">
        <f aca="false">IF(OR($D388="",$B388=""),"",INT(($B388-$D388)/365.25))</f>
        <v/>
      </c>
      <c r="H388" s="25"/>
      <c r="I388" s="12"/>
      <c r="J388" s="14" t="str">
        <f aca="false">IF(OR($C388="",$D388="",$B388=""),"",IF(COUNTIFS($C$5:$C$804,$C388,$D$5:$D$804,$D388,$B$5:$B$804,$B388)&gt;1,"Takror",""))</f>
        <v/>
      </c>
    </row>
    <row r="389" customFormat="false" ht="15" hidden="false" customHeight="false" outlineLevel="0" collapsed="false">
      <c r="A389" s="8" t="n">
        <v>385</v>
      </c>
      <c r="B389" s="13"/>
      <c r="C389" s="12"/>
      <c r="D389" s="13"/>
      <c r="E389" s="24"/>
      <c r="F389" s="12"/>
      <c r="G389" s="14" t="str">
        <f aca="false">IF(OR($D389="",$B389=""),"",INT(($B389-$D389)/365.25))</f>
        <v/>
      </c>
      <c r="H389" s="25"/>
      <c r="I389" s="12"/>
      <c r="J389" s="14" t="str">
        <f aca="false">IF(OR($C389="",$D389="",$B389=""),"",IF(COUNTIFS($C$5:$C$804,$C389,$D$5:$D$804,$D389,$B$5:$B$804,$B389)&gt;1,"Takror",""))</f>
        <v/>
      </c>
    </row>
    <row r="390" customFormat="false" ht="15" hidden="false" customHeight="false" outlineLevel="0" collapsed="false">
      <c r="A390" s="8" t="n">
        <v>386</v>
      </c>
      <c r="B390" s="13"/>
      <c r="C390" s="12"/>
      <c r="D390" s="13"/>
      <c r="E390" s="24"/>
      <c r="F390" s="12"/>
      <c r="G390" s="14" t="str">
        <f aca="false">IF(OR($D390="",$B390=""),"",INT(($B390-$D390)/365.25))</f>
        <v/>
      </c>
      <c r="H390" s="25"/>
      <c r="I390" s="12"/>
      <c r="J390" s="14" t="str">
        <f aca="false">IF(OR($C390="",$D390="",$B390=""),"",IF(COUNTIFS($C$5:$C$804,$C390,$D$5:$D$804,$D390,$B$5:$B$804,$B390)&gt;1,"Takror",""))</f>
        <v/>
      </c>
    </row>
    <row r="391" customFormat="false" ht="15" hidden="false" customHeight="false" outlineLevel="0" collapsed="false">
      <c r="A391" s="8" t="n">
        <v>387</v>
      </c>
      <c r="B391" s="13"/>
      <c r="C391" s="12"/>
      <c r="D391" s="13"/>
      <c r="E391" s="24"/>
      <c r="F391" s="12"/>
      <c r="G391" s="14" t="str">
        <f aca="false">IF(OR($D391="",$B391=""),"",INT(($B391-$D391)/365.25))</f>
        <v/>
      </c>
      <c r="H391" s="25"/>
      <c r="I391" s="12"/>
      <c r="J391" s="14" t="str">
        <f aca="false">IF(OR($C391="",$D391="",$B391=""),"",IF(COUNTIFS($C$5:$C$804,$C391,$D$5:$D$804,$D391,$B$5:$B$804,$B391)&gt;1,"Takror",""))</f>
        <v/>
      </c>
    </row>
    <row r="392" customFormat="false" ht="15" hidden="false" customHeight="false" outlineLevel="0" collapsed="false">
      <c r="A392" s="8" t="n">
        <v>388</v>
      </c>
      <c r="B392" s="13"/>
      <c r="C392" s="12"/>
      <c r="D392" s="13"/>
      <c r="E392" s="24"/>
      <c r="F392" s="12"/>
      <c r="G392" s="14" t="str">
        <f aca="false">IF(OR($D392="",$B392=""),"",INT(($B392-$D392)/365.25))</f>
        <v/>
      </c>
      <c r="H392" s="25"/>
      <c r="I392" s="12"/>
      <c r="J392" s="14" t="str">
        <f aca="false">IF(OR($C392="",$D392="",$B392=""),"",IF(COUNTIFS($C$5:$C$804,$C392,$D$5:$D$804,$D392,$B$5:$B$804,$B392)&gt;1,"Takror",""))</f>
        <v/>
      </c>
    </row>
    <row r="393" customFormat="false" ht="15" hidden="false" customHeight="false" outlineLevel="0" collapsed="false">
      <c r="A393" s="8" t="n">
        <v>389</v>
      </c>
      <c r="B393" s="13"/>
      <c r="C393" s="12"/>
      <c r="D393" s="13"/>
      <c r="E393" s="24"/>
      <c r="F393" s="12"/>
      <c r="G393" s="14" t="str">
        <f aca="false">IF(OR($D393="",$B393=""),"",INT(($B393-$D393)/365.25))</f>
        <v/>
      </c>
      <c r="H393" s="25"/>
      <c r="I393" s="12"/>
      <c r="J393" s="14" t="str">
        <f aca="false">IF(OR($C393="",$D393="",$B393=""),"",IF(COUNTIFS($C$5:$C$804,$C393,$D$5:$D$804,$D393,$B$5:$B$804,$B393)&gt;1,"Takror",""))</f>
        <v/>
      </c>
    </row>
    <row r="394" customFormat="false" ht="15" hidden="false" customHeight="false" outlineLevel="0" collapsed="false">
      <c r="A394" s="8" t="n">
        <v>390</v>
      </c>
      <c r="B394" s="13"/>
      <c r="C394" s="12"/>
      <c r="D394" s="13"/>
      <c r="E394" s="24"/>
      <c r="F394" s="12"/>
      <c r="G394" s="14" t="str">
        <f aca="false">IF(OR($D394="",$B394=""),"",INT(($B394-$D394)/365.25))</f>
        <v/>
      </c>
      <c r="H394" s="25"/>
      <c r="I394" s="12"/>
      <c r="J394" s="14" t="str">
        <f aca="false">IF(OR($C394="",$D394="",$B394=""),"",IF(COUNTIFS($C$5:$C$804,$C394,$D$5:$D$804,$D394,$B$5:$B$804,$B394)&gt;1,"Takror",""))</f>
        <v/>
      </c>
    </row>
    <row r="395" customFormat="false" ht="15" hidden="false" customHeight="false" outlineLevel="0" collapsed="false">
      <c r="A395" s="8" t="n">
        <v>391</v>
      </c>
      <c r="B395" s="13"/>
      <c r="C395" s="12"/>
      <c r="D395" s="13"/>
      <c r="E395" s="24"/>
      <c r="F395" s="12"/>
      <c r="G395" s="14" t="str">
        <f aca="false">IF(OR($D395="",$B395=""),"",INT(($B395-$D395)/365.25))</f>
        <v/>
      </c>
      <c r="H395" s="25"/>
      <c r="I395" s="12"/>
      <c r="J395" s="14" t="str">
        <f aca="false">IF(OR($C395="",$D395="",$B395=""),"",IF(COUNTIFS($C$5:$C$804,$C395,$D$5:$D$804,$D395,$B$5:$B$804,$B395)&gt;1,"Takror",""))</f>
        <v/>
      </c>
    </row>
    <row r="396" customFormat="false" ht="15" hidden="false" customHeight="false" outlineLevel="0" collapsed="false">
      <c r="A396" s="8" t="n">
        <v>392</v>
      </c>
      <c r="B396" s="13"/>
      <c r="C396" s="12"/>
      <c r="D396" s="13"/>
      <c r="E396" s="24"/>
      <c r="F396" s="12"/>
      <c r="G396" s="14" t="str">
        <f aca="false">IF(OR($D396="",$B396=""),"",INT(($B396-$D396)/365.25))</f>
        <v/>
      </c>
      <c r="H396" s="25"/>
      <c r="I396" s="12"/>
      <c r="J396" s="14" t="str">
        <f aca="false">IF(OR($C396="",$D396="",$B396=""),"",IF(COUNTIFS($C$5:$C$804,$C396,$D$5:$D$804,$D396,$B$5:$B$804,$B396)&gt;1,"Takror",""))</f>
        <v/>
      </c>
    </row>
    <row r="397" customFormat="false" ht="15" hidden="false" customHeight="false" outlineLevel="0" collapsed="false">
      <c r="A397" s="8" t="n">
        <v>393</v>
      </c>
      <c r="B397" s="13"/>
      <c r="C397" s="12"/>
      <c r="D397" s="13"/>
      <c r="E397" s="24"/>
      <c r="F397" s="12"/>
      <c r="G397" s="14" t="str">
        <f aca="false">IF(OR($D397="",$B397=""),"",INT(($B397-$D397)/365.25))</f>
        <v/>
      </c>
      <c r="H397" s="25"/>
      <c r="I397" s="12"/>
      <c r="J397" s="14" t="str">
        <f aca="false">IF(OR($C397="",$D397="",$B397=""),"",IF(COUNTIFS($C$5:$C$804,$C397,$D$5:$D$804,$D397,$B$5:$B$804,$B397)&gt;1,"Takror",""))</f>
        <v/>
      </c>
    </row>
    <row r="398" customFormat="false" ht="15" hidden="false" customHeight="false" outlineLevel="0" collapsed="false">
      <c r="A398" s="8" t="n">
        <v>394</v>
      </c>
      <c r="B398" s="13"/>
      <c r="C398" s="12"/>
      <c r="D398" s="13"/>
      <c r="E398" s="24"/>
      <c r="F398" s="12"/>
      <c r="G398" s="14" t="str">
        <f aca="false">IF(OR($D398="",$B398=""),"",INT(($B398-$D398)/365.25))</f>
        <v/>
      </c>
      <c r="H398" s="25"/>
      <c r="I398" s="12"/>
      <c r="J398" s="14" t="str">
        <f aca="false">IF(OR($C398="",$D398="",$B398=""),"",IF(COUNTIFS($C$5:$C$804,$C398,$D$5:$D$804,$D398,$B$5:$B$804,$B398)&gt;1,"Takror",""))</f>
        <v/>
      </c>
    </row>
    <row r="399" customFormat="false" ht="15" hidden="false" customHeight="false" outlineLevel="0" collapsed="false">
      <c r="A399" s="8" t="n">
        <v>395</v>
      </c>
      <c r="B399" s="13"/>
      <c r="C399" s="12"/>
      <c r="D399" s="13"/>
      <c r="E399" s="24"/>
      <c r="F399" s="12"/>
      <c r="G399" s="14" t="str">
        <f aca="false">IF(OR($D399="",$B399=""),"",INT(($B399-$D399)/365.25))</f>
        <v/>
      </c>
      <c r="H399" s="25"/>
      <c r="I399" s="12"/>
      <c r="J399" s="14" t="str">
        <f aca="false">IF(OR($C399="",$D399="",$B399=""),"",IF(COUNTIFS($C$5:$C$804,$C399,$D$5:$D$804,$D399,$B$5:$B$804,$B399)&gt;1,"Takror",""))</f>
        <v/>
      </c>
    </row>
    <row r="400" customFormat="false" ht="15" hidden="false" customHeight="false" outlineLevel="0" collapsed="false">
      <c r="A400" s="8" t="n">
        <v>396</v>
      </c>
      <c r="B400" s="13"/>
      <c r="C400" s="12"/>
      <c r="D400" s="13"/>
      <c r="E400" s="24"/>
      <c r="F400" s="12"/>
      <c r="G400" s="14" t="str">
        <f aca="false">IF(OR($D400="",$B400=""),"",INT(($B400-$D400)/365.25))</f>
        <v/>
      </c>
      <c r="H400" s="25"/>
      <c r="I400" s="12"/>
      <c r="J400" s="14" t="str">
        <f aca="false">IF(OR($C400="",$D400="",$B400=""),"",IF(COUNTIFS($C$5:$C$804,$C400,$D$5:$D$804,$D400,$B$5:$B$804,$B400)&gt;1,"Takror",""))</f>
        <v/>
      </c>
    </row>
    <row r="401" customFormat="false" ht="15" hidden="false" customHeight="false" outlineLevel="0" collapsed="false">
      <c r="A401" s="8" t="n">
        <v>397</v>
      </c>
      <c r="B401" s="13"/>
      <c r="C401" s="12"/>
      <c r="D401" s="13"/>
      <c r="E401" s="24"/>
      <c r="F401" s="12"/>
      <c r="G401" s="14" t="str">
        <f aca="false">IF(OR($D401="",$B401=""),"",INT(($B401-$D401)/365.25))</f>
        <v/>
      </c>
      <c r="H401" s="25"/>
      <c r="I401" s="12"/>
      <c r="J401" s="14" t="str">
        <f aca="false">IF(OR($C401="",$D401="",$B401=""),"",IF(COUNTIFS($C$5:$C$804,$C401,$D$5:$D$804,$D401,$B$5:$B$804,$B401)&gt;1,"Takror",""))</f>
        <v/>
      </c>
    </row>
    <row r="402" customFormat="false" ht="15" hidden="false" customHeight="false" outlineLevel="0" collapsed="false">
      <c r="A402" s="8" t="n">
        <v>398</v>
      </c>
      <c r="B402" s="13"/>
      <c r="C402" s="12"/>
      <c r="D402" s="13"/>
      <c r="E402" s="24"/>
      <c r="F402" s="12"/>
      <c r="G402" s="14" t="str">
        <f aca="false">IF(OR($D402="",$B402=""),"",INT(($B402-$D402)/365.25))</f>
        <v/>
      </c>
      <c r="H402" s="25"/>
      <c r="I402" s="12"/>
      <c r="J402" s="14" t="str">
        <f aca="false">IF(OR($C402="",$D402="",$B402=""),"",IF(COUNTIFS($C$5:$C$804,$C402,$D$5:$D$804,$D402,$B$5:$B$804,$B402)&gt;1,"Takror",""))</f>
        <v/>
      </c>
    </row>
    <row r="403" customFormat="false" ht="15" hidden="false" customHeight="false" outlineLevel="0" collapsed="false">
      <c r="A403" s="8" t="n">
        <v>399</v>
      </c>
      <c r="B403" s="13"/>
      <c r="C403" s="12"/>
      <c r="D403" s="13"/>
      <c r="E403" s="24"/>
      <c r="F403" s="12"/>
      <c r="G403" s="14" t="str">
        <f aca="false">IF(OR($D403="",$B403=""),"",INT(($B403-$D403)/365.25))</f>
        <v/>
      </c>
      <c r="H403" s="25"/>
      <c r="I403" s="12"/>
      <c r="J403" s="14" t="str">
        <f aca="false">IF(OR($C403="",$D403="",$B403=""),"",IF(COUNTIFS($C$5:$C$804,$C403,$D$5:$D$804,$D403,$B$5:$B$804,$B403)&gt;1,"Takror",""))</f>
        <v/>
      </c>
    </row>
    <row r="404" customFormat="false" ht="15" hidden="false" customHeight="false" outlineLevel="0" collapsed="false">
      <c r="A404" s="8" t="n">
        <v>400</v>
      </c>
      <c r="B404" s="13"/>
      <c r="C404" s="12"/>
      <c r="D404" s="13"/>
      <c r="E404" s="24"/>
      <c r="F404" s="12"/>
      <c r="G404" s="14" t="str">
        <f aca="false">IF(OR($D404="",$B404=""),"",INT(($B404-$D404)/365.25))</f>
        <v/>
      </c>
      <c r="H404" s="25"/>
      <c r="I404" s="12"/>
      <c r="J404" s="14" t="str">
        <f aca="false">IF(OR($C404="",$D404="",$B404=""),"",IF(COUNTIFS($C$5:$C$804,$C404,$D$5:$D$804,$D404,$B$5:$B$804,$B404)&gt;1,"Takror",""))</f>
        <v/>
      </c>
    </row>
    <row r="405" customFormat="false" ht="15" hidden="false" customHeight="false" outlineLevel="0" collapsed="false">
      <c r="A405" s="8" t="n">
        <v>401</v>
      </c>
      <c r="B405" s="13"/>
      <c r="C405" s="12"/>
      <c r="D405" s="13"/>
      <c r="E405" s="24"/>
      <c r="F405" s="12"/>
      <c r="G405" s="14" t="str">
        <f aca="false">IF(OR($D405="",$B405=""),"",INT(($B405-$D405)/365.25))</f>
        <v/>
      </c>
      <c r="H405" s="25"/>
      <c r="I405" s="12"/>
      <c r="J405" s="14" t="str">
        <f aca="false">IF(OR($C405="",$D405="",$B405=""),"",IF(COUNTIFS($C$5:$C$804,$C405,$D$5:$D$804,$D405,$B$5:$B$804,$B405)&gt;1,"Takror",""))</f>
        <v/>
      </c>
    </row>
    <row r="406" customFormat="false" ht="15" hidden="false" customHeight="false" outlineLevel="0" collapsed="false">
      <c r="A406" s="8" t="n">
        <v>402</v>
      </c>
      <c r="B406" s="13"/>
      <c r="C406" s="12"/>
      <c r="D406" s="13"/>
      <c r="E406" s="24"/>
      <c r="F406" s="12"/>
      <c r="G406" s="14" t="str">
        <f aca="false">IF(OR($D406="",$B406=""),"",INT(($B406-$D406)/365.25))</f>
        <v/>
      </c>
      <c r="H406" s="25"/>
      <c r="I406" s="12"/>
      <c r="J406" s="14" t="str">
        <f aca="false">IF(OR($C406="",$D406="",$B406=""),"",IF(COUNTIFS($C$5:$C$804,$C406,$D$5:$D$804,$D406,$B$5:$B$804,$B406)&gt;1,"Takror",""))</f>
        <v/>
      </c>
    </row>
    <row r="407" customFormat="false" ht="15" hidden="false" customHeight="false" outlineLevel="0" collapsed="false">
      <c r="A407" s="8" t="n">
        <v>403</v>
      </c>
      <c r="B407" s="13"/>
      <c r="C407" s="12"/>
      <c r="D407" s="13"/>
      <c r="E407" s="24"/>
      <c r="F407" s="12"/>
      <c r="G407" s="14" t="str">
        <f aca="false">IF(OR($D407="",$B407=""),"",INT(($B407-$D407)/365.25))</f>
        <v/>
      </c>
      <c r="H407" s="25"/>
      <c r="I407" s="12"/>
      <c r="J407" s="14" t="str">
        <f aca="false">IF(OR($C407="",$D407="",$B407=""),"",IF(COUNTIFS($C$5:$C$804,$C407,$D$5:$D$804,$D407,$B$5:$B$804,$B407)&gt;1,"Takror",""))</f>
        <v/>
      </c>
    </row>
    <row r="408" customFormat="false" ht="15" hidden="false" customHeight="false" outlineLevel="0" collapsed="false">
      <c r="A408" s="8" t="n">
        <v>404</v>
      </c>
      <c r="B408" s="13"/>
      <c r="C408" s="12"/>
      <c r="D408" s="13"/>
      <c r="E408" s="24"/>
      <c r="F408" s="12"/>
      <c r="G408" s="14" t="str">
        <f aca="false">IF(OR($D408="",$B408=""),"",INT(($B408-$D408)/365.25))</f>
        <v/>
      </c>
      <c r="H408" s="25"/>
      <c r="I408" s="12"/>
      <c r="J408" s="14" t="str">
        <f aca="false">IF(OR($C408="",$D408="",$B408=""),"",IF(COUNTIFS($C$5:$C$804,$C408,$D$5:$D$804,$D408,$B$5:$B$804,$B408)&gt;1,"Takror",""))</f>
        <v/>
      </c>
    </row>
    <row r="409" customFormat="false" ht="15" hidden="false" customHeight="false" outlineLevel="0" collapsed="false">
      <c r="A409" s="8" t="n">
        <v>405</v>
      </c>
      <c r="B409" s="13"/>
      <c r="C409" s="12"/>
      <c r="D409" s="13"/>
      <c r="E409" s="24"/>
      <c r="F409" s="12"/>
      <c r="G409" s="14" t="str">
        <f aca="false">IF(OR($D409="",$B409=""),"",INT(($B409-$D409)/365.25))</f>
        <v/>
      </c>
      <c r="H409" s="25"/>
      <c r="I409" s="12"/>
      <c r="J409" s="14" t="str">
        <f aca="false">IF(OR($C409="",$D409="",$B409=""),"",IF(COUNTIFS($C$5:$C$804,$C409,$D$5:$D$804,$D409,$B$5:$B$804,$B409)&gt;1,"Takror",""))</f>
        <v/>
      </c>
    </row>
    <row r="410" customFormat="false" ht="15" hidden="false" customHeight="false" outlineLevel="0" collapsed="false">
      <c r="A410" s="8" t="n">
        <v>406</v>
      </c>
      <c r="B410" s="13"/>
      <c r="C410" s="12"/>
      <c r="D410" s="13"/>
      <c r="E410" s="24"/>
      <c r="F410" s="12"/>
      <c r="G410" s="14" t="str">
        <f aca="false">IF(OR($D410="",$B410=""),"",INT(($B410-$D410)/365.25))</f>
        <v/>
      </c>
      <c r="H410" s="25"/>
      <c r="I410" s="12"/>
      <c r="J410" s="14" t="str">
        <f aca="false">IF(OR($C410="",$D410="",$B410=""),"",IF(COUNTIFS($C$5:$C$804,$C410,$D$5:$D$804,$D410,$B$5:$B$804,$B410)&gt;1,"Takror",""))</f>
        <v/>
      </c>
    </row>
    <row r="411" customFormat="false" ht="15" hidden="false" customHeight="false" outlineLevel="0" collapsed="false">
      <c r="A411" s="8" t="n">
        <v>407</v>
      </c>
      <c r="B411" s="13"/>
      <c r="C411" s="12"/>
      <c r="D411" s="13"/>
      <c r="E411" s="24"/>
      <c r="F411" s="12"/>
      <c r="G411" s="14" t="str">
        <f aca="false">IF(OR($D411="",$B411=""),"",INT(($B411-$D411)/365.25))</f>
        <v/>
      </c>
      <c r="H411" s="25"/>
      <c r="I411" s="12"/>
      <c r="J411" s="14" t="str">
        <f aca="false">IF(OR($C411="",$D411="",$B411=""),"",IF(COUNTIFS($C$5:$C$804,$C411,$D$5:$D$804,$D411,$B$5:$B$804,$B411)&gt;1,"Takror",""))</f>
        <v/>
      </c>
    </row>
    <row r="412" customFormat="false" ht="15" hidden="false" customHeight="false" outlineLevel="0" collapsed="false">
      <c r="A412" s="8" t="n">
        <v>408</v>
      </c>
      <c r="B412" s="13"/>
      <c r="C412" s="12"/>
      <c r="D412" s="13"/>
      <c r="E412" s="24"/>
      <c r="F412" s="12"/>
      <c r="G412" s="14" t="str">
        <f aca="false">IF(OR($D412="",$B412=""),"",INT(($B412-$D412)/365.25))</f>
        <v/>
      </c>
      <c r="H412" s="25"/>
      <c r="I412" s="12"/>
      <c r="J412" s="14" t="str">
        <f aca="false">IF(OR($C412="",$D412="",$B412=""),"",IF(COUNTIFS($C$5:$C$804,$C412,$D$5:$D$804,$D412,$B$5:$B$804,$B412)&gt;1,"Takror",""))</f>
        <v/>
      </c>
    </row>
    <row r="413" customFormat="false" ht="15" hidden="false" customHeight="false" outlineLevel="0" collapsed="false">
      <c r="A413" s="8" t="n">
        <v>409</v>
      </c>
      <c r="B413" s="13"/>
      <c r="C413" s="12"/>
      <c r="D413" s="13"/>
      <c r="E413" s="24"/>
      <c r="F413" s="12"/>
      <c r="G413" s="14" t="str">
        <f aca="false">IF(OR($D413="",$B413=""),"",INT(($B413-$D413)/365.25))</f>
        <v/>
      </c>
      <c r="H413" s="25"/>
      <c r="I413" s="12"/>
      <c r="J413" s="14" t="str">
        <f aca="false">IF(OR($C413="",$D413="",$B413=""),"",IF(COUNTIFS($C$5:$C$804,$C413,$D$5:$D$804,$D413,$B$5:$B$804,$B413)&gt;1,"Takror",""))</f>
        <v/>
      </c>
    </row>
    <row r="414" customFormat="false" ht="15" hidden="false" customHeight="false" outlineLevel="0" collapsed="false">
      <c r="A414" s="8" t="n">
        <v>410</v>
      </c>
      <c r="B414" s="13"/>
      <c r="C414" s="12"/>
      <c r="D414" s="13"/>
      <c r="E414" s="24"/>
      <c r="F414" s="12"/>
      <c r="G414" s="14" t="str">
        <f aca="false">IF(OR($D414="",$B414=""),"",INT(($B414-$D414)/365.25))</f>
        <v/>
      </c>
      <c r="H414" s="25"/>
      <c r="I414" s="12"/>
      <c r="J414" s="14" t="str">
        <f aca="false">IF(OR($C414="",$D414="",$B414=""),"",IF(COUNTIFS($C$5:$C$804,$C414,$D$5:$D$804,$D414,$B$5:$B$804,$B414)&gt;1,"Takror",""))</f>
        <v/>
      </c>
    </row>
    <row r="415" customFormat="false" ht="15" hidden="false" customHeight="false" outlineLevel="0" collapsed="false">
      <c r="A415" s="8" t="n">
        <v>411</v>
      </c>
      <c r="B415" s="13"/>
      <c r="C415" s="12"/>
      <c r="D415" s="13"/>
      <c r="E415" s="24"/>
      <c r="F415" s="12"/>
      <c r="G415" s="14" t="str">
        <f aca="false">IF(OR($D415="",$B415=""),"",INT(($B415-$D415)/365.25))</f>
        <v/>
      </c>
      <c r="H415" s="25"/>
      <c r="I415" s="12"/>
      <c r="J415" s="14" t="str">
        <f aca="false">IF(OR($C415="",$D415="",$B415=""),"",IF(COUNTIFS($C$5:$C$804,$C415,$D$5:$D$804,$D415,$B$5:$B$804,$B415)&gt;1,"Takror",""))</f>
        <v/>
      </c>
    </row>
    <row r="416" customFormat="false" ht="15" hidden="false" customHeight="false" outlineLevel="0" collapsed="false">
      <c r="A416" s="8" t="n">
        <v>412</v>
      </c>
      <c r="B416" s="13"/>
      <c r="C416" s="12"/>
      <c r="D416" s="13"/>
      <c r="E416" s="24"/>
      <c r="F416" s="12"/>
      <c r="G416" s="14" t="str">
        <f aca="false">IF(OR($D416="",$B416=""),"",INT(($B416-$D416)/365.25))</f>
        <v/>
      </c>
      <c r="H416" s="25"/>
      <c r="I416" s="12"/>
      <c r="J416" s="14" t="str">
        <f aca="false">IF(OR($C416="",$D416="",$B416=""),"",IF(COUNTIFS($C$5:$C$804,$C416,$D$5:$D$804,$D416,$B$5:$B$804,$B416)&gt;1,"Takror",""))</f>
        <v/>
      </c>
    </row>
    <row r="417" customFormat="false" ht="15" hidden="false" customHeight="false" outlineLevel="0" collapsed="false">
      <c r="A417" s="8" t="n">
        <v>413</v>
      </c>
      <c r="B417" s="13"/>
      <c r="C417" s="12"/>
      <c r="D417" s="13"/>
      <c r="E417" s="24"/>
      <c r="F417" s="12"/>
      <c r="G417" s="14" t="str">
        <f aca="false">IF(OR($D417="",$B417=""),"",INT(($B417-$D417)/365.25))</f>
        <v/>
      </c>
      <c r="H417" s="25"/>
      <c r="I417" s="12"/>
      <c r="J417" s="14" t="str">
        <f aca="false">IF(OR($C417="",$D417="",$B417=""),"",IF(COUNTIFS($C$5:$C$804,$C417,$D$5:$D$804,$D417,$B$5:$B$804,$B417)&gt;1,"Takror",""))</f>
        <v/>
      </c>
    </row>
    <row r="418" customFormat="false" ht="15" hidden="false" customHeight="false" outlineLevel="0" collapsed="false">
      <c r="A418" s="8" t="n">
        <v>414</v>
      </c>
      <c r="B418" s="13"/>
      <c r="C418" s="12"/>
      <c r="D418" s="13"/>
      <c r="E418" s="24"/>
      <c r="F418" s="12"/>
      <c r="G418" s="14" t="str">
        <f aca="false">IF(OR($D418="",$B418=""),"",INT(($B418-$D418)/365.25))</f>
        <v/>
      </c>
      <c r="H418" s="25"/>
      <c r="I418" s="12"/>
      <c r="J418" s="14" t="str">
        <f aca="false">IF(OR($C418="",$D418="",$B418=""),"",IF(COUNTIFS($C$5:$C$804,$C418,$D$5:$D$804,$D418,$B$5:$B$804,$B418)&gt;1,"Takror",""))</f>
        <v/>
      </c>
    </row>
    <row r="419" customFormat="false" ht="15" hidden="false" customHeight="false" outlineLevel="0" collapsed="false">
      <c r="A419" s="8" t="n">
        <v>415</v>
      </c>
      <c r="B419" s="13"/>
      <c r="C419" s="12"/>
      <c r="D419" s="13"/>
      <c r="E419" s="24"/>
      <c r="F419" s="12"/>
      <c r="G419" s="14" t="str">
        <f aca="false">IF(OR($D419="",$B419=""),"",INT(($B419-$D419)/365.25))</f>
        <v/>
      </c>
      <c r="H419" s="25"/>
      <c r="I419" s="12"/>
      <c r="J419" s="14" t="str">
        <f aca="false">IF(OR($C419="",$D419="",$B419=""),"",IF(COUNTIFS($C$5:$C$804,$C419,$D$5:$D$804,$D419,$B$5:$B$804,$B419)&gt;1,"Takror",""))</f>
        <v/>
      </c>
    </row>
    <row r="420" customFormat="false" ht="15" hidden="false" customHeight="false" outlineLevel="0" collapsed="false">
      <c r="A420" s="8" t="n">
        <v>416</v>
      </c>
      <c r="B420" s="13"/>
      <c r="C420" s="12"/>
      <c r="D420" s="13"/>
      <c r="E420" s="24"/>
      <c r="F420" s="12"/>
      <c r="G420" s="14" t="str">
        <f aca="false">IF(OR($D420="",$B420=""),"",INT(($B420-$D420)/365.25))</f>
        <v/>
      </c>
      <c r="H420" s="25"/>
      <c r="I420" s="12"/>
      <c r="J420" s="14" t="str">
        <f aca="false">IF(OR($C420="",$D420="",$B420=""),"",IF(COUNTIFS($C$5:$C$804,$C420,$D$5:$D$804,$D420,$B$5:$B$804,$B420)&gt;1,"Takror",""))</f>
        <v/>
      </c>
    </row>
    <row r="421" customFormat="false" ht="15" hidden="false" customHeight="false" outlineLevel="0" collapsed="false">
      <c r="A421" s="8" t="n">
        <v>417</v>
      </c>
      <c r="B421" s="13"/>
      <c r="C421" s="12"/>
      <c r="D421" s="13"/>
      <c r="E421" s="24"/>
      <c r="F421" s="12"/>
      <c r="G421" s="14" t="str">
        <f aca="false">IF(OR($D421="",$B421=""),"",INT(($B421-$D421)/365.25))</f>
        <v/>
      </c>
      <c r="H421" s="25"/>
      <c r="I421" s="12"/>
      <c r="J421" s="14" t="str">
        <f aca="false">IF(OR($C421="",$D421="",$B421=""),"",IF(COUNTIFS($C$5:$C$804,$C421,$D$5:$D$804,$D421,$B$5:$B$804,$B421)&gt;1,"Takror",""))</f>
        <v/>
      </c>
    </row>
    <row r="422" customFormat="false" ht="15" hidden="false" customHeight="false" outlineLevel="0" collapsed="false">
      <c r="A422" s="8" t="n">
        <v>418</v>
      </c>
      <c r="B422" s="13"/>
      <c r="C422" s="12"/>
      <c r="D422" s="13"/>
      <c r="E422" s="24"/>
      <c r="F422" s="12"/>
      <c r="G422" s="14" t="str">
        <f aca="false">IF(OR($D422="",$B422=""),"",INT(($B422-$D422)/365.25))</f>
        <v/>
      </c>
      <c r="H422" s="25"/>
      <c r="I422" s="12"/>
      <c r="J422" s="14" t="str">
        <f aca="false">IF(OR($C422="",$D422="",$B422=""),"",IF(COUNTIFS($C$5:$C$804,$C422,$D$5:$D$804,$D422,$B$5:$B$804,$B422)&gt;1,"Takror",""))</f>
        <v/>
      </c>
    </row>
    <row r="423" customFormat="false" ht="15" hidden="false" customHeight="false" outlineLevel="0" collapsed="false">
      <c r="A423" s="8" t="n">
        <v>419</v>
      </c>
      <c r="B423" s="13"/>
      <c r="C423" s="12"/>
      <c r="D423" s="13"/>
      <c r="E423" s="24"/>
      <c r="F423" s="12"/>
      <c r="G423" s="14" t="str">
        <f aca="false">IF(OR($D423="",$B423=""),"",INT(($B423-$D423)/365.25))</f>
        <v/>
      </c>
      <c r="H423" s="25"/>
      <c r="I423" s="12"/>
      <c r="J423" s="14" t="str">
        <f aca="false">IF(OR($C423="",$D423="",$B423=""),"",IF(COUNTIFS($C$5:$C$804,$C423,$D$5:$D$804,$D423,$B$5:$B$804,$B423)&gt;1,"Takror",""))</f>
        <v/>
      </c>
    </row>
    <row r="424" customFormat="false" ht="15" hidden="false" customHeight="false" outlineLevel="0" collapsed="false">
      <c r="A424" s="8" t="n">
        <v>420</v>
      </c>
      <c r="B424" s="13"/>
      <c r="C424" s="12"/>
      <c r="D424" s="13"/>
      <c r="E424" s="24"/>
      <c r="F424" s="12"/>
      <c r="G424" s="14" t="str">
        <f aca="false">IF(OR($D424="",$B424=""),"",INT(($B424-$D424)/365.25))</f>
        <v/>
      </c>
      <c r="H424" s="25"/>
      <c r="I424" s="12"/>
      <c r="J424" s="14" t="str">
        <f aca="false">IF(OR($C424="",$D424="",$B424=""),"",IF(COUNTIFS($C$5:$C$804,$C424,$D$5:$D$804,$D424,$B$5:$B$804,$B424)&gt;1,"Takror",""))</f>
        <v/>
      </c>
    </row>
    <row r="425" customFormat="false" ht="15" hidden="false" customHeight="false" outlineLevel="0" collapsed="false">
      <c r="A425" s="8" t="n">
        <v>421</v>
      </c>
      <c r="B425" s="13"/>
      <c r="C425" s="12"/>
      <c r="D425" s="13"/>
      <c r="E425" s="24"/>
      <c r="F425" s="12"/>
      <c r="G425" s="14" t="str">
        <f aca="false">IF(OR($D425="",$B425=""),"",INT(($B425-$D425)/365.25))</f>
        <v/>
      </c>
      <c r="H425" s="25"/>
      <c r="I425" s="12"/>
      <c r="J425" s="14" t="str">
        <f aca="false">IF(OR($C425="",$D425="",$B425=""),"",IF(COUNTIFS($C$5:$C$804,$C425,$D$5:$D$804,$D425,$B$5:$B$804,$B425)&gt;1,"Takror",""))</f>
        <v/>
      </c>
    </row>
    <row r="426" customFormat="false" ht="15" hidden="false" customHeight="false" outlineLevel="0" collapsed="false">
      <c r="A426" s="8" t="n">
        <v>422</v>
      </c>
      <c r="B426" s="13"/>
      <c r="C426" s="12"/>
      <c r="D426" s="13"/>
      <c r="E426" s="24"/>
      <c r="F426" s="12"/>
      <c r="G426" s="14" t="str">
        <f aca="false">IF(OR($D426="",$B426=""),"",INT(($B426-$D426)/365.25))</f>
        <v/>
      </c>
      <c r="H426" s="25"/>
      <c r="I426" s="12"/>
      <c r="J426" s="14" t="str">
        <f aca="false">IF(OR($C426="",$D426="",$B426=""),"",IF(COUNTIFS($C$5:$C$804,$C426,$D$5:$D$804,$D426,$B$5:$B$804,$B426)&gt;1,"Takror",""))</f>
        <v/>
      </c>
    </row>
    <row r="427" customFormat="false" ht="15" hidden="false" customHeight="false" outlineLevel="0" collapsed="false">
      <c r="A427" s="8" t="n">
        <v>423</v>
      </c>
      <c r="B427" s="13"/>
      <c r="C427" s="12"/>
      <c r="D427" s="13"/>
      <c r="E427" s="24"/>
      <c r="F427" s="12"/>
      <c r="G427" s="14" t="str">
        <f aca="false">IF(OR($D427="",$B427=""),"",INT(($B427-$D427)/365.25))</f>
        <v/>
      </c>
      <c r="H427" s="25"/>
      <c r="I427" s="12"/>
      <c r="J427" s="14" t="str">
        <f aca="false">IF(OR($C427="",$D427="",$B427=""),"",IF(COUNTIFS($C$5:$C$804,$C427,$D$5:$D$804,$D427,$B$5:$B$804,$B427)&gt;1,"Takror",""))</f>
        <v/>
      </c>
    </row>
    <row r="428" customFormat="false" ht="15" hidden="false" customHeight="false" outlineLevel="0" collapsed="false">
      <c r="A428" s="8" t="n">
        <v>424</v>
      </c>
      <c r="B428" s="13"/>
      <c r="C428" s="12"/>
      <c r="D428" s="13"/>
      <c r="E428" s="24"/>
      <c r="F428" s="12"/>
      <c r="G428" s="14" t="str">
        <f aca="false">IF(OR($D428="",$B428=""),"",INT(($B428-$D428)/365.25))</f>
        <v/>
      </c>
      <c r="H428" s="25"/>
      <c r="I428" s="12"/>
      <c r="J428" s="14" t="str">
        <f aca="false">IF(OR($C428="",$D428="",$B428=""),"",IF(COUNTIFS($C$5:$C$804,$C428,$D$5:$D$804,$D428,$B$5:$B$804,$B428)&gt;1,"Takror",""))</f>
        <v/>
      </c>
    </row>
    <row r="429" customFormat="false" ht="15" hidden="false" customHeight="false" outlineLevel="0" collapsed="false">
      <c r="A429" s="8" t="n">
        <v>425</v>
      </c>
      <c r="B429" s="13"/>
      <c r="C429" s="12"/>
      <c r="D429" s="13"/>
      <c r="E429" s="24"/>
      <c r="F429" s="12"/>
      <c r="G429" s="14" t="str">
        <f aca="false">IF(OR($D429="",$B429=""),"",INT(($B429-$D429)/365.25))</f>
        <v/>
      </c>
      <c r="H429" s="25"/>
      <c r="I429" s="12"/>
      <c r="J429" s="14" t="str">
        <f aca="false">IF(OR($C429="",$D429="",$B429=""),"",IF(COUNTIFS($C$5:$C$804,$C429,$D$5:$D$804,$D429,$B$5:$B$804,$B429)&gt;1,"Takror",""))</f>
        <v/>
      </c>
    </row>
    <row r="430" customFormat="false" ht="15" hidden="false" customHeight="false" outlineLevel="0" collapsed="false">
      <c r="A430" s="8" t="n">
        <v>426</v>
      </c>
      <c r="B430" s="13"/>
      <c r="C430" s="12"/>
      <c r="D430" s="13"/>
      <c r="E430" s="24"/>
      <c r="F430" s="12"/>
      <c r="G430" s="14" t="str">
        <f aca="false">IF(OR($D430="",$B430=""),"",INT(($B430-$D430)/365.25))</f>
        <v/>
      </c>
      <c r="H430" s="25"/>
      <c r="I430" s="12"/>
      <c r="J430" s="14" t="str">
        <f aca="false">IF(OR($C430="",$D430="",$B430=""),"",IF(COUNTIFS($C$5:$C$804,$C430,$D$5:$D$804,$D430,$B$5:$B$804,$B430)&gt;1,"Takror",""))</f>
        <v/>
      </c>
    </row>
    <row r="431" customFormat="false" ht="15" hidden="false" customHeight="false" outlineLevel="0" collapsed="false">
      <c r="A431" s="8" t="n">
        <v>427</v>
      </c>
      <c r="B431" s="13"/>
      <c r="C431" s="12"/>
      <c r="D431" s="13"/>
      <c r="E431" s="24"/>
      <c r="F431" s="12"/>
      <c r="G431" s="14" t="str">
        <f aca="false">IF(OR($D431="",$B431=""),"",INT(($B431-$D431)/365.25))</f>
        <v/>
      </c>
      <c r="H431" s="25"/>
      <c r="I431" s="12"/>
      <c r="J431" s="14" t="str">
        <f aca="false">IF(OR($C431="",$D431="",$B431=""),"",IF(COUNTIFS($C$5:$C$804,$C431,$D$5:$D$804,$D431,$B$5:$B$804,$B431)&gt;1,"Takror",""))</f>
        <v/>
      </c>
    </row>
    <row r="432" customFormat="false" ht="15" hidden="false" customHeight="false" outlineLevel="0" collapsed="false">
      <c r="A432" s="8" t="n">
        <v>428</v>
      </c>
      <c r="B432" s="13"/>
      <c r="C432" s="12"/>
      <c r="D432" s="13"/>
      <c r="E432" s="24"/>
      <c r="F432" s="12"/>
      <c r="G432" s="14" t="str">
        <f aca="false">IF(OR($D432="",$B432=""),"",INT(($B432-$D432)/365.25))</f>
        <v/>
      </c>
      <c r="H432" s="25"/>
      <c r="I432" s="12"/>
      <c r="J432" s="14" t="str">
        <f aca="false">IF(OR($C432="",$D432="",$B432=""),"",IF(COUNTIFS($C$5:$C$804,$C432,$D$5:$D$804,$D432,$B$5:$B$804,$B432)&gt;1,"Takror",""))</f>
        <v/>
      </c>
    </row>
    <row r="433" customFormat="false" ht="15" hidden="false" customHeight="false" outlineLevel="0" collapsed="false">
      <c r="A433" s="8" t="n">
        <v>429</v>
      </c>
      <c r="B433" s="13"/>
      <c r="C433" s="12"/>
      <c r="D433" s="13"/>
      <c r="E433" s="24"/>
      <c r="F433" s="12"/>
      <c r="G433" s="14" t="str">
        <f aca="false">IF(OR($D433="",$B433=""),"",INT(($B433-$D433)/365.25))</f>
        <v/>
      </c>
      <c r="H433" s="25"/>
      <c r="I433" s="12"/>
      <c r="J433" s="14" t="str">
        <f aca="false">IF(OR($C433="",$D433="",$B433=""),"",IF(COUNTIFS($C$5:$C$804,$C433,$D$5:$D$804,$D433,$B$5:$B$804,$B433)&gt;1,"Takror",""))</f>
        <v/>
      </c>
    </row>
    <row r="434" customFormat="false" ht="15" hidden="false" customHeight="false" outlineLevel="0" collapsed="false">
      <c r="A434" s="8" t="n">
        <v>430</v>
      </c>
      <c r="B434" s="13"/>
      <c r="C434" s="12"/>
      <c r="D434" s="13"/>
      <c r="E434" s="24"/>
      <c r="F434" s="12"/>
      <c r="G434" s="14" t="str">
        <f aca="false">IF(OR($D434="",$B434=""),"",INT(($B434-$D434)/365.25))</f>
        <v/>
      </c>
      <c r="H434" s="25"/>
      <c r="I434" s="12"/>
      <c r="J434" s="14" t="str">
        <f aca="false">IF(OR($C434="",$D434="",$B434=""),"",IF(COUNTIFS($C$5:$C$804,$C434,$D$5:$D$804,$D434,$B$5:$B$804,$B434)&gt;1,"Takror",""))</f>
        <v/>
      </c>
    </row>
    <row r="435" customFormat="false" ht="15" hidden="false" customHeight="false" outlineLevel="0" collapsed="false">
      <c r="A435" s="8" t="n">
        <v>431</v>
      </c>
      <c r="B435" s="13"/>
      <c r="C435" s="12"/>
      <c r="D435" s="13"/>
      <c r="E435" s="24"/>
      <c r="F435" s="12"/>
      <c r="G435" s="14" t="str">
        <f aca="false">IF(OR($D435="",$B435=""),"",INT(($B435-$D435)/365.25))</f>
        <v/>
      </c>
      <c r="H435" s="25"/>
      <c r="I435" s="12"/>
      <c r="J435" s="14" t="str">
        <f aca="false">IF(OR($C435="",$D435="",$B435=""),"",IF(COUNTIFS($C$5:$C$804,$C435,$D$5:$D$804,$D435,$B$5:$B$804,$B435)&gt;1,"Takror",""))</f>
        <v/>
      </c>
    </row>
    <row r="436" customFormat="false" ht="15" hidden="false" customHeight="false" outlineLevel="0" collapsed="false">
      <c r="A436" s="8" t="n">
        <v>432</v>
      </c>
      <c r="B436" s="13"/>
      <c r="C436" s="12"/>
      <c r="D436" s="13"/>
      <c r="E436" s="24"/>
      <c r="F436" s="12"/>
      <c r="G436" s="14" t="str">
        <f aca="false">IF(OR($D436="",$B436=""),"",INT(($B436-$D436)/365.25))</f>
        <v/>
      </c>
      <c r="H436" s="25"/>
      <c r="I436" s="12"/>
      <c r="J436" s="14" t="str">
        <f aca="false">IF(OR($C436="",$D436="",$B436=""),"",IF(COUNTIFS($C$5:$C$804,$C436,$D$5:$D$804,$D436,$B$5:$B$804,$B436)&gt;1,"Takror",""))</f>
        <v/>
      </c>
    </row>
    <row r="437" customFormat="false" ht="15" hidden="false" customHeight="false" outlineLevel="0" collapsed="false">
      <c r="A437" s="8" t="n">
        <v>433</v>
      </c>
      <c r="B437" s="13"/>
      <c r="C437" s="12"/>
      <c r="D437" s="13"/>
      <c r="E437" s="24"/>
      <c r="F437" s="12"/>
      <c r="G437" s="14" t="str">
        <f aca="false">IF(OR($D437="",$B437=""),"",INT(($B437-$D437)/365.25))</f>
        <v/>
      </c>
      <c r="H437" s="25"/>
      <c r="I437" s="12"/>
      <c r="J437" s="14" t="str">
        <f aca="false">IF(OR($C437="",$D437="",$B437=""),"",IF(COUNTIFS($C$5:$C$804,$C437,$D$5:$D$804,$D437,$B$5:$B$804,$B437)&gt;1,"Takror",""))</f>
        <v/>
      </c>
    </row>
    <row r="438" customFormat="false" ht="15" hidden="false" customHeight="false" outlineLevel="0" collapsed="false">
      <c r="A438" s="8" t="n">
        <v>434</v>
      </c>
      <c r="B438" s="13"/>
      <c r="C438" s="12"/>
      <c r="D438" s="13"/>
      <c r="E438" s="24"/>
      <c r="F438" s="12"/>
      <c r="G438" s="14" t="str">
        <f aca="false">IF(OR($D438="",$B438=""),"",INT(($B438-$D438)/365.25))</f>
        <v/>
      </c>
      <c r="H438" s="25"/>
      <c r="I438" s="12"/>
      <c r="J438" s="14" t="str">
        <f aca="false">IF(OR($C438="",$D438="",$B438=""),"",IF(COUNTIFS($C$5:$C$804,$C438,$D$5:$D$804,$D438,$B$5:$B$804,$B438)&gt;1,"Takror",""))</f>
        <v/>
      </c>
    </row>
    <row r="439" customFormat="false" ht="15" hidden="false" customHeight="false" outlineLevel="0" collapsed="false">
      <c r="A439" s="8" t="n">
        <v>435</v>
      </c>
      <c r="B439" s="13"/>
      <c r="C439" s="12"/>
      <c r="D439" s="13"/>
      <c r="E439" s="24"/>
      <c r="F439" s="12"/>
      <c r="G439" s="14" t="str">
        <f aca="false">IF(OR($D439="",$B439=""),"",INT(($B439-$D439)/365.25))</f>
        <v/>
      </c>
      <c r="H439" s="25"/>
      <c r="I439" s="12"/>
      <c r="J439" s="14" t="str">
        <f aca="false">IF(OR($C439="",$D439="",$B439=""),"",IF(COUNTIFS($C$5:$C$804,$C439,$D$5:$D$804,$D439,$B$5:$B$804,$B439)&gt;1,"Takror",""))</f>
        <v/>
      </c>
    </row>
    <row r="440" customFormat="false" ht="15" hidden="false" customHeight="false" outlineLevel="0" collapsed="false">
      <c r="A440" s="8" t="n">
        <v>436</v>
      </c>
      <c r="B440" s="13"/>
      <c r="C440" s="12"/>
      <c r="D440" s="13"/>
      <c r="E440" s="24"/>
      <c r="F440" s="12"/>
      <c r="G440" s="14" t="str">
        <f aca="false">IF(OR($D440="",$B440=""),"",INT(($B440-$D440)/365.25))</f>
        <v/>
      </c>
      <c r="H440" s="25"/>
      <c r="I440" s="12"/>
      <c r="J440" s="14" t="str">
        <f aca="false">IF(OR($C440="",$D440="",$B440=""),"",IF(COUNTIFS($C$5:$C$804,$C440,$D$5:$D$804,$D440,$B$5:$B$804,$B440)&gt;1,"Takror",""))</f>
        <v/>
      </c>
    </row>
    <row r="441" customFormat="false" ht="15" hidden="false" customHeight="false" outlineLevel="0" collapsed="false">
      <c r="A441" s="8" t="n">
        <v>437</v>
      </c>
      <c r="B441" s="13"/>
      <c r="C441" s="12"/>
      <c r="D441" s="13"/>
      <c r="E441" s="24"/>
      <c r="F441" s="12"/>
      <c r="G441" s="14" t="str">
        <f aca="false">IF(OR($D441="",$B441=""),"",INT(($B441-$D441)/365.25))</f>
        <v/>
      </c>
      <c r="H441" s="25"/>
      <c r="I441" s="12"/>
      <c r="J441" s="14" t="str">
        <f aca="false">IF(OR($C441="",$D441="",$B441=""),"",IF(COUNTIFS($C$5:$C$804,$C441,$D$5:$D$804,$D441,$B$5:$B$804,$B441)&gt;1,"Takror",""))</f>
        <v/>
      </c>
    </row>
    <row r="442" customFormat="false" ht="15" hidden="false" customHeight="false" outlineLevel="0" collapsed="false">
      <c r="A442" s="8" t="n">
        <v>438</v>
      </c>
      <c r="B442" s="13"/>
      <c r="C442" s="12"/>
      <c r="D442" s="13"/>
      <c r="E442" s="24"/>
      <c r="F442" s="12"/>
      <c r="G442" s="14" t="str">
        <f aca="false">IF(OR($D442="",$B442=""),"",INT(($B442-$D442)/365.25))</f>
        <v/>
      </c>
      <c r="H442" s="25"/>
      <c r="I442" s="12"/>
      <c r="J442" s="14" t="str">
        <f aca="false">IF(OR($C442="",$D442="",$B442=""),"",IF(COUNTIFS($C$5:$C$804,$C442,$D$5:$D$804,$D442,$B$5:$B$804,$B442)&gt;1,"Takror",""))</f>
        <v/>
      </c>
    </row>
    <row r="443" customFormat="false" ht="15" hidden="false" customHeight="false" outlineLevel="0" collapsed="false">
      <c r="A443" s="8" t="n">
        <v>439</v>
      </c>
      <c r="B443" s="13"/>
      <c r="C443" s="12"/>
      <c r="D443" s="13"/>
      <c r="E443" s="24"/>
      <c r="F443" s="12"/>
      <c r="G443" s="14" t="str">
        <f aca="false">IF(OR($D443="",$B443=""),"",INT(($B443-$D443)/365.25))</f>
        <v/>
      </c>
      <c r="H443" s="25"/>
      <c r="I443" s="12"/>
      <c r="J443" s="14" t="str">
        <f aca="false">IF(OR($C443="",$D443="",$B443=""),"",IF(COUNTIFS($C$5:$C$804,$C443,$D$5:$D$804,$D443,$B$5:$B$804,$B443)&gt;1,"Takror",""))</f>
        <v/>
      </c>
    </row>
    <row r="444" customFormat="false" ht="15" hidden="false" customHeight="false" outlineLevel="0" collapsed="false">
      <c r="A444" s="8" t="n">
        <v>440</v>
      </c>
      <c r="B444" s="13"/>
      <c r="C444" s="12"/>
      <c r="D444" s="13"/>
      <c r="E444" s="24"/>
      <c r="F444" s="12"/>
      <c r="G444" s="14" t="str">
        <f aca="false">IF(OR($D444="",$B444=""),"",INT(($B444-$D444)/365.25))</f>
        <v/>
      </c>
      <c r="H444" s="25"/>
      <c r="I444" s="12"/>
      <c r="J444" s="14" t="str">
        <f aca="false">IF(OR($C444="",$D444="",$B444=""),"",IF(COUNTIFS($C$5:$C$804,$C444,$D$5:$D$804,$D444,$B$5:$B$804,$B444)&gt;1,"Takror",""))</f>
        <v/>
      </c>
    </row>
    <row r="445" customFormat="false" ht="15" hidden="false" customHeight="false" outlineLevel="0" collapsed="false">
      <c r="A445" s="8" t="n">
        <v>441</v>
      </c>
      <c r="B445" s="13"/>
      <c r="C445" s="12"/>
      <c r="D445" s="13"/>
      <c r="E445" s="24"/>
      <c r="F445" s="12"/>
      <c r="G445" s="14" t="str">
        <f aca="false">IF(OR($D445="",$B445=""),"",INT(($B445-$D445)/365.25))</f>
        <v/>
      </c>
      <c r="H445" s="25"/>
      <c r="I445" s="12"/>
      <c r="J445" s="14" t="str">
        <f aca="false">IF(OR($C445="",$D445="",$B445=""),"",IF(COUNTIFS($C$5:$C$804,$C445,$D$5:$D$804,$D445,$B$5:$B$804,$B445)&gt;1,"Takror",""))</f>
        <v/>
      </c>
    </row>
    <row r="446" customFormat="false" ht="15" hidden="false" customHeight="false" outlineLevel="0" collapsed="false">
      <c r="A446" s="8" t="n">
        <v>442</v>
      </c>
      <c r="B446" s="13"/>
      <c r="C446" s="12"/>
      <c r="D446" s="13"/>
      <c r="E446" s="24"/>
      <c r="F446" s="12"/>
      <c r="G446" s="14" t="str">
        <f aca="false">IF(OR($D446="",$B446=""),"",INT(($B446-$D446)/365.25))</f>
        <v/>
      </c>
      <c r="H446" s="25"/>
      <c r="I446" s="12"/>
      <c r="J446" s="14" t="str">
        <f aca="false">IF(OR($C446="",$D446="",$B446=""),"",IF(COUNTIFS($C$5:$C$804,$C446,$D$5:$D$804,$D446,$B$5:$B$804,$B446)&gt;1,"Takror",""))</f>
        <v/>
      </c>
    </row>
    <row r="447" customFormat="false" ht="15" hidden="false" customHeight="false" outlineLevel="0" collapsed="false">
      <c r="A447" s="8" t="n">
        <v>443</v>
      </c>
      <c r="B447" s="13"/>
      <c r="C447" s="12"/>
      <c r="D447" s="13"/>
      <c r="E447" s="24"/>
      <c r="F447" s="12"/>
      <c r="G447" s="14" t="str">
        <f aca="false">IF(OR($D447="",$B447=""),"",INT(($B447-$D447)/365.25))</f>
        <v/>
      </c>
      <c r="H447" s="25"/>
      <c r="I447" s="12"/>
      <c r="J447" s="14" t="str">
        <f aca="false">IF(OR($C447="",$D447="",$B447=""),"",IF(COUNTIFS($C$5:$C$804,$C447,$D$5:$D$804,$D447,$B$5:$B$804,$B447)&gt;1,"Takror",""))</f>
        <v/>
      </c>
    </row>
    <row r="448" customFormat="false" ht="15" hidden="false" customHeight="false" outlineLevel="0" collapsed="false">
      <c r="A448" s="8" t="n">
        <v>444</v>
      </c>
      <c r="B448" s="13"/>
      <c r="C448" s="12"/>
      <c r="D448" s="13"/>
      <c r="E448" s="24"/>
      <c r="F448" s="12"/>
      <c r="G448" s="14" t="str">
        <f aca="false">IF(OR($D448="",$B448=""),"",INT(($B448-$D448)/365.25))</f>
        <v/>
      </c>
      <c r="H448" s="25"/>
      <c r="I448" s="12"/>
      <c r="J448" s="14" t="str">
        <f aca="false">IF(OR($C448="",$D448="",$B448=""),"",IF(COUNTIFS($C$5:$C$804,$C448,$D$5:$D$804,$D448,$B$5:$B$804,$B448)&gt;1,"Takror",""))</f>
        <v/>
      </c>
    </row>
    <row r="449" customFormat="false" ht="15" hidden="false" customHeight="false" outlineLevel="0" collapsed="false">
      <c r="A449" s="8" t="n">
        <v>445</v>
      </c>
      <c r="B449" s="13"/>
      <c r="C449" s="12"/>
      <c r="D449" s="13"/>
      <c r="E449" s="24"/>
      <c r="F449" s="12"/>
      <c r="G449" s="14" t="str">
        <f aca="false">IF(OR($D449="",$B449=""),"",INT(($B449-$D449)/365.25))</f>
        <v/>
      </c>
      <c r="H449" s="25"/>
      <c r="I449" s="12"/>
      <c r="J449" s="14" t="str">
        <f aca="false">IF(OR($C449="",$D449="",$B449=""),"",IF(COUNTIFS($C$5:$C$804,$C449,$D$5:$D$804,$D449,$B$5:$B$804,$B449)&gt;1,"Takror",""))</f>
        <v/>
      </c>
    </row>
    <row r="450" customFormat="false" ht="15" hidden="false" customHeight="false" outlineLevel="0" collapsed="false">
      <c r="A450" s="8" t="n">
        <v>446</v>
      </c>
      <c r="B450" s="13"/>
      <c r="C450" s="12"/>
      <c r="D450" s="13"/>
      <c r="E450" s="24"/>
      <c r="F450" s="12"/>
      <c r="G450" s="14" t="str">
        <f aca="false">IF(OR($D450="",$B450=""),"",INT(($B450-$D450)/365.25))</f>
        <v/>
      </c>
      <c r="H450" s="25"/>
      <c r="I450" s="12"/>
      <c r="J450" s="14" t="str">
        <f aca="false">IF(OR($C450="",$D450="",$B450=""),"",IF(COUNTIFS($C$5:$C$804,$C450,$D$5:$D$804,$D450,$B$5:$B$804,$B450)&gt;1,"Takror",""))</f>
        <v/>
      </c>
    </row>
    <row r="451" customFormat="false" ht="15" hidden="false" customHeight="false" outlineLevel="0" collapsed="false">
      <c r="A451" s="8" t="n">
        <v>447</v>
      </c>
      <c r="B451" s="13"/>
      <c r="C451" s="12"/>
      <c r="D451" s="13"/>
      <c r="E451" s="24"/>
      <c r="F451" s="12"/>
      <c r="G451" s="14" t="str">
        <f aca="false">IF(OR($D451="",$B451=""),"",INT(($B451-$D451)/365.25))</f>
        <v/>
      </c>
      <c r="H451" s="25"/>
      <c r="I451" s="12"/>
      <c r="J451" s="14" t="str">
        <f aca="false">IF(OR($C451="",$D451="",$B451=""),"",IF(COUNTIFS($C$5:$C$804,$C451,$D$5:$D$804,$D451,$B$5:$B$804,$B451)&gt;1,"Takror",""))</f>
        <v/>
      </c>
    </row>
    <row r="452" customFormat="false" ht="15" hidden="false" customHeight="false" outlineLevel="0" collapsed="false">
      <c r="A452" s="8" t="n">
        <v>448</v>
      </c>
      <c r="B452" s="13"/>
      <c r="C452" s="12"/>
      <c r="D452" s="13"/>
      <c r="E452" s="24"/>
      <c r="F452" s="12"/>
      <c r="G452" s="14" t="str">
        <f aca="false">IF(OR($D452="",$B452=""),"",INT(($B452-$D452)/365.25))</f>
        <v/>
      </c>
      <c r="H452" s="25"/>
      <c r="I452" s="12"/>
      <c r="J452" s="14" t="str">
        <f aca="false">IF(OR($C452="",$D452="",$B452=""),"",IF(COUNTIFS($C$5:$C$804,$C452,$D$5:$D$804,$D452,$B$5:$B$804,$B452)&gt;1,"Takror",""))</f>
        <v/>
      </c>
    </row>
    <row r="453" customFormat="false" ht="15" hidden="false" customHeight="false" outlineLevel="0" collapsed="false">
      <c r="A453" s="8" t="n">
        <v>449</v>
      </c>
      <c r="B453" s="13"/>
      <c r="C453" s="12"/>
      <c r="D453" s="13"/>
      <c r="E453" s="24"/>
      <c r="F453" s="12"/>
      <c r="G453" s="14" t="str">
        <f aca="false">IF(OR($D453="",$B453=""),"",INT(($B453-$D453)/365.25))</f>
        <v/>
      </c>
      <c r="H453" s="25"/>
      <c r="I453" s="12"/>
      <c r="J453" s="14" t="str">
        <f aca="false">IF(OR($C453="",$D453="",$B453=""),"",IF(COUNTIFS($C$5:$C$804,$C453,$D$5:$D$804,$D453,$B$5:$B$804,$B453)&gt;1,"Takror",""))</f>
        <v/>
      </c>
    </row>
    <row r="454" customFormat="false" ht="15" hidden="false" customHeight="false" outlineLevel="0" collapsed="false">
      <c r="A454" s="8" t="n">
        <v>450</v>
      </c>
      <c r="B454" s="13"/>
      <c r="C454" s="12"/>
      <c r="D454" s="13"/>
      <c r="E454" s="24"/>
      <c r="F454" s="12"/>
      <c r="G454" s="14" t="str">
        <f aca="false">IF(OR($D454="",$B454=""),"",INT(($B454-$D454)/365.25))</f>
        <v/>
      </c>
      <c r="H454" s="25"/>
      <c r="I454" s="12"/>
      <c r="J454" s="14" t="str">
        <f aca="false">IF(OR($C454="",$D454="",$B454=""),"",IF(COUNTIFS($C$5:$C$804,$C454,$D$5:$D$804,$D454,$B$5:$B$804,$B454)&gt;1,"Takror",""))</f>
        <v/>
      </c>
    </row>
    <row r="455" customFormat="false" ht="15" hidden="false" customHeight="false" outlineLevel="0" collapsed="false">
      <c r="A455" s="8" t="n">
        <v>451</v>
      </c>
      <c r="B455" s="13"/>
      <c r="C455" s="12"/>
      <c r="D455" s="13"/>
      <c r="E455" s="24"/>
      <c r="F455" s="12"/>
      <c r="G455" s="14" t="str">
        <f aca="false">IF(OR($D455="",$B455=""),"",INT(($B455-$D455)/365.25))</f>
        <v/>
      </c>
      <c r="H455" s="25"/>
      <c r="I455" s="12"/>
      <c r="J455" s="14" t="str">
        <f aca="false">IF(OR($C455="",$D455="",$B455=""),"",IF(COUNTIFS($C$5:$C$804,$C455,$D$5:$D$804,$D455,$B$5:$B$804,$B455)&gt;1,"Takror",""))</f>
        <v/>
      </c>
    </row>
    <row r="456" customFormat="false" ht="15" hidden="false" customHeight="false" outlineLevel="0" collapsed="false">
      <c r="A456" s="8" t="n">
        <v>452</v>
      </c>
      <c r="B456" s="13"/>
      <c r="C456" s="12"/>
      <c r="D456" s="13"/>
      <c r="E456" s="24"/>
      <c r="F456" s="12"/>
      <c r="G456" s="14" t="str">
        <f aca="false">IF(OR($D456="",$B456=""),"",INT(($B456-$D456)/365.25))</f>
        <v/>
      </c>
      <c r="H456" s="25"/>
      <c r="I456" s="12"/>
      <c r="J456" s="14" t="str">
        <f aca="false">IF(OR($C456="",$D456="",$B456=""),"",IF(COUNTIFS($C$5:$C$804,$C456,$D$5:$D$804,$D456,$B$5:$B$804,$B456)&gt;1,"Takror",""))</f>
        <v/>
      </c>
    </row>
    <row r="457" customFormat="false" ht="15" hidden="false" customHeight="false" outlineLevel="0" collapsed="false">
      <c r="A457" s="8" t="n">
        <v>453</v>
      </c>
      <c r="B457" s="13"/>
      <c r="C457" s="12"/>
      <c r="D457" s="13"/>
      <c r="E457" s="24"/>
      <c r="F457" s="12"/>
      <c r="G457" s="14" t="str">
        <f aca="false">IF(OR($D457="",$B457=""),"",INT(($B457-$D457)/365.25))</f>
        <v/>
      </c>
      <c r="H457" s="25"/>
      <c r="I457" s="12"/>
      <c r="J457" s="14" t="str">
        <f aca="false">IF(OR($C457="",$D457="",$B457=""),"",IF(COUNTIFS($C$5:$C$804,$C457,$D$5:$D$804,$D457,$B$5:$B$804,$B457)&gt;1,"Takror",""))</f>
        <v/>
      </c>
    </row>
    <row r="458" customFormat="false" ht="15" hidden="false" customHeight="false" outlineLevel="0" collapsed="false">
      <c r="A458" s="8" t="n">
        <v>454</v>
      </c>
      <c r="B458" s="13"/>
      <c r="C458" s="12"/>
      <c r="D458" s="13"/>
      <c r="E458" s="24"/>
      <c r="F458" s="12"/>
      <c r="G458" s="14" t="str">
        <f aca="false">IF(OR($D458="",$B458=""),"",INT(($B458-$D458)/365.25))</f>
        <v/>
      </c>
      <c r="H458" s="25"/>
      <c r="I458" s="12"/>
      <c r="J458" s="14" t="str">
        <f aca="false">IF(OR($C458="",$D458="",$B458=""),"",IF(COUNTIFS($C$5:$C$804,$C458,$D$5:$D$804,$D458,$B$5:$B$804,$B458)&gt;1,"Takror",""))</f>
        <v/>
      </c>
    </row>
    <row r="459" customFormat="false" ht="15" hidden="false" customHeight="false" outlineLevel="0" collapsed="false">
      <c r="A459" s="8" t="n">
        <v>455</v>
      </c>
      <c r="B459" s="13"/>
      <c r="C459" s="12"/>
      <c r="D459" s="13"/>
      <c r="E459" s="24"/>
      <c r="F459" s="12"/>
      <c r="G459" s="14" t="str">
        <f aca="false">IF(OR($D459="",$B459=""),"",INT(($B459-$D459)/365.25))</f>
        <v/>
      </c>
      <c r="H459" s="25"/>
      <c r="I459" s="12"/>
      <c r="J459" s="14" t="str">
        <f aca="false">IF(OR($C459="",$D459="",$B459=""),"",IF(COUNTIFS($C$5:$C$804,$C459,$D$5:$D$804,$D459,$B$5:$B$804,$B459)&gt;1,"Takror",""))</f>
        <v/>
      </c>
    </row>
    <row r="460" customFormat="false" ht="15" hidden="false" customHeight="false" outlineLevel="0" collapsed="false">
      <c r="A460" s="8" t="n">
        <v>456</v>
      </c>
      <c r="B460" s="13"/>
      <c r="C460" s="12"/>
      <c r="D460" s="13"/>
      <c r="E460" s="24"/>
      <c r="F460" s="12"/>
      <c r="G460" s="14" t="str">
        <f aca="false">IF(OR($D460="",$B460=""),"",INT(($B460-$D460)/365.25))</f>
        <v/>
      </c>
      <c r="H460" s="25"/>
      <c r="I460" s="12"/>
      <c r="J460" s="14" t="str">
        <f aca="false">IF(OR($C460="",$D460="",$B460=""),"",IF(COUNTIFS($C$5:$C$804,$C460,$D$5:$D$804,$D460,$B$5:$B$804,$B460)&gt;1,"Takror",""))</f>
        <v/>
      </c>
    </row>
    <row r="461" customFormat="false" ht="15" hidden="false" customHeight="false" outlineLevel="0" collapsed="false">
      <c r="A461" s="8" t="n">
        <v>457</v>
      </c>
      <c r="B461" s="13"/>
      <c r="C461" s="12"/>
      <c r="D461" s="13"/>
      <c r="E461" s="24"/>
      <c r="F461" s="12"/>
      <c r="G461" s="14" t="str">
        <f aca="false">IF(OR($D461="",$B461=""),"",INT(($B461-$D461)/365.25))</f>
        <v/>
      </c>
      <c r="H461" s="25"/>
      <c r="I461" s="12"/>
      <c r="J461" s="14" t="str">
        <f aca="false">IF(OR($C461="",$D461="",$B461=""),"",IF(COUNTIFS($C$5:$C$804,$C461,$D$5:$D$804,$D461,$B$5:$B$804,$B461)&gt;1,"Takror",""))</f>
        <v/>
      </c>
    </row>
    <row r="462" customFormat="false" ht="15" hidden="false" customHeight="false" outlineLevel="0" collapsed="false">
      <c r="A462" s="8" t="n">
        <v>458</v>
      </c>
      <c r="B462" s="13"/>
      <c r="C462" s="12"/>
      <c r="D462" s="13"/>
      <c r="E462" s="24"/>
      <c r="F462" s="12"/>
      <c r="G462" s="14" t="str">
        <f aca="false">IF(OR($D462="",$B462=""),"",INT(($B462-$D462)/365.25))</f>
        <v/>
      </c>
      <c r="H462" s="25"/>
      <c r="I462" s="12"/>
      <c r="J462" s="14" t="str">
        <f aca="false">IF(OR($C462="",$D462="",$B462=""),"",IF(COUNTIFS($C$5:$C$804,$C462,$D$5:$D$804,$D462,$B$5:$B$804,$B462)&gt;1,"Takror",""))</f>
        <v/>
      </c>
    </row>
    <row r="463" customFormat="false" ht="15" hidden="false" customHeight="false" outlineLevel="0" collapsed="false">
      <c r="A463" s="8" t="n">
        <v>459</v>
      </c>
      <c r="B463" s="13"/>
      <c r="C463" s="12"/>
      <c r="D463" s="13"/>
      <c r="E463" s="24"/>
      <c r="F463" s="12"/>
      <c r="G463" s="14" t="str">
        <f aca="false">IF(OR($D463="",$B463=""),"",INT(($B463-$D463)/365.25))</f>
        <v/>
      </c>
      <c r="H463" s="25"/>
      <c r="I463" s="12"/>
      <c r="J463" s="14" t="str">
        <f aca="false">IF(OR($C463="",$D463="",$B463=""),"",IF(COUNTIFS($C$5:$C$804,$C463,$D$5:$D$804,$D463,$B$5:$B$804,$B463)&gt;1,"Takror",""))</f>
        <v/>
      </c>
    </row>
    <row r="464" customFormat="false" ht="15" hidden="false" customHeight="false" outlineLevel="0" collapsed="false">
      <c r="A464" s="8" t="n">
        <v>460</v>
      </c>
      <c r="B464" s="13"/>
      <c r="C464" s="12"/>
      <c r="D464" s="13"/>
      <c r="E464" s="24"/>
      <c r="F464" s="12"/>
      <c r="G464" s="14" t="str">
        <f aca="false">IF(OR($D464="",$B464=""),"",INT(($B464-$D464)/365.25))</f>
        <v/>
      </c>
      <c r="H464" s="25"/>
      <c r="I464" s="12"/>
      <c r="J464" s="14" t="str">
        <f aca="false">IF(OR($C464="",$D464="",$B464=""),"",IF(COUNTIFS($C$5:$C$804,$C464,$D$5:$D$804,$D464,$B$5:$B$804,$B464)&gt;1,"Takror",""))</f>
        <v/>
      </c>
    </row>
    <row r="465" customFormat="false" ht="15" hidden="false" customHeight="false" outlineLevel="0" collapsed="false">
      <c r="A465" s="8" t="n">
        <v>461</v>
      </c>
      <c r="B465" s="13"/>
      <c r="C465" s="12"/>
      <c r="D465" s="13"/>
      <c r="E465" s="24"/>
      <c r="F465" s="12"/>
      <c r="G465" s="14" t="str">
        <f aca="false">IF(OR($D465="",$B465=""),"",INT(($B465-$D465)/365.25))</f>
        <v/>
      </c>
      <c r="H465" s="25"/>
      <c r="I465" s="12"/>
      <c r="J465" s="14" t="str">
        <f aca="false">IF(OR($C465="",$D465="",$B465=""),"",IF(COUNTIFS($C$5:$C$804,$C465,$D$5:$D$804,$D465,$B$5:$B$804,$B465)&gt;1,"Takror",""))</f>
        <v/>
      </c>
    </row>
    <row r="466" customFormat="false" ht="15" hidden="false" customHeight="false" outlineLevel="0" collapsed="false">
      <c r="A466" s="8" t="n">
        <v>462</v>
      </c>
      <c r="B466" s="13"/>
      <c r="C466" s="12"/>
      <c r="D466" s="13"/>
      <c r="E466" s="24"/>
      <c r="F466" s="12"/>
      <c r="G466" s="14" t="str">
        <f aca="false">IF(OR($D466="",$B466=""),"",INT(($B466-$D466)/365.25))</f>
        <v/>
      </c>
      <c r="H466" s="25"/>
      <c r="I466" s="12"/>
      <c r="J466" s="14" t="str">
        <f aca="false">IF(OR($C466="",$D466="",$B466=""),"",IF(COUNTIFS($C$5:$C$804,$C466,$D$5:$D$804,$D466,$B$5:$B$804,$B466)&gt;1,"Takror",""))</f>
        <v/>
      </c>
    </row>
    <row r="467" customFormat="false" ht="15" hidden="false" customHeight="false" outlineLevel="0" collapsed="false">
      <c r="A467" s="8" t="n">
        <v>463</v>
      </c>
      <c r="B467" s="13"/>
      <c r="C467" s="12"/>
      <c r="D467" s="13"/>
      <c r="E467" s="24"/>
      <c r="F467" s="12"/>
      <c r="G467" s="14" t="str">
        <f aca="false">IF(OR($D467="",$B467=""),"",INT(($B467-$D467)/365.25))</f>
        <v/>
      </c>
      <c r="H467" s="25"/>
      <c r="I467" s="12"/>
      <c r="J467" s="14" t="str">
        <f aca="false">IF(OR($C467="",$D467="",$B467=""),"",IF(COUNTIFS($C$5:$C$804,$C467,$D$5:$D$804,$D467,$B$5:$B$804,$B467)&gt;1,"Takror",""))</f>
        <v/>
      </c>
    </row>
    <row r="468" customFormat="false" ht="15" hidden="false" customHeight="false" outlineLevel="0" collapsed="false">
      <c r="A468" s="8" t="n">
        <v>464</v>
      </c>
      <c r="B468" s="13"/>
      <c r="C468" s="12"/>
      <c r="D468" s="13"/>
      <c r="E468" s="24"/>
      <c r="F468" s="12"/>
      <c r="G468" s="14" t="str">
        <f aca="false">IF(OR($D468="",$B468=""),"",INT(($B468-$D468)/365.25))</f>
        <v/>
      </c>
      <c r="H468" s="25"/>
      <c r="I468" s="12"/>
      <c r="J468" s="14" t="str">
        <f aca="false">IF(OR($C468="",$D468="",$B468=""),"",IF(COUNTIFS($C$5:$C$804,$C468,$D$5:$D$804,$D468,$B$5:$B$804,$B468)&gt;1,"Takror",""))</f>
        <v/>
      </c>
    </row>
    <row r="469" customFormat="false" ht="15" hidden="false" customHeight="false" outlineLevel="0" collapsed="false">
      <c r="A469" s="8" t="n">
        <v>465</v>
      </c>
      <c r="B469" s="13"/>
      <c r="C469" s="12"/>
      <c r="D469" s="13"/>
      <c r="E469" s="24"/>
      <c r="F469" s="12"/>
      <c r="G469" s="14" t="str">
        <f aca="false">IF(OR($D469="",$B469=""),"",INT(($B469-$D469)/365.25))</f>
        <v/>
      </c>
      <c r="H469" s="25"/>
      <c r="I469" s="12"/>
      <c r="J469" s="14" t="str">
        <f aca="false">IF(OR($C469="",$D469="",$B469=""),"",IF(COUNTIFS($C$5:$C$804,$C469,$D$5:$D$804,$D469,$B$5:$B$804,$B469)&gt;1,"Takror",""))</f>
        <v/>
      </c>
    </row>
    <row r="470" customFormat="false" ht="15" hidden="false" customHeight="false" outlineLevel="0" collapsed="false">
      <c r="A470" s="8" t="n">
        <v>466</v>
      </c>
      <c r="B470" s="13"/>
      <c r="C470" s="12"/>
      <c r="D470" s="13"/>
      <c r="E470" s="24"/>
      <c r="F470" s="12"/>
      <c r="G470" s="14" t="str">
        <f aca="false">IF(OR($D470="",$B470=""),"",INT(($B470-$D470)/365.25))</f>
        <v/>
      </c>
      <c r="H470" s="25"/>
      <c r="I470" s="12"/>
      <c r="J470" s="14" t="str">
        <f aca="false">IF(OR($C470="",$D470="",$B470=""),"",IF(COUNTIFS($C$5:$C$804,$C470,$D$5:$D$804,$D470,$B$5:$B$804,$B470)&gt;1,"Takror",""))</f>
        <v/>
      </c>
    </row>
    <row r="471" customFormat="false" ht="15" hidden="false" customHeight="false" outlineLevel="0" collapsed="false">
      <c r="A471" s="8" t="n">
        <v>467</v>
      </c>
      <c r="B471" s="13"/>
      <c r="C471" s="12"/>
      <c r="D471" s="13"/>
      <c r="E471" s="24"/>
      <c r="F471" s="12"/>
      <c r="G471" s="14" t="str">
        <f aca="false">IF(OR($D471="",$B471=""),"",INT(($B471-$D471)/365.25))</f>
        <v/>
      </c>
      <c r="H471" s="25"/>
      <c r="I471" s="12"/>
      <c r="J471" s="14" t="str">
        <f aca="false">IF(OR($C471="",$D471="",$B471=""),"",IF(COUNTIFS($C$5:$C$804,$C471,$D$5:$D$804,$D471,$B$5:$B$804,$B471)&gt;1,"Takror",""))</f>
        <v/>
      </c>
    </row>
    <row r="472" customFormat="false" ht="15" hidden="false" customHeight="false" outlineLevel="0" collapsed="false">
      <c r="A472" s="8" t="n">
        <v>468</v>
      </c>
      <c r="B472" s="13"/>
      <c r="C472" s="12"/>
      <c r="D472" s="13"/>
      <c r="E472" s="24"/>
      <c r="F472" s="12"/>
      <c r="G472" s="14" t="str">
        <f aca="false">IF(OR($D472="",$B472=""),"",INT(($B472-$D472)/365.25))</f>
        <v/>
      </c>
      <c r="H472" s="25"/>
      <c r="I472" s="12"/>
      <c r="J472" s="14" t="str">
        <f aca="false">IF(OR($C472="",$D472="",$B472=""),"",IF(COUNTIFS($C$5:$C$804,$C472,$D$5:$D$804,$D472,$B$5:$B$804,$B472)&gt;1,"Takror",""))</f>
        <v/>
      </c>
    </row>
    <row r="473" customFormat="false" ht="15" hidden="false" customHeight="false" outlineLevel="0" collapsed="false">
      <c r="A473" s="8" t="n">
        <v>469</v>
      </c>
      <c r="B473" s="13"/>
      <c r="C473" s="12"/>
      <c r="D473" s="13"/>
      <c r="E473" s="24"/>
      <c r="F473" s="12"/>
      <c r="G473" s="14" t="str">
        <f aca="false">IF(OR($D473="",$B473=""),"",INT(($B473-$D473)/365.25))</f>
        <v/>
      </c>
      <c r="H473" s="25"/>
      <c r="I473" s="12"/>
      <c r="J473" s="14" t="str">
        <f aca="false">IF(OR($C473="",$D473="",$B473=""),"",IF(COUNTIFS($C$5:$C$804,$C473,$D$5:$D$804,$D473,$B$5:$B$804,$B473)&gt;1,"Takror",""))</f>
        <v/>
      </c>
    </row>
    <row r="474" customFormat="false" ht="15" hidden="false" customHeight="false" outlineLevel="0" collapsed="false">
      <c r="A474" s="8" t="n">
        <v>470</v>
      </c>
      <c r="B474" s="13"/>
      <c r="C474" s="12"/>
      <c r="D474" s="13"/>
      <c r="E474" s="24"/>
      <c r="F474" s="12"/>
      <c r="G474" s="14" t="str">
        <f aca="false">IF(OR($D474="",$B474=""),"",INT(($B474-$D474)/365.25))</f>
        <v/>
      </c>
      <c r="H474" s="25"/>
      <c r="I474" s="12"/>
      <c r="J474" s="14" t="str">
        <f aca="false">IF(OR($C474="",$D474="",$B474=""),"",IF(COUNTIFS($C$5:$C$804,$C474,$D$5:$D$804,$D474,$B$5:$B$804,$B474)&gt;1,"Takror",""))</f>
        <v/>
      </c>
    </row>
    <row r="475" customFormat="false" ht="15" hidden="false" customHeight="false" outlineLevel="0" collapsed="false">
      <c r="A475" s="8" t="n">
        <v>471</v>
      </c>
      <c r="B475" s="13"/>
      <c r="C475" s="12"/>
      <c r="D475" s="13"/>
      <c r="E475" s="24"/>
      <c r="F475" s="12"/>
      <c r="G475" s="14" t="str">
        <f aca="false">IF(OR($D475="",$B475=""),"",INT(($B475-$D475)/365.25))</f>
        <v/>
      </c>
      <c r="H475" s="25"/>
      <c r="I475" s="12"/>
      <c r="J475" s="14" t="str">
        <f aca="false">IF(OR($C475="",$D475="",$B475=""),"",IF(COUNTIFS($C$5:$C$804,$C475,$D$5:$D$804,$D475,$B$5:$B$804,$B475)&gt;1,"Takror",""))</f>
        <v/>
      </c>
    </row>
    <row r="476" customFormat="false" ht="15" hidden="false" customHeight="false" outlineLevel="0" collapsed="false">
      <c r="A476" s="8" t="n">
        <v>472</v>
      </c>
      <c r="B476" s="13"/>
      <c r="C476" s="12"/>
      <c r="D476" s="13"/>
      <c r="E476" s="24"/>
      <c r="F476" s="12"/>
      <c r="G476" s="14" t="str">
        <f aca="false">IF(OR($D476="",$B476=""),"",INT(($B476-$D476)/365.25))</f>
        <v/>
      </c>
      <c r="H476" s="25"/>
      <c r="I476" s="12"/>
      <c r="J476" s="14" t="str">
        <f aca="false">IF(OR($C476="",$D476="",$B476=""),"",IF(COUNTIFS($C$5:$C$804,$C476,$D$5:$D$804,$D476,$B$5:$B$804,$B476)&gt;1,"Takror",""))</f>
        <v/>
      </c>
    </row>
    <row r="477" customFormat="false" ht="15" hidden="false" customHeight="false" outlineLevel="0" collapsed="false">
      <c r="A477" s="8" t="n">
        <v>473</v>
      </c>
      <c r="B477" s="13"/>
      <c r="C477" s="12"/>
      <c r="D477" s="13"/>
      <c r="E477" s="24"/>
      <c r="F477" s="12"/>
      <c r="G477" s="14" t="str">
        <f aca="false">IF(OR($D477="",$B477=""),"",INT(($B477-$D477)/365.25))</f>
        <v/>
      </c>
      <c r="H477" s="25"/>
      <c r="I477" s="12"/>
      <c r="J477" s="14" t="str">
        <f aca="false">IF(OR($C477="",$D477="",$B477=""),"",IF(COUNTIFS($C$5:$C$804,$C477,$D$5:$D$804,$D477,$B$5:$B$804,$B477)&gt;1,"Takror",""))</f>
        <v/>
      </c>
    </row>
    <row r="478" customFormat="false" ht="15" hidden="false" customHeight="false" outlineLevel="0" collapsed="false">
      <c r="A478" s="8" t="n">
        <v>474</v>
      </c>
      <c r="B478" s="13"/>
      <c r="C478" s="12"/>
      <c r="D478" s="13"/>
      <c r="E478" s="24"/>
      <c r="F478" s="12"/>
      <c r="G478" s="14" t="str">
        <f aca="false">IF(OR($D478="",$B478=""),"",INT(($B478-$D478)/365.25))</f>
        <v/>
      </c>
      <c r="H478" s="25"/>
      <c r="I478" s="12"/>
      <c r="J478" s="14" t="str">
        <f aca="false">IF(OR($C478="",$D478="",$B478=""),"",IF(COUNTIFS($C$5:$C$804,$C478,$D$5:$D$804,$D478,$B$5:$B$804,$B478)&gt;1,"Takror",""))</f>
        <v/>
      </c>
    </row>
    <row r="479" customFormat="false" ht="15" hidden="false" customHeight="false" outlineLevel="0" collapsed="false">
      <c r="A479" s="8" t="n">
        <v>475</v>
      </c>
      <c r="B479" s="13"/>
      <c r="C479" s="12"/>
      <c r="D479" s="13"/>
      <c r="E479" s="24"/>
      <c r="F479" s="12"/>
      <c r="G479" s="14" t="str">
        <f aca="false">IF(OR($D479="",$B479=""),"",INT(($B479-$D479)/365.25))</f>
        <v/>
      </c>
      <c r="H479" s="25"/>
      <c r="I479" s="12"/>
      <c r="J479" s="14" t="str">
        <f aca="false">IF(OR($C479="",$D479="",$B479=""),"",IF(COUNTIFS($C$5:$C$804,$C479,$D$5:$D$804,$D479,$B$5:$B$804,$B479)&gt;1,"Takror",""))</f>
        <v/>
      </c>
    </row>
    <row r="480" customFormat="false" ht="15" hidden="false" customHeight="false" outlineLevel="0" collapsed="false">
      <c r="A480" s="8" t="n">
        <v>476</v>
      </c>
      <c r="B480" s="13"/>
      <c r="C480" s="12"/>
      <c r="D480" s="13"/>
      <c r="E480" s="24"/>
      <c r="F480" s="12"/>
      <c r="G480" s="14" t="str">
        <f aca="false">IF(OR($D480="",$B480=""),"",INT(($B480-$D480)/365.25))</f>
        <v/>
      </c>
      <c r="H480" s="25"/>
      <c r="I480" s="12"/>
      <c r="J480" s="14" t="str">
        <f aca="false">IF(OR($C480="",$D480="",$B480=""),"",IF(COUNTIFS($C$5:$C$804,$C480,$D$5:$D$804,$D480,$B$5:$B$804,$B480)&gt;1,"Takror",""))</f>
        <v/>
      </c>
    </row>
    <row r="481" customFormat="false" ht="15" hidden="false" customHeight="false" outlineLevel="0" collapsed="false">
      <c r="A481" s="8" t="n">
        <v>477</v>
      </c>
      <c r="B481" s="13"/>
      <c r="C481" s="12"/>
      <c r="D481" s="13"/>
      <c r="E481" s="24"/>
      <c r="F481" s="12"/>
      <c r="G481" s="14" t="str">
        <f aca="false">IF(OR($D481="",$B481=""),"",INT(($B481-$D481)/365.25))</f>
        <v/>
      </c>
      <c r="H481" s="25"/>
      <c r="I481" s="12"/>
      <c r="J481" s="14" t="str">
        <f aca="false">IF(OR($C481="",$D481="",$B481=""),"",IF(COUNTIFS($C$5:$C$804,$C481,$D$5:$D$804,$D481,$B$5:$B$804,$B481)&gt;1,"Takror",""))</f>
        <v/>
      </c>
    </row>
    <row r="482" customFormat="false" ht="15" hidden="false" customHeight="false" outlineLevel="0" collapsed="false">
      <c r="A482" s="8" t="n">
        <v>478</v>
      </c>
      <c r="B482" s="13"/>
      <c r="C482" s="12"/>
      <c r="D482" s="13"/>
      <c r="E482" s="24"/>
      <c r="F482" s="12"/>
      <c r="G482" s="14" t="str">
        <f aca="false">IF(OR($D482="",$B482=""),"",INT(($B482-$D482)/365.25))</f>
        <v/>
      </c>
      <c r="H482" s="25"/>
      <c r="I482" s="12"/>
      <c r="J482" s="14" t="str">
        <f aca="false">IF(OR($C482="",$D482="",$B482=""),"",IF(COUNTIFS($C$5:$C$804,$C482,$D$5:$D$804,$D482,$B$5:$B$804,$B482)&gt;1,"Takror",""))</f>
        <v/>
      </c>
    </row>
    <row r="483" customFormat="false" ht="15" hidden="false" customHeight="false" outlineLevel="0" collapsed="false">
      <c r="A483" s="8" t="n">
        <v>479</v>
      </c>
      <c r="B483" s="13"/>
      <c r="C483" s="12"/>
      <c r="D483" s="13"/>
      <c r="E483" s="24"/>
      <c r="F483" s="12"/>
      <c r="G483" s="14" t="str">
        <f aca="false">IF(OR($D483="",$B483=""),"",INT(($B483-$D483)/365.25))</f>
        <v/>
      </c>
      <c r="H483" s="25"/>
      <c r="I483" s="12"/>
      <c r="J483" s="14" t="str">
        <f aca="false">IF(OR($C483="",$D483="",$B483=""),"",IF(COUNTIFS($C$5:$C$804,$C483,$D$5:$D$804,$D483,$B$5:$B$804,$B483)&gt;1,"Takror",""))</f>
        <v/>
      </c>
    </row>
    <row r="484" customFormat="false" ht="15" hidden="false" customHeight="false" outlineLevel="0" collapsed="false">
      <c r="A484" s="8" t="n">
        <v>480</v>
      </c>
      <c r="B484" s="13"/>
      <c r="C484" s="12"/>
      <c r="D484" s="13"/>
      <c r="E484" s="24"/>
      <c r="F484" s="12"/>
      <c r="G484" s="14" t="str">
        <f aca="false">IF(OR($D484="",$B484=""),"",INT(($B484-$D484)/365.25))</f>
        <v/>
      </c>
      <c r="H484" s="25"/>
      <c r="I484" s="12"/>
      <c r="J484" s="14" t="str">
        <f aca="false">IF(OR($C484="",$D484="",$B484=""),"",IF(COUNTIFS($C$5:$C$804,$C484,$D$5:$D$804,$D484,$B$5:$B$804,$B484)&gt;1,"Takror",""))</f>
        <v/>
      </c>
    </row>
    <row r="485" customFormat="false" ht="15" hidden="false" customHeight="false" outlineLevel="0" collapsed="false">
      <c r="A485" s="8" t="n">
        <v>481</v>
      </c>
      <c r="B485" s="13"/>
      <c r="C485" s="12"/>
      <c r="D485" s="13"/>
      <c r="E485" s="24"/>
      <c r="F485" s="12"/>
      <c r="G485" s="14" t="str">
        <f aca="false">IF(OR($D485="",$B485=""),"",INT(($B485-$D485)/365.25))</f>
        <v/>
      </c>
      <c r="H485" s="25"/>
      <c r="I485" s="12"/>
      <c r="J485" s="14" t="str">
        <f aca="false">IF(OR($C485="",$D485="",$B485=""),"",IF(COUNTIFS($C$5:$C$804,$C485,$D$5:$D$804,$D485,$B$5:$B$804,$B485)&gt;1,"Takror",""))</f>
        <v/>
      </c>
    </row>
    <row r="486" customFormat="false" ht="15" hidden="false" customHeight="false" outlineLevel="0" collapsed="false">
      <c r="A486" s="8" t="n">
        <v>482</v>
      </c>
      <c r="B486" s="13"/>
      <c r="C486" s="12"/>
      <c r="D486" s="13"/>
      <c r="E486" s="24"/>
      <c r="F486" s="12"/>
      <c r="G486" s="14" t="str">
        <f aca="false">IF(OR($D486="",$B486=""),"",INT(($B486-$D486)/365.25))</f>
        <v/>
      </c>
      <c r="H486" s="25"/>
      <c r="I486" s="12"/>
      <c r="J486" s="14" t="str">
        <f aca="false">IF(OR($C486="",$D486="",$B486=""),"",IF(COUNTIFS($C$5:$C$804,$C486,$D$5:$D$804,$D486,$B$5:$B$804,$B486)&gt;1,"Takror",""))</f>
        <v/>
      </c>
    </row>
    <row r="487" customFormat="false" ht="15" hidden="false" customHeight="false" outlineLevel="0" collapsed="false">
      <c r="A487" s="8" t="n">
        <v>483</v>
      </c>
      <c r="B487" s="13"/>
      <c r="C487" s="12"/>
      <c r="D487" s="13"/>
      <c r="E487" s="24"/>
      <c r="F487" s="12"/>
      <c r="G487" s="14" t="str">
        <f aca="false">IF(OR($D487="",$B487=""),"",INT(($B487-$D487)/365.25))</f>
        <v/>
      </c>
      <c r="H487" s="25"/>
      <c r="I487" s="12"/>
      <c r="J487" s="14" t="str">
        <f aca="false">IF(OR($C487="",$D487="",$B487=""),"",IF(COUNTIFS($C$5:$C$804,$C487,$D$5:$D$804,$D487,$B$5:$B$804,$B487)&gt;1,"Takror",""))</f>
        <v/>
      </c>
    </row>
    <row r="488" customFormat="false" ht="15" hidden="false" customHeight="false" outlineLevel="0" collapsed="false">
      <c r="A488" s="8" t="n">
        <v>484</v>
      </c>
      <c r="B488" s="13"/>
      <c r="C488" s="12"/>
      <c r="D488" s="13"/>
      <c r="E488" s="24"/>
      <c r="F488" s="12"/>
      <c r="G488" s="14" t="str">
        <f aca="false">IF(OR($D488="",$B488=""),"",INT(($B488-$D488)/365.25))</f>
        <v/>
      </c>
      <c r="H488" s="25"/>
      <c r="I488" s="12"/>
      <c r="J488" s="14" t="str">
        <f aca="false">IF(OR($C488="",$D488="",$B488=""),"",IF(COUNTIFS($C$5:$C$804,$C488,$D$5:$D$804,$D488,$B$5:$B$804,$B488)&gt;1,"Takror",""))</f>
        <v/>
      </c>
    </row>
    <row r="489" customFormat="false" ht="15" hidden="false" customHeight="false" outlineLevel="0" collapsed="false">
      <c r="A489" s="8" t="n">
        <v>485</v>
      </c>
      <c r="B489" s="13"/>
      <c r="C489" s="12"/>
      <c r="D489" s="13"/>
      <c r="E489" s="24"/>
      <c r="F489" s="12"/>
      <c r="G489" s="14" t="str">
        <f aca="false">IF(OR($D489="",$B489=""),"",INT(($B489-$D489)/365.25))</f>
        <v/>
      </c>
      <c r="H489" s="25"/>
      <c r="I489" s="12"/>
      <c r="J489" s="14" t="str">
        <f aca="false">IF(OR($C489="",$D489="",$B489=""),"",IF(COUNTIFS($C$5:$C$804,$C489,$D$5:$D$804,$D489,$B$5:$B$804,$B489)&gt;1,"Takror",""))</f>
        <v/>
      </c>
    </row>
    <row r="490" customFormat="false" ht="15" hidden="false" customHeight="false" outlineLevel="0" collapsed="false">
      <c r="A490" s="8" t="n">
        <v>486</v>
      </c>
      <c r="B490" s="13"/>
      <c r="C490" s="12"/>
      <c r="D490" s="13"/>
      <c r="E490" s="24"/>
      <c r="F490" s="12"/>
      <c r="G490" s="14" t="str">
        <f aca="false">IF(OR($D490="",$B490=""),"",INT(($B490-$D490)/365.25))</f>
        <v/>
      </c>
      <c r="H490" s="25"/>
      <c r="I490" s="12"/>
      <c r="J490" s="14" t="str">
        <f aca="false">IF(OR($C490="",$D490="",$B490=""),"",IF(COUNTIFS($C$5:$C$804,$C490,$D$5:$D$804,$D490,$B$5:$B$804,$B490)&gt;1,"Takror",""))</f>
        <v/>
      </c>
    </row>
    <row r="491" customFormat="false" ht="15" hidden="false" customHeight="false" outlineLevel="0" collapsed="false">
      <c r="A491" s="8" t="n">
        <v>487</v>
      </c>
      <c r="B491" s="13"/>
      <c r="C491" s="12"/>
      <c r="D491" s="13"/>
      <c r="E491" s="24"/>
      <c r="F491" s="12"/>
      <c r="G491" s="14" t="str">
        <f aca="false">IF(OR($D491="",$B491=""),"",INT(($B491-$D491)/365.25))</f>
        <v/>
      </c>
      <c r="H491" s="25"/>
      <c r="I491" s="12"/>
      <c r="J491" s="14" t="str">
        <f aca="false">IF(OR($C491="",$D491="",$B491=""),"",IF(COUNTIFS($C$5:$C$804,$C491,$D$5:$D$804,$D491,$B$5:$B$804,$B491)&gt;1,"Takror",""))</f>
        <v/>
      </c>
    </row>
    <row r="492" customFormat="false" ht="15" hidden="false" customHeight="false" outlineLevel="0" collapsed="false">
      <c r="A492" s="8" t="n">
        <v>488</v>
      </c>
      <c r="B492" s="13"/>
      <c r="C492" s="12"/>
      <c r="D492" s="13"/>
      <c r="E492" s="24"/>
      <c r="F492" s="12"/>
      <c r="G492" s="14" t="str">
        <f aca="false">IF(OR($D492="",$B492=""),"",INT(($B492-$D492)/365.25))</f>
        <v/>
      </c>
      <c r="H492" s="25"/>
      <c r="I492" s="12"/>
      <c r="J492" s="14" t="str">
        <f aca="false">IF(OR($C492="",$D492="",$B492=""),"",IF(COUNTIFS($C$5:$C$804,$C492,$D$5:$D$804,$D492,$B$5:$B$804,$B492)&gt;1,"Takror",""))</f>
        <v/>
      </c>
    </row>
    <row r="493" customFormat="false" ht="15" hidden="false" customHeight="false" outlineLevel="0" collapsed="false">
      <c r="A493" s="8" t="n">
        <v>489</v>
      </c>
      <c r="B493" s="13"/>
      <c r="C493" s="12"/>
      <c r="D493" s="13"/>
      <c r="E493" s="24"/>
      <c r="F493" s="12"/>
      <c r="G493" s="14" t="str">
        <f aca="false">IF(OR($D493="",$B493=""),"",INT(($B493-$D493)/365.25))</f>
        <v/>
      </c>
      <c r="H493" s="25"/>
      <c r="I493" s="12"/>
      <c r="J493" s="14" t="str">
        <f aca="false">IF(OR($C493="",$D493="",$B493=""),"",IF(COUNTIFS($C$5:$C$804,$C493,$D$5:$D$804,$D493,$B$5:$B$804,$B493)&gt;1,"Takror",""))</f>
        <v/>
      </c>
    </row>
    <row r="494" customFormat="false" ht="15" hidden="false" customHeight="false" outlineLevel="0" collapsed="false">
      <c r="A494" s="8" t="n">
        <v>490</v>
      </c>
      <c r="B494" s="13"/>
      <c r="C494" s="12"/>
      <c r="D494" s="13"/>
      <c r="E494" s="24"/>
      <c r="F494" s="12"/>
      <c r="G494" s="14" t="str">
        <f aca="false">IF(OR($D494="",$B494=""),"",INT(($B494-$D494)/365.25))</f>
        <v/>
      </c>
      <c r="H494" s="25"/>
      <c r="I494" s="12"/>
      <c r="J494" s="14" t="str">
        <f aca="false">IF(OR($C494="",$D494="",$B494=""),"",IF(COUNTIFS($C$5:$C$804,$C494,$D$5:$D$804,$D494,$B$5:$B$804,$B494)&gt;1,"Takror",""))</f>
        <v/>
      </c>
    </row>
    <row r="495" customFormat="false" ht="15" hidden="false" customHeight="false" outlineLevel="0" collapsed="false">
      <c r="A495" s="8" t="n">
        <v>491</v>
      </c>
      <c r="B495" s="13"/>
      <c r="C495" s="12"/>
      <c r="D495" s="13"/>
      <c r="E495" s="24"/>
      <c r="F495" s="12"/>
      <c r="G495" s="14" t="str">
        <f aca="false">IF(OR($D495="",$B495=""),"",INT(($B495-$D495)/365.25))</f>
        <v/>
      </c>
      <c r="H495" s="25"/>
      <c r="I495" s="12"/>
      <c r="J495" s="14" t="str">
        <f aca="false">IF(OR($C495="",$D495="",$B495=""),"",IF(COUNTIFS($C$5:$C$804,$C495,$D$5:$D$804,$D495,$B$5:$B$804,$B495)&gt;1,"Takror",""))</f>
        <v/>
      </c>
    </row>
    <row r="496" customFormat="false" ht="15" hidden="false" customHeight="false" outlineLevel="0" collapsed="false">
      <c r="A496" s="8" t="n">
        <v>492</v>
      </c>
      <c r="B496" s="13"/>
      <c r="C496" s="12"/>
      <c r="D496" s="13"/>
      <c r="E496" s="24"/>
      <c r="F496" s="12"/>
      <c r="G496" s="14" t="str">
        <f aca="false">IF(OR($D496="",$B496=""),"",INT(($B496-$D496)/365.25))</f>
        <v/>
      </c>
      <c r="H496" s="25"/>
      <c r="I496" s="12"/>
      <c r="J496" s="14" t="str">
        <f aca="false">IF(OR($C496="",$D496="",$B496=""),"",IF(COUNTIFS($C$5:$C$804,$C496,$D$5:$D$804,$D496,$B$5:$B$804,$B496)&gt;1,"Takror",""))</f>
        <v/>
      </c>
    </row>
    <row r="497" customFormat="false" ht="15" hidden="false" customHeight="false" outlineLevel="0" collapsed="false">
      <c r="A497" s="8" t="n">
        <v>493</v>
      </c>
      <c r="B497" s="13"/>
      <c r="C497" s="12"/>
      <c r="D497" s="13"/>
      <c r="E497" s="24"/>
      <c r="F497" s="12"/>
      <c r="G497" s="14" t="str">
        <f aca="false">IF(OR($D497="",$B497=""),"",INT(($B497-$D497)/365.25))</f>
        <v/>
      </c>
      <c r="H497" s="25"/>
      <c r="I497" s="12"/>
      <c r="J497" s="14" t="str">
        <f aca="false">IF(OR($C497="",$D497="",$B497=""),"",IF(COUNTIFS($C$5:$C$804,$C497,$D$5:$D$804,$D497,$B$5:$B$804,$B497)&gt;1,"Takror",""))</f>
        <v/>
      </c>
    </row>
    <row r="498" customFormat="false" ht="15" hidden="false" customHeight="false" outlineLevel="0" collapsed="false">
      <c r="A498" s="8" t="n">
        <v>494</v>
      </c>
      <c r="B498" s="13"/>
      <c r="C498" s="12"/>
      <c r="D498" s="13"/>
      <c r="E498" s="24"/>
      <c r="F498" s="12"/>
      <c r="G498" s="14" t="str">
        <f aca="false">IF(OR($D498="",$B498=""),"",INT(($B498-$D498)/365.25))</f>
        <v/>
      </c>
      <c r="H498" s="25"/>
      <c r="I498" s="12"/>
      <c r="J498" s="14" t="str">
        <f aca="false">IF(OR($C498="",$D498="",$B498=""),"",IF(COUNTIFS($C$5:$C$804,$C498,$D$5:$D$804,$D498,$B$5:$B$804,$B498)&gt;1,"Takror",""))</f>
        <v/>
      </c>
    </row>
    <row r="499" customFormat="false" ht="15" hidden="false" customHeight="false" outlineLevel="0" collapsed="false">
      <c r="A499" s="8" t="n">
        <v>495</v>
      </c>
      <c r="B499" s="13"/>
      <c r="C499" s="12"/>
      <c r="D499" s="13"/>
      <c r="E499" s="24"/>
      <c r="F499" s="12"/>
      <c r="G499" s="14" t="str">
        <f aca="false">IF(OR($D499="",$B499=""),"",INT(($B499-$D499)/365.25))</f>
        <v/>
      </c>
      <c r="H499" s="25"/>
      <c r="I499" s="12"/>
      <c r="J499" s="14" t="str">
        <f aca="false">IF(OR($C499="",$D499="",$B499=""),"",IF(COUNTIFS($C$5:$C$804,$C499,$D$5:$D$804,$D499,$B$5:$B$804,$B499)&gt;1,"Takror",""))</f>
        <v/>
      </c>
    </row>
    <row r="500" customFormat="false" ht="15" hidden="false" customHeight="false" outlineLevel="0" collapsed="false">
      <c r="A500" s="8" t="n">
        <v>496</v>
      </c>
      <c r="B500" s="13"/>
      <c r="C500" s="12"/>
      <c r="D500" s="13"/>
      <c r="E500" s="24"/>
      <c r="F500" s="12"/>
      <c r="G500" s="14" t="str">
        <f aca="false">IF(OR($D500="",$B500=""),"",INT(($B500-$D500)/365.25))</f>
        <v/>
      </c>
      <c r="H500" s="25"/>
      <c r="I500" s="12"/>
      <c r="J500" s="14" t="str">
        <f aca="false">IF(OR($C500="",$D500="",$B500=""),"",IF(COUNTIFS($C$5:$C$804,$C500,$D$5:$D$804,$D500,$B$5:$B$804,$B500)&gt;1,"Takror",""))</f>
        <v/>
      </c>
    </row>
    <row r="501" customFormat="false" ht="15" hidden="false" customHeight="false" outlineLevel="0" collapsed="false">
      <c r="A501" s="8" t="n">
        <v>497</v>
      </c>
      <c r="B501" s="13"/>
      <c r="C501" s="12"/>
      <c r="D501" s="13"/>
      <c r="E501" s="24"/>
      <c r="F501" s="12"/>
      <c r="G501" s="14" t="str">
        <f aca="false">IF(OR($D501="",$B501=""),"",INT(($B501-$D501)/365.25))</f>
        <v/>
      </c>
      <c r="H501" s="25"/>
      <c r="I501" s="12"/>
      <c r="J501" s="14" t="str">
        <f aca="false">IF(OR($C501="",$D501="",$B501=""),"",IF(COUNTIFS($C$5:$C$804,$C501,$D$5:$D$804,$D501,$B$5:$B$804,$B501)&gt;1,"Takror",""))</f>
        <v/>
      </c>
    </row>
    <row r="502" customFormat="false" ht="15" hidden="false" customHeight="false" outlineLevel="0" collapsed="false">
      <c r="A502" s="8" t="n">
        <v>498</v>
      </c>
      <c r="B502" s="13"/>
      <c r="C502" s="12"/>
      <c r="D502" s="13"/>
      <c r="E502" s="24"/>
      <c r="F502" s="12"/>
      <c r="G502" s="14" t="str">
        <f aca="false">IF(OR($D502="",$B502=""),"",INT(($B502-$D502)/365.25))</f>
        <v/>
      </c>
      <c r="H502" s="25"/>
      <c r="I502" s="12"/>
      <c r="J502" s="14" t="str">
        <f aca="false">IF(OR($C502="",$D502="",$B502=""),"",IF(COUNTIFS($C$5:$C$804,$C502,$D$5:$D$804,$D502,$B$5:$B$804,$B502)&gt;1,"Takror",""))</f>
        <v/>
      </c>
    </row>
    <row r="503" customFormat="false" ht="15" hidden="false" customHeight="false" outlineLevel="0" collapsed="false">
      <c r="A503" s="8" t="n">
        <v>499</v>
      </c>
      <c r="B503" s="13"/>
      <c r="C503" s="12"/>
      <c r="D503" s="13"/>
      <c r="E503" s="24"/>
      <c r="F503" s="12"/>
      <c r="G503" s="14" t="str">
        <f aca="false">IF(OR($D503="",$B503=""),"",INT(($B503-$D503)/365.25))</f>
        <v/>
      </c>
      <c r="H503" s="25"/>
      <c r="I503" s="12"/>
      <c r="J503" s="14" t="str">
        <f aca="false">IF(OR($C503="",$D503="",$B503=""),"",IF(COUNTIFS($C$5:$C$804,$C503,$D$5:$D$804,$D503,$B$5:$B$804,$B503)&gt;1,"Takror",""))</f>
        <v/>
      </c>
    </row>
    <row r="504" customFormat="false" ht="15" hidden="false" customHeight="false" outlineLevel="0" collapsed="false">
      <c r="A504" s="8" t="n">
        <v>500</v>
      </c>
      <c r="B504" s="13"/>
      <c r="C504" s="12"/>
      <c r="D504" s="13"/>
      <c r="E504" s="24"/>
      <c r="F504" s="12"/>
      <c r="G504" s="14" t="str">
        <f aca="false">IF(OR($D504="",$B504=""),"",INT(($B504-$D504)/365.25))</f>
        <v/>
      </c>
      <c r="H504" s="25"/>
      <c r="I504" s="12"/>
      <c r="J504" s="14" t="str">
        <f aca="false">IF(OR($C504="",$D504="",$B504=""),"",IF(COUNTIFS($C$5:$C$804,$C504,$D$5:$D$804,$D504,$B$5:$B$804,$B504)&gt;1,"Takror",""))</f>
        <v/>
      </c>
    </row>
    <row r="505" customFormat="false" ht="15" hidden="false" customHeight="false" outlineLevel="0" collapsed="false">
      <c r="A505" s="8" t="n">
        <v>501</v>
      </c>
      <c r="B505" s="13"/>
      <c r="C505" s="12"/>
      <c r="D505" s="13"/>
      <c r="E505" s="24"/>
      <c r="F505" s="12"/>
      <c r="G505" s="14" t="str">
        <f aca="false">IF(OR($D505="",$B505=""),"",INT(($B505-$D505)/365.25))</f>
        <v/>
      </c>
      <c r="H505" s="25"/>
      <c r="I505" s="12"/>
      <c r="J505" s="14" t="str">
        <f aca="false">IF(OR($C505="",$D505="",$B505=""),"",IF(COUNTIFS($C$5:$C$804,$C505,$D$5:$D$804,$D505,$B$5:$B$804,$B505)&gt;1,"Takror",""))</f>
        <v/>
      </c>
    </row>
    <row r="506" customFormat="false" ht="15" hidden="false" customHeight="false" outlineLevel="0" collapsed="false">
      <c r="A506" s="8" t="n">
        <v>502</v>
      </c>
      <c r="B506" s="13"/>
      <c r="C506" s="12"/>
      <c r="D506" s="13"/>
      <c r="E506" s="24"/>
      <c r="F506" s="12"/>
      <c r="G506" s="14" t="str">
        <f aca="false">IF(OR($D506="",$B506=""),"",INT(($B506-$D506)/365.25))</f>
        <v/>
      </c>
      <c r="H506" s="25"/>
      <c r="I506" s="12"/>
      <c r="J506" s="14" t="str">
        <f aca="false">IF(OR($C506="",$D506="",$B506=""),"",IF(COUNTIFS($C$5:$C$804,$C506,$D$5:$D$804,$D506,$B$5:$B$804,$B506)&gt;1,"Takror",""))</f>
        <v/>
      </c>
    </row>
    <row r="507" customFormat="false" ht="15" hidden="false" customHeight="false" outlineLevel="0" collapsed="false">
      <c r="A507" s="8" t="n">
        <v>503</v>
      </c>
      <c r="B507" s="13"/>
      <c r="C507" s="12"/>
      <c r="D507" s="13"/>
      <c r="E507" s="24"/>
      <c r="F507" s="12"/>
      <c r="G507" s="14" t="str">
        <f aca="false">IF(OR($D507="",$B507=""),"",INT(($B507-$D507)/365.25))</f>
        <v/>
      </c>
      <c r="H507" s="25"/>
      <c r="I507" s="12"/>
      <c r="J507" s="14" t="str">
        <f aca="false">IF(OR($C507="",$D507="",$B507=""),"",IF(COUNTIFS($C$5:$C$804,$C507,$D$5:$D$804,$D507,$B$5:$B$804,$B507)&gt;1,"Takror",""))</f>
        <v/>
      </c>
    </row>
    <row r="508" customFormat="false" ht="15" hidden="false" customHeight="false" outlineLevel="0" collapsed="false">
      <c r="A508" s="8" t="n">
        <v>504</v>
      </c>
      <c r="B508" s="13"/>
      <c r="C508" s="12"/>
      <c r="D508" s="13"/>
      <c r="E508" s="24"/>
      <c r="F508" s="12"/>
      <c r="G508" s="14" t="str">
        <f aca="false">IF(OR($D508="",$B508=""),"",INT(($B508-$D508)/365.25))</f>
        <v/>
      </c>
      <c r="H508" s="25"/>
      <c r="I508" s="12"/>
      <c r="J508" s="14" t="str">
        <f aca="false">IF(OR($C508="",$D508="",$B508=""),"",IF(COUNTIFS($C$5:$C$804,$C508,$D$5:$D$804,$D508,$B$5:$B$804,$B508)&gt;1,"Takror",""))</f>
        <v/>
      </c>
    </row>
    <row r="509" customFormat="false" ht="15" hidden="false" customHeight="false" outlineLevel="0" collapsed="false">
      <c r="A509" s="8" t="n">
        <v>505</v>
      </c>
      <c r="B509" s="13"/>
      <c r="C509" s="12"/>
      <c r="D509" s="13"/>
      <c r="E509" s="24"/>
      <c r="F509" s="12"/>
      <c r="G509" s="14" t="str">
        <f aca="false">IF(OR($D509="",$B509=""),"",INT(($B509-$D509)/365.25))</f>
        <v/>
      </c>
      <c r="H509" s="25"/>
      <c r="I509" s="12"/>
      <c r="J509" s="14" t="str">
        <f aca="false">IF(OR($C509="",$D509="",$B509=""),"",IF(COUNTIFS($C$5:$C$804,$C509,$D$5:$D$804,$D509,$B$5:$B$804,$B509)&gt;1,"Takror",""))</f>
        <v/>
      </c>
    </row>
    <row r="510" customFormat="false" ht="15" hidden="false" customHeight="false" outlineLevel="0" collapsed="false">
      <c r="A510" s="8" t="n">
        <v>506</v>
      </c>
      <c r="B510" s="13"/>
      <c r="C510" s="12"/>
      <c r="D510" s="13"/>
      <c r="E510" s="24"/>
      <c r="F510" s="12"/>
      <c r="G510" s="14" t="str">
        <f aca="false">IF(OR($D510="",$B510=""),"",INT(($B510-$D510)/365.25))</f>
        <v/>
      </c>
      <c r="H510" s="25"/>
      <c r="I510" s="12"/>
      <c r="J510" s="14" t="str">
        <f aca="false">IF(OR($C510="",$D510="",$B510=""),"",IF(COUNTIFS($C$5:$C$804,$C510,$D$5:$D$804,$D510,$B$5:$B$804,$B510)&gt;1,"Takror",""))</f>
        <v/>
      </c>
    </row>
    <row r="511" customFormat="false" ht="15" hidden="false" customHeight="false" outlineLevel="0" collapsed="false">
      <c r="A511" s="8" t="n">
        <v>507</v>
      </c>
      <c r="B511" s="13"/>
      <c r="C511" s="12"/>
      <c r="D511" s="13"/>
      <c r="E511" s="24"/>
      <c r="F511" s="12"/>
      <c r="G511" s="14" t="str">
        <f aca="false">IF(OR($D511="",$B511=""),"",INT(($B511-$D511)/365.25))</f>
        <v/>
      </c>
      <c r="H511" s="25"/>
      <c r="I511" s="12"/>
      <c r="J511" s="14" t="str">
        <f aca="false">IF(OR($C511="",$D511="",$B511=""),"",IF(COUNTIFS($C$5:$C$804,$C511,$D$5:$D$804,$D511,$B$5:$B$804,$B511)&gt;1,"Takror",""))</f>
        <v/>
      </c>
    </row>
    <row r="512" customFormat="false" ht="15" hidden="false" customHeight="false" outlineLevel="0" collapsed="false">
      <c r="A512" s="8" t="n">
        <v>508</v>
      </c>
      <c r="B512" s="13"/>
      <c r="C512" s="12"/>
      <c r="D512" s="13"/>
      <c r="E512" s="24"/>
      <c r="F512" s="12"/>
      <c r="G512" s="14" t="str">
        <f aca="false">IF(OR($D512="",$B512=""),"",INT(($B512-$D512)/365.25))</f>
        <v/>
      </c>
      <c r="H512" s="25"/>
      <c r="I512" s="12"/>
      <c r="J512" s="14" t="str">
        <f aca="false">IF(OR($C512="",$D512="",$B512=""),"",IF(COUNTIFS($C$5:$C$804,$C512,$D$5:$D$804,$D512,$B$5:$B$804,$B512)&gt;1,"Takror",""))</f>
        <v/>
      </c>
    </row>
    <row r="513" customFormat="false" ht="15" hidden="false" customHeight="false" outlineLevel="0" collapsed="false">
      <c r="A513" s="8" t="n">
        <v>509</v>
      </c>
      <c r="B513" s="13"/>
      <c r="C513" s="12"/>
      <c r="D513" s="13"/>
      <c r="E513" s="24"/>
      <c r="F513" s="12"/>
      <c r="G513" s="14" t="str">
        <f aca="false">IF(OR($D513="",$B513=""),"",INT(($B513-$D513)/365.25))</f>
        <v/>
      </c>
      <c r="H513" s="25"/>
      <c r="I513" s="12"/>
      <c r="J513" s="14" t="str">
        <f aca="false">IF(OR($C513="",$D513="",$B513=""),"",IF(COUNTIFS($C$5:$C$804,$C513,$D$5:$D$804,$D513,$B$5:$B$804,$B513)&gt;1,"Takror",""))</f>
        <v/>
      </c>
    </row>
    <row r="514" customFormat="false" ht="15" hidden="false" customHeight="false" outlineLevel="0" collapsed="false">
      <c r="A514" s="8" t="n">
        <v>510</v>
      </c>
      <c r="B514" s="13"/>
      <c r="C514" s="12"/>
      <c r="D514" s="13"/>
      <c r="E514" s="24"/>
      <c r="F514" s="12"/>
      <c r="G514" s="14" t="str">
        <f aca="false">IF(OR($D514="",$B514=""),"",INT(($B514-$D514)/365.25))</f>
        <v/>
      </c>
      <c r="H514" s="25"/>
      <c r="I514" s="12"/>
      <c r="J514" s="14" t="str">
        <f aca="false">IF(OR($C514="",$D514="",$B514=""),"",IF(COUNTIFS($C$5:$C$804,$C514,$D$5:$D$804,$D514,$B$5:$B$804,$B514)&gt;1,"Takror",""))</f>
        <v/>
      </c>
    </row>
    <row r="515" customFormat="false" ht="15" hidden="false" customHeight="false" outlineLevel="0" collapsed="false">
      <c r="A515" s="8" t="n">
        <v>511</v>
      </c>
      <c r="B515" s="13"/>
      <c r="C515" s="12"/>
      <c r="D515" s="13"/>
      <c r="E515" s="24"/>
      <c r="F515" s="12"/>
      <c r="G515" s="14" t="str">
        <f aca="false">IF(OR($D515="",$B515=""),"",INT(($B515-$D515)/365.25))</f>
        <v/>
      </c>
      <c r="H515" s="25"/>
      <c r="I515" s="12"/>
      <c r="J515" s="14" t="str">
        <f aca="false">IF(OR($C515="",$D515="",$B515=""),"",IF(COUNTIFS($C$5:$C$804,$C515,$D$5:$D$804,$D515,$B$5:$B$804,$B515)&gt;1,"Takror",""))</f>
        <v/>
      </c>
    </row>
    <row r="516" customFormat="false" ht="15" hidden="false" customHeight="false" outlineLevel="0" collapsed="false">
      <c r="A516" s="8" t="n">
        <v>512</v>
      </c>
      <c r="B516" s="13"/>
      <c r="C516" s="12"/>
      <c r="D516" s="13"/>
      <c r="E516" s="24"/>
      <c r="F516" s="12"/>
      <c r="G516" s="14" t="str">
        <f aca="false">IF(OR($D516="",$B516=""),"",INT(($B516-$D516)/365.25))</f>
        <v/>
      </c>
      <c r="H516" s="25"/>
      <c r="I516" s="12"/>
      <c r="J516" s="14" t="str">
        <f aca="false">IF(OR($C516="",$D516="",$B516=""),"",IF(COUNTIFS($C$5:$C$804,$C516,$D$5:$D$804,$D516,$B$5:$B$804,$B516)&gt;1,"Takror",""))</f>
        <v/>
      </c>
    </row>
    <row r="517" customFormat="false" ht="15" hidden="false" customHeight="false" outlineLevel="0" collapsed="false">
      <c r="A517" s="8" t="n">
        <v>513</v>
      </c>
      <c r="B517" s="13"/>
      <c r="C517" s="12"/>
      <c r="D517" s="13"/>
      <c r="E517" s="24"/>
      <c r="F517" s="12"/>
      <c r="G517" s="14" t="str">
        <f aca="false">IF(OR($D517="",$B517=""),"",INT(($B517-$D517)/365.25))</f>
        <v/>
      </c>
      <c r="H517" s="25"/>
      <c r="I517" s="12"/>
      <c r="J517" s="14" t="str">
        <f aca="false">IF(OR($C517="",$D517="",$B517=""),"",IF(COUNTIFS($C$5:$C$804,$C517,$D$5:$D$804,$D517,$B$5:$B$804,$B517)&gt;1,"Takror",""))</f>
        <v/>
      </c>
    </row>
    <row r="518" customFormat="false" ht="15" hidden="false" customHeight="false" outlineLevel="0" collapsed="false">
      <c r="A518" s="8" t="n">
        <v>514</v>
      </c>
      <c r="B518" s="13"/>
      <c r="C518" s="12"/>
      <c r="D518" s="13"/>
      <c r="E518" s="24"/>
      <c r="F518" s="12"/>
      <c r="G518" s="14" t="str">
        <f aca="false">IF(OR($D518="",$B518=""),"",INT(($B518-$D518)/365.25))</f>
        <v/>
      </c>
      <c r="H518" s="25"/>
      <c r="I518" s="12"/>
      <c r="J518" s="14" t="str">
        <f aca="false">IF(OR($C518="",$D518="",$B518=""),"",IF(COUNTIFS($C$5:$C$804,$C518,$D$5:$D$804,$D518,$B$5:$B$804,$B518)&gt;1,"Takror",""))</f>
        <v/>
      </c>
    </row>
    <row r="519" customFormat="false" ht="15" hidden="false" customHeight="false" outlineLevel="0" collapsed="false">
      <c r="A519" s="8" t="n">
        <v>515</v>
      </c>
      <c r="B519" s="13"/>
      <c r="C519" s="12"/>
      <c r="D519" s="13"/>
      <c r="E519" s="24"/>
      <c r="F519" s="12"/>
      <c r="G519" s="14" t="str">
        <f aca="false">IF(OR($D519="",$B519=""),"",INT(($B519-$D519)/365.25))</f>
        <v/>
      </c>
      <c r="H519" s="25"/>
      <c r="I519" s="12"/>
      <c r="J519" s="14" t="str">
        <f aca="false">IF(OR($C519="",$D519="",$B519=""),"",IF(COUNTIFS($C$5:$C$804,$C519,$D$5:$D$804,$D519,$B$5:$B$804,$B519)&gt;1,"Takror",""))</f>
        <v/>
      </c>
    </row>
    <row r="520" customFormat="false" ht="15" hidden="false" customHeight="false" outlineLevel="0" collapsed="false">
      <c r="A520" s="8" t="n">
        <v>516</v>
      </c>
      <c r="B520" s="13"/>
      <c r="C520" s="12"/>
      <c r="D520" s="13"/>
      <c r="E520" s="24"/>
      <c r="F520" s="12"/>
      <c r="G520" s="14" t="str">
        <f aca="false">IF(OR($D520="",$B520=""),"",INT(($B520-$D520)/365.25))</f>
        <v/>
      </c>
      <c r="H520" s="25"/>
      <c r="I520" s="12"/>
      <c r="J520" s="14" t="str">
        <f aca="false">IF(OR($C520="",$D520="",$B520=""),"",IF(COUNTIFS($C$5:$C$804,$C520,$D$5:$D$804,$D520,$B$5:$B$804,$B520)&gt;1,"Takror",""))</f>
        <v/>
      </c>
    </row>
    <row r="521" customFormat="false" ht="15" hidden="false" customHeight="false" outlineLevel="0" collapsed="false">
      <c r="A521" s="8" t="n">
        <v>517</v>
      </c>
      <c r="B521" s="13"/>
      <c r="C521" s="12"/>
      <c r="D521" s="13"/>
      <c r="E521" s="24"/>
      <c r="F521" s="12"/>
      <c r="G521" s="14" t="str">
        <f aca="false">IF(OR($D521="",$B521=""),"",INT(($B521-$D521)/365.25))</f>
        <v/>
      </c>
      <c r="H521" s="25"/>
      <c r="I521" s="12"/>
      <c r="J521" s="14" t="str">
        <f aca="false">IF(OR($C521="",$D521="",$B521=""),"",IF(COUNTIFS($C$5:$C$804,$C521,$D$5:$D$804,$D521,$B$5:$B$804,$B521)&gt;1,"Takror",""))</f>
        <v/>
      </c>
    </row>
    <row r="522" customFormat="false" ht="15" hidden="false" customHeight="false" outlineLevel="0" collapsed="false">
      <c r="A522" s="8" t="n">
        <v>518</v>
      </c>
      <c r="B522" s="13"/>
      <c r="C522" s="12"/>
      <c r="D522" s="13"/>
      <c r="E522" s="24"/>
      <c r="F522" s="12"/>
      <c r="G522" s="14" t="str">
        <f aca="false">IF(OR($D522="",$B522=""),"",INT(($B522-$D522)/365.25))</f>
        <v/>
      </c>
      <c r="H522" s="25"/>
      <c r="I522" s="12"/>
      <c r="J522" s="14" t="str">
        <f aca="false">IF(OR($C522="",$D522="",$B522=""),"",IF(COUNTIFS($C$5:$C$804,$C522,$D$5:$D$804,$D522,$B$5:$B$804,$B522)&gt;1,"Takror",""))</f>
        <v/>
      </c>
    </row>
    <row r="523" customFormat="false" ht="15" hidden="false" customHeight="false" outlineLevel="0" collapsed="false">
      <c r="A523" s="8" t="n">
        <v>519</v>
      </c>
      <c r="B523" s="13"/>
      <c r="C523" s="12"/>
      <c r="D523" s="13"/>
      <c r="E523" s="24"/>
      <c r="F523" s="12"/>
      <c r="G523" s="14" t="str">
        <f aca="false">IF(OR($D523="",$B523=""),"",INT(($B523-$D523)/365.25))</f>
        <v/>
      </c>
      <c r="H523" s="25"/>
      <c r="I523" s="12"/>
      <c r="J523" s="14" t="str">
        <f aca="false">IF(OR($C523="",$D523="",$B523=""),"",IF(COUNTIFS($C$5:$C$804,$C523,$D$5:$D$804,$D523,$B$5:$B$804,$B523)&gt;1,"Takror",""))</f>
        <v/>
      </c>
    </row>
    <row r="524" customFormat="false" ht="15" hidden="false" customHeight="false" outlineLevel="0" collapsed="false">
      <c r="A524" s="8" t="n">
        <v>520</v>
      </c>
      <c r="B524" s="13"/>
      <c r="C524" s="12"/>
      <c r="D524" s="13"/>
      <c r="E524" s="24"/>
      <c r="F524" s="12"/>
      <c r="G524" s="14" t="str">
        <f aca="false">IF(OR($D524="",$B524=""),"",INT(($B524-$D524)/365.25))</f>
        <v/>
      </c>
      <c r="H524" s="25"/>
      <c r="I524" s="12"/>
      <c r="J524" s="14" t="str">
        <f aca="false">IF(OR($C524="",$D524="",$B524=""),"",IF(COUNTIFS($C$5:$C$804,$C524,$D$5:$D$804,$D524,$B$5:$B$804,$B524)&gt;1,"Takror",""))</f>
        <v/>
      </c>
    </row>
    <row r="525" customFormat="false" ht="15" hidden="false" customHeight="false" outlineLevel="0" collapsed="false">
      <c r="A525" s="8" t="n">
        <v>521</v>
      </c>
      <c r="B525" s="13"/>
      <c r="C525" s="12"/>
      <c r="D525" s="13"/>
      <c r="E525" s="24"/>
      <c r="F525" s="12"/>
      <c r="G525" s="14" t="str">
        <f aca="false">IF(OR($D525="",$B525=""),"",INT(($B525-$D525)/365.25))</f>
        <v/>
      </c>
      <c r="H525" s="25"/>
      <c r="I525" s="12"/>
      <c r="J525" s="14" t="str">
        <f aca="false">IF(OR($C525="",$D525="",$B525=""),"",IF(COUNTIFS($C$5:$C$804,$C525,$D$5:$D$804,$D525,$B$5:$B$804,$B525)&gt;1,"Takror",""))</f>
        <v/>
      </c>
    </row>
    <row r="526" customFormat="false" ht="15" hidden="false" customHeight="false" outlineLevel="0" collapsed="false">
      <c r="A526" s="8" t="n">
        <v>522</v>
      </c>
      <c r="B526" s="13"/>
      <c r="C526" s="12"/>
      <c r="D526" s="13"/>
      <c r="E526" s="24"/>
      <c r="F526" s="12"/>
      <c r="G526" s="14" t="str">
        <f aca="false">IF(OR($D526="",$B526=""),"",INT(($B526-$D526)/365.25))</f>
        <v/>
      </c>
      <c r="H526" s="25"/>
      <c r="I526" s="12"/>
      <c r="J526" s="14" t="str">
        <f aca="false">IF(OR($C526="",$D526="",$B526=""),"",IF(COUNTIFS($C$5:$C$804,$C526,$D$5:$D$804,$D526,$B$5:$B$804,$B526)&gt;1,"Takror",""))</f>
        <v/>
      </c>
    </row>
    <row r="527" customFormat="false" ht="15" hidden="false" customHeight="false" outlineLevel="0" collapsed="false">
      <c r="A527" s="8" t="n">
        <v>523</v>
      </c>
      <c r="B527" s="13"/>
      <c r="C527" s="12"/>
      <c r="D527" s="13"/>
      <c r="E527" s="24"/>
      <c r="F527" s="12"/>
      <c r="G527" s="14" t="str">
        <f aca="false">IF(OR($D527="",$B527=""),"",INT(($B527-$D527)/365.25))</f>
        <v/>
      </c>
      <c r="H527" s="25"/>
      <c r="I527" s="12"/>
      <c r="J527" s="14" t="str">
        <f aca="false">IF(OR($C527="",$D527="",$B527=""),"",IF(COUNTIFS($C$5:$C$804,$C527,$D$5:$D$804,$D527,$B$5:$B$804,$B527)&gt;1,"Takror",""))</f>
        <v/>
      </c>
    </row>
    <row r="528" customFormat="false" ht="15" hidden="false" customHeight="false" outlineLevel="0" collapsed="false">
      <c r="A528" s="8" t="n">
        <v>524</v>
      </c>
      <c r="B528" s="13"/>
      <c r="C528" s="12"/>
      <c r="D528" s="13"/>
      <c r="E528" s="24"/>
      <c r="F528" s="12"/>
      <c r="G528" s="14" t="str">
        <f aca="false">IF(OR($D528="",$B528=""),"",INT(($B528-$D528)/365.25))</f>
        <v/>
      </c>
      <c r="H528" s="25"/>
      <c r="I528" s="12"/>
      <c r="J528" s="14" t="str">
        <f aca="false">IF(OR($C528="",$D528="",$B528=""),"",IF(COUNTIFS($C$5:$C$804,$C528,$D$5:$D$804,$D528,$B$5:$B$804,$B528)&gt;1,"Takror",""))</f>
        <v/>
      </c>
    </row>
    <row r="529" customFormat="false" ht="15" hidden="false" customHeight="false" outlineLevel="0" collapsed="false">
      <c r="A529" s="8" t="n">
        <v>525</v>
      </c>
      <c r="B529" s="13"/>
      <c r="C529" s="12"/>
      <c r="D529" s="13"/>
      <c r="E529" s="24"/>
      <c r="F529" s="12"/>
      <c r="G529" s="14" t="str">
        <f aca="false">IF(OR($D529="",$B529=""),"",INT(($B529-$D529)/365.25))</f>
        <v/>
      </c>
      <c r="H529" s="25"/>
      <c r="I529" s="12"/>
      <c r="J529" s="14" t="str">
        <f aca="false">IF(OR($C529="",$D529="",$B529=""),"",IF(COUNTIFS($C$5:$C$804,$C529,$D$5:$D$804,$D529,$B$5:$B$804,$B529)&gt;1,"Takror",""))</f>
        <v/>
      </c>
    </row>
    <row r="530" customFormat="false" ht="15" hidden="false" customHeight="false" outlineLevel="0" collapsed="false">
      <c r="A530" s="8" t="n">
        <v>526</v>
      </c>
      <c r="B530" s="13"/>
      <c r="C530" s="12"/>
      <c r="D530" s="13"/>
      <c r="E530" s="24"/>
      <c r="F530" s="12"/>
      <c r="G530" s="14" t="str">
        <f aca="false">IF(OR($D530="",$B530=""),"",INT(($B530-$D530)/365.25))</f>
        <v/>
      </c>
      <c r="H530" s="25"/>
      <c r="I530" s="12"/>
      <c r="J530" s="14" t="str">
        <f aca="false">IF(OR($C530="",$D530="",$B530=""),"",IF(COUNTIFS($C$5:$C$804,$C530,$D$5:$D$804,$D530,$B$5:$B$804,$B530)&gt;1,"Takror",""))</f>
        <v/>
      </c>
    </row>
    <row r="531" customFormat="false" ht="15" hidden="false" customHeight="false" outlineLevel="0" collapsed="false">
      <c r="A531" s="8" t="n">
        <v>527</v>
      </c>
      <c r="B531" s="13"/>
      <c r="C531" s="12"/>
      <c r="D531" s="13"/>
      <c r="E531" s="24"/>
      <c r="F531" s="12"/>
      <c r="G531" s="14" t="str">
        <f aca="false">IF(OR($D531="",$B531=""),"",INT(($B531-$D531)/365.25))</f>
        <v/>
      </c>
      <c r="H531" s="25"/>
      <c r="I531" s="12"/>
      <c r="J531" s="14" t="str">
        <f aca="false">IF(OR($C531="",$D531="",$B531=""),"",IF(COUNTIFS($C$5:$C$804,$C531,$D$5:$D$804,$D531,$B$5:$B$804,$B531)&gt;1,"Takror",""))</f>
        <v/>
      </c>
    </row>
    <row r="532" customFormat="false" ht="15" hidden="false" customHeight="false" outlineLevel="0" collapsed="false">
      <c r="A532" s="8" t="n">
        <v>528</v>
      </c>
      <c r="B532" s="13"/>
      <c r="C532" s="12"/>
      <c r="D532" s="13"/>
      <c r="E532" s="24"/>
      <c r="F532" s="12"/>
      <c r="G532" s="14" t="str">
        <f aca="false">IF(OR($D532="",$B532=""),"",INT(($B532-$D532)/365.25))</f>
        <v/>
      </c>
      <c r="H532" s="25"/>
      <c r="I532" s="12"/>
      <c r="J532" s="14" t="str">
        <f aca="false">IF(OR($C532="",$D532="",$B532=""),"",IF(COUNTIFS($C$5:$C$804,$C532,$D$5:$D$804,$D532,$B$5:$B$804,$B532)&gt;1,"Takror",""))</f>
        <v/>
      </c>
    </row>
    <row r="533" customFormat="false" ht="15" hidden="false" customHeight="false" outlineLevel="0" collapsed="false">
      <c r="A533" s="8" t="n">
        <v>529</v>
      </c>
      <c r="B533" s="13"/>
      <c r="C533" s="12"/>
      <c r="D533" s="13"/>
      <c r="E533" s="24"/>
      <c r="F533" s="12"/>
      <c r="G533" s="14" t="str">
        <f aca="false">IF(OR($D533="",$B533=""),"",INT(($B533-$D533)/365.25))</f>
        <v/>
      </c>
      <c r="H533" s="25"/>
      <c r="I533" s="12"/>
      <c r="J533" s="14" t="str">
        <f aca="false">IF(OR($C533="",$D533="",$B533=""),"",IF(COUNTIFS($C$5:$C$804,$C533,$D$5:$D$804,$D533,$B$5:$B$804,$B533)&gt;1,"Takror",""))</f>
        <v/>
      </c>
    </row>
    <row r="534" customFormat="false" ht="15" hidden="false" customHeight="false" outlineLevel="0" collapsed="false">
      <c r="A534" s="8" t="n">
        <v>530</v>
      </c>
      <c r="B534" s="13"/>
      <c r="C534" s="12"/>
      <c r="D534" s="13"/>
      <c r="E534" s="24"/>
      <c r="F534" s="12"/>
      <c r="G534" s="14" t="str">
        <f aca="false">IF(OR($D534="",$B534=""),"",INT(($B534-$D534)/365.25))</f>
        <v/>
      </c>
      <c r="H534" s="25"/>
      <c r="I534" s="12"/>
      <c r="J534" s="14" t="str">
        <f aca="false">IF(OR($C534="",$D534="",$B534=""),"",IF(COUNTIFS($C$5:$C$804,$C534,$D$5:$D$804,$D534,$B$5:$B$804,$B534)&gt;1,"Takror",""))</f>
        <v/>
      </c>
    </row>
    <row r="535" customFormat="false" ht="15" hidden="false" customHeight="false" outlineLevel="0" collapsed="false">
      <c r="A535" s="8" t="n">
        <v>531</v>
      </c>
      <c r="B535" s="13"/>
      <c r="C535" s="12"/>
      <c r="D535" s="13"/>
      <c r="E535" s="24"/>
      <c r="F535" s="12"/>
      <c r="G535" s="14" t="str">
        <f aca="false">IF(OR($D535="",$B535=""),"",INT(($B535-$D535)/365.25))</f>
        <v/>
      </c>
      <c r="H535" s="25"/>
      <c r="I535" s="12"/>
      <c r="J535" s="14" t="str">
        <f aca="false">IF(OR($C535="",$D535="",$B535=""),"",IF(COUNTIFS($C$5:$C$804,$C535,$D$5:$D$804,$D535,$B$5:$B$804,$B535)&gt;1,"Takror",""))</f>
        <v/>
      </c>
    </row>
    <row r="536" customFormat="false" ht="15" hidden="false" customHeight="false" outlineLevel="0" collapsed="false">
      <c r="A536" s="8" t="n">
        <v>532</v>
      </c>
      <c r="B536" s="13"/>
      <c r="C536" s="12"/>
      <c r="D536" s="13"/>
      <c r="E536" s="24"/>
      <c r="F536" s="12"/>
      <c r="G536" s="14" t="str">
        <f aca="false">IF(OR($D536="",$B536=""),"",INT(($B536-$D536)/365.25))</f>
        <v/>
      </c>
      <c r="H536" s="25"/>
      <c r="I536" s="12"/>
      <c r="J536" s="14" t="str">
        <f aca="false">IF(OR($C536="",$D536="",$B536=""),"",IF(COUNTIFS($C$5:$C$804,$C536,$D$5:$D$804,$D536,$B$5:$B$804,$B536)&gt;1,"Takror",""))</f>
        <v/>
      </c>
    </row>
    <row r="537" customFormat="false" ht="15" hidden="false" customHeight="false" outlineLevel="0" collapsed="false">
      <c r="A537" s="8" t="n">
        <v>533</v>
      </c>
      <c r="B537" s="13"/>
      <c r="C537" s="12"/>
      <c r="D537" s="13"/>
      <c r="E537" s="24"/>
      <c r="F537" s="12"/>
      <c r="G537" s="14" t="str">
        <f aca="false">IF(OR($D537="",$B537=""),"",INT(($B537-$D537)/365.25))</f>
        <v/>
      </c>
      <c r="H537" s="25"/>
      <c r="I537" s="12"/>
      <c r="J537" s="14" t="str">
        <f aca="false">IF(OR($C537="",$D537="",$B537=""),"",IF(COUNTIFS($C$5:$C$804,$C537,$D$5:$D$804,$D537,$B$5:$B$804,$B537)&gt;1,"Takror",""))</f>
        <v/>
      </c>
    </row>
    <row r="538" customFormat="false" ht="15" hidden="false" customHeight="false" outlineLevel="0" collapsed="false">
      <c r="A538" s="8" t="n">
        <v>534</v>
      </c>
      <c r="B538" s="13"/>
      <c r="C538" s="12"/>
      <c r="D538" s="13"/>
      <c r="E538" s="24"/>
      <c r="F538" s="12"/>
      <c r="G538" s="14" t="str">
        <f aca="false">IF(OR($D538="",$B538=""),"",INT(($B538-$D538)/365.25))</f>
        <v/>
      </c>
      <c r="H538" s="25"/>
      <c r="I538" s="12"/>
      <c r="J538" s="14" t="str">
        <f aca="false">IF(OR($C538="",$D538="",$B538=""),"",IF(COUNTIFS($C$5:$C$804,$C538,$D$5:$D$804,$D538,$B$5:$B$804,$B538)&gt;1,"Takror",""))</f>
        <v/>
      </c>
    </row>
    <row r="539" customFormat="false" ht="15" hidden="false" customHeight="false" outlineLevel="0" collapsed="false">
      <c r="A539" s="8" t="n">
        <v>535</v>
      </c>
      <c r="B539" s="13"/>
      <c r="C539" s="12"/>
      <c r="D539" s="13"/>
      <c r="E539" s="24"/>
      <c r="F539" s="12"/>
      <c r="G539" s="14" t="str">
        <f aca="false">IF(OR($D539="",$B539=""),"",INT(($B539-$D539)/365.25))</f>
        <v/>
      </c>
      <c r="H539" s="25"/>
      <c r="I539" s="12"/>
      <c r="J539" s="14" t="str">
        <f aca="false">IF(OR($C539="",$D539="",$B539=""),"",IF(COUNTIFS($C$5:$C$804,$C539,$D$5:$D$804,$D539,$B$5:$B$804,$B539)&gt;1,"Takror",""))</f>
        <v/>
      </c>
    </row>
    <row r="540" customFormat="false" ht="15" hidden="false" customHeight="false" outlineLevel="0" collapsed="false">
      <c r="A540" s="8" t="n">
        <v>536</v>
      </c>
      <c r="B540" s="13"/>
      <c r="C540" s="12"/>
      <c r="D540" s="13"/>
      <c r="E540" s="24"/>
      <c r="F540" s="12"/>
      <c r="G540" s="14" t="str">
        <f aca="false">IF(OR($D540="",$B540=""),"",INT(($B540-$D540)/365.25))</f>
        <v/>
      </c>
      <c r="H540" s="25"/>
      <c r="I540" s="12"/>
      <c r="J540" s="14" t="str">
        <f aca="false">IF(OR($C540="",$D540="",$B540=""),"",IF(COUNTIFS($C$5:$C$804,$C540,$D$5:$D$804,$D540,$B$5:$B$804,$B540)&gt;1,"Takror",""))</f>
        <v/>
      </c>
    </row>
    <row r="541" customFormat="false" ht="15" hidden="false" customHeight="false" outlineLevel="0" collapsed="false">
      <c r="A541" s="8" t="n">
        <v>537</v>
      </c>
      <c r="B541" s="13"/>
      <c r="C541" s="12"/>
      <c r="D541" s="13"/>
      <c r="E541" s="24"/>
      <c r="F541" s="12"/>
      <c r="G541" s="14" t="str">
        <f aca="false">IF(OR($D541="",$B541=""),"",INT(($B541-$D541)/365.25))</f>
        <v/>
      </c>
      <c r="H541" s="25"/>
      <c r="I541" s="12"/>
      <c r="J541" s="14" t="str">
        <f aca="false">IF(OR($C541="",$D541="",$B541=""),"",IF(COUNTIFS($C$5:$C$804,$C541,$D$5:$D$804,$D541,$B$5:$B$804,$B541)&gt;1,"Takror",""))</f>
        <v/>
      </c>
    </row>
    <row r="542" customFormat="false" ht="15" hidden="false" customHeight="false" outlineLevel="0" collapsed="false">
      <c r="A542" s="8" t="n">
        <v>538</v>
      </c>
      <c r="B542" s="13"/>
      <c r="C542" s="12"/>
      <c r="D542" s="13"/>
      <c r="E542" s="24"/>
      <c r="F542" s="12"/>
      <c r="G542" s="14" t="str">
        <f aca="false">IF(OR($D542="",$B542=""),"",INT(($B542-$D542)/365.25))</f>
        <v/>
      </c>
      <c r="H542" s="25"/>
      <c r="I542" s="12"/>
      <c r="J542" s="14" t="str">
        <f aca="false">IF(OR($C542="",$D542="",$B542=""),"",IF(COUNTIFS($C$5:$C$804,$C542,$D$5:$D$804,$D542,$B$5:$B$804,$B542)&gt;1,"Takror",""))</f>
        <v/>
      </c>
    </row>
    <row r="543" customFormat="false" ht="15" hidden="false" customHeight="false" outlineLevel="0" collapsed="false">
      <c r="A543" s="8" t="n">
        <v>539</v>
      </c>
      <c r="B543" s="13"/>
      <c r="C543" s="12"/>
      <c r="D543" s="13"/>
      <c r="E543" s="24"/>
      <c r="F543" s="12"/>
      <c r="G543" s="14" t="str">
        <f aca="false">IF(OR($D543="",$B543=""),"",INT(($B543-$D543)/365.25))</f>
        <v/>
      </c>
      <c r="H543" s="25"/>
      <c r="I543" s="12"/>
      <c r="J543" s="14" t="str">
        <f aca="false">IF(OR($C543="",$D543="",$B543=""),"",IF(COUNTIFS($C$5:$C$804,$C543,$D$5:$D$804,$D543,$B$5:$B$804,$B543)&gt;1,"Takror",""))</f>
        <v/>
      </c>
    </row>
    <row r="544" customFormat="false" ht="15" hidden="false" customHeight="false" outlineLevel="0" collapsed="false">
      <c r="A544" s="8" t="n">
        <v>540</v>
      </c>
      <c r="B544" s="13"/>
      <c r="C544" s="12"/>
      <c r="D544" s="13"/>
      <c r="E544" s="24"/>
      <c r="F544" s="12"/>
      <c r="G544" s="14" t="str">
        <f aca="false">IF(OR($D544="",$B544=""),"",INT(($B544-$D544)/365.25))</f>
        <v/>
      </c>
      <c r="H544" s="25"/>
      <c r="I544" s="12"/>
      <c r="J544" s="14" t="str">
        <f aca="false">IF(OR($C544="",$D544="",$B544=""),"",IF(COUNTIFS($C$5:$C$804,$C544,$D$5:$D$804,$D544,$B$5:$B$804,$B544)&gt;1,"Takror",""))</f>
        <v/>
      </c>
    </row>
    <row r="545" customFormat="false" ht="15" hidden="false" customHeight="false" outlineLevel="0" collapsed="false">
      <c r="A545" s="8" t="n">
        <v>541</v>
      </c>
      <c r="B545" s="13"/>
      <c r="C545" s="12"/>
      <c r="D545" s="13"/>
      <c r="E545" s="24"/>
      <c r="F545" s="12"/>
      <c r="G545" s="14" t="str">
        <f aca="false">IF(OR($D545="",$B545=""),"",INT(($B545-$D545)/365.25))</f>
        <v/>
      </c>
      <c r="H545" s="25"/>
      <c r="I545" s="12"/>
      <c r="J545" s="14" t="str">
        <f aca="false">IF(OR($C545="",$D545="",$B545=""),"",IF(COUNTIFS($C$5:$C$804,$C545,$D$5:$D$804,$D545,$B$5:$B$804,$B545)&gt;1,"Takror",""))</f>
        <v/>
      </c>
    </row>
    <row r="546" customFormat="false" ht="15" hidden="false" customHeight="false" outlineLevel="0" collapsed="false">
      <c r="A546" s="8" t="n">
        <v>542</v>
      </c>
      <c r="B546" s="13"/>
      <c r="C546" s="12"/>
      <c r="D546" s="13"/>
      <c r="E546" s="24"/>
      <c r="F546" s="12"/>
      <c r="G546" s="14" t="str">
        <f aca="false">IF(OR($D546="",$B546=""),"",INT(($B546-$D546)/365.25))</f>
        <v/>
      </c>
      <c r="H546" s="25"/>
      <c r="I546" s="12"/>
      <c r="J546" s="14" t="str">
        <f aca="false">IF(OR($C546="",$D546="",$B546=""),"",IF(COUNTIFS($C$5:$C$804,$C546,$D$5:$D$804,$D546,$B$5:$B$804,$B546)&gt;1,"Takror",""))</f>
        <v/>
      </c>
    </row>
    <row r="547" customFormat="false" ht="15" hidden="false" customHeight="false" outlineLevel="0" collapsed="false">
      <c r="A547" s="8" t="n">
        <v>543</v>
      </c>
      <c r="B547" s="13"/>
      <c r="C547" s="12"/>
      <c r="D547" s="13"/>
      <c r="E547" s="24"/>
      <c r="F547" s="12"/>
      <c r="G547" s="14" t="str">
        <f aca="false">IF(OR($D547="",$B547=""),"",INT(($B547-$D547)/365.25))</f>
        <v/>
      </c>
      <c r="H547" s="25"/>
      <c r="I547" s="12"/>
      <c r="J547" s="14" t="str">
        <f aca="false">IF(OR($C547="",$D547="",$B547=""),"",IF(COUNTIFS($C$5:$C$804,$C547,$D$5:$D$804,$D547,$B$5:$B$804,$B547)&gt;1,"Takror",""))</f>
        <v/>
      </c>
    </row>
    <row r="548" customFormat="false" ht="15" hidden="false" customHeight="false" outlineLevel="0" collapsed="false">
      <c r="A548" s="8" t="n">
        <v>544</v>
      </c>
      <c r="B548" s="13"/>
      <c r="C548" s="12"/>
      <c r="D548" s="13"/>
      <c r="E548" s="24"/>
      <c r="F548" s="12"/>
      <c r="G548" s="14" t="str">
        <f aca="false">IF(OR($D548="",$B548=""),"",INT(($B548-$D548)/365.25))</f>
        <v/>
      </c>
      <c r="H548" s="25"/>
      <c r="I548" s="12"/>
      <c r="J548" s="14" t="str">
        <f aca="false">IF(OR($C548="",$D548="",$B548=""),"",IF(COUNTIFS($C$5:$C$804,$C548,$D$5:$D$804,$D548,$B$5:$B$804,$B548)&gt;1,"Takror",""))</f>
        <v/>
      </c>
    </row>
    <row r="549" customFormat="false" ht="15" hidden="false" customHeight="false" outlineLevel="0" collapsed="false">
      <c r="A549" s="8" t="n">
        <v>545</v>
      </c>
      <c r="B549" s="13"/>
      <c r="C549" s="12"/>
      <c r="D549" s="13"/>
      <c r="E549" s="24"/>
      <c r="F549" s="12"/>
      <c r="G549" s="14" t="str">
        <f aca="false">IF(OR($D549="",$B549=""),"",INT(($B549-$D549)/365.25))</f>
        <v/>
      </c>
      <c r="H549" s="25"/>
      <c r="I549" s="12"/>
      <c r="J549" s="14" t="str">
        <f aca="false">IF(OR($C549="",$D549="",$B549=""),"",IF(COUNTIFS($C$5:$C$804,$C549,$D$5:$D$804,$D549,$B$5:$B$804,$B549)&gt;1,"Takror",""))</f>
        <v/>
      </c>
    </row>
    <row r="550" customFormat="false" ht="15" hidden="false" customHeight="false" outlineLevel="0" collapsed="false">
      <c r="A550" s="8" t="n">
        <v>546</v>
      </c>
      <c r="B550" s="13"/>
      <c r="C550" s="12"/>
      <c r="D550" s="13"/>
      <c r="E550" s="24"/>
      <c r="F550" s="12"/>
      <c r="G550" s="14" t="str">
        <f aca="false">IF(OR($D550="",$B550=""),"",INT(($B550-$D550)/365.25))</f>
        <v/>
      </c>
      <c r="H550" s="25"/>
      <c r="I550" s="12"/>
      <c r="J550" s="14" t="str">
        <f aca="false">IF(OR($C550="",$D550="",$B550=""),"",IF(COUNTIFS($C$5:$C$804,$C550,$D$5:$D$804,$D550,$B$5:$B$804,$B550)&gt;1,"Takror",""))</f>
        <v/>
      </c>
    </row>
    <row r="551" customFormat="false" ht="15" hidden="false" customHeight="false" outlineLevel="0" collapsed="false">
      <c r="A551" s="8" t="n">
        <v>547</v>
      </c>
      <c r="B551" s="13"/>
      <c r="C551" s="12"/>
      <c r="D551" s="13"/>
      <c r="E551" s="24"/>
      <c r="F551" s="12"/>
      <c r="G551" s="14" t="str">
        <f aca="false">IF(OR($D551="",$B551=""),"",INT(($B551-$D551)/365.25))</f>
        <v/>
      </c>
      <c r="H551" s="25"/>
      <c r="I551" s="12"/>
      <c r="J551" s="14" t="str">
        <f aca="false">IF(OR($C551="",$D551="",$B551=""),"",IF(COUNTIFS($C$5:$C$804,$C551,$D$5:$D$804,$D551,$B$5:$B$804,$B551)&gt;1,"Takror",""))</f>
        <v/>
      </c>
    </row>
    <row r="552" customFormat="false" ht="15" hidden="false" customHeight="false" outlineLevel="0" collapsed="false">
      <c r="A552" s="8" t="n">
        <v>548</v>
      </c>
      <c r="B552" s="13"/>
      <c r="C552" s="12"/>
      <c r="D552" s="13"/>
      <c r="E552" s="24"/>
      <c r="F552" s="12"/>
      <c r="G552" s="14" t="str">
        <f aca="false">IF(OR($D552="",$B552=""),"",INT(($B552-$D552)/365.25))</f>
        <v/>
      </c>
      <c r="H552" s="25"/>
      <c r="I552" s="12"/>
      <c r="J552" s="14" t="str">
        <f aca="false">IF(OR($C552="",$D552="",$B552=""),"",IF(COUNTIFS($C$5:$C$804,$C552,$D$5:$D$804,$D552,$B$5:$B$804,$B552)&gt;1,"Takror",""))</f>
        <v/>
      </c>
    </row>
    <row r="553" customFormat="false" ht="15" hidden="false" customHeight="false" outlineLevel="0" collapsed="false">
      <c r="A553" s="8" t="n">
        <v>549</v>
      </c>
      <c r="B553" s="13"/>
      <c r="C553" s="12"/>
      <c r="D553" s="13"/>
      <c r="E553" s="24"/>
      <c r="F553" s="12"/>
      <c r="G553" s="14" t="str">
        <f aca="false">IF(OR($D553="",$B553=""),"",INT(($B553-$D553)/365.25))</f>
        <v/>
      </c>
      <c r="H553" s="25"/>
      <c r="I553" s="12"/>
      <c r="J553" s="14" t="str">
        <f aca="false">IF(OR($C553="",$D553="",$B553=""),"",IF(COUNTIFS($C$5:$C$804,$C553,$D$5:$D$804,$D553,$B$5:$B$804,$B553)&gt;1,"Takror",""))</f>
        <v/>
      </c>
    </row>
    <row r="554" customFormat="false" ht="15" hidden="false" customHeight="false" outlineLevel="0" collapsed="false">
      <c r="A554" s="8" t="n">
        <v>550</v>
      </c>
      <c r="B554" s="13"/>
      <c r="C554" s="12"/>
      <c r="D554" s="13"/>
      <c r="E554" s="24"/>
      <c r="F554" s="12"/>
      <c r="G554" s="14" t="str">
        <f aca="false">IF(OR($D554="",$B554=""),"",INT(($B554-$D554)/365.25))</f>
        <v/>
      </c>
      <c r="H554" s="25"/>
      <c r="I554" s="12"/>
      <c r="J554" s="14" t="str">
        <f aca="false">IF(OR($C554="",$D554="",$B554=""),"",IF(COUNTIFS($C$5:$C$804,$C554,$D$5:$D$804,$D554,$B$5:$B$804,$B554)&gt;1,"Takror",""))</f>
        <v/>
      </c>
    </row>
    <row r="555" customFormat="false" ht="15" hidden="false" customHeight="false" outlineLevel="0" collapsed="false">
      <c r="A555" s="8" t="n">
        <v>551</v>
      </c>
      <c r="B555" s="13"/>
      <c r="C555" s="12"/>
      <c r="D555" s="13"/>
      <c r="E555" s="24"/>
      <c r="F555" s="12"/>
      <c r="G555" s="14" t="str">
        <f aca="false">IF(OR($D555="",$B555=""),"",INT(($B555-$D555)/365.25))</f>
        <v/>
      </c>
      <c r="H555" s="25"/>
      <c r="I555" s="12"/>
      <c r="J555" s="14" t="str">
        <f aca="false">IF(OR($C555="",$D555="",$B555=""),"",IF(COUNTIFS($C$5:$C$804,$C555,$D$5:$D$804,$D555,$B$5:$B$804,$B555)&gt;1,"Takror",""))</f>
        <v/>
      </c>
    </row>
    <row r="556" customFormat="false" ht="15" hidden="false" customHeight="false" outlineLevel="0" collapsed="false">
      <c r="A556" s="8" t="n">
        <v>552</v>
      </c>
      <c r="B556" s="13"/>
      <c r="C556" s="12"/>
      <c r="D556" s="13"/>
      <c r="E556" s="24"/>
      <c r="F556" s="12"/>
      <c r="G556" s="14" t="str">
        <f aca="false">IF(OR($D556="",$B556=""),"",INT(($B556-$D556)/365.25))</f>
        <v/>
      </c>
      <c r="H556" s="25"/>
      <c r="I556" s="12"/>
      <c r="J556" s="14" t="str">
        <f aca="false">IF(OR($C556="",$D556="",$B556=""),"",IF(COUNTIFS($C$5:$C$804,$C556,$D$5:$D$804,$D556,$B$5:$B$804,$B556)&gt;1,"Takror",""))</f>
        <v/>
      </c>
    </row>
    <row r="557" customFormat="false" ht="15" hidden="false" customHeight="false" outlineLevel="0" collapsed="false">
      <c r="A557" s="8" t="n">
        <v>553</v>
      </c>
      <c r="B557" s="13"/>
      <c r="C557" s="12"/>
      <c r="D557" s="13"/>
      <c r="E557" s="24"/>
      <c r="F557" s="12"/>
      <c r="G557" s="14" t="str">
        <f aca="false">IF(OR($D557="",$B557=""),"",INT(($B557-$D557)/365.25))</f>
        <v/>
      </c>
      <c r="H557" s="25"/>
      <c r="I557" s="12"/>
      <c r="J557" s="14" t="str">
        <f aca="false">IF(OR($C557="",$D557="",$B557=""),"",IF(COUNTIFS($C$5:$C$804,$C557,$D$5:$D$804,$D557,$B$5:$B$804,$B557)&gt;1,"Takror",""))</f>
        <v/>
      </c>
    </row>
    <row r="558" customFormat="false" ht="15" hidden="false" customHeight="false" outlineLevel="0" collapsed="false">
      <c r="A558" s="8" t="n">
        <v>554</v>
      </c>
      <c r="B558" s="13"/>
      <c r="C558" s="12"/>
      <c r="D558" s="13"/>
      <c r="E558" s="24"/>
      <c r="F558" s="12"/>
      <c r="G558" s="14" t="str">
        <f aca="false">IF(OR($D558="",$B558=""),"",INT(($B558-$D558)/365.25))</f>
        <v/>
      </c>
      <c r="H558" s="25"/>
      <c r="I558" s="12"/>
      <c r="J558" s="14" t="str">
        <f aca="false">IF(OR($C558="",$D558="",$B558=""),"",IF(COUNTIFS($C$5:$C$804,$C558,$D$5:$D$804,$D558,$B$5:$B$804,$B558)&gt;1,"Takror",""))</f>
        <v/>
      </c>
    </row>
    <row r="559" customFormat="false" ht="15" hidden="false" customHeight="false" outlineLevel="0" collapsed="false">
      <c r="A559" s="8" t="n">
        <v>555</v>
      </c>
      <c r="B559" s="13"/>
      <c r="C559" s="12"/>
      <c r="D559" s="13"/>
      <c r="E559" s="24"/>
      <c r="F559" s="12"/>
      <c r="G559" s="14" t="str">
        <f aca="false">IF(OR($D559="",$B559=""),"",INT(($B559-$D559)/365.25))</f>
        <v/>
      </c>
      <c r="H559" s="25"/>
      <c r="I559" s="12"/>
      <c r="J559" s="14" t="str">
        <f aca="false">IF(OR($C559="",$D559="",$B559=""),"",IF(COUNTIFS($C$5:$C$804,$C559,$D$5:$D$804,$D559,$B$5:$B$804,$B559)&gt;1,"Takror",""))</f>
        <v/>
      </c>
    </row>
    <row r="560" customFormat="false" ht="15" hidden="false" customHeight="false" outlineLevel="0" collapsed="false">
      <c r="A560" s="8" t="n">
        <v>556</v>
      </c>
      <c r="B560" s="13"/>
      <c r="C560" s="12"/>
      <c r="D560" s="13"/>
      <c r="E560" s="24"/>
      <c r="F560" s="12"/>
      <c r="G560" s="14" t="str">
        <f aca="false">IF(OR($D560="",$B560=""),"",INT(($B560-$D560)/365.25))</f>
        <v/>
      </c>
      <c r="H560" s="25"/>
      <c r="I560" s="12"/>
      <c r="J560" s="14" t="str">
        <f aca="false">IF(OR($C560="",$D560="",$B560=""),"",IF(COUNTIFS($C$5:$C$804,$C560,$D$5:$D$804,$D560,$B$5:$B$804,$B560)&gt;1,"Takror",""))</f>
        <v/>
      </c>
    </row>
    <row r="561" customFormat="false" ht="15" hidden="false" customHeight="false" outlineLevel="0" collapsed="false">
      <c r="A561" s="8" t="n">
        <v>557</v>
      </c>
      <c r="B561" s="13"/>
      <c r="C561" s="12"/>
      <c r="D561" s="13"/>
      <c r="E561" s="24"/>
      <c r="F561" s="12"/>
      <c r="G561" s="14" t="str">
        <f aca="false">IF(OR($D561="",$B561=""),"",INT(($B561-$D561)/365.25))</f>
        <v/>
      </c>
      <c r="H561" s="25"/>
      <c r="I561" s="12"/>
      <c r="J561" s="14" t="str">
        <f aca="false">IF(OR($C561="",$D561="",$B561=""),"",IF(COUNTIFS($C$5:$C$804,$C561,$D$5:$D$804,$D561,$B$5:$B$804,$B561)&gt;1,"Takror",""))</f>
        <v/>
      </c>
    </row>
    <row r="562" customFormat="false" ht="15" hidden="false" customHeight="false" outlineLevel="0" collapsed="false">
      <c r="A562" s="8" t="n">
        <v>558</v>
      </c>
      <c r="B562" s="13"/>
      <c r="C562" s="12"/>
      <c r="D562" s="13"/>
      <c r="E562" s="24"/>
      <c r="F562" s="12"/>
      <c r="G562" s="14" t="str">
        <f aca="false">IF(OR($D562="",$B562=""),"",INT(($B562-$D562)/365.25))</f>
        <v/>
      </c>
      <c r="H562" s="25"/>
      <c r="I562" s="12"/>
      <c r="J562" s="14" t="str">
        <f aca="false">IF(OR($C562="",$D562="",$B562=""),"",IF(COUNTIFS($C$5:$C$804,$C562,$D$5:$D$804,$D562,$B$5:$B$804,$B562)&gt;1,"Takror",""))</f>
        <v/>
      </c>
    </row>
    <row r="563" customFormat="false" ht="15" hidden="false" customHeight="false" outlineLevel="0" collapsed="false">
      <c r="A563" s="8" t="n">
        <v>559</v>
      </c>
      <c r="B563" s="13"/>
      <c r="C563" s="12"/>
      <c r="D563" s="13"/>
      <c r="E563" s="24"/>
      <c r="F563" s="12"/>
      <c r="G563" s="14" t="str">
        <f aca="false">IF(OR($D563="",$B563=""),"",INT(($B563-$D563)/365.25))</f>
        <v/>
      </c>
      <c r="H563" s="25"/>
      <c r="I563" s="12"/>
      <c r="J563" s="14" t="str">
        <f aca="false">IF(OR($C563="",$D563="",$B563=""),"",IF(COUNTIFS($C$5:$C$804,$C563,$D$5:$D$804,$D563,$B$5:$B$804,$B563)&gt;1,"Takror",""))</f>
        <v/>
      </c>
    </row>
    <row r="564" customFormat="false" ht="15" hidden="false" customHeight="false" outlineLevel="0" collapsed="false">
      <c r="A564" s="8" t="n">
        <v>560</v>
      </c>
      <c r="B564" s="13"/>
      <c r="C564" s="12"/>
      <c r="D564" s="13"/>
      <c r="E564" s="24"/>
      <c r="F564" s="12"/>
      <c r="G564" s="14" t="str">
        <f aca="false">IF(OR($D564="",$B564=""),"",INT(($B564-$D564)/365.25))</f>
        <v/>
      </c>
      <c r="H564" s="25"/>
      <c r="I564" s="12"/>
      <c r="J564" s="14" t="str">
        <f aca="false">IF(OR($C564="",$D564="",$B564=""),"",IF(COUNTIFS($C$5:$C$804,$C564,$D$5:$D$804,$D564,$B$5:$B$804,$B564)&gt;1,"Takror",""))</f>
        <v/>
      </c>
    </row>
    <row r="565" customFormat="false" ht="15" hidden="false" customHeight="false" outlineLevel="0" collapsed="false">
      <c r="A565" s="8" t="n">
        <v>561</v>
      </c>
      <c r="B565" s="13"/>
      <c r="C565" s="12"/>
      <c r="D565" s="13"/>
      <c r="E565" s="24"/>
      <c r="F565" s="12"/>
      <c r="G565" s="14" t="str">
        <f aca="false">IF(OR($D565="",$B565=""),"",INT(($B565-$D565)/365.25))</f>
        <v/>
      </c>
      <c r="H565" s="25"/>
      <c r="I565" s="12"/>
      <c r="J565" s="14" t="str">
        <f aca="false">IF(OR($C565="",$D565="",$B565=""),"",IF(COUNTIFS($C$5:$C$804,$C565,$D$5:$D$804,$D565,$B$5:$B$804,$B565)&gt;1,"Takror",""))</f>
        <v/>
      </c>
    </row>
    <row r="566" customFormat="false" ht="15" hidden="false" customHeight="false" outlineLevel="0" collapsed="false">
      <c r="A566" s="8" t="n">
        <v>562</v>
      </c>
      <c r="B566" s="13"/>
      <c r="C566" s="12"/>
      <c r="D566" s="13"/>
      <c r="E566" s="24"/>
      <c r="F566" s="12"/>
      <c r="G566" s="14" t="str">
        <f aca="false">IF(OR($D566="",$B566=""),"",INT(($B566-$D566)/365.25))</f>
        <v/>
      </c>
      <c r="H566" s="25"/>
      <c r="I566" s="12"/>
      <c r="J566" s="14" t="str">
        <f aca="false">IF(OR($C566="",$D566="",$B566=""),"",IF(COUNTIFS($C$5:$C$804,$C566,$D$5:$D$804,$D566,$B$5:$B$804,$B566)&gt;1,"Takror",""))</f>
        <v/>
      </c>
    </row>
    <row r="567" customFormat="false" ht="15" hidden="false" customHeight="false" outlineLevel="0" collapsed="false">
      <c r="A567" s="8" t="n">
        <v>563</v>
      </c>
      <c r="B567" s="13"/>
      <c r="C567" s="12"/>
      <c r="D567" s="13"/>
      <c r="E567" s="24"/>
      <c r="F567" s="12"/>
      <c r="G567" s="14" t="str">
        <f aca="false">IF(OR($D567="",$B567=""),"",INT(($B567-$D567)/365.25))</f>
        <v/>
      </c>
      <c r="H567" s="25"/>
      <c r="I567" s="12"/>
      <c r="J567" s="14" t="str">
        <f aca="false">IF(OR($C567="",$D567="",$B567=""),"",IF(COUNTIFS($C$5:$C$804,$C567,$D$5:$D$804,$D567,$B$5:$B$804,$B567)&gt;1,"Takror",""))</f>
        <v/>
      </c>
    </row>
    <row r="568" customFormat="false" ht="15" hidden="false" customHeight="false" outlineLevel="0" collapsed="false">
      <c r="A568" s="8" t="n">
        <v>564</v>
      </c>
      <c r="B568" s="13"/>
      <c r="C568" s="12"/>
      <c r="D568" s="13"/>
      <c r="E568" s="24"/>
      <c r="F568" s="12"/>
      <c r="G568" s="14" t="str">
        <f aca="false">IF(OR($D568="",$B568=""),"",INT(($B568-$D568)/365.25))</f>
        <v/>
      </c>
      <c r="H568" s="25"/>
      <c r="I568" s="12"/>
      <c r="J568" s="14" t="str">
        <f aca="false">IF(OR($C568="",$D568="",$B568=""),"",IF(COUNTIFS($C$5:$C$804,$C568,$D$5:$D$804,$D568,$B$5:$B$804,$B568)&gt;1,"Takror",""))</f>
        <v/>
      </c>
    </row>
    <row r="569" customFormat="false" ht="15" hidden="false" customHeight="false" outlineLevel="0" collapsed="false">
      <c r="A569" s="8" t="n">
        <v>565</v>
      </c>
      <c r="B569" s="13"/>
      <c r="C569" s="12"/>
      <c r="D569" s="13"/>
      <c r="E569" s="24"/>
      <c r="F569" s="12"/>
      <c r="G569" s="14" t="str">
        <f aca="false">IF(OR($D569="",$B569=""),"",INT(($B569-$D569)/365.25))</f>
        <v/>
      </c>
      <c r="H569" s="25"/>
      <c r="I569" s="12"/>
      <c r="J569" s="14" t="str">
        <f aca="false">IF(OR($C569="",$D569="",$B569=""),"",IF(COUNTIFS($C$5:$C$804,$C569,$D$5:$D$804,$D569,$B$5:$B$804,$B569)&gt;1,"Takror",""))</f>
        <v/>
      </c>
    </row>
    <row r="570" customFormat="false" ht="15" hidden="false" customHeight="false" outlineLevel="0" collapsed="false">
      <c r="A570" s="8" t="n">
        <v>566</v>
      </c>
      <c r="B570" s="13"/>
      <c r="C570" s="12"/>
      <c r="D570" s="13"/>
      <c r="E570" s="24"/>
      <c r="F570" s="12"/>
      <c r="G570" s="14" t="str">
        <f aca="false">IF(OR($D570="",$B570=""),"",INT(($B570-$D570)/365.25))</f>
        <v/>
      </c>
      <c r="H570" s="25"/>
      <c r="I570" s="12"/>
      <c r="J570" s="14" t="str">
        <f aca="false">IF(OR($C570="",$D570="",$B570=""),"",IF(COUNTIFS($C$5:$C$804,$C570,$D$5:$D$804,$D570,$B$5:$B$804,$B570)&gt;1,"Takror",""))</f>
        <v/>
      </c>
    </row>
    <row r="571" customFormat="false" ht="15" hidden="false" customHeight="false" outlineLevel="0" collapsed="false">
      <c r="A571" s="8" t="n">
        <v>567</v>
      </c>
      <c r="B571" s="13"/>
      <c r="C571" s="12"/>
      <c r="D571" s="13"/>
      <c r="E571" s="24"/>
      <c r="F571" s="12"/>
      <c r="G571" s="14" t="str">
        <f aca="false">IF(OR($D571="",$B571=""),"",INT(($B571-$D571)/365.25))</f>
        <v/>
      </c>
      <c r="H571" s="25"/>
      <c r="I571" s="12"/>
      <c r="J571" s="14" t="str">
        <f aca="false">IF(OR($C571="",$D571="",$B571=""),"",IF(COUNTIFS($C$5:$C$804,$C571,$D$5:$D$804,$D571,$B$5:$B$804,$B571)&gt;1,"Takror",""))</f>
        <v/>
      </c>
    </row>
    <row r="572" customFormat="false" ht="15" hidden="false" customHeight="false" outlineLevel="0" collapsed="false">
      <c r="A572" s="8" t="n">
        <v>568</v>
      </c>
      <c r="B572" s="13"/>
      <c r="C572" s="12"/>
      <c r="D572" s="13"/>
      <c r="E572" s="24"/>
      <c r="F572" s="12"/>
      <c r="G572" s="14" t="str">
        <f aca="false">IF(OR($D572="",$B572=""),"",INT(($B572-$D572)/365.25))</f>
        <v/>
      </c>
      <c r="H572" s="25"/>
      <c r="I572" s="12"/>
      <c r="J572" s="14" t="str">
        <f aca="false">IF(OR($C572="",$D572="",$B572=""),"",IF(COUNTIFS($C$5:$C$804,$C572,$D$5:$D$804,$D572,$B$5:$B$804,$B572)&gt;1,"Takror",""))</f>
        <v/>
      </c>
    </row>
    <row r="573" customFormat="false" ht="15" hidden="false" customHeight="false" outlineLevel="0" collapsed="false">
      <c r="A573" s="8" t="n">
        <v>569</v>
      </c>
      <c r="B573" s="13"/>
      <c r="C573" s="12"/>
      <c r="D573" s="13"/>
      <c r="E573" s="24"/>
      <c r="F573" s="12"/>
      <c r="G573" s="14" t="str">
        <f aca="false">IF(OR($D573="",$B573=""),"",INT(($B573-$D573)/365.25))</f>
        <v/>
      </c>
      <c r="H573" s="25"/>
      <c r="I573" s="12"/>
      <c r="J573" s="14" t="str">
        <f aca="false">IF(OR($C573="",$D573="",$B573=""),"",IF(COUNTIFS($C$5:$C$804,$C573,$D$5:$D$804,$D573,$B$5:$B$804,$B573)&gt;1,"Takror",""))</f>
        <v/>
      </c>
    </row>
    <row r="574" customFormat="false" ht="15" hidden="false" customHeight="false" outlineLevel="0" collapsed="false">
      <c r="A574" s="8" t="n">
        <v>570</v>
      </c>
      <c r="B574" s="13"/>
      <c r="C574" s="12"/>
      <c r="D574" s="13"/>
      <c r="E574" s="24"/>
      <c r="F574" s="12"/>
      <c r="G574" s="14" t="str">
        <f aca="false">IF(OR($D574="",$B574=""),"",INT(($B574-$D574)/365.25))</f>
        <v/>
      </c>
      <c r="H574" s="25"/>
      <c r="I574" s="12"/>
      <c r="J574" s="14" t="str">
        <f aca="false">IF(OR($C574="",$D574="",$B574=""),"",IF(COUNTIFS($C$5:$C$804,$C574,$D$5:$D$804,$D574,$B$5:$B$804,$B574)&gt;1,"Takror",""))</f>
        <v/>
      </c>
    </row>
    <row r="575" customFormat="false" ht="15" hidden="false" customHeight="false" outlineLevel="0" collapsed="false">
      <c r="A575" s="8" t="n">
        <v>571</v>
      </c>
      <c r="B575" s="13"/>
      <c r="C575" s="12"/>
      <c r="D575" s="13"/>
      <c r="E575" s="24"/>
      <c r="F575" s="12"/>
      <c r="G575" s="14" t="str">
        <f aca="false">IF(OR($D575="",$B575=""),"",INT(($B575-$D575)/365.25))</f>
        <v/>
      </c>
      <c r="H575" s="25"/>
      <c r="I575" s="12"/>
      <c r="J575" s="14" t="str">
        <f aca="false">IF(OR($C575="",$D575="",$B575=""),"",IF(COUNTIFS($C$5:$C$804,$C575,$D$5:$D$804,$D575,$B$5:$B$804,$B575)&gt;1,"Takror",""))</f>
        <v/>
      </c>
    </row>
    <row r="576" customFormat="false" ht="15" hidden="false" customHeight="false" outlineLevel="0" collapsed="false">
      <c r="A576" s="8" t="n">
        <v>572</v>
      </c>
      <c r="B576" s="13"/>
      <c r="C576" s="12"/>
      <c r="D576" s="13"/>
      <c r="E576" s="24"/>
      <c r="F576" s="12"/>
      <c r="G576" s="14" t="str">
        <f aca="false">IF(OR($D576="",$B576=""),"",INT(($B576-$D576)/365.25))</f>
        <v/>
      </c>
      <c r="H576" s="25"/>
      <c r="I576" s="12"/>
      <c r="J576" s="14" t="str">
        <f aca="false">IF(OR($C576="",$D576="",$B576=""),"",IF(COUNTIFS($C$5:$C$804,$C576,$D$5:$D$804,$D576,$B$5:$B$804,$B576)&gt;1,"Takror",""))</f>
        <v/>
      </c>
    </row>
    <row r="577" customFormat="false" ht="15" hidden="false" customHeight="false" outlineLevel="0" collapsed="false">
      <c r="A577" s="8" t="n">
        <v>573</v>
      </c>
      <c r="B577" s="13"/>
      <c r="C577" s="12"/>
      <c r="D577" s="13"/>
      <c r="E577" s="24"/>
      <c r="F577" s="12"/>
      <c r="G577" s="14" t="str">
        <f aca="false">IF(OR($D577="",$B577=""),"",INT(($B577-$D577)/365.25))</f>
        <v/>
      </c>
      <c r="H577" s="25"/>
      <c r="I577" s="12"/>
      <c r="J577" s="14" t="str">
        <f aca="false">IF(OR($C577="",$D577="",$B577=""),"",IF(COUNTIFS($C$5:$C$804,$C577,$D$5:$D$804,$D577,$B$5:$B$804,$B577)&gt;1,"Takror",""))</f>
        <v/>
      </c>
    </row>
    <row r="578" customFormat="false" ht="15" hidden="false" customHeight="false" outlineLevel="0" collapsed="false">
      <c r="A578" s="8" t="n">
        <v>574</v>
      </c>
      <c r="B578" s="13"/>
      <c r="C578" s="12"/>
      <c r="D578" s="13"/>
      <c r="E578" s="24"/>
      <c r="F578" s="12"/>
      <c r="G578" s="14" t="str">
        <f aca="false">IF(OR($D578="",$B578=""),"",INT(($B578-$D578)/365.25))</f>
        <v/>
      </c>
      <c r="H578" s="25"/>
      <c r="I578" s="12"/>
      <c r="J578" s="14" t="str">
        <f aca="false">IF(OR($C578="",$D578="",$B578=""),"",IF(COUNTIFS($C$5:$C$804,$C578,$D$5:$D$804,$D578,$B$5:$B$804,$B578)&gt;1,"Takror",""))</f>
        <v/>
      </c>
    </row>
    <row r="579" customFormat="false" ht="15" hidden="false" customHeight="false" outlineLevel="0" collapsed="false">
      <c r="A579" s="8" t="n">
        <v>575</v>
      </c>
      <c r="B579" s="13"/>
      <c r="C579" s="12"/>
      <c r="D579" s="13"/>
      <c r="E579" s="24"/>
      <c r="F579" s="12"/>
      <c r="G579" s="14" t="str">
        <f aca="false">IF(OR($D579="",$B579=""),"",INT(($B579-$D579)/365.25))</f>
        <v/>
      </c>
      <c r="H579" s="25"/>
      <c r="I579" s="12"/>
      <c r="J579" s="14" t="str">
        <f aca="false">IF(OR($C579="",$D579="",$B579=""),"",IF(COUNTIFS($C$5:$C$804,$C579,$D$5:$D$804,$D579,$B$5:$B$804,$B579)&gt;1,"Takror",""))</f>
        <v/>
      </c>
    </row>
    <row r="580" customFormat="false" ht="15" hidden="false" customHeight="false" outlineLevel="0" collapsed="false">
      <c r="A580" s="8" t="n">
        <v>576</v>
      </c>
      <c r="B580" s="13"/>
      <c r="C580" s="12"/>
      <c r="D580" s="13"/>
      <c r="E580" s="24"/>
      <c r="F580" s="12"/>
      <c r="G580" s="14" t="str">
        <f aca="false">IF(OR($D580="",$B580=""),"",INT(($B580-$D580)/365.25))</f>
        <v/>
      </c>
      <c r="H580" s="25"/>
      <c r="I580" s="12"/>
      <c r="J580" s="14" t="str">
        <f aca="false">IF(OR($C580="",$D580="",$B580=""),"",IF(COUNTIFS($C$5:$C$804,$C580,$D$5:$D$804,$D580,$B$5:$B$804,$B580)&gt;1,"Takror",""))</f>
        <v/>
      </c>
    </row>
    <row r="581" customFormat="false" ht="15" hidden="false" customHeight="false" outlineLevel="0" collapsed="false">
      <c r="A581" s="8" t="n">
        <v>577</v>
      </c>
      <c r="B581" s="13"/>
      <c r="C581" s="12"/>
      <c r="D581" s="13"/>
      <c r="E581" s="24"/>
      <c r="F581" s="12"/>
      <c r="G581" s="14" t="str">
        <f aca="false">IF(OR($D581="",$B581=""),"",INT(($B581-$D581)/365.25))</f>
        <v/>
      </c>
      <c r="H581" s="25"/>
      <c r="I581" s="12"/>
      <c r="J581" s="14" t="str">
        <f aca="false">IF(OR($C581="",$D581="",$B581=""),"",IF(COUNTIFS($C$5:$C$804,$C581,$D$5:$D$804,$D581,$B$5:$B$804,$B581)&gt;1,"Takror",""))</f>
        <v/>
      </c>
    </row>
    <row r="582" customFormat="false" ht="15" hidden="false" customHeight="false" outlineLevel="0" collapsed="false">
      <c r="A582" s="8" t="n">
        <v>578</v>
      </c>
      <c r="B582" s="13"/>
      <c r="C582" s="12"/>
      <c r="D582" s="13"/>
      <c r="E582" s="24"/>
      <c r="F582" s="12"/>
      <c r="G582" s="14" t="str">
        <f aca="false">IF(OR($D582="",$B582=""),"",INT(($B582-$D582)/365.25))</f>
        <v/>
      </c>
      <c r="H582" s="25"/>
      <c r="I582" s="12"/>
      <c r="J582" s="14" t="str">
        <f aca="false">IF(OR($C582="",$D582="",$B582=""),"",IF(COUNTIFS($C$5:$C$804,$C582,$D$5:$D$804,$D582,$B$5:$B$804,$B582)&gt;1,"Takror",""))</f>
        <v/>
      </c>
    </row>
    <row r="583" customFormat="false" ht="15" hidden="false" customHeight="false" outlineLevel="0" collapsed="false">
      <c r="A583" s="8" t="n">
        <v>579</v>
      </c>
      <c r="B583" s="13"/>
      <c r="C583" s="12"/>
      <c r="D583" s="13"/>
      <c r="E583" s="24"/>
      <c r="F583" s="12"/>
      <c r="G583" s="14" t="str">
        <f aca="false">IF(OR($D583="",$B583=""),"",INT(($B583-$D583)/365.25))</f>
        <v/>
      </c>
      <c r="H583" s="25"/>
      <c r="I583" s="12"/>
      <c r="J583" s="14" t="str">
        <f aca="false">IF(OR($C583="",$D583="",$B583=""),"",IF(COUNTIFS($C$5:$C$804,$C583,$D$5:$D$804,$D583,$B$5:$B$804,$B583)&gt;1,"Takror",""))</f>
        <v/>
      </c>
    </row>
    <row r="584" customFormat="false" ht="15" hidden="false" customHeight="false" outlineLevel="0" collapsed="false">
      <c r="A584" s="8" t="n">
        <v>580</v>
      </c>
      <c r="B584" s="13"/>
      <c r="C584" s="12"/>
      <c r="D584" s="13"/>
      <c r="E584" s="24"/>
      <c r="F584" s="12"/>
      <c r="G584" s="14" t="str">
        <f aca="false">IF(OR($D584="",$B584=""),"",INT(($B584-$D584)/365.25))</f>
        <v/>
      </c>
      <c r="H584" s="25"/>
      <c r="I584" s="12"/>
      <c r="J584" s="14" t="str">
        <f aca="false">IF(OR($C584="",$D584="",$B584=""),"",IF(COUNTIFS($C$5:$C$804,$C584,$D$5:$D$804,$D584,$B$5:$B$804,$B584)&gt;1,"Takror",""))</f>
        <v/>
      </c>
    </row>
    <row r="585" customFormat="false" ht="15" hidden="false" customHeight="false" outlineLevel="0" collapsed="false">
      <c r="A585" s="8" t="n">
        <v>581</v>
      </c>
      <c r="B585" s="13"/>
      <c r="C585" s="12"/>
      <c r="D585" s="13"/>
      <c r="E585" s="24"/>
      <c r="F585" s="12"/>
      <c r="G585" s="14" t="str">
        <f aca="false">IF(OR($D585="",$B585=""),"",INT(($B585-$D585)/365.25))</f>
        <v/>
      </c>
      <c r="H585" s="25"/>
      <c r="I585" s="12"/>
      <c r="J585" s="14" t="str">
        <f aca="false">IF(OR($C585="",$D585="",$B585=""),"",IF(COUNTIFS($C$5:$C$804,$C585,$D$5:$D$804,$D585,$B$5:$B$804,$B585)&gt;1,"Takror",""))</f>
        <v/>
      </c>
    </row>
    <row r="586" customFormat="false" ht="15" hidden="false" customHeight="false" outlineLevel="0" collapsed="false">
      <c r="A586" s="8" t="n">
        <v>582</v>
      </c>
      <c r="B586" s="13"/>
      <c r="C586" s="12"/>
      <c r="D586" s="13"/>
      <c r="E586" s="24"/>
      <c r="F586" s="12"/>
      <c r="G586" s="14" t="str">
        <f aca="false">IF(OR($D586="",$B586=""),"",INT(($B586-$D586)/365.25))</f>
        <v/>
      </c>
      <c r="H586" s="25"/>
      <c r="I586" s="12"/>
      <c r="J586" s="14" t="str">
        <f aca="false">IF(OR($C586="",$D586="",$B586=""),"",IF(COUNTIFS($C$5:$C$804,$C586,$D$5:$D$804,$D586,$B$5:$B$804,$B586)&gt;1,"Takror",""))</f>
        <v/>
      </c>
    </row>
    <row r="587" customFormat="false" ht="15" hidden="false" customHeight="false" outlineLevel="0" collapsed="false">
      <c r="A587" s="8" t="n">
        <v>583</v>
      </c>
      <c r="B587" s="13"/>
      <c r="C587" s="12"/>
      <c r="D587" s="13"/>
      <c r="E587" s="24"/>
      <c r="F587" s="12"/>
      <c r="G587" s="14" t="str">
        <f aca="false">IF(OR($D587="",$B587=""),"",INT(($B587-$D587)/365.25))</f>
        <v/>
      </c>
      <c r="H587" s="25"/>
      <c r="I587" s="12"/>
      <c r="J587" s="14" t="str">
        <f aca="false">IF(OR($C587="",$D587="",$B587=""),"",IF(COUNTIFS($C$5:$C$804,$C587,$D$5:$D$804,$D587,$B$5:$B$804,$B587)&gt;1,"Takror",""))</f>
        <v/>
      </c>
    </row>
    <row r="588" customFormat="false" ht="15" hidden="false" customHeight="false" outlineLevel="0" collapsed="false">
      <c r="A588" s="8" t="n">
        <v>584</v>
      </c>
      <c r="B588" s="13"/>
      <c r="C588" s="12"/>
      <c r="D588" s="13"/>
      <c r="E588" s="24"/>
      <c r="F588" s="12"/>
      <c r="G588" s="14" t="str">
        <f aca="false">IF(OR($D588="",$B588=""),"",INT(($B588-$D588)/365.25))</f>
        <v/>
      </c>
      <c r="H588" s="25"/>
      <c r="I588" s="12"/>
      <c r="J588" s="14" t="str">
        <f aca="false">IF(OR($C588="",$D588="",$B588=""),"",IF(COUNTIFS($C$5:$C$804,$C588,$D$5:$D$804,$D588,$B$5:$B$804,$B588)&gt;1,"Takror",""))</f>
        <v/>
      </c>
    </row>
    <row r="589" customFormat="false" ht="15" hidden="false" customHeight="false" outlineLevel="0" collapsed="false">
      <c r="A589" s="8" t="n">
        <v>585</v>
      </c>
      <c r="B589" s="13"/>
      <c r="C589" s="12"/>
      <c r="D589" s="13"/>
      <c r="E589" s="24"/>
      <c r="F589" s="12"/>
      <c r="G589" s="14" t="str">
        <f aca="false">IF(OR($D589="",$B589=""),"",INT(($B589-$D589)/365.25))</f>
        <v/>
      </c>
      <c r="H589" s="25"/>
      <c r="I589" s="12"/>
      <c r="J589" s="14" t="str">
        <f aca="false">IF(OR($C589="",$D589="",$B589=""),"",IF(COUNTIFS($C$5:$C$804,$C589,$D$5:$D$804,$D589,$B$5:$B$804,$B589)&gt;1,"Takror",""))</f>
        <v/>
      </c>
    </row>
    <row r="590" customFormat="false" ht="15" hidden="false" customHeight="false" outlineLevel="0" collapsed="false">
      <c r="A590" s="8" t="n">
        <v>586</v>
      </c>
      <c r="B590" s="13"/>
      <c r="C590" s="12"/>
      <c r="D590" s="13"/>
      <c r="E590" s="24"/>
      <c r="F590" s="12"/>
      <c r="G590" s="14" t="str">
        <f aca="false">IF(OR($D590="",$B590=""),"",INT(($B590-$D590)/365.25))</f>
        <v/>
      </c>
      <c r="H590" s="25"/>
      <c r="I590" s="12"/>
      <c r="J590" s="14" t="str">
        <f aca="false">IF(OR($C590="",$D590="",$B590=""),"",IF(COUNTIFS($C$5:$C$804,$C590,$D$5:$D$804,$D590,$B$5:$B$804,$B590)&gt;1,"Takror",""))</f>
        <v/>
      </c>
    </row>
    <row r="591" customFormat="false" ht="15" hidden="false" customHeight="false" outlineLevel="0" collapsed="false">
      <c r="A591" s="8" t="n">
        <v>587</v>
      </c>
      <c r="B591" s="13"/>
      <c r="C591" s="12"/>
      <c r="D591" s="13"/>
      <c r="E591" s="24"/>
      <c r="F591" s="12"/>
      <c r="G591" s="14" t="str">
        <f aca="false">IF(OR($D591="",$B591=""),"",INT(($B591-$D591)/365.25))</f>
        <v/>
      </c>
      <c r="H591" s="25"/>
      <c r="I591" s="12"/>
      <c r="J591" s="14" t="str">
        <f aca="false">IF(OR($C591="",$D591="",$B591=""),"",IF(COUNTIFS($C$5:$C$804,$C591,$D$5:$D$804,$D591,$B$5:$B$804,$B591)&gt;1,"Takror",""))</f>
        <v/>
      </c>
    </row>
    <row r="592" customFormat="false" ht="15" hidden="false" customHeight="false" outlineLevel="0" collapsed="false">
      <c r="A592" s="8" t="n">
        <v>588</v>
      </c>
      <c r="B592" s="13"/>
      <c r="C592" s="12"/>
      <c r="D592" s="13"/>
      <c r="E592" s="24"/>
      <c r="F592" s="12"/>
      <c r="G592" s="14" t="str">
        <f aca="false">IF(OR($D592="",$B592=""),"",INT(($B592-$D592)/365.25))</f>
        <v/>
      </c>
      <c r="H592" s="25"/>
      <c r="I592" s="12"/>
      <c r="J592" s="14" t="str">
        <f aca="false">IF(OR($C592="",$D592="",$B592=""),"",IF(COUNTIFS($C$5:$C$804,$C592,$D$5:$D$804,$D592,$B$5:$B$804,$B592)&gt;1,"Takror",""))</f>
        <v/>
      </c>
    </row>
    <row r="593" customFormat="false" ht="15" hidden="false" customHeight="false" outlineLevel="0" collapsed="false">
      <c r="A593" s="8" t="n">
        <v>589</v>
      </c>
      <c r="B593" s="13"/>
      <c r="C593" s="12"/>
      <c r="D593" s="13"/>
      <c r="E593" s="24"/>
      <c r="F593" s="12"/>
      <c r="G593" s="14" t="str">
        <f aca="false">IF(OR($D593="",$B593=""),"",INT(($B593-$D593)/365.25))</f>
        <v/>
      </c>
      <c r="H593" s="25"/>
      <c r="I593" s="12"/>
      <c r="J593" s="14" t="str">
        <f aca="false">IF(OR($C593="",$D593="",$B593=""),"",IF(COUNTIFS($C$5:$C$804,$C593,$D$5:$D$804,$D593,$B$5:$B$804,$B593)&gt;1,"Takror",""))</f>
        <v/>
      </c>
    </row>
    <row r="594" customFormat="false" ht="15" hidden="false" customHeight="false" outlineLevel="0" collapsed="false">
      <c r="A594" s="8" t="n">
        <v>590</v>
      </c>
      <c r="B594" s="13"/>
      <c r="C594" s="12"/>
      <c r="D594" s="13"/>
      <c r="E594" s="24"/>
      <c r="F594" s="12"/>
      <c r="G594" s="14" t="str">
        <f aca="false">IF(OR($D594="",$B594=""),"",INT(($B594-$D594)/365.25))</f>
        <v/>
      </c>
      <c r="H594" s="25"/>
      <c r="I594" s="12"/>
      <c r="J594" s="14" t="str">
        <f aca="false">IF(OR($C594="",$D594="",$B594=""),"",IF(COUNTIFS($C$5:$C$804,$C594,$D$5:$D$804,$D594,$B$5:$B$804,$B594)&gt;1,"Takror",""))</f>
        <v/>
      </c>
    </row>
    <row r="595" customFormat="false" ht="15" hidden="false" customHeight="false" outlineLevel="0" collapsed="false">
      <c r="A595" s="8" t="n">
        <v>591</v>
      </c>
      <c r="B595" s="13"/>
      <c r="C595" s="12"/>
      <c r="D595" s="13"/>
      <c r="E595" s="24"/>
      <c r="F595" s="12"/>
      <c r="G595" s="14" t="str">
        <f aca="false">IF(OR($D595="",$B595=""),"",INT(($B595-$D595)/365.25))</f>
        <v/>
      </c>
      <c r="H595" s="25"/>
      <c r="I595" s="12"/>
      <c r="J595" s="14" t="str">
        <f aca="false">IF(OR($C595="",$D595="",$B595=""),"",IF(COUNTIFS($C$5:$C$804,$C595,$D$5:$D$804,$D595,$B$5:$B$804,$B595)&gt;1,"Takror",""))</f>
        <v/>
      </c>
    </row>
    <row r="596" customFormat="false" ht="15" hidden="false" customHeight="false" outlineLevel="0" collapsed="false">
      <c r="A596" s="8" t="n">
        <v>592</v>
      </c>
      <c r="B596" s="13"/>
      <c r="C596" s="12"/>
      <c r="D596" s="13"/>
      <c r="E596" s="24"/>
      <c r="F596" s="12"/>
      <c r="G596" s="14" t="str">
        <f aca="false">IF(OR($D596="",$B596=""),"",INT(($B596-$D596)/365.25))</f>
        <v/>
      </c>
      <c r="H596" s="25"/>
      <c r="I596" s="12"/>
      <c r="J596" s="14" t="str">
        <f aca="false">IF(OR($C596="",$D596="",$B596=""),"",IF(COUNTIFS($C$5:$C$804,$C596,$D$5:$D$804,$D596,$B$5:$B$804,$B596)&gt;1,"Takror",""))</f>
        <v/>
      </c>
    </row>
    <row r="597" customFormat="false" ht="15" hidden="false" customHeight="false" outlineLevel="0" collapsed="false">
      <c r="A597" s="8" t="n">
        <v>593</v>
      </c>
      <c r="B597" s="13"/>
      <c r="C597" s="12"/>
      <c r="D597" s="13"/>
      <c r="E597" s="24"/>
      <c r="F597" s="12"/>
      <c r="G597" s="14" t="str">
        <f aca="false">IF(OR($D597="",$B597=""),"",INT(($B597-$D597)/365.25))</f>
        <v/>
      </c>
      <c r="H597" s="25"/>
      <c r="I597" s="12"/>
      <c r="J597" s="14" t="str">
        <f aca="false">IF(OR($C597="",$D597="",$B597=""),"",IF(COUNTIFS($C$5:$C$804,$C597,$D$5:$D$804,$D597,$B$5:$B$804,$B597)&gt;1,"Takror",""))</f>
        <v/>
      </c>
    </row>
    <row r="598" customFormat="false" ht="15" hidden="false" customHeight="false" outlineLevel="0" collapsed="false">
      <c r="A598" s="8" t="n">
        <v>594</v>
      </c>
      <c r="B598" s="13"/>
      <c r="C598" s="12"/>
      <c r="D598" s="13"/>
      <c r="E598" s="24"/>
      <c r="F598" s="12"/>
      <c r="G598" s="14" t="str">
        <f aca="false">IF(OR($D598="",$B598=""),"",INT(($B598-$D598)/365.25))</f>
        <v/>
      </c>
      <c r="H598" s="25"/>
      <c r="I598" s="12"/>
      <c r="J598" s="14" t="str">
        <f aca="false">IF(OR($C598="",$D598="",$B598=""),"",IF(COUNTIFS($C$5:$C$804,$C598,$D$5:$D$804,$D598,$B$5:$B$804,$B598)&gt;1,"Takror",""))</f>
        <v/>
      </c>
    </row>
    <row r="599" customFormat="false" ht="15" hidden="false" customHeight="false" outlineLevel="0" collapsed="false">
      <c r="A599" s="8" t="n">
        <v>595</v>
      </c>
      <c r="B599" s="13"/>
      <c r="C599" s="12"/>
      <c r="D599" s="13"/>
      <c r="E599" s="24"/>
      <c r="F599" s="12"/>
      <c r="G599" s="14" t="str">
        <f aca="false">IF(OR($D599="",$B599=""),"",INT(($B599-$D599)/365.25))</f>
        <v/>
      </c>
      <c r="H599" s="25"/>
      <c r="I599" s="12"/>
      <c r="J599" s="14" t="str">
        <f aca="false">IF(OR($C599="",$D599="",$B599=""),"",IF(COUNTIFS($C$5:$C$804,$C599,$D$5:$D$804,$D599,$B$5:$B$804,$B599)&gt;1,"Takror",""))</f>
        <v/>
      </c>
    </row>
    <row r="600" customFormat="false" ht="15" hidden="false" customHeight="false" outlineLevel="0" collapsed="false">
      <c r="A600" s="8" t="n">
        <v>596</v>
      </c>
      <c r="B600" s="13"/>
      <c r="C600" s="12"/>
      <c r="D600" s="13"/>
      <c r="E600" s="24"/>
      <c r="F600" s="12"/>
      <c r="G600" s="14" t="str">
        <f aca="false">IF(OR($D600="",$B600=""),"",INT(($B600-$D600)/365.25))</f>
        <v/>
      </c>
      <c r="H600" s="25"/>
      <c r="I600" s="12"/>
      <c r="J600" s="14" t="str">
        <f aca="false">IF(OR($C600="",$D600="",$B600=""),"",IF(COUNTIFS($C$5:$C$804,$C600,$D$5:$D$804,$D600,$B$5:$B$804,$B600)&gt;1,"Takror",""))</f>
        <v/>
      </c>
    </row>
    <row r="601" customFormat="false" ht="15" hidden="false" customHeight="false" outlineLevel="0" collapsed="false">
      <c r="A601" s="8" t="n">
        <v>597</v>
      </c>
      <c r="B601" s="13"/>
      <c r="C601" s="12"/>
      <c r="D601" s="13"/>
      <c r="E601" s="24"/>
      <c r="F601" s="12"/>
      <c r="G601" s="14" t="str">
        <f aca="false">IF(OR($D601="",$B601=""),"",INT(($B601-$D601)/365.25))</f>
        <v/>
      </c>
      <c r="H601" s="25"/>
      <c r="I601" s="12"/>
      <c r="J601" s="14" t="str">
        <f aca="false">IF(OR($C601="",$D601="",$B601=""),"",IF(COUNTIFS($C$5:$C$804,$C601,$D$5:$D$804,$D601,$B$5:$B$804,$B601)&gt;1,"Takror",""))</f>
        <v/>
      </c>
    </row>
    <row r="602" customFormat="false" ht="15" hidden="false" customHeight="false" outlineLevel="0" collapsed="false">
      <c r="A602" s="8" t="n">
        <v>598</v>
      </c>
      <c r="B602" s="13"/>
      <c r="C602" s="12"/>
      <c r="D602" s="13"/>
      <c r="E602" s="24"/>
      <c r="F602" s="12"/>
      <c r="G602" s="14" t="str">
        <f aca="false">IF(OR($D602="",$B602=""),"",INT(($B602-$D602)/365.25))</f>
        <v/>
      </c>
      <c r="H602" s="25"/>
      <c r="I602" s="12"/>
      <c r="J602" s="14" t="str">
        <f aca="false">IF(OR($C602="",$D602="",$B602=""),"",IF(COUNTIFS($C$5:$C$804,$C602,$D$5:$D$804,$D602,$B$5:$B$804,$B602)&gt;1,"Takror",""))</f>
        <v/>
      </c>
    </row>
    <row r="603" customFormat="false" ht="15" hidden="false" customHeight="false" outlineLevel="0" collapsed="false">
      <c r="A603" s="8" t="n">
        <v>599</v>
      </c>
      <c r="B603" s="13"/>
      <c r="C603" s="12"/>
      <c r="D603" s="13"/>
      <c r="E603" s="24"/>
      <c r="F603" s="12"/>
      <c r="G603" s="14" t="str">
        <f aca="false">IF(OR($D603="",$B603=""),"",INT(($B603-$D603)/365.25))</f>
        <v/>
      </c>
      <c r="H603" s="25"/>
      <c r="I603" s="12"/>
      <c r="J603" s="14" t="str">
        <f aca="false">IF(OR($C603="",$D603="",$B603=""),"",IF(COUNTIFS($C$5:$C$804,$C603,$D$5:$D$804,$D603,$B$5:$B$804,$B603)&gt;1,"Takror",""))</f>
        <v/>
      </c>
    </row>
    <row r="604" customFormat="false" ht="15" hidden="false" customHeight="false" outlineLevel="0" collapsed="false">
      <c r="A604" s="8" t="n">
        <v>600</v>
      </c>
      <c r="B604" s="13"/>
      <c r="C604" s="12"/>
      <c r="D604" s="13"/>
      <c r="E604" s="24"/>
      <c r="F604" s="12"/>
      <c r="G604" s="14" t="str">
        <f aca="false">IF(OR($D604="",$B604=""),"",INT(($B604-$D604)/365.25))</f>
        <v/>
      </c>
      <c r="H604" s="25"/>
      <c r="I604" s="12"/>
      <c r="J604" s="14" t="str">
        <f aca="false">IF(OR($C604="",$D604="",$B604=""),"",IF(COUNTIFS($C$5:$C$804,$C604,$D$5:$D$804,$D604,$B$5:$B$804,$B604)&gt;1,"Takror",""))</f>
        <v/>
      </c>
    </row>
    <row r="605" customFormat="false" ht="15" hidden="false" customHeight="false" outlineLevel="0" collapsed="false">
      <c r="A605" s="8" t="n">
        <v>601</v>
      </c>
      <c r="B605" s="13"/>
      <c r="C605" s="12"/>
      <c r="D605" s="13"/>
      <c r="E605" s="24"/>
      <c r="F605" s="12"/>
      <c r="G605" s="14" t="str">
        <f aca="false">IF(OR($D605="",$B605=""),"",INT(($B605-$D605)/365.25))</f>
        <v/>
      </c>
      <c r="H605" s="25"/>
      <c r="I605" s="12"/>
      <c r="J605" s="14" t="str">
        <f aca="false">IF(OR($C605="",$D605="",$B605=""),"",IF(COUNTIFS($C$5:$C$804,$C605,$D$5:$D$804,$D605,$B$5:$B$804,$B605)&gt;1,"Takror",""))</f>
        <v/>
      </c>
    </row>
    <row r="606" customFormat="false" ht="15" hidden="false" customHeight="false" outlineLevel="0" collapsed="false">
      <c r="A606" s="8" t="n">
        <v>602</v>
      </c>
      <c r="B606" s="13"/>
      <c r="C606" s="12"/>
      <c r="D606" s="13"/>
      <c r="E606" s="24"/>
      <c r="F606" s="12"/>
      <c r="G606" s="14" t="str">
        <f aca="false">IF(OR($D606="",$B606=""),"",INT(($B606-$D606)/365.25))</f>
        <v/>
      </c>
      <c r="H606" s="25"/>
      <c r="I606" s="12"/>
      <c r="J606" s="14" t="str">
        <f aca="false">IF(OR($C606="",$D606="",$B606=""),"",IF(COUNTIFS($C$5:$C$804,$C606,$D$5:$D$804,$D606,$B$5:$B$804,$B606)&gt;1,"Takror",""))</f>
        <v/>
      </c>
    </row>
    <row r="607" customFormat="false" ht="15" hidden="false" customHeight="false" outlineLevel="0" collapsed="false">
      <c r="A607" s="8" t="n">
        <v>603</v>
      </c>
      <c r="B607" s="13"/>
      <c r="C607" s="12"/>
      <c r="D607" s="13"/>
      <c r="E607" s="24"/>
      <c r="F607" s="12"/>
      <c r="G607" s="14" t="str">
        <f aca="false">IF(OR($D607="",$B607=""),"",INT(($B607-$D607)/365.25))</f>
        <v/>
      </c>
      <c r="H607" s="25"/>
      <c r="I607" s="12"/>
      <c r="J607" s="14" t="str">
        <f aca="false">IF(OR($C607="",$D607="",$B607=""),"",IF(COUNTIFS($C$5:$C$804,$C607,$D$5:$D$804,$D607,$B$5:$B$804,$B607)&gt;1,"Takror",""))</f>
        <v/>
      </c>
    </row>
    <row r="608" customFormat="false" ht="15" hidden="false" customHeight="false" outlineLevel="0" collapsed="false">
      <c r="A608" s="8" t="n">
        <v>604</v>
      </c>
      <c r="B608" s="13"/>
      <c r="C608" s="12"/>
      <c r="D608" s="13"/>
      <c r="E608" s="24"/>
      <c r="F608" s="12"/>
      <c r="G608" s="14" t="str">
        <f aca="false">IF(OR($D608="",$B608=""),"",INT(($B608-$D608)/365.25))</f>
        <v/>
      </c>
      <c r="H608" s="25"/>
      <c r="I608" s="12"/>
      <c r="J608" s="14" t="str">
        <f aca="false">IF(OR($C608="",$D608="",$B608=""),"",IF(COUNTIFS($C$5:$C$804,$C608,$D$5:$D$804,$D608,$B$5:$B$804,$B608)&gt;1,"Takror",""))</f>
        <v/>
      </c>
    </row>
    <row r="609" customFormat="false" ht="15" hidden="false" customHeight="false" outlineLevel="0" collapsed="false">
      <c r="A609" s="8" t="n">
        <v>605</v>
      </c>
      <c r="B609" s="13"/>
      <c r="C609" s="12"/>
      <c r="D609" s="13"/>
      <c r="E609" s="24"/>
      <c r="F609" s="12"/>
      <c r="G609" s="14" t="str">
        <f aca="false">IF(OR($D609="",$B609=""),"",INT(($B609-$D609)/365.25))</f>
        <v/>
      </c>
      <c r="H609" s="25"/>
      <c r="I609" s="12"/>
      <c r="J609" s="14" t="str">
        <f aca="false">IF(OR($C609="",$D609="",$B609=""),"",IF(COUNTIFS($C$5:$C$804,$C609,$D$5:$D$804,$D609,$B$5:$B$804,$B609)&gt;1,"Takror",""))</f>
        <v/>
      </c>
    </row>
    <row r="610" customFormat="false" ht="15" hidden="false" customHeight="false" outlineLevel="0" collapsed="false">
      <c r="A610" s="8" t="n">
        <v>606</v>
      </c>
      <c r="B610" s="13"/>
      <c r="C610" s="12"/>
      <c r="D610" s="13"/>
      <c r="E610" s="24"/>
      <c r="F610" s="12"/>
      <c r="G610" s="14" t="str">
        <f aca="false">IF(OR($D610="",$B610=""),"",INT(($B610-$D610)/365.25))</f>
        <v/>
      </c>
      <c r="H610" s="25"/>
      <c r="I610" s="12"/>
      <c r="J610" s="14" t="str">
        <f aca="false">IF(OR($C610="",$D610="",$B610=""),"",IF(COUNTIFS($C$5:$C$804,$C610,$D$5:$D$804,$D610,$B$5:$B$804,$B610)&gt;1,"Takror",""))</f>
        <v/>
      </c>
    </row>
    <row r="611" customFormat="false" ht="15" hidden="false" customHeight="false" outlineLevel="0" collapsed="false">
      <c r="A611" s="8" t="n">
        <v>607</v>
      </c>
      <c r="B611" s="13"/>
      <c r="C611" s="12"/>
      <c r="D611" s="13"/>
      <c r="E611" s="24"/>
      <c r="F611" s="12"/>
      <c r="G611" s="14" t="str">
        <f aca="false">IF(OR($D611="",$B611=""),"",INT(($B611-$D611)/365.25))</f>
        <v/>
      </c>
      <c r="H611" s="25"/>
      <c r="I611" s="12"/>
      <c r="J611" s="14" t="str">
        <f aca="false">IF(OR($C611="",$D611="",$B611=""),"",IF(COUNTIFS($C$5:$C$804,$C611,$D$5:$D$804,$D611,$B$5:$B$804,$B611)&gt;1,"Takror",""))</f>
        <v/>
      </c>
    </row>
    <row r="612" customFormat="false" ht="15" hidden="false" customHeight="false" outlineLevel="0" collapsed="false">
      <c r="A612" s="8" t="n">
        <v>608</v>
      </c>
      <c r="B612" s="13"/>
      <c r="C612" s="12"/>
      <c r="D612" s="13"/>
      <c r="E612" s="24"/>
      <c r="F612" s="12"/>
      <c r="G612" s="14" t="str">
        <f aca="false">IF(OR($D612="",$B612=""),"",INT(($B612-$D612)/365.25))</f>
        <v/>
      </c>
      <c r="H612" s="25"/>
      <c r="I612" s="12"/>
      <c r="J612" s="14" t="str">
        <f aca="false">IF(OR($C612="",$D612="",$B612=""),"",IF(COUNTIFS($C$5:$C$804,$C612,$D$5:$D$804,$D612,$B$5:$B$804,$B612)&gt;1,"Takror",""))</f>
        <v/>
      </c>
    </row>
    <row r="613" customFormat="false" ht="15" hidden="false" customHeight="false" outlineLevel="0" collapsed="false">
      <c r="A613" s="8" t="n">
        <v>609</v>
      </c>
      <c r="B613" s="13"/>
      <c r="C613" s="12"/>
      <c r="D613" s="13"/>
      <c r="E613" s="24"/>
      <c r="F613" s="12"/>
      <c r="G613" s="14" t="str">
        <f aca="false">IF(OR($D613="",$B613=""),"",INT(($B613-$D613)/365.25))</f>
        <v/>
      </c>
      <c r="H613" s="25"/>
      <c r="I613" s="12"/>
      <c r="J613" s="14" t="str">
        <f aca="false">IF(OR($C613="",$D613="",$B613=""),"",IF(COUNTIFS($C$5:$C$804,$C613,$D$5:$D$804,$D613,$B$5:$B$804,$B613)&gt;1,"Takror",""))</f>
        <v/>
      </c>
    </row>
    <row r="614" customFormat="false" ht="15" hidden="false" customHeight="false" outlineLevel="0" collapsed="false">
      <c r="A614" s="8" t="n">
        <v>610</v>
      </c>
      <c r="B614" s="13"/>
      <c r="C614" s="12"/>
      <c r="D614" s="13"/>
      <c r="E614" s="24"/>
      <c r="F614" s="12"/>
      <c r="G614" s="14" t="str">
        <f aca="false">IF(OR($D614="",$B614=""),"",INT(($B614-$D614)/365.25))</f>
        <v/>
      </c>
      <c r="H614" s="25"/>
      <c r="I614" s="12"/>
      <c r="J614" s="14" t="str">
        <f aca="false">IF(OR($C614="",$D614="",$B614=""),"",IF(COUNTIFS($C$5:$C$804,$C614,$D$5:$D$804,$D614,$B$5:$B$804,$B614)&gt;1,"Takror",""))</f>
        <v/>
      </c>
    </row>
    <row r="615" customFormat="false" ht="15" hidden="false" customHeight="false" outlineLevel="0" collapsed="false">
      <c r="A615" s="8" t="n">
        <v>611</v>
      </c>
      <c r="B615" s="13"/>
      <c r="C615" s="12"/>
      <c r="D615" s="13"/>
      <c r="E615" s="24"/>
      <c r="F615" s="12"/>
      <c r="G615" s="14" t="str">
        <f aca="false">IF(OR($D615="",$B615=""),"",INT(($B615-$D615)/365.25))</f>
        <v/>
      </c>
      <c r="H615" s="25"/>
      <c r="I615" s="12"/>
      <c r="J615" s="14" t="str">
        <f aca="false">IF(OR($C615="",$D615="",$B615=""),"",IF(COUNTIFS($C$5:$C$804,$C615,$D$5:$D$804,$D615,$B$5:$B$804,$B615)&gt;1,"Takror",""))</f>
        <v/>
      </c>
    </row>
    <row r="616" customFormat="false" ht="15" hidden="false" customHeight="false" outlineLevel="0" collapsed="false">
      <c r="A616" s="8" t="n">
        <v>612</v>
      </c>
      <c r="B616" s="13"/>
      <c r="C616" s="12"/>
      <c r="D616" s="13"/>
      <c r="E616" s="24"/>
      <c r="F616" s="12"/>
      <c r="G616" s="14" t="str">
        <f aca="false">IF(OR($D616="",$B616=""),"",INT(($B616-$D616)/365.25))</f>
        <v/>
      </c>
      <c r="H616" s="25"/>
      <c r="I616" s="12"/>
      <c r="J616" s="14" t="str">
        <f aca="false">IF(OR($C616="",$D616="",$B616=""),"",IF(COUNTIFS($C$5:$C$804,$C616,$D$5:$D$804,$D616,$B$5:$B$804,$B616)&gt;1,"Takror",""))</f>
        <v/>
      </c>
    </row>
    <row r="617" customFormat="false" ht="15" hidden="false" customHeight="false" outlineLevel="0" collapsed="false">
      <c r="A617" s="8" t="n">
        <v>613</v>
      </c>
      <c r="B617" s="13"/>
      <c r="C617" s="12"/>
      <c r="D617" s="13"/>
      <c r="E617" s="24"/>
      <c r="F617" s="12"/>
      <c r="G617" s="14" t="str">
        <f aca="false">IF(OR($D617="",$B617=""),"",INT(($B617-$D617)/365.25))</f>
        <v/>
      </c>
      <c r="H617" s="25"/>
      <c r="I617" s="12"/>
      <c r="J617" s="14" t="str">
        <f aca="false">IF(OR($C617="",$D617="",$B617=""),"",IF(COUNTIFS($C$5:$C$804,$C617,$D$5:$D$804,$D617,$B$5:$B$804,$B617)&gt;1,"Takror",""))</f>
        <v/>
      </c>
    </row>
    <row r="618" customFormat="false" ht="15" hidden="false" customHeight="false" outlineLevel="0" collapsed="false">
      <c r="A618" s="8" t="n">
        <v>614</v>
      </c>
      <c r="B618" s="13"/>
      <c r="C618" s="12"/>
      <c r="D618" s="13"/>
      <c r="E618" s="24"/>
      <c r="F618" s="12"/>
      <c r="G618" s="14" t="str">
        <f aca="false">IF(OR($D618="",$B618=""),"",INT(($B618-$D618)/365.25))</f>
        <v/>
      </c>
      <c r="H618" s="25"/>
      <c r="I618" s="12"/>
      <c r="J618" s="14" t="str">
        <f aca="false">IF(OR($C618="",$D618="",$B618=""),"",IF(COUNTIFS($C$5:$C$804,$C618,$D$5:$D$804,$D618,$B$5:$B$804,$B618)&gt;1,"Takror",""))</f>
        <v/>
      </c>
    </row>
    <row r="619" customFormat="false" ht="15" hidden="false" customHeight="false" outlineLevel="0" collapsed="false">
      <c r="A619" s="8" t="n">
        <v>615</v>
      </c>
      <c r="B619" s="13"/>
      <c r="C619" s="12"/>
      <c r="D619" s="13"/>
      <c r="E619" s="24"/>
      <c r="F619" s="12"/>
      <c r="G619" s="14" t="str">
        <f aca="false">IF(OR($D619="",$B619=""),"",INT(($B619-$D619)/365.25))</f>
        <v/>
      </c>
      <c r="H619" s="25"/>
      <c r="I619" s="12"/>
      <c r="J619" s="14" t="str">
        <f aca="false">IF(OR($C619="",$D619="",$B619=""),"",IF(COUNTIFS($C$5:$C$804,$C619,$D$5:$D$804,$D619,$B$5:$B$804,$B619)&gt;1,"Takror",""))</f>
        <v/>
      </c>
    </row>
    <row r="620" customFormat="false" ht="15" hidden="false" customHeight="false" outlineLevel="0" collapsed="false">
      <c r="A620" s="8" t="n">
        <v>616</v>
      </c>
      <c r="B620" s="13"/>
      <c r="C620" s="12"/>
      <c r="D620" s="13"/>
      <c r="E620" s="24"/>
      <c r="F620" s="12"/>
      <c r="G620" s="14" t="str">
        <f aca="false">IF(OR($D620="",$B620=""),"",INT(($B620-$D620)/365.25))</f>
        <v/>
      </c>
      <c r="H620" s="25"/>
      <c r="I620" s="12"/>
      <c r="J620" s="14" t="str">
        <f aca="false">IF(OR($C620="",$D620="",$B620=""),"",IF(COUNTIFS($C$5:$C$804,$C620,$D$5:$D$804,$D620,$B$5:$B$804,$B620)&gt;1,"Takror",""))</f>
        <v/>
      </c>
    </row>
    <row r="621" customFormat="false" ht="15" hidden="false" customHeight="false" outlineLevel="0" collapsed="false">
      <c r="A621" s="8" t="n">
        <v>617</v>
      </c>
      <c r="B621" s="13"/>
      <c r="C621" s="12"/>
      <c r="D621" s="13"/>
      <c r="E621" s="24"/>
      <c r="F621" s="12"/>
      <c r="G621" s="14" t="str">
        <f aca="false">IF(OR($D621="",$B621=""),"",INT(($B621-$D621)/365.25))</f>
        <v/>
      </c>
      <c r="H621" s="25"/>
      <c r="I621" s="12"/>
      <c r="J621" s="14" t="str">
        <f aca="false">IF(OR($C621="",$D621="",$B621=""),"",IF(COUNTIFS($C$5:$C$804,$C621,$D$5:$D$804,$D621,$B$5:$B$804,$B621)&gt;1,"Takror",""))</f>
        <v/>
      </c>
    </row>
    <row r="622" customFormat="false" ht="15" hidden="false" customHeight="false" outlineLevel="0" collapsed="false">
      <c r="A622" s="8" t="n">
        <v>618</v>
      </c>
      <c r="B622" s="13"/>
      <c r="C622" s="12"/>
      <c r="D622" s="13"/>
      <c r="E622" s="24"/>
      <c r="F622" s="12"/>
      <c r="G622" s="14" t="str">
        <f aca="false">IF(OR($D622="",$B622=""),"",INT(($B622-$D622)/365.25))</f>
        <v/>
      </c>
      <c r="H622" s="25"/>
      <c r="I622" s="12"/>
      <c r="J622" s="14" t="str">
        <f aca="false">IF(OR($C622="",$D622="",$B622=""),"",IF(COUNTIFS($C$5:$C$804,$C622,$D$5:$D$804,$D622,$B$5:$B$804,$B622)&gt;1,"Takror",""))</f>
        <v/>
      </c>
    </row>
    <row r="623" customFormat="false" ht="15" hidden="false" customHeight="false" outlineLevel="0" collapsed="false">
      <c r="A623" s="8" t="n">
        <v>619</v>
      </c>
      <c r="B623" s="13"/>
      <c r="C623" s="12"/>
      <c r="D623" s="13"/>
      <c r="E623" s="24"/>
      <c r="F623" s="12"/>
      <c r="G623" s="14" t="str">
        <f aca="false">IF(OR($D623="",$B623=""),"",INT(($B623-$D623)/365.25))</f>
        <v/>
      </c>
      <c r="H623" s="25"/>
      <c r="I623" s="12"/>
      <c r="J623" s="14" t="str">
        <f aca="false">IF(OR($C623="",$D623="",$B623=""),"",IF(COUNTIFS($C$5:$C$804,$C623,$D$5:$D$804,$D623,$B$5:$B$804,$B623)&gt;1,"Takror",""))</f>
        <v/>
      </c>
    </row>
    <row r="624" customFormat="false" ht="15" hidden="false" customHeight="false" outlineLevel="0" collapsed="false">
      <c r="A624" s="8" t="n">
        <v>620</v>
      </c>
      <c r="B624" s="13"/>
      <c r="C624" s="12"/>
      <c r="D624" s="13"/>
      <c r="E624" s="24"/>
      <c r="F624" s="12"/>
      <c r="G624" s="14" t="str">
        <f aca="false">IF(OR($D624="",$B624=""),"",INT(($B624-$D624)/365.25))</f>
        <v/>
      </c>
      <c r="H624" s="25"/>
      <c r="I624" s="12"/>
      <c r="J624" s="14" t="str">
        <f aca="false">IF(OR($C624="",$D624="",$B624=""),"",IF(COUNTIFS($C$5:$C$804,$C624,$D$5:$D$804,$D624,$B$5:$B$804,$B624)&gt;1,"Takror",""))</f>
        <v/>
      </c>
    </row>
    <row r="625" customFormat="false" ht="15" hidden="false" customHeight="false" outlineLevel="0" collapsed="false">
      <c r="A625" s="8" t="n">
        <v>621</v>
      </c>
      <c r="B625" s="13"/>
      <c r="C625" s="12"/>
      <c r="D625" s="13"/>
      <c r="E625" s="24"/>
      <c r="F625" s="12"/>
      <c r="G625" s="14" t="str">
        <f aca="false">IF(OR($D625="",$B625=""),"",INT(($B625-$D625)/365.25))</f>
        <v/>
      </c>
      <c r="H625" s="25"/>
      <c r="I625" s="12"/>
      <c r="J625" s="14" t="str">
        <f aca="false">IF(OR($C625="",$D625="",$B625=""),"",IF(COUNTIFS($C$5:$C$804,$C625,$D$5:$D$804,$D625,$B$5:$B$804,$B625)&gt;1,"Takror",""))</f>
        <v/>
      </c>
    </row>
    <row r="626" customFormat="false" ht="15" hidden="false" customHeight="false" outlineLevel="0" collapsed="false">
      <c r="A626" s="8" t="n">
        <v>622</v>
      </c>
      <c r="B626" s="13"/>
      <c r="C626" s="12"/>
      <c r="D626" s="13"/>
      <c r="E626" s="24"/>
      <c r="F626" s="12"/>
      <c r="G626" s="14" t="str">
        <f aca="false">IF(OR($D626="",$B626=""),"",INT(($B626-$D626)/365.25))</f>
        <v/>
      </c>
      <c r="H626" s="25"/>
      <c r="I626" s="12"/>
      <c r="J626" s="14" t="str">
        <f aca="false">IF(OR($C626="",$D626="",$B626=""),"",IF(COUNTIFS($C$5:$C$804,$C626,$D$5:$D$804,$D626,$B$5:$B$804,$B626)&gt;1,"Takror",""))</f>
        <v/>
      </c>
    </row>
    <row r="627" customFormat="false" ht="15" hidden="false" customHeight="false" outlineLevel="0" collapsed="false">
      <c r="A627" s="8" t="n">
        <v>623</v>
      </c>
      <c r="B627" s="13"/>
      <c r="C627" s="12"/>
      <c r="D627" s="13"/>
      <c r="E627" s="24"/>
      <c r="F627" s="12"/>
      <c r="G627" s="14" t="str">
        <f aca="false">IF(OR($D627="",$B627=""),"",INT(($B627-$D627)/365.25))</f>
        <v/>
      </c>
      <c r="H627" s="25"/>
      <c r="I627" s="12"/>
      <c r="J627" s="14" t="str">
        <f aca="false">IF(OR($C627="",$D627="",$B627=""),"",IF(COUNTIFS($C$5:$C$804,$C627,$D$5:$D$804,$D627,$B$5:$B$804,$B627)&gt;1,"Takror",""))</f>
        <v/>
      </c>
    </row>
    <row r="628" customFormat="false" ht="15" hidden="false" customHeight="false" outlineLevel="0" collapsed="false">
      <c r="A628" s="8" t="n">
        <v>624</v>
      </c>
      <c r="B628" s="13"/>
      <c r="C628" s="12"/>
      <c r="D628" s="13"/>
      <c r="E628" s="24"/>
      <c r="F628" s="12"/>
      <c r="G628" s="14" t="str">
        <f aca="false">IF(OR($D628="",$B628=""),"",INT(($B628-$D628)/365.25))</f>
        <v/>
      </c>
      <c r="H628" s="25"/>
      <c r="I628" s="12"/>
      <c r="J628" s="14" t="str">
        <f aca="false">IF(OR($C628="",$D628="",$B628=""),"",IF(COUNTIFS($C$5:$C$804,$C628,$D$5:$D$804,$D628,$B$5:$B$804,$B628)&gt;1,"Takror",""))</f>
        <v/>
      </c>
    </row>
    <row r="629" customFormat="false" ht="15" hidden="false" customHeight="false" outlineLevel="0" collapsed="false">
      <c r="A629" s="8" t="n">
        <v>625</v>
      </c>
      <c r="B629" s="13"/>
      <c r="C629" s="12"/>
      <c r="D629" s="13"/>
      <c r="E629" s="24"/>
      <c r="F629" s="12"/>
      <c r="G629" s="14" t="str">
        <f aca="false">IF(OR($D629="",$B629=""),"",INT(($B629-$D629)/365.25))</f>
        <v/>
      </c>
      <c r="H629" s="25"/>
      <c r="I629" s="12"/>
      <c r="J629" s="14" t="str">
        <f aca="false">IF(OR($C629="",$D629="",$B629=""),"",IF(COUNTIFS($C$5:$C$804,$C629,$D$5:$D$804,$D629,$B$5:$B$804,$B629)&gt;1,"Takror",""))</f>
        <v/>
      </c>
    </row>
    <row r="630" customFormat="false" ht="15" hidden="false" customHeight="false" outlineLevel="0" collapsed="false">
      <c r="A630" s="8" t="n">
        <v>626</v>
      </c>
      <c r="B630" s="13"/>
      <c r="C630" s="12"/>
      <c r="D630" s="13"/>
      <c r="E630" s="24"/>
      <c r="F630" s="12"/>
      <c r="G630" s="14" t="str">
        <f aca="false">IF(OR($D630="",$B630=""),"",INT(($B630-$D630)/365.25))</f>
        <v/>
      </c>
      <c r="H630" s="25"/>
      <c r="I630" s="12"/>
      <c r="J630" s="14" t="str">
        <f aca="false">IF(OR($C630="",$D630="",$B630=""),"",IF(COUNTIFS($C$5:$C$804,$C630,$D$5:$D$804,$D630,$B$5:$B$804,$B630)&gt;1,"Takror",""))</f>
        <v/>
      </c>
    </row>
    <row r="631" customFormat="false" ht="15" hidden="false" customHeight="false" outlineLevel="0" collapsed="false">
      <c r="A631" s="8" t="n">
        <v>627</v>
      </c>
      <c r="B631" s="13"/>
      <c r="C631" s="12"/>
      <c r="D631" s="13"/>
      <c r="E631" s="24"/>
      <c r="F631" s="12"/>
      <c r="G631" s="14" t="str">
        <f aca="false">IF(OR($D631="",$B631=""),"",INT(($B631-$D631)/365.25))</f>
        <v/>
      </c>
      <c r="H631" s="25"/>
      <c r="I631" s="12"/>
      <c r="J631" s="14" t="str">
        <f aca="false">IF(OR($C631="",$D631="",$B631=""),"",IF(COUNTIFS($C$5:$C$804,$C631,$D$5:$D$804,$D631,$B$5:$B$804,$B631)&gt;1,"Takror",""))</f>
        <v/>
      </c>
    </row>
    <row r="632" customFormat="false" ht="15" hidden="false" customHeight="false" outlineLevel="0" collapsed="false">
      <c r="A632" s="8" t="n">
        <v>628</v>
      </c>
      <c r="B632" s="13"/>
      <c r="C632" s="12"/>
      <c r="D632" s="13"/>
      <c r="E632" s="24"/>
      <c r="F632" s="12"/>
      <c r="G632" s="14" t="str">
        <f aca="false">IF(OR($D632="",$B632=""),"",INT(($B632-$D632)/365.25))</f>
        <v/>
      </c>
      <c r="H632" s="25"/>
      <c r="I632" s="12"/>
      <c r="J632" s="14" t="str">
        <f aca="false">IF(OR($C632="",$D632="",$B632=""),"",IF(COUNTIFS($C$5:$C$804,$C632,$D$5:$D$804,$D632,$B$5:$B$804,$B632)&gt;1,"Takror",""))</f>
        <v/>
      </c>
    </row>
    <row r="633" customFormat="false" ht="15" hidden="false" customHeight="false" outlineLevel="0" collapsed="false">
      <c r="A633" s="8" t="n">
        <v>629</v>
      </c>
      <c r="B633" s="13"/>
      <c r="C633" s="12"/>
      <c r="D633" s="13"/>
      <c r="E633" s="24"/>
      <c r="F633" s="12"/>
      <c r="G633" s="14" t="str">
        <f aca="false">IF(OR($D633="",$B633=""),"",INT(($B633-$D633)/365.25))</f>
        <v/>
      </c>
      <c r="H633" s="25"/>
      <c r="I633" s="12"/>
      <c r="J633" s="14" t="str">
        <f aca="false">IF(OR($C633="",$D633="",$B633=""),"",IF(COUNTIFS($C$5:$C$804,$C633,$D$5:$D$804,$D633,$B$5:$B$804,$B633)&gt;1,"Takror",""))</f>
        <v/>
      </c>
    </row>
    <row r="634" customFormat="false" ht="15" hidden="false" customHeight="false" outlineLevel="0" collapsed="false">
      <c r="A634" s="8" t="n">
        <v>630</v>
      </c>
      <c r="B634" s="13"/>
      <c r="C634" s="12"/>
      <c r="D634" s="13"/>
      <c r="E634" s="24"/>
      <c r="F634" s="12"/>
      <c r="G634" s="14" t="str">
        <f aca="false">IF(OR($D634="",$B634=""),"",INT(($B634-$D634)/365.25))</f>
        <v/>
      </c>
      <c r="H634" s="25"/>
      <c r="I634" s="12"/>
      <c r="J634" s="14" t="str">
        <f aca="false">IF(OR($C634="",$D634="",$B634=""),"",IF(COUNTIFS($C$5:$C$804,$C634,$D$5:$D$804,$D634,$B$5:$B$804,$B634)&gt;1,"Takror",""))</f>
        <v/>
      </c>
    </row>
    <row r="635" customFormat="false" ht="15" hidden="false" customHeight="false" outlineLevel="0" collapsed="false">
      <c r="A635" s="8" t="n">
        <v>631</v>
      </c>
      <c r="B635" s="13"/>
      <c r="C635" s="12"/>
      <c r="D635" s="13"/>
      <c r="E635" s="24"/>
      <c r="F635" s="12"/>
      <c r="G635" s="14" t="str">
        <f aca="false">IF(OR($D635="",$B635=""),"",INT(($B635-$D635)/365.25))</f>
        <v/>
      </c>
      <c r="H635" s="25"/>
      <c r="I635" s="12"/>
      <c r="J635" s="14" t="str">
        <f aca="false">IF(OR($C635="",$D635="",$B635=""),"",IF(COUNTIFS($C$5:$C$804,$C635,$D$5:$D$804,$D635,$B$5:$B$804,$B635)&gt;1,"Takror",""))</f>
        <v/>
      </c>
    </row>
    <row r="636" customFormat="false" ht="15" hidden="false" customHeight="false" outlineLevel="0" collapsed="false">
      <c r="A636" s="8" t="n">
        <v>632</v>
      </c>
      <c r="B636" s="13"/>
      <c r="C636" s="12"/>
      <c r="D636" s="13"/>
      <c r="E636" s="24"/>
      <c r="F636" s="12"/>
      <c r="G636" s="14" t="str">
        <f aca="false">IF(OR($D636="",$B636=""),"",INT(($B636-$D636)/365.25))</f>
        <v/>
      </c>
      <c r="H636" s="25"/>
      <c r="I636" s="12"/>
      <c r="J636" s="14" t="str">
        <f aca="false">IF(OR($C636="",$D636="",$B636=""),"",IF(COUNTIFS($C$5:$C$804,$C636,$D$5:$D$804,$D636,$B$5:$B$804,$B636)&gt;1,"Takror",""))</f>
        <v/>
      </c>
    </row>
    <row r="637" customFormat="false" ht="15" hidden="false" customHeight="false" outlineLevel="0" collapsed="false">
      <c r="A637" s="8" t="n">
        <v>633</v>
      </c>
      <c r="B637" s="13"/>
      <c r="C637" s="12"/>
      <c r="D637" s="13"/>
      <c r="E637" s="24"/>
      <c r="F637" s="12"/>
      <c r="G637" s="14" t="str">
        <f aca="false">IF(OR($D637="",$B637=""),"",INT(($B637-$D637)/365.25))</f>
        <v/>
      </c>
      <c r="H637" s="25"/>
      <c r="I637" s="12"/>
      <c r="J637" s="14" t="str">
        <f aca="false">IF(OR($C637="",$D637="",$B637=""),"",IF(COUNTIFS($C$5:$C$804,$C637,$D$5:$D$804,$D637,$B$5:$B$804,$B637)&gt;1,"Takror",""))</f>
        <v/>
      </c>
    </row>
    <row r="638" customFormat="false" ht="15" hidden="false" customHeight="false" outlineLevel="0" collapsed="false">
      <c r="A638" s="8" t="n">
        <v>634</v>
      </c>
      <c r="B638" s="13"/>
      <c r="C638" s="12"/>
      <c r="D638" s="13"/>
      <c r="E638" s="24"/>
      <c r="F638" s="12"/>
      <c r="G638" s="14" t="str">
        <f aca="false">IF(OR($D638="",$B638=""),"",INT(($B638-$D638)/365.25))</f>
        <v/>
      </c>
      <c r="H638" s="25"/>
      <c r="I638" s="12"/>
      <c r="J638" s="14" t="str">
        <f aca="false">IF(OR($C638="",$D638="",$B638=""),"",IF(COUNTIFS($C$5:$C$804,$C638,$D$5:$D$804,$D638,$B$5:$B$804,$B638)&gt;1,"Takror",""))</f>
        <v/>
      </c>
    </row>
    <row r="639" customFormat="false" ht="15" hidden="false" customHeight="false" outlineLevel="0" collapsed="false">
      <c r="A639" s="8" t="n">
        <v>635</v>
      </c>
      <c r="B639" s="13"/>
      <c r="C639" s="12"/>
      <c r="D639" s="13"/>
      <c r="E639" s="24"/>
      <c r="F639" s="12"/>
      <c r="G639" s="14" t="str">
        <f aca="false">IF(OR($D639="",$B639=""),"",INT(($B639-$D639)/365.25))</f>
        <v/>
      </c>
      <c r="H639" s="25"/>
      <c r="I639" s="12"/>
      <c r="J639" s="14" t="str">
        <f aca="false">IF(OR($C639="",$D639="",$B639=""),"",IF(COUNTIFS($C$5:$C$804,$C639,$D$5:$D$804,$D639,$B$5:$B$804,$B639)&gt;1,"Takror",""))</f>
        <v/>
      </c>
    </row>
    <row r="640" customFormat="false" ht="15" hidden="false" customHeight="false" outlineLevel="0" collapsed="false">
      <c r="A640" s="8" t="n">
        <v>636</v>
      </c>
      <c r="B640" s="13"/>
      <c r="C640" s="12"/>
      <c r="D640" s="13"/>
      <c r="E640" s="24"/>
      <c r="F640" s="12"/>
      <c r="G640" s="14" t="str">
        <f aca="false">IF(OR($D640="",$B640=""),"",INT(($B640-$D640)/365.25))</f>
        <v/>
      </c>
      <c r="H640" s="25"/>
      <c r="I640" s="12"/>
      <c r="J640" s="14" t="str">
        <f aca="false">IF(OR($C640="",$D640="",$B640=""),"",IF(COUNTIFS($C$5:$C$804,$C640,$D$5:$D$804,$D640,$B$5:$B$804,$B640)&gt;1,"Takror",""))</f>
        <v/>
      </c>
    </row>
    <row r="641" customFormat="false" ht="15" hidden="false" customHeight="false" outlineLevel="0" collapsed="false">
      <c r="A641" s="8" t="n">
        <v>637</v>
      </c>
      <c r="B641" s="13"/>
      <c r="C641" s="12"/>
      <c r="D641" s="13"/>
      <c r="E641" s="24"/>
      <c r="F641" s="12"/>
      <c r="G641" s="14" t="str">
        <f aca="false">IF(OR($D641="",$B641=""),"",INT(($B641-$D641)/365.25))</f>
        <v/>
      </c>
      <c r="H641" s="25"/>
      <c r="I641" s="12"/>
      <c r="J641" s="14" t="str">
        <f aca="false">IF(OR($C641="",$D641="",$B641=""),"",IF(COUNTIFS($C$5:$C$804,$C641,$D$5:$D$804,$D641,$B$5:$B$804,$B641)&gt;1,"Takror",""))</f>
        <v/>
      </c>
    </row>
    <row r="642" customFormat="false" ht="15" hidden="false" customHeight="false" outlineLevel="0" collapsed="false">
      <c r="A642" s="8" t="n">
        <v>638</v>
      </c>
      <c r="B642" s="13"/>
      <c r="C642" s="12"/>
      <c r="D642" s="13"/>
      <c r="E642" s="24"/>
      <c r="F642" s="12"/>
      <c r="G642" s="14" t="str">
        <f aca="false">IF(OR($D642="",$B642=""),"",INT(($B642-$D642)/365.25))</f>
        <v/>
      </c>
      <c r="H642" s="25"/>
      <c r="I642" s="12"/>
      <c r="J642" s="14" t="str">
        <f aca="false">IF(OR($C642="",$D642="",$B642=""),"",IF(COUNTIFS($C$5:$C$804,$C642,$D$5:$D$804,$D642,$B$5:$B$804,$B642)&gt;1,"Takror",""))</f>
        <v/>
      </c>
    </row>
    <row r="643" customFormat="false" ht="15" hidden="false" customHeight="false" outlineLevel="0" collapsed="false">
      <c r="A643" s="8" t="n">
        <v>639</v>
      </c>
      <c r="B643" s="13"/>
      <c r="C643" s="12"/>
      <c r="D643" s="13"/>
      <c r="E643" s="24"/>
      <c r="F643" s="12"/>
      <c r="G643" s="14" t="str">
        <f aca="false">IF(OR($D643="",$B643=""),"",INT(($B643-$D643)/365.25))</f>
        <v/>
      </c>
      <c r="H643" s="25"/>
      <c r="I643" s="12"/>
      <c r="J643" s="14" t="str">
        <f aca="false">IF(OR($C643="",$D643="",$B643=""),"",IF(COUNTIFS($C$5:$C$804,$C643,$D$5:$D$804,$D643,$B$5:$B$804,$B643)&gt;1,"Takror",""))</f>
        <v/>
      </c>
    </row>
    <row r="644" customFormat="false" ht="15" hidden="false" customHeight="false" outlineLevel="0" collapsed="false">
      <c r="A644" s="8" t="n">
        <v>640</v>
      </c>
      <c r="B644" s="13"/>
      <c r="C644" s="12"/>
      <c r="D644" s="13"/>
      <c r="E644" s="24"/>
      <c r="F644" s="12"/>
      <c r="G644" s="14" t="str">
        <f aca="false">IF(OR($D644="",$B644=""),"",INT(($B644-$D644)/365.25))</f>
        <v/>
      </c>
      <c r="H644" s="25"/>
      <c r="I644" s="12"/>
      <c r="J644" s="14" t="str">
        <f aca="false">IF(OR($C644="",$D644="",$B644=""),"",IF(COUNTIFS($C$5:$C$804,$C644,$D$5:$D$804,$D644,$B$5:$B$804,$B644)&gt;1,"Takror",""))</f>
        <v/>
      </c>
    </row>
    <row r="645" customFormat="false" ht="15" hidden="false" customHeight="false" outlineLevel="0" collapsed="false">
      <c r="A645" s="8" t="n">
        <v>641</v>
      </c>
      <c r="B645" s="13"/>
      <c r="C645" s="12"/>
      <c r="D645" s="13"/>
      <c r="E645" s="24"/>
      <c r="F645" s="12"/>
      <c r="G645" s="14" t="str">
        <f aca="false">IF(OR($D645="",$B645=""),"",INT(($B645-$D645)/365.25))</f>
        <v/>
      </c>
      <c r="H645" s="25"/>
      <c r="I645" s="12"/>
      <c r="J645" s="14" t="str">
        <f aca="false">IF(OR($C645="",$D645="",$B645=""),"",IF(COUNTIFS($C$5:$C$804,$C645,$D$5:$D$804,$D645,$B$5:$B$804,$B645)&gt;1,"Takror",""))</f>
        <v/>
      </c>
    </row>
    <row r="646" customFormat="false" ht="15" hidden="false" customHeight="false" outlineLevel="0" collapsed="false">
      <c r="A646" s="8" t="n">
        <v>642</v>
      </c>
      <c r="B646" s="13"/>
      <c r="C646" s="12"/>
      <c r="D646" s="13"/>
      <c r="E646" s="24"/>
      <c r="F646" s="12"/>
      <c r="G646" s="14" t="str">
        <f aca="false">IF(OR($D646="",$B646=""),"",INT(($B646-$D646)/365.25))</f>
        <v/>
      </c>
      <c r="H646" s="25"/>
      <c r="I646" s="12"/>
      <c r="J646" s="14" t="str">
        <f aca="false">IF(OR($C646="",$D646="",$B646=""),"",IF(COUNTIFS($C$5:$C$804,$C646,$D$5:$D$804,$D646,$B$5:$B$804,$B646)&gt;1,"Takror",""))</f>
        <v/>
      </c>
    </row>
    <row r="647" customFormat="false" ht="15" hidden="false" customHeight="false" outlineLevel="0" collapsed="false">
      <c r="A647" s="8" t="n">
        <v>643</v>
      </c>
      <c r="B647" s="13"/>
      <c r="C647" s="12"/>
      <c r="D647" s="13"/>
      <c r="E647" s="24"/>
      <c r="F647" s="12"/>
      <c r="G647" s="14" t="str">
        <f aca="false">IF(OR($D647="",$B647=""),"",INT(($B647-$D647)/365.25))</f>
        <v/>
      </c>
      <c r="H647" s="25"/>
      <c r="I647" s="12"/>
      <c r="J647" s="14" t="str">
        <f aca="false">IF(OR($C647="",$D647="",$B647=""),"",IF(COUNTIFS($C$5:$C$804,$C647,$D$5:$D$804,$D647,$B$5:$B$804,$B647)&gt;1,"Takror",""))</f>
        <v/>
      </c>
    </row>
    <row r="648" customFormat="false" ht="15" hidden="false" customHeight="false" outlineLevel="0" collapsed="false">
      <c r="A648" s="8" t="n">
        <v>644</v>
      </c>
      <c r="B648" s="13"/>
      <c r="C648" s="12"/>
      <c r="D648" s="13"/>
      <c r="E648" s="24"/>
      <c r="F648" s="12"/>
      <c r="G648" s="14" t="str">
        <f aca="false">IF(OR($D648="",$B648=""),"",INT(($B648-$D648)/365.25))</f>
        <v/>
      </c>
      <c r="H648" s="25"/>
      <c r="I648" s="12"/>
      <c r="J648" s="14" t="str">
        <f aca="false">IF(OR($C648="",$D648="",$B648=""),"",IF(COUNTIFS($C$5:$C$804,$C648,$D$5:$D$804,$D648,$B$5:$B$804,$B648)&gt;1,"Takror",""))</f>
        <v/>
      </c>
    </row>
    <row r="649" customFormat="false" ht="15" hidden="false" customHeight="false" outlineLevel="0" collapsed="false">
      <c r="A649" s="8" t="n">
        <v>645</v>
      </c>
      <c r="B649" s="13"/>
      <c r="C649" s="12"/>
      <c r="D649" s="13"/>
      <c r="E649" s="24"/>
      <c r="F649" s="12"/>
      <c r="G649" s="14" t="str">
        <f aca="false">IF(OR($D649="",$B649=""),"",INT(($B649-$D649)/365.25))</f>
        <v/>
      </c>
      <c r="H649" s="25"/>
      <c r="I649" s="12"/>
      <c r="J649" s="14" t="str">
        <f aca="false">IF(OR($C649="",$D649="",$B649=""),"",IF(COUNTIFS($C$5:$C$804,$C649,$D$5:$D$804,$D649,$B$5:$B$804,$B649)&gt;1,"Takror",""))</f>
        <v/>
      </c>
    </row>
    <row r="650" customFormat="false" ht="15" hidden="false" customHeight="false" outlineLevel="0" collapsed="false">
      <c r="A650" s="8" t="n">
        <v>646</v>
      </c>
      <c r="B650" s="13"/>
      <c r="C650" s="12"/>
      <c r="D650" s="13"/>
      <c r="E650" s="24"/>
      <c r="F650" s="12"/>
      <c r="G650" s="14" t="str">
        <f aca="false">IF(OR($D650="",$B650=""),"",INT(($B650-$D650)/365.25))</f>
        <v/>
      </c>
      <c r="H650" s="25"/>
      <c r="I650" s="12"/>
      <c r="J650" s="14" t="str">
        <f aca="false">IF(OR($C650="",$D650="",$B650=""),"",IF(COUNTIFS($C$5:$C$804,$C650,$D$5:$D$804,$D650,$B$5:$B$804,$B650)&gt;1,"Takror",""))</f>
        <v/>
      </c>
    </row>
    <row r="651" customFormat="false" ht="15" hidden="false" customHeight="false" outlineLevel="0" collapsed="false">
      <c r="A651" s="8" t="n">
        <v>647</v>
      </c>
      <c r="B651" s="13"/>
      <c r="C651" s="12"/>
      <c r="D651" s="13"/>
      <c r="E651" s="24"/>
      <c r="F651" s="12"/>
      <c r="G651" s="14" t="str">
        <f aca="false">IF(OR($D651="",$B651=""),"",INT(($B651-$D651)/365.25))</f>
        <v/>
      </c>
      <c r="H651" s="25"/>
      <c r="I651" s="12"/>
      <c r="J651" s="14" t="str">
        <f aca="false">IF(OR($C651="",$D651="",$B651=""),"",IF(COUNTIFS($C$5:$C$804,$C651,$D$5:$D$804,$D651,$B$5:$B$804,$B651)&gt;1,"Takror",""))</f>
        <v/>
      </c>
    </row>
    <row r="652" customFormat="false" ht="15" hidden="false" customHeight="false" outlineLevel="0" collapsed="false">
      <c r="A652" s="8" t="n">
        <v>648</v>
      </c>
      <c r="B652" s="13"/>
      <c r="C652" s="12"/>
      <c r="D652" s="13"/>
      <c r="E652" s="24"/>
      <c r="F652" s="12"/>
      <c r="G652" s="14" t="str">
        <f aca="false">IF(OR($D652="",$B652=""),"",INT(($B652-$D652)/365.25))</f>
        <v/>
      </c>
      <c r="H652" s="25"/>
      <c r="I652" s="12"/>
      <c r="J652" s="14" t="str">
        <f aca="false">IF(OR($C652="",$D652="",$B652=""),"",IF(COUNTIFS($C$5:$C$804,$C652,$D$5:$D$804,$D652,$B$5:$B$804,$B652)&gt;1,"Takror",""))</f>
        <v/>
      </c>
    </row>
    <row r="653" customFormat="false" ht="15" hidden="false" customHeight="false" outlineLevel="0" collapsed="false">
      <c r="A653" s="8" t="n">
        <v>649</v>
      </c>
      <c r="B653" s="13"/>
      <c r="C653" s="12"/>
      <c r="D653" s="13"/>
      <c r="E653" s="24"/>
      <c r="F653" s="12"/>
      <c r="G653" s="14" t="str">
        <f aca="false">IF(OR($D653="",$B653=""),"",INT(($B653-$D653)/365.25))</f>
        <v/>
      </c>
      <c r="H653" s="25"/>
      <c r="I653" s="12"/>
      <c r="J653" s="14" t="str">
        <f aca="false">IF(OR($C653="",$D653="",$B653=""),"",IF(COUNTIFS($C$5:$C$804,$C653,$D$5:$D$804,$D653,$B$5:$B$804,$B653)&gt;1,"Takror",""))</f>
        <v/>
      </c>
    </row>
    <row r="654" customFormat="false" ht="15" hidden="false" customHeight="false" outlineLevel="0" collapsed="false">
      <c r="A654" s="8" t="n">
        <v>650</v>
      </c>
      <c r="B654" s="13"/>
      <c r="C654" s="12"/>
      <c r="D654" s="13"/>
      <c r="E654" s="24"/>
      <c r="F654" s="12"/>
      <c r="G654" s="14" t="str">
        <f aca="false">IF(OR($D654="",$B654=""),"",INT(($B654-$D654)/365.25))</f>
        <v/>
      </c>
      <c r="H654" s="25"/>
      <c r="I654" s="12"/>
      <c r="J654" s="14" t="str">
        <f aca="false">IF(OR($C654="",$D654="",$B654=""),"",IF(COUNTIFS($C$5:$C$804,$C654,$D$5:$D$804,$D654,$B$5:$B$804,$B654)&gt;1,"Takror",""))</f>
        <v/>
      </c>
    </row>
    <row r="655" customFormat="false" ht="15" hidden="false" customHeight="false" outlineLevel="0" collapsed="false">
      <c r="A655" s="8" t="n">
        <v>651</v>
      </c>
      <c r="B655" s="13"/>
      <c r="C655" s="12"/>
      <c r="D655" s="13"/>
      <c r="E655" s="24"/>
      <c r="F655" s="12"/>
      <c r="G655" s="14" t="str">
        <f aca="false">IF(OR($D655="",$B655=""),"",INT(($B655-$D655)/365.25))</f>
        <v/>
      </c>
      <c r="H655" s="25"/>
      <c r="I655" s="12"/>
      <c r="J655" s="14" t="str">
        <f aca="false">IF(OR($C655="",$D655="",$B655=""),"",IF(COUNTIFS($C$5:$C$804,$C655,$D$5:$D$804,$D655,$B$5:$B$804,$B655)&gt;1,"Takror",""))</f>
        <v/>
      </c>
    </row>
    <row r="656" customFormat="false" ht="15" hidden="false" customHeight="false" outlineLevel="0" collapsed="false">
      <c r="A656" s="8" t="n">
        <v>652</v>
      </c>
      <c r="B656" s="13"/>
      <c r="C656" s="12"/>
      <c r="D656" s="13"/>
      <c r="E656" s="24"/>
      <c r="F656" s="12"/>
      <c r="G656" s="14" t="str">
        <f aca="false">IF(OR($D656="",$B656=""),"",INT(($B656-$D656)/365.25))</f>
        <v/>
      </c>
      <c r="H656" s="25"/>
      <c r="I656" s="12"/>
      <c r="J656" s="14" t="str">
        <f aca="false">IF(OR($C656="",$D656="",$B656=""),"",IF(COUNTIFS($C$5:$C$804,$C656,$D$5:$D$804,$D656,$B$5:$B$804,$B656)&gt;1,"Takror",""))</f>
        <v/>
      </c>
    </row>
    <row r="657" customFormat="false" ht="15" hidden="false" customHeight="false" outlineLevel="0" collapsed="false">
      <c r="A657" s="8" t="n">
        <v>653</v>
      </c>
      <c r="B657" s="13"/>
      <c r="C657" s="12"/>
      <c r="D657" s="13"/>
      <c r="E657" s="24"/>
      <c r="F657" s="12"/>
      <c r="G657" s="14" t="str">
        <f aca="false">IF(OR($D657="",$B657=""),"",INT(($B657-$D657)/365.25))</f>
        <v/>
      </c>
      <c r="H657" s="25"/>
      <c r="I657" s="12"/>
      <c r="J657" s="14" t="str">
        <f aca="false">IF(OR($C657="",$D657="",$B657=""),"",IF(COUNTIFS($C$5:$C$804,$C657,$D$5:$D$804,$D657,$B$5:$B$804,$B657)&gt;1,"Takror",""))</f>
        <v/>
      </c>
    </row>
    <row r="658" customFormat="false" ht="15" hidden="false" customHeight="false" outlineLevel="0" collapsed="false">
      <c r="A658" s="8" t="n">
        <v>654</v>
      </c>
      <c r="B658" s="13"/>
      <c r="C658" s="12"/>
      <c r="D658" s="13"/>
      <c r="E658" s="24"/>
      <c r="F658" s="12"/>
      <c r="G658" s="14" t="str">
        <f aca="false">IF(OR($D658="",$B658=""),"",INT(($B658-$D658)/365.25))</f>
        <v/>
      </c>
      <c r="H658" s="25"/>
      <c r="I658" s="12"/>
      <c r="J658" s="14" t="str">
        <f aca="false">IF(OR($C658="",$D658="",$B658=""),"",IF(COUNTIFS($C$5:$C$804,$C658,$D$5:$D$804,$D658,$B$5:$B$804,$B658)&gt;1,"Takror",""))</f>
        <v/>
      </c>
    </row>
    <row r="659" customFormat="false" ht="15" hidden="false" customHeight="false" outlineLevel="0" collapsed="false">
      <c r="A659" s="8" t="n">
        <v>655</v>
      </c>
      <c r="B659" s="13"/>
      <c r="C659" s="12"/>
      <c r="D659" s="13"/>
      <c r="E659" s="24"/>
      <c r="F659" s="12"/>
      <c r="G659" s="14" t="str">
        <f aca="false">IF(OR($D659="",$B659=""),"",INT(($B659-$D659)/365.25))</f>
        <v/>
      </c>
      <c r="H659" s="25"/>
      <c r="I659" s="12"/>
      <c r="J659" s="14" t="str">
        <f aca="false">IF(OR($C659="",$D659="",$B659=""),"",IF(COUNTIFS($C$5:$C$804,$C659,$D$5:$D$804,$D659,$B$5:$B$804,$B659)&gt;1,"Takror",""))</f>
        <v/>
      </c>
    </row>
    <row r="660" customFormat="false" ht="15" hidden="false" customHeight="false" outlineLevel="0" collapsed="false">
      <c r="A660" s="8" t="n">
        <v>656</v>
      </c>
      <c r="B660" s="13"/>
      <c r="C660" s="12"/>
      <c r="D660" s="13"/>
      <c r="E660" s="24"/>
      <c r="F660" s="12"/>
      <c r="G660" s="14" t="str">
        <f aca="false">IF(OR($D660="",$B660=""),"",INT(($B660-$D660)/365.25))</f>
        <v/>
      </c>
      <c r="H660" s="25"/>
      <c r="I660" s="12"/>
      <c r="J660" s="14" t="str">
        <f aca="false">IF(OR($C660="",$D660="",$B660=""),"",IF(COUNTIFS($C$5:$C$804,$C660,$D$5:$D$804,$D660,$B$5:$B$804,$B660)&gt;1,"Takror",""))</f>
        <v/>
      </c>
    </row>
    <row r="661" customFormat="false" ht="15" hidden="false" customHeight="false" outlineLevel="0" collapsed="false">
      <c r="A661" s="8" t="n">
        <v>657</v>
      </c>
      <c r="B661" s="13"/>
      <c r="C661" s="12"/>
      <c r="D661" s="13"/>
      <c r="E661" s="24"/>
      <c r="F661" s="12"/>
      <c r="G661" s="14" t="str">
        <f aca="false">IF(OR($D661="",$B661=""),"",INT(($B661-$D661)/365.25))</f>
        <v/>
      </c>
      <c r="H661" s="25"/>
      <c r="I661" s="12"/>
      <c r="J661" s="14" t="str">
        <f aca="false">IF(OR($C661="",$D661="",$B661=""),"",IF(COUNTIFS($C$5:$C$804,$C661,$D$5:$D$804,$D661,$B$5:$B$804,$B661)&gt;1,"Takror",""))</f>
        <v/>
      </c>
    </row>
    <row r="662" customFormat="false" ht="15" hidden="false" customHeight="false" outlineLevel="0" collapsed="false">
      <c r="A662" s="8" t="n">
        <v>658</v>
      </c>
      <c r="B662" s="13"/>
      <c r="C662" s="12"/>
      <c r="D662" s="13"/>
      <c r="E662" s="24"/>
      <c r="F662" s="12"/>
      <c r="G662" s="14" t="str">
        <f aca="false">IF(OR($D662="",$B662=""),"",INT(($B662-$D662)/365.25))</f>
        <v/>
      </c>
      <c r="H662" s="25"/>
      <c r="I662" s="12"/>
      <c r="J662" s="14" t="str">
        <f aca="false">IF(OR($C662="",$D662="",$B662=""),"",IF(COUNTIFS($C$5:$C$804,$C662,$D$5:$D$804,$D662,$B$5:$B$804,$B662)&gt;1,"Takror",""))</f>
        <v/>
      </c>
    </row>
    <row r="663" customFormat="false" ht="15" hidden="false" customHeight="false" outlineLevel="0" collapsed="false">
      <c r="A663" s="8" t="n">
        <v>659</v>
      </c>
      <c r="B663" s="13"/>
      <c r="C663" s="12"/>
      <c r="D663" s="13"/>
      <c r="E663" s="24"/>
      <c r="F663" s="12"/>
      <c r="G663" s="14" t="str">
        <f aca="false">IF(OR($D663="",$B663=""),"",INT(($B663-$D663)/365.25))</f>
        <v/>
      </c>
      <c r="H663" s="25"/>
      <c r="I663" s="12"/>
      <c r="J663" s="14" t="str">
        <f aca="false">IF(OR($C663="",$D663="",$B663=""),"",IF(COUNTIFS($C$5:$C$804,$C663,$D$5:$D$804,$D663,$B$5:$B$804,$B663)&gt;1,"Takror",""))</f>
        <v/>
      </c>
    </row>
    <row r="664" customFormat="false" ht="15" hidden="false" customHeight="false" outlineLevel="0" collapsed="false">
      <c r="A664" s="8" t="n">
        <v>660</v>
      </c>
      <c r="B664" s="13"/>
      <c r="C664" s="12"/>
      <c r="D664" s="13"/>
      <c r="E664" s="24"/>
      <c r="F664" s="12"/>
      <c r="G664" s="14" t="str">
        <f aca="false">IF(OR($D664="",$B664=""),"",INT(($B664-$D664)/365.25))</f>
        <v/>
      </c>
      <c r="H664" s="25"/>
      <c r="I664" s="12"/>
      <c r="J664" s="14" t="str">
        <f aca="false">IF(OR($C664="",$D664="",$B664=""),"",IF(COUNTIFS($C$5:$C$804,$C664,$D$5:$D$804,$D664,$B$5:$B$804,$B664)&gt;1,"Takror",""))</f>
        <v/>
      </c>
    </row>
    <row r="665" customFormat="false" ht="15" hidden="false" customHeight="false" outlineLevel="0" collapsed="false">
      <c r="A665" s="8" t="n">
        <v>661</v>
      </c>
      <c r="B665" s="13"/>
      <c r="C665" s="12"/>
      <c r="D665" s="13"/>
      <c r="E665" s="24"/>
      <c r="F665" s="12"/>
      <c r="G665" s="14" t="str">
        <f aca="false">IF(OR($D665="",$B665=""),"",INT(($B665-$D665)/365.25))</f>
        <v/>
      </c>
      <c r="H665" s="25"/>
      <c r="I665" s="12"/>
      <c r="J665" s="14" t="str">
        <f aca="false">IF(OR($C665="",$D665="",$B665=""),"",IF(COUNTIFS($C$5:$C$804,$C665,$D$5:$D$804,$D665,$B$5:$B$804,$B665)&gt;1,"Takror",""))</f>
        <v/>
      </c>
    </row>
    <row r="666" customFormat="false" ht="15" hidden="false" customHeight="false" outlineLevel="0" collapsed="false">
      <c r="A666" s="8" t="n">
        <v>662</v>
      </c>
      <c r="B666" s="13"/>
      <c r="C666" s="12"/>
      <c r="D666" s="13"/>
      <c r="E666" s="24"/>
      <c r="F666" s="12"/>
      <c r="G666" s="14" t="str">
        <f aca="false">IF(OR($D666="",$B666=""),"",INT(($B666-$D666)/365.25))</f>
        <v/>
      </c>
      <c r="H666" s="25"/>
      <c r="I666" s="12"/>
      <c r="J666" s="14" t="str">
        <f aca="false">IF(OR($C666="",$D666="",$B666=""),"",IF(COUNTIFS($C$5:$C$804,$C666,$D$5:$D$804,$D666,$B$5:$B$804,$B666)&gt;1,"Takror",""))</f>
        <v/>
      </c>
    </row>
    <row r="667" customFormat="false" ht="15" hidden="false" customHeight="false" outlineLevel="0" collapsed="false">
      <c r="A667" s="8" t="n">
        <v>663</v>
      </c>
      <c r="B667" s="13"/>
      <c r="C667" s="12"/>
      <c r="D667" s="13"/>
      <c r="E667" s="24"/>
      <c r="F667" s="12"/>
      <c r="G667" s="14" t="str">
        <f aca="false">IF(OR($D667="",$B667=""),"",INT(($B667-$D667)/365.25))</f>
        <v/>
      </c>
      <c r="H667" s="25"/>
      <c r="I667" s="12"/>
      <c r="J667" s="14" t="str">
        <f aca="false">IF(OR($C667="",$D667="",$B667=""),"",IF(COUNTIFS($C$5:$C$804,$C667,$D$5:$D$804,$D667,$B$5:$B$804,$B667)&gt;1,"Takror",""))</f>
        <v/>
      </c>
    </row>
    <row r="668" customFormat="false" ht="15" hidden="false" customHeight="false" outlineLevel="0" collapsed="false">
      <c r="A668" s="8" t="n">
        <v>664</v>
      </c>
      <c r="B668" s="13"/>
      <c r="C668" s="12"/>
      <c r="D668" s="13"/>
      <c r="E668" s="24"/>
      <c r="F668" s="12"/>
      <c r="G668" s="14" t="str">
        <f aca="false">IF(OR($D668="",$B668=""),"",INT(($B668-$D668)/365.25))</f>
        <v/>
      </c>
      <c r="H668" s="25"/>
      <c r="I668" s="12"/>
      <c r="J668" s="14" t="str">
        <f aca="false">IF(OR($C668="",$D668="",$B668=""),"",IF(COUNTIFS($C$5:$C$804,$C668,$D$5:$D$804,$D668,$B$5:$B$804,$B668)&gt;1,"Takror",""))</f>
        <v/>
      </c>
    </row>
    <row r="669" customFormat="false" ht="15" hidden="false" customHeight="false" outlineLevel="0" collapsed="false">
      <c r="A669" s="8" t="n">
        <v>665</v>
      </c>
      <c r="B669" s="13"/>
      <c r="C669" s="12"/>
      <c r="D669" s="13"/>
      <c r="E669" s="24"/>
      <c r="F669" s="12"/>
      <c r="G669" s="14" t="str">
        <f aca="false">IF(OR($D669="",$B669=""),"",INT(($B669-$D669)/365.25))</f>
        <v/>
      </c>
      <c r="H669" s="25"/>
      <c r="I669" s="12"/>
      <c r="J669" s="14" t="str">
        <f aca="false">IF(OR($C669="",$D669="",$B669=""),"",IF(COUNTIFS($C$5:$C$804,$C669,$D$5:$D$804,$D669,$B$5:$B$804,$B669)&gt;1,"Takror",""))</f>
        <v/>
      </c>
    </row>
    <row r="670" customFormat="false" ht="15" hidden="false" customHeight="false" outlineLevel="0" collapsed="false">
      <c r="A670" s="8" t="n">
        <v>666</v>
      </c>
      <c r="B670" s="13"/>
      <c r="C670" s="12"/>
      <c r="D670" s="13"/>
      <c r="E670" s="24"/>
      <c r="F670" s="12"/>
      <c r="G670" s="14" t="str">
        <f aca="false">IF(OR($D670="",$B670=""),"",INT(($B670-$D670)/365.25))</f>
        <v/>
      </c>
      <c r="H670" s="25"/>
      <c r="I670" s="12"/>
      <c r="J670" s="14" t="str">
        <f aca="false">IF(OR($C670="",$D670="",$B670=""),"",IF(COUNTIFS($C$5:$C$804,$C670,$D$5:$D$804,$D670,$B$5:$B$804,$B670)&gt;1,"Takror",""))</f>
        <v/>
      </c>
    </row>
    <row r="671" customFormat="false" ht="15" hidden="false" customHeight="false" outlineLevel="0" collapsed="false">
      <c r="A671" s="8" t="n">
        <v>667</v>
      </c>
      <c r="B671" s="13"/>
      <c r="C671" s="12"/>
      <c r="D671" s="13"/>
      <c r="E671" s="24"/>
      <c r="F671" s="12"/>
      <c r="G671" s="14" t="str">
        <f aca="false">IF(OR($D671="",$B671=""),"",INT(($B671-$D671)/365.25))</f>
        <v/>
      </c>
      <c r="H671" s="25"/>
      <c r="I671" s="12"/>
      <c r="J671" s="14" t="str">
        <f aca="false">IF(OR($C671="",$D671="",$B671=""),"",IF(COUNTIFS($C$5:$C$804,$C671,$D$5:$D$804,$D671,$B$5:$B$804,$B671)&gt;1,"Takror",""))</f>
        <v/>
      </c>
    </row>
    <row r="672" customFormat="false" ht="15" hidden="false" customHeight="false" outlineLevel="0" collapsed="false">
      <c r="A672" s="8" t="n">
        <v>668</v>
      </c>
      <c r="B672" s="13"/>
      <c r="C672" s="12"/>
      <c r="D672" s="13"/>
      <c r="E672" s="24"/>
      <c r="F672" s="12"/>
      <c r="G672" s="14" t="str">
        <f aca="false">IF(OR($D672="",$B672=""),"",INT(($B672-$D672)/365.25))</f>
        <v/>
      </c>
      <c r="H672" s="25"/>
      <c r="I672" s="12"/>
      <c r="J672" s="14" t="str">
        <f aca="false">IF(OR($C672="",$D672="",$B672=""),"",IF(COUNTIFS($C$5:$C$804,$C672,$D$5:$D$804,$D672,$B$5:$B$804,$B672)&gt;1,"Takror",""))</f>
        <v/>
      </c>
    </row>
    <row r="673" customFormat="false" ht="15" hidden="false" customHeight="false" outlineLevel="0" collapsed="false">
      <c r="A673" s="8" t="n">
        <v>669</v>
      </c>
      <c r="B673" s="13"/>
      <c r="C673" s="12"/>
      <c r="D673" s="13"/>
      <c r="E673" s="24"/>
      <c r="F673" s="12"/>
      <c r="G673" s="14" t="str">
        <f aca="false">IF(OR($D673="",$B673=""),"",INT(($B673-$D673)/365.25))</f>
        <v/>
      </c>
      <c r="H673" s="25"/>
      <c r="I673" s="12"/>
      <c r="J673" s="14" t="str">
        <f aca="false">IF(OR($C673="",$D673="",$B673=""),"",IF(COUNTIFS($C$5:$C$804,$C673,$D$5:$D$804,$D673,$B$5:$B$804,$B673)&gt;1,"Takror",""))</f>
        <v/>
      </c>
    </row>
    <row r="674" customFormat="false" ht="15" hidden="false" customHeight="false" outlineLevel="0" collapsed="false">
      <c r="A674" s="8" t="n">
        <v>670</v>
      </c>
      <c r="B674" s="13"/>
      <c r="C674" s="12"/>
      <c r="D674" s="13"/>
      <c r="E674" s="24"/>
      <c r="F674" s="12"/>
      <c r="G674" s="14" t="str">
        <f aca="false">IF(OR($D674="",$B674=""),"",INT(($B674-$D674)/365.25))</f>
        <v/>
      </c>
      <c r="H674" s="25"/>
      <c r="I674" s="12"/>
      <c r="J674" s="14" t="str">
        <f aca="false">IF(OR($C674="",$D674="",$B674=""),"",IF(COUNTIFS($C$5:$C$804,$C674,$D$5:$D$804,$D674,$B$5:$B$804,$B674)&gt;1,"Takror",""))</f>
        <v/>
      </c>
    </row>
    <row r="675" customFormat="false" ht="15" hidden="false" customHeight="false" outlineLevel="0" collapsed="false">
      <c r="A675" s="8" t="n">
        <v>671</v>
      </c>
      <c r="B675" s="13"/>
      <c r="C675" s="12"/>
      <c r="D675" s="13"/>
      <c r="E675" s="24"/>
      <c r="F675" s="12"/>
      <c r="G675" s="14" t="str">
        <f aca="false">IF(OR($D675="",$B675=""),"",INT(($B675-$D675)/365.25))</f>
        <v/>
      </c>
      <c r="H675" s="25"/>
      <c r="I675" s="12"/>
      <c r="J675" s="14" t="str">
        <f aca="false">IF(OR($C675="",$D675="",$B675=""),"",IF(COUNTIFS($C$5:$C$804,$C675,$D$5:$D$804,$D675,$B$5:$B$804,$B675)&gt;1,"Takror",""))</f>
        <v/>
      </c>
    </row>
    <row r="676" customFormat="false" ht="15" hidden="false" customHeight="false" outlineLevel="0" collapsed="false">
      <c r="A676" s="8" t="n">
        <v>672</v>
      </c>
      <c r="B676" s="13"/>
      <c r="C676" s="12"/>
      <c r="D676" s="13"/>
      <c r="E676" s="24"/>
      <c r="F676" s="12"/>
      <c r="G676" s="14" t="str">
        <f aca="false">IF(OR($D676="",$B676=""),"",INT(($B676-$D676)/365.25))</f>
        <v/>
      </c>
      <c r="H676" s="25"/>
      <c r="I676" s="12"/>
      <c r="J676" s="14" t="str">
        <f aca="false">IF(OR($C676="",$D676="",$B676=""),"",IF(COUNTIFS($C$5:$C$804,$C676,$D$5:$D$804,$D676,$B$5:$B$804,$B676)&gt;1,"Takror",""))</f>
        <v/>
      </c>
    </row>
    <row r="677" customFormat="false" ht="15" hidden="false" customHeight="false" outlineLevel="0" collapsed="false">
      <c r="A677" s="8" t="n">
        <v>673</v>
      </c>
      <c r="B677" s="13"/>
      <c r="C677" s="12"/>
      <c r="D677" s="13"/>
      <c r="E677" s="24"/>
      <c r="F677" s="12"/>
      <c r="G677" s="14" t="str">
        <f aca="false">IF(OR($D677="",$B677=""),"",INT(($B677-$D677)/365.25))</f>
        <v/>
      </c>
      <c r="H677" s="25"/>
      <c r="I677" s="12"/>
      <c r="J677" s="14" t="str">
        <f aca="false">IF(OR($C677="",$D677="",$B677=""),"",IF(COUNTIFS($C$5:$C$804,$C677,$D$5:$D$804,$D677,$B$5:$B$804,$B677)&gt;1,"Takror",""))</f>
        <v/>
      </c>
    </row>
    <row r="678" customFormat="false" ht="15" hidden="false" customHeight="false" outlineLevel="0" collapsed="false">
      <c r="A678" s="8" t="n">
        <v>674</v>
      </c>
      <c r="B678" s="13"/>
      <c r="C678" s="12"/>
      <c r="D678" s="13"/>
      <c r="E678" s="24"/>
      <c r="F678" s="12"/>
      <c r="G678" s="14" t="str">
        <f aca="false">IF(OR($D678="",$B678=""),"",INT(($B678-$D678)/365.25))</f>
        <v/>
      </c>
      <c r="H678" s="25"/>
      <c r="I678" s="12"/>
      <c r="J678" s="14" t="str">
        <f aca="false">IF(OR($C678="",$D678="",$B678=""),"",IF(COUNTIFS($C$5:$C$804,$C678,$D$5:$D$804,$D678,$B$5:$B$804,$B678)&gt;1,"Takror",""))</f>
        <v/>
      </c>
    </row>
    <row r="679" customFormat="false" ht="15" hidden="false" customHeight="false" outlineLevel="0" collapsed="false">
      <c r="A679" s="8" t="n">
        <v>675</v>
      </c>
      <c r="B679" s="13"/>
      <c r="C679" s="12"/>
      <c r="D679" s="13"/>
      <c r="E679" s="24"/>
      <c r="F679" s="12"/>
      <c r="G679" s="14" t="str">
        <f aca="false">IF(OR($D679="",$B679=""),"",INT(($B679-$D679)/365.25))</f>
        <v/>
      </c>
      <c r="H679" s="25"/>
      <c r="I679" s="12"/>
      <c r="J679" s="14" t="str">
        <f aca="false">IF(OR($C679="",$D679="",$B679=""),"",IF(COUNTIFS($C$5:$C$804,$C679,$D$5:$D$804,$D679,$B$5:$B$804,$B679)&gt;1,"Takror",""))</f>
        <v/>
      </c>
    </row>
    <row r="680" customFormat="false" ht="15" hidden="false" customHeight="false" outlineLevel="0" collapsed="false">
      <c r="A680" s="8" t="n">
        <v>676</v>
      </c>
      <c r="B680" s="13"/>
      <c r="C680" s="12"/>
      <c r="D680" s="13"/>
      <c r="E680" s="24"/>
      <c r="F680" s="12"/>
      <c r="G680" s="14" t="str">
        <f aca="false">IF(OR($D680="",$B680=""),"",INT(($B680-$D680)/365.25))</f>
        <v/>
      </c>
      <c r="H680" s="25"/>
      <c r="I680" s="12"/>
      <c r="J680" s="14" t="str">
        <f aca="false">IF(OR($C680="",$D680="",$B680=""),"",IF(COUNTIFS($C$5:$C$804,$C680,$D$5:$D$804,$D680,$B$5:$B$804,$B680)&gt;1,"Takror",""))</f>
        <v/>
      </c>
    </row>
    <row r="681" customFormat="false" ht="15" hidden="false" customHeight="false" outlineLevel="0" collapsed="false">
      <c r="A681" s="8" t="n">
        <v>677</v>
      </c>
      <c r="B681" s="13"/>
      <c r="C681" s="12"/>
      <c r="D681" s="13"/>
      <c r="E681" s="24"/>
      <c r="F681" s="12"/>
      <c r="G681" s="14" t="str">
        <f aca="false">IF(OR($D681="",$B681=""),"",INT(($B681-$D681)/365.25))</f>
        <v/>
      </c>
      <c r="H681" s="25"/>
      <c r="I681" s="12"/>
      <c r="J681" s="14" t="str">
        <f aca="false">IF(OR($C681="",$D681="",$B681=""),"",IF(COUNTIFS($C$5:$C$804,$C681,$D$5:$D$804,$D681,$B$5:$B$804,$B681)&gt;1,"Takror",""))</f>
        <v/>
      </c>
    </row>
    <row r="682" customFormat="false" ht="15" hidden="false" customHeight="false" outlineLevel="0" collapsed="false">
      <c r="A682" s="8" t="n">
        <v>678</v>
      </c>
      <c r="B682" s="13"/>
      <c r="C682" s="12"/>
      <c r="D682" s="13"/>
      <c r="E682" s="24"/>
      <c r="F682" s="12"/>
      <c r="G682" s="14" t="str">
        <f aca="false">IF(OR($D682="",$B682=""),"",INT(($B682-$D682)/365.25))</f>
        <v/>
      </c>
      <c r="H682" s="25"/>
      <c r="I682" s="12"/>
      <c r="J682" s="14" t="str">
        <f aca="false">IF(OR($C682="",$D682="",$B682=""),"",IF(COUNTIFS($C$5:$C$804,$C682,$D$5:$D$804,$D682,$B$5:$B$804,$B682)&gt;1,"Takror",""))</f>
        <v/>
      </c>
    </row>
    <row r="683" customFormat="false" ht="15" hidden="false" customHeight="false" outlineLevel="0" collapsed="false">
      <c r="A683" s="8" t="n">
        <v>679</v>
      </c>
      <c r="B683" s="13"/>
      <c r="C683" s="12"/>
      <c r="D683" s="13"/>
      <c r="E683" s="24"/>
      <c r="F683" s="12"/>
      <c r="G683" s="14" t="str">
        <f aca="false">IF(OR($D683="",$B683=""),"",INT(($B683-$D683)/365.25))</f>
        <v/>
      </c>
      <c r="H683" s="25"/>
      <c r="I683" s="12"/>
      <c r="J683" s="14" t="str">
        <f aca="false">IF(OR($C683="",$D683="",$B683=""),"",IF(COUNTIFS($C$5:$C$804,$C683,$D$5:$D$804,$D683,$B$5:$B$804,$B683)&gt;1,"Takror",""))</f>
        <v/>
      </c>
    </row>
    <row r="684" customFormat="false" ht="15" hidden="false" customHeight="false" outlineLevel="0" collapsed="false">
      <c r="A684" s="8" t="n">
        <v>680</v>
      </c>
      <c r="B684" s="13"/>
      <c r="C684" s="12"/>
      <c r="D684" s="13"/>
      <c r="E684" s="24"/>
      <c r="F684" s="12"/>
      <c r="G684" s="14" t="str">
        <f aca="false">IF(OR($D684="",$B684=""),"",INT(($B684-$D684)/365.25))</f>
        <v/>
      </c>
      <c r="H684" s="25"/>
      <c r="I684" s="12"/>
      <c r="J684" s="14" t="str">
        <f aca="false">IF(OR($C684="",$D684="",$B684=""),"",IF(COUNTIFS($C$5:$C$804,$C684,$D$5:$D$804,$D684,$B$5:$B$804,$B684)&gt;1,"Takror",""))</f>
        <v/>
      </c>
    </row>
    <row r="685" customFormat="false" ht="15" hidden="false" customHeight="false" outlineLevel="0" collapsed="false">
      <c r="A685" s="8" t="n">
        <v>681</v>
      </c>
      <c r="B685" s="13"/>
      <c r="C685" s="12"/>
      <c r="D685" s="13"/>
      <c r="E685" s="24"/>
      <c r="F685" s="12"/>
      <c r="G685" s="14" t="str">
        <f aca="false">IF(OR($D685="",$B685=""),"",INT(($B685-$D685)/365.25))</f>
        <v/>
      </c>
      <c r="H685" s="25"/>
      <c r="I685" s="12"/>
      <c r="J685" s="14" t="str">
        <f aca="false">IF(OR($C685="",$D685="",$B685=""),"",IF(COUNTIFS($C$5:$C$804,$C685,$D$5:$D$804,$D685,$B$5:$B$804,$B685)&gt;1,"Takror",""))</f>
        <v/>
      </c>
    </row>
    <row r="686" customFormat="false" ht="15" hidden="false" customHeight="false" outlineLevel="0" collapsed="false">
      <c r="A686" s="8" t="n">
        <v>682</v>
      </c>
      <c r="B686" s="13"/>
      <c r="C686" s="12"/>
      <c r="D686" s="13"/>
      <c r="E686" s="24"/>
      <c r="F686" s="12"/>
      <c r="G686" s="14" t="str">
        <f aca="false">IF(OR($D686="",$B686=""),"",INT(($B686-$D686)/365.25))</f>
        <v/>
      </c>
      <c r="H686" s="25"/>
      <c r="I686" s="12"/>
      <c r="J686" s="14" t="str">
        <f aca="false">IF(OR($C686="",$D686="",$B686=""),"",IF(COUNTIFS($C$5:$C$804,$C686,$D$5:$D$804,$D686,$B$5:$B$804,$B686)&gt;1,"Takror",""))</f>
        <v/>
      </c>
    </row>
    <row r="687" customFormat="false" ht="15" hidden="false" customHeight="false" outlineLevel="0" collapsed="false">
      <c r="A687" s="8" t="n">
        <v>683</v>
      </c>
      <c r="B687" s="13"/>
      <c r="C687" s="12"/>
      <c r="D687" s="13"/>
      <c r="E687" s="24"/>
      <c r="F687" s="12"/>
      <c r="G687" s="14" t="str">
        <f aca="false">IF(OR($D687="",$B687=""),"",INT(($B687-$D687)/365.25))</f>
        <v/>
      </c>
      <c r="H687" s="25"/>
      <c r="I687" s="12"/>
      <c r="J687" s="14" t="str">
        <f aca="false">IF(OR($C687="",$D687="",$B687=""),"",IF(COUNTIFS($C$5:$C$804,$C687,$D$5:$D$804,$D687,$B$5:$B$804,$B687)&gt;1,"Takror",""))</f>
        <v/>
      </c>
    </row>
    <row r="688" customFormat="false" ht="15" hidden="false" customHeight="false" outlineLevel="0" collapsed="false">
      <c r="A688" s="8" t="n">
        <v>684</v>
      </c>
      <c r="B688" s="13"/>
      <c r="C688" s="12"/>
      <c r="D688" s="13"/>
      <c r="E688" s="24"/>
      <c r="F688" s="12"/>
      <c r="G688" s="14" t="str">
        <f aca="false">IF(OR($D688="",$B688=""),"",INT(($B688-$D688)/365.25))</f>
        <v/>
      </c>
      <c r="H688" s="25"/>
      <c r="I688" s="12"/>
      <c r="J688" s="14" t="str">
        <f aca="false">IF(OR($C688="",$D688="",$B688=""),"",IF(COUNTIFS($C$5:$C$804,$C688,$D$5:$D$804,$D688,$B$5:$B$804,$B688)&gt;1,"Takror",""))</f>
        <v/>
      </c>
    </row>
    <row r="689" customFormat="false" ht="15" hidden="false" customHeight="false" outlineLevel="0" collapsed="false">
      <c r="A689" s="8" t="n">
        <v>685</v>
      </c>
      <c r="B689" s="13"/>
      <c r="C689" s="12"/>
      <c r="D689" s="13"/>
      <c r="E689" s="24"/>
      <c r="F689" s="12"/>
      <c r="G689" s="14" t="str">
        <f aca="false">IF(OR($D689="",$B689=""),"",INT(($B689-$D689)/365.25))</f>
        <v/>
      </c>
      <c r="H689" s="25"/>
      <c r="I689" s="12"/>
      <c r="J689" s="14" t="str">
        <f aca="false">IF(OR($C689="",$D689="",$B689=""),"",IF(COUNTIFS($C$5:$C$804,$C689,$D$5:$D$804,$D689,$B$5:$B$804,$B689)&gt;1,"Takror",""))</f>
        <v/>
      </c>
    </row>
    <row r="690" customFormat="false" ht="15" hidden="false" customHeight="false" outlineLevel="0" collapsed="false">
      <c r="A690" s="8" t="n">
        <v>686</v>
      </c>
      <c r="B690" s="13"/>
      <c r="C690" s="12"/>
      <c r="D690" s="13"/>
      <c r="E690" s="24"/>
      <c r="F690" s="12"/>
      <c r="G690" s="14" t="str">
        <f aca="false">IF(OR($D690="",$B690=""),"",INT(($B690-$D690)/365.25))</f>
        <v/>
      </c>
      <c r="H690" s="25"/>
      <c r="I690" s="12"/>
      <c r="J690" s="14" t="str">
        <f aca="false">IF(OR($C690="",$D690="",$B690=""),"",IF(COUNTIFS($C$5:$C$804,$C690,$D$5:$D$804,$D690,$B$5:$B$804,$B690)&gt;1,"Takror",""))</f>
        <v/>
      </c>
    </row>
    <row r="691" customFormat="false" ht="15" hidden="false" customHeight="false" outlineLevel="0" collapsed="false">
      <c r="A691" s="8" t="n">
        <v>687</v>
      </c>
      <c r="B691" s="13"/>
      <c r="C691" s="12"/>
      <c r="D691" s="13"/>
      <c r="E691" s="24"/>
      <c r="F691" s="12"/>
      <c r="G691" s="14" t="str">
        <f aca="false">IF(OR($D691="",$B691=""),"",INT(($B691-$D691)/365.25))</f>
        <v/>
      </c>
      <c r="H691" s="25"/>
      <c r="I691" s="12"/>
      <c r="J691" s="14" t="str">
        <f aca="false">IF(OR($C691="",$D691="",$B691=""),"",IF(COUNTIFS($C$5:$C$804,$C691,$D$5:$D$804,$D691,$B$5:$B$804,$B691)&gt;1,"Takror",""))</f>
        <v/>
      </c>
    </row>
    <row r="692" customFormat="false" ht="15" hidden="false" customHeight="false" outlineLevel="0" collapsed="false">
      <c r="A692" s="8" t="n">
        <v>688</v>
      </c>
      <c r="B692" s="13"/>
      <c r="C692" s="12"/>
      <c r="D692" s="13"/>
      <c r="E692" s="24"/>
      <c r="F692" s="12"/>
      <c r="G692" s="14" t="str">
        <f aca="false">IF(OR($D692="",$B692=""),"",INT(($B692-$D692)/365.25))</f>
        <v/>
      </c>
      <c r="H692" s="25"/>
      <c r="I692" s="12"/>
      <c r="J692" s="14" t="str">
        <f aca="false">IF(OR($C692="",$D692="",$B692=""),"",IF(COUNTIFS($C$5:$C$804,$C692,$D$5:$D$804,$D692,$B$5:$B$804,$B692)&gt;1,"Takror",""))</f>
        <v/>
      </c>
    </row>
    <row r="693" customFormat="false" ht="15" hidden="false" customHeight="false" outlineLevel="0" collapsed="false">
      <c r="A693" s="8" t="n">
        <v>689</v>
      </c>
      <c r="B693" s="13"/>
      <c r="C693" s="12"/>
      <c r="D693" s="13"/>
      <c r="E693" s="24"/>
      <c r="F693" s="12"/>
      <c r="G693" s="14" t="str">
        <f aca="false">IF(OR($D693="",$B693=""),"",INT(($B693-$D693)/365.25))</f>
        <v/>
      </c>
      <c r="H693" s="25"/>
      <c r="I693" s="12"/>
      <c r="J693" s="14" t="str">
        <f aca="false">IF(OR($C693="",$D693="",$B693=""),"",IF(COUNTIFS($C$5:$C$804,$C693,$D$5:$D$804,$D693,$B$5:$B$804,$B693)&gt;1,"Takror",""))</f>
        <v/>
      </c>
    </row>
    <row r="694" customFormat="false" ht="15" hidden="false" customHeight="false" outlineLevel="0" collapsed="false">
      <c r="A694" s="8" t="n">
        <v>690</v>
      </c>
      <c r="B694" s="13"/>
      <c r="C694" s="12"/>
      <c r="D694" s="13"/>
      <c r="E694" s="24"/>
      <c r="F694" s="12"/>
      <c r="G694" s="14" t="str">
        <f aca="false">IF(OR($D694="",$B694=""),"",INT(($B694-$D694)/365.25))</f>
        <v/>
      </c>
      <c r="H694" s="25"/>
      <c r="I694" s="12"/>
      <c r="J694" s="14" t="str">
        <f aca="false">IF(OR($C694="",$D694="",$B694=""),"",IF(COUNTIFS($C$5:$C$804,$C694,$D$5:$D$804,$D694,$B$5:$B$804,$B694)&gt;1,"Takror",""))</f>
        <v/>
      </c>
    </row>
    <row r="695" customFormat="false" ht="15" hidden="false" customHeight="false" outlineLevel="0" collapsed="false">
      <c r="A695" s="8" t="n">
        <v>691</v>
      </c>
      <c r="B695" s="13"/>
      <c r="C695" s="12"/>
      <c r="D695" s="13"/>
      <c r="E695" s="24"/>
      <c r="F695" s="12"/>
      <c r="G695" s="14" t="str">
        <f aca="false">IF(OR($D695="",$B695=""),"",INT(($B695-$D695)/365.25))</f>
        <v/>
      </c>
      <c r="H695" s="25"/>
      <c r="I695" s="12"/>
      <c r="J695" s="14" t="str">
        <f aca="false">IF(OR($C695="",$D695="",$B695=""),"",IF(COUNTIFS($C$5:$C$804,$C695,$D$5:$D$804,$D695,$B$5:$B$804,$B695)&gt;1,"Takror",""))</f>
        <v/>
      </c>
    </row>
    <row r="696" customFormat="false" ht="15" hidden="false" customHeight="false" outlineLevel="0" collapsed="false">
      <c r="A696" s="8" t="n">
        <v>692</v>
      </c>
      <c r="B696" s="13"/>
      <c r="C696" s="12"/>
      <c r="D696" s="13"/>
      <c r="E696" s="24"/>
      <c r="F696" s="12"/>
      <c r="G696" s="14" t="str">
        <f aca="false">IF(OR($D696="",$B696=""),"",INT(($B696-$D696)/365.25))</f>
        <v/>
      </c>
      <c r="H696" s="25"/>
      <c r="I696" s="12"/>
      <c r="J696" s="14" t="str">
        <f aca="false">IF(OR($C696="",$D696="",$B696=""),"",IF(COUNTIFS($C$5:$C$804,$C696,$D$5:$D$804,$D696,$B$5:$B$804,$B696)&gt;1,"Takror",""))</f>
        <v/>
      </c>
    </row>
    <row r="697" customFormat="false" ht="15" hidden="false" customHeight="false" outlineLevel="0" collapsed="false">
      <c r="A697" s="8" t="n">
        <v>693</v>
      </c>
      <c r="B697" s="13"/>
      <c r="C697" s="12"/>
      <c r="D697" s="13"/>
      <c r="E697" s="24"/>
      <c r="F697" s="12"/>
      <c r="G697" s="14" t="str">
        <f aca="false">IF(OR($D697="",$B697=""),"",INT(($B697-$D697)/365.25))</f>
        <v/>
      </c>
      <c r="H697" s="25"/>
      <c r="I697" s="12"/>
      <c r="J697" s="14" t="str">
        <f aca="false">IF(OR($C697="",$D697="",$B697=""),"",IF(COUNTIFS($C$5:$C$804,$C697,$D$5:$D$804,$D697,$B$5:$B$804,$B697)&gt;1,"Takror",""))</f>
        <v/>
      </c>
    </row>
    <row r="698" customFormat="false" ht="15" hidden="false" customHeight="false" outlineLevel="0" collapsed="false">
      <c r="A698" s="8" t="n">
        <v>694</v>
      </c>
      <c r="B698" s="13"/>
      <c r="C698" s="12"/>
      <c r="D698" s="13"/>
      <c r="E698" s="24"/>
      <c r="F698" s="12"/>
      <c r="G698" s="14" t="str">
        <f aca="false">IF(OR($D698="",$B698=""),"",INT(($B698-$D698)/365.25))</f>
        <v/>
      </c>
      <c r="H698" s="25"/>
      <c r="I698" s="12"/>
      <c r="J698" s="14" t="str">
        <f aca="false">IF(OR($C698="",$D698="",$B698=""),"",IF(COUNTIFS($C$5:$C$804,$C698,$D$5:$D$804,$D698,$B$5:$B$804,$B698)&gt;1,"Takror",""))</f>
        <v/>
      </c>
    </row>
    <row r="699" customFormat="false" ht="15" hidden="false" customHeight="false" outlineLevel="0" collapsed="false">
      <c r="A699" s="8" t="n">
        <v>695</v>
      </c>
      <c r="B699" s="13"/>
      <c r="C699" s="12"/>
      <c r="D699" s="13"/>
      <c r="E699" s="24"/>
      <c r="F699" s="12"/>
      <c r="G699" s="14" t="str">
        <f aca="false">IF(OR($D699="",$B699=""),"",INT(($B699-$D699)/365.25))</f>
        <v/>
      </c>
      <c r="H699" s="25"/>
      <c r="I699" s="12"/>
      <c r="J699" s="14" t="str">
        <f aca="false">IF(OR($C699="",$D699="",$B699=""),"",IF(COUNTIFS($C$5:$C$804,$C699,$D$5:$D$804,$D699,$B$5:$B$804,$B699)&gt;1,"Takror",""))</f>
        <v/>
      </c>
    </row>
    <row r="700" customFormat="false" ht="15" hidden="false" customHeight="false" outlineLevel="0" collapsed="false">
      <c r="A700" s="8" t="n">
        <v>696</v>
      </c>
      <c r="B700" s="13"/>
      <c r="C700" s="12"/>
      <c r="D700" s="13"/>
      <c r="E700" s="24"/>
      <c r="F700" s="12"/>
      <c r="G700" s="14" t="str">
        <f aca="false">IF(OR($D700="",$B700=""),"",INT(($B700-$D700)/365.25))</f>
        <v/>
      </c>
      <c r="H700" s="25"/>
      <c r="I700" s="12"/>
      <c r="J700" s="14" t="str">
        <f aca="false">IF(OR($C700="",$D700="",$B700=""),"",IF(COUNTIFS($C$5:$C$804,$C700,$D$5:$D$804,$D700,$B$5:$B$804,$B700)&gt;1,"Takror",""))</f>
        <v/>
      </c>
    </row>
    <row r="701" customFormat="false" ht="15" hidden="false" customHeight="false" outlineLevel="0" collapsed="false">
      <c r="A701" s="8" t="n">
        <v>697</v>
      </c>
      <c r="B701" s="13"/>
      <c r="C701" s="12"/>
      <c r="D701" s="13"/>
      <c r="E701" s="24"/>
      <c r="F701" s="12"/>
      <c r="G701" s="14" t="str">
        <f aca="false">IF(OR($D701="",$B701=""),"",INT(($B701-$D701)/365.25))</f>
        <v/>
      </c>
      <c r="H701" s="25"/>
      <c r="I701" s="12"/>
      <c r="J701" s="14" t="str">
        <f aca="false">IF(OR($C701="",$D701="",$B701=""),"",IF(COUNTIFS($C$5:$C$804,$C701,$D$5:$D$804,$D701,$B$5:$B$804,$B701)&gt;1,"Takror",""))</f>
        <v/>
      </c>
    </row>
    <row r="702" customFormat="false" ht="15" hidden="false" customHeight="false" outlineLevel="0" collapsed="false">
      <c r="A702" s="8" t="n">
        <v>698</v>
      </c>
      <c r="B702" s="13"/>
      <c r="C702" s="12"/>
      <c r="D702" s="13"/>
      <c r="E702" s="24"/>
      <c r="F702" s="12"/>
      <c r="G702" s="14" t="str">
        <f aca="false">IF(OR($D702="",$B702=""),"",INT(($B702-$D702)/365.25))</f>
        <v/>
      </c>
      <c r="H702" s="25"/>
      <c r="I702" s="12"/>
      <c r="J702" s="14" t="str">
        <f aca="false">IF(OR($C702="",$D702="",$B702=""),"",IF(COUNTIFS($C$5:$C$804,$C702,$D$5:$D$804,$D702,$B$5:$B$804,$B702)&gt;1,"Takror",""))</f>
        <v/>
      </c>
    </row>
    <row r="703" customFormat="false" ht="15" hidden="false" customHeight="false" outlineLevel="0" collapsed="false">
      <c r="A703" s="8" t="n">
        <v>699</v>
      </c>
      <c r="B703" s="13"/>
      <c r="C703" s="12"/>
      <c r="D703" s="13"/>
      <c r="E703" s="24"/>
      <c r="F703" s="12"/>
      <c r="G703" s="14" t="str">
        <f aca="false">IF(OR($D703="",$B703=""),"",INT(($B703-$D703)/365.25))</f>
        <v/>
      </c>
      <c r="H703" s="25"/>
      <c r="I703" s="12"/>
      <c r="J703" s="14" t="str">
        <f aca="false">IF(OR($C703="",$D703="",$B703=""),"",IF(COUNTIFS($C$5:$C$804,$C703,$D$5:$D$804,$D703,$B$5:$B$804,$B703)&gt;1,"Takror",""))</f>
        <v/>
      </c>
    </row>
    <row r="704" customFormat="false" ht="15" hidden="false" customHeight="false" outlineLevel="0" collapsed="false">
      <c r="A704" s="8" t="n">
        <v>700</v>
      </c>
      <c r="B704" s="13"/>
      <c r="C704" s="12"/>
      <c r="D704" s="13"/>
      <c r="E704" s="24"/>
      <c r="F704" s="12"/>
      <c r="G704" s="14" t="str">
        <f aca="false">IF(OR($D704="",$B704=""),"",INT(($B704-$D704)/365.25))</f>
        <v/>
      </c>
      <c r="H704" s="25"/>
      <c r="I704" s="12"/>
      <c r="J704" s="14" t="str">
        <f aca="false">IF(OR($C704="",$D704="",$B704=""),"",IF(COUNTIFS($C$5:$C$804,$C704,$D$5:$D$804,$D704,$B$5:$B$804,$B704)&gt;1,"Takror",""))</f>
        <v/>
      </c>
    </row>
    <row r="705" customFormat="false" ht="15" hidden="false" customHeight="false" outlineLevel="0" collapsed="false">
      <c r="A705" s="8" t="n">
        <v>701</v>
      </c>
      <c r="B705" s="13"/>
      <c r="C705" s="12"/>
      <c r="D705" s="13"/>
      <c r="E705" s="24"/>
      <c r="F705" s="12"/>
      <c r="G705" s="14" t="str">
        <f aca="false">IF(OR($D705="",$B705=""),"",INT(($B705-$D705)/365.25))</f>
        <v/>
      </c>
      <c r="H705" s="25"/>
      <c r="I705" s="12"/>
      <c r="J705" s="14" t="str">
        <f aca="false">IF(OR($C705="",$D705="",$B705=""),"",IF(COUNTIFS($C$5:$C$804,$C705,$D$5:$D$804,$D705,$B$5:$B$804,$B705)&gt;1,"Takror",""))</f>
        <v/>
      </c>
    </row>
    <row r="706" customFormat="false" ht="15" hidden="false" customHeight="false" outlineLevel="0" collapsed="false">
      <c r="A706" s="8" t="n">
        <v>702</v>
      </c>
      <c r="B706" s="13"/>
      <c r="C706" s="12"/>
      <c r="D706" s="13"/>
      <c r="E706" s="24"/>
      <c r="F706" s="12"/>
      <c r="G706" s="14" t="str">
        <f aca="false">IF(OR($D706="",$B706=""),"",INT(($B706-$D706)/365.25))</f>
        <v/>
      </c>
      <c r="H706" s="25"/>
      <c r="I706" s="12"/>
      <c r="J706" s="14" t="str">
        <f aca="false">IF(OR($C706="",$D706="",$B706=""),"",IF(COUNTIFS($C$5:$C$804,$C706,$D$5:$D$804,$D706,$B$5:$B$804,$B706)&gt;1,"Takror",""))</f>
        <v/>
      </c>
    </row>
    <row r="707" customFormat="false" ht="15" hidden="false" customHeight="false" outlineLevel="0" collapsed="false">
      <c r="A707" s="8" t="n">
        <v>703</v>
      </c>
      <c r="B707" s="13"/>
      <c r="C707" s="12"/>
      <c r="D707" s="13"/>
      <c r="E707" s="24"/>
      <c r="F707" s="12"/>
      <c r="G707" s="14" t="str">
        <f aca="false">IF(OR($D707="",$B707=""),"",INT(($B707-$D707)/365.25))</f>
        <v/>
      </c>
      <c r="H707" s="25"/>
      <c r="I707" s="12"/>
      <c r="J707" s="14" t="str">
        <f aca="false">IF(OR($C707="",$D707="",$B707=""),"",IF(COUNTIFS($C$5:$C$804,$C707,$D$5:$D$804,$D707,$B$5:$B$804,$B707)&gt;1,"Takror",""))</f>
        <v/>
      </c>
    </row>
    <row r="708" customFormat="false" ht="15" hidden="false" customHeight="false" outlineLevel="0" collapsed="false">
      <c r="A708" s="8" t="n">
        <v>704</v>
      </c>
      <c r="B708" s="13"/>
      <c r="C708" s="12"/>
      <c r="D708" s="13"/>
      <c r="E708" s="24"/>
      <c r="F708" s="12"/>
      <c r="G708" s="14" t="str">
        <f aca="false">IF(OR($D708="",$B708=""),"",INT(($B708-$D708)/365.25))</f>
        <v/>
      </c>
      <c r="H708" s="25"/>
      <c r="I708" s="12"/>
      <c r="J708" s="14" t="str">
        <f aca="false">IF(OR($C708="",$D708="",$B708=""),"",IF(COUNTIFS($C$5:$C$804,$C708,$D$5:$D$804,$D708,$B$5:$B$804,$B708)&gt;1,"Takror",""))</f>
        <v/>
      </c>
    </row>
    <row r="709" customFormat="false" ht="15" hidden="false" customHeight="false" outlineLevel="0" collapsed="false">
      <c r="A709" s="8" t="n">
        <v>705</v>
      </c>
      <c r="B709" s="13"/>
      <c r="C709" s="12"/>
      <c r="D709" s="13"/>
      <c r="E709" s="24"/>
      <c r="F709" s="12"/>
      <c r="G709" s="14" t="str">
        <f aca="false">IF(OR($D709="",$B709=""),"",INT(($B709-$D709)/365.25))</f>
        <v/>
      </c>
      <c r="H709" s="25"/>
      <c r="I709" s="12"/>
      <c r="J709" s="14" t="str">
        <f aca="false">IF(OR($C709="",$D709="",$B709=""),"",IF(COUNTIFS($C$5:$C$804,$C709,$D$5:$D$804,$D709,$B$5:$B$804,$B709)&gt;1,"Takror",""))</f>
        <v/>
      </c>
    </row>
    <row r="710" customFormat="false" ht="15" hidden="false" customHeight="false" outlineLevel="0" collapsed="false">
      <c r="A710" s="8" t="n">
        <v>706</v>
      </c>
      <c r="B710" s="13"/>
      <c r="C710" s="12"/>
      <c r="D710" s="13"/>
      <c r="E710" s="24"/>
      <c r="F710" s="12"/>
      <c r="G710" s="14" t="str">
        <f aca="false">IF(OR($D710="",$B710=""),"",INT(($B710-$D710)/365.25))</f>
        <v/>
      </c>
      <c r="H710" s="25"/>
      <c r="I710" s="12"/>
      <c r="J710" s="14" t="str">
        <f aca="false">IF(OR($C710="",$D710="",$B710=""),"",IF(COUNTIFS($C$5:$C$804,$C710,$D$5:$D$804,$D710,$B$5:$B$804,$B710)&gt;1,"Takror",""))</f>
        <v/>
      </c>
    </row>
    <row r="711" customFormat="false" ht="15" hidden="false" customHeight="false" outlineLevel="0" collapsed="false">
      <c r="A711" s="8" t="n">
        <v>707</v>
      </c>
      <c r="B711" s="13"/>
      <c r="C711" s="12"/>
      <c r="D711" s="13"/>
      <c r="E711" s="24"/>
      <c r="F711" s="12"/>
      <c r="G711" s="14" t="str">
        <f aca="false">IF(OR($D711="",$B711=""),"",INT(($B711-$D711)/365.25))</f>
        <v/>
      </c>
      <c r="H711" s="25"/>
      <c r="I711" s="12"/>
      <c r="J711" s="14" t="str">
        <f aca="false">IF(OR($C711="",$D711="",$B711=""),"",IF(COUNTIFS($C$5:$C$804,$C711,$D$5:$D$804,$D711,$B$5:$B$804,$B711)&gt;1,"Takror",""))</f>
        <v/>
      </c>
    </row>
    <row r="712" customFormat="false" ht="15" hidden="false" customHeight="false" outlineLevel="0" collapsed="false">
      <c r="A712" s="8" t="n">
        <v>708</v>
      </c>
      <c r="B712" s="13"/>
      <c r="C712" s="12"/>
      <c r="D712" s="13"/>
      <c r="E712" s="24"/>
      <c r="F712" s="12"/>
      <c r="G712" s="14" t="str">
        <f aca="false">IF(OR($D712="",$B712=""),"",INT(($B712-$D712)/365.25))</f>
        <v/>
      </c>
      <c r="H712" s="25"/>
      <c r="I712" s="12"/>
      <c r="J712" s="14" t="str">
        <f aca="false">IF(OR($C712="",$D712="",$B712=""),"",IF(COUNTIFS($C$5:$C$804,$C712,$D$5:$D$804,$D712,$B$5:$B$804,$B712)&gt;1,"Takror",""))</f>
        <v/>
      </c>
    </row>
    <row r="713" customFormat="false" ht="15" hidden="false" customHeight="false" outlineLevel="0" collapsed="false">
      <c r="A713" s="8" t="n">
        <v>709</v>
      </c>
      <c r="B713" s="13"/>
      <c r="C713" s="12"/>
      <c r="D713" s="13"/>
      <c r="E713" s="24"/>
      <c r="F713" s="12"/>
      <c r="G713" s="14" t="str">
        <f aca="false">IF(OR($D713="",$B713=""),"",INT(($B713-$D713)/365.25))</f>
        <v/>
      </c>
      <c r="H713" s="25"/>
      <c r="I713" s="12"/>
      <c r="J713" s="14" t="str">
        <f aca="false">IF(OR($C713="",$D713="",$B713=""),"",IF(COUNTIFS($C$5:$C$804,$C713,$D$5:$D$804,$D713,$B$5:$B$804,$B713)&gt;1,"Takror",""))</f>
        <v/>
      </c>
    </row>
    <row r="714" customFormat="false" ht="15" hidden="false" customHeight="false" outlineLevel="0" collapsed="false">
      <c r="A714" s="8" t="n">
        <v>710</v>
      </c>
      <c r="B714" s="13"/>
      <c r="C714" s="12"/>
      <c r="D714" s="13"/>
      <c r="E714" s="24"/>
      <c r="F714" s="12"/>
      <c r="G714" s="14" t="str">
        <f aca="false">IF(OR($D714="",$B714=""),"",INT(($B714-$D714)/365.25))</f>
        <v/>
      </c>
      <c r="H714" s="25"/>
      <c r="I714" s="12"/>
      <c r="J714" s="14" t="str">
        <f aca="false">IF(OR($C714="",$D714="",$B714=""),"",IF(COUNTIFS($C$5:$C$804,$C714,$D$5:$D$804,$D714,$B$5:$B$804,$B714)&gt;1,"Takror",""))</f>
        <v/>
      </c>
    </row>
    <row r="715" customFormat="false" ht="15" hidden="false" customHeight="false" outlineLevel="0" collapsed="false">
      <c r="A715" s="8" t="n">
        <v>711</v>
      </c>
      <c r="B715" s="13"/>
      <c r="C715" s="12"/>
      <c r="D715" s="13"/>
      <c r="E715" s="24"/>
      <c r="F715" s="12"/>
      <c r="G715" s="14" t="str">
        <f aca="false">IF(OR($D715="",$B715=""),"",INT(($B715-$D715)/365.25))</f>
        <v/>
      </c>
      <c r="H715" s="25"/>
      <c r="I715" s="12"/>
      <c r="J715" s="14" t="str">
        <f aca="false">IF(OR($C715="",$D715="",$B715=""),"",IF(COUNTIFS($C$5:$C$804,$C715,$D$5:$D$804,$D715,$B$5:$B$804,$B715)&gt;1,"Takror",""))</f>
        <v/>
      </c>
    </row>
    <row r="716" customFormat="false" ht="15" hidden="false" customHeight="false" outlineLevel="0" collapsed="false">
      <c r="A716" s="8" t="n">
        <v>712</v>
      </c>
      <c r="B716" s="13"/>
      <c r="C716" s="12"/>
      <c r="D716" s="13"/>
      <c r="E716" s="24"/>
      <c r="F716" s="12"/>
      <c r="G716" s="14" t="str">
        <f aca="false">IF(OR($D716="",$B716=""),"",INT(($B716-$D716)/365.25))</f>
        <v/>
      </c>
      <c r="H716" s="25"/>
      <c r="I716" s="12"/>
      <c r="J716" s="14" t="str">
        <f aca="false">IF(OR($C716="",$D716="",$B716=""),"",IF(COUNTIFS($C$5:$C$804,$C716,$D$5:$D$804,$D716,$B$5:$B$804,$B716)&gt;1,"Takror",""))</f>
        <v/>
      </c>
    </row>
    <row r="717" customFormat="false" ht="15" hidden="false" customHeight="false" outlineLevel="0" collapsed="false">
      <c r="A717" s="8" t="n">
        <v>713</v>
      </c>
      <c r="B717" s="13"/>
      <c r="C717" s="12"/>
      <c r="D717" s="13"/>
      <c r="E717" s="24"/>
      <c r="F717" s="12"/>
      <c r="G717" s="14" t="str">
        <f aca="false">IF(OR($D717="",$B717=""),"",INT(($B717-$D717)/365.25))</f>
        <v/>
      </c>
      <c r="H717" s="25"/>
      <c r="I717" s="12"/>
      <c r="J717" s="14" t="str">
        <f aca="false">IF(OR($C717="",$D717="",$B717=""),"",IF(COUNTIFS($C$5:$C$804,$C717,$D$5:$D$804,$D717,$B$5:$B$804,$B717)&gt;1,"Takror",""))</f>
        <v/>
      </c>
    </row>
    <row r="718" customFormat="false" ht="15" hidden="false" customHeight="false" outlineLevel="0" collapsed="false">
      <c r="A718" s="8" t="n">
        <v>714</v>
      </c>
      <c r="B718" s="13"/>
      <c r="C718" s="12"/>
      <c r="D718" s="13"/>
      <c r="E718" s="24"/>
      <c r="F718" s="12"/>
      <c r="G718" s="14" t="str">
        <f aca="false">IF(OR($D718="",$B718=""),"",INT(($B718-$D718)/365.25))</f>
        <v/>
      </c>
      <c r="H718" s="25"/>
      <c r="I718" s="12"/>
      <c r="J718" s="14" t="str">
        <f aca="false">IF(OR($C718="",$D718="",$B718=""),"",IF(COUNTIFS($C$5:$C$804,$C718,$D$5:$D$804,$D718,$B$5:$B$804,$B718)&gt;1,"Takror",""))</f>
        <v/>
      </c>
    </row>
    <row r="719" customFormat="false" ht="15" hidden="false" customHeight="false" outlineLevel="0" collapsed="false">
      <c r="A719" s="8" t="n">
        <v>715</v>
      </c>
      <c r="B719" s="13"/>
      <c r="C719" s="12"/>
      <c r="D719" s="13"/>
      <c r="E719" s="24"/>
      <c r="F719" s="12"/>
      <c r="G719" s="14" t="str">
        <f aca="false">IF(OR($D719="",$B719=""),"",INT(($B719-$D719)/365.25))</f>
        <v/>
      </c>
      <c r="H719" s="25"/>
      <c r="I719" s="12"/>
      <c r="J719" s="14" t="str">
        <f aca="false">IF(OR($C719="",$D719="",$B719=""),"",IF(COUNTIFS($C$5:$C$804,$C719,$D$5:$D$804,$D719,$B$5:$B$804,$B719)&gt;1,"Takror",""))</f>
        <v/>
      </c>
    </row>
    <row r="720" customFormat="false" ht="15" hidden="false" customHeight="false" outlineLevel="0" collapsed="false">
      <c r="A720" s="8" t="n">
        <v>716</v>
      </c>
      <c r="B720" s="13"/>
      <c r="C720" s="12"/>
      <c r="D720" s="13"/>
      <c r="E720" s="24"/>
      <c r="F720" s="12"/>
      <c r="G720" s="14" t="str">
        <f aca="false">IF(OR($D720="",$B720=""),"",INT(($B720-$D720)/365.25))</f>
        <v/>
      </c>
      <c r="H720" s="25"/>
      <c r="I720" s="12"/>
      <c r="J720" s="14" t="str">
        <f aca="false">IF(OR($C720="",$D720="",$B720=""),"",IF(COUNTIFS($C$5:$C$804,$C720,$D$5:$D$804,$D720,$B$5:$B$804,$B720)&gt;1,"Takror",""))</f>
        <v/>
      </c>
    </row>
    <row r="721" customFormat="false" ht="15" hidden="false" customHeight="false" outlineLevel="0" collapsed="false">
      <c r="A721" s="8" t="n">
        <v>717</v>
      </c>
      <c r="B721" s="13"/>
      <c r="C721" s="12"/>
      <c r="D721" s="13"/>
      <c r="E721" s="24"/>
      <c r="F721" s="12"/>
      <c r="G721" s="14" t="str">
        <f aca="false">IF(OR($D721="",$B721=""),"",INT(($B721-$D721)/365.25))</f>
        <v/>
      </c>
      <c r="H721" s="25"/>
      <c r="I721" s="12"/>
      <c r="J721" s="14" t="str">
        <f aca="false">IF(OR($C721="",$D721="",$B721=""),"",IF(COUNTIFS($C$5:$C$804,$C721,$D$5:$D$804,$D721,$B$5:$B$804,$B721)&gt;1,"Takror",""))</f>
        <v/>
      </c>
    </row>
    <row r="722" customFormat="false" ht="15" hidden="false" customHeight="false" outlineLevel="0" collapsed="false">
      <c r="A722" s="8" t="n">
        <v>718</v>
      </c>
      <c r="B722" s="13"/>
      <c r="C722" s="12"/>
      <c r="D722" s="13"/>
      <c r="E722" s="24"/>
      <c r="F722" s="12"/>
      <c r="G722" s="14" t="str">
        <f aca="false">IF(OR($D722="",$B722=""),"",INT(($B722-$D722)/365.25))</f>
        <v/>
      </c>
      <c r="H722" s="25"/>
      <c r="I722" s="12"/>
      <c r="J722" s="14" t="str">
        <f aca="false">IF(OR($C722="",$D722="",$B722=""),"",IF(COUNTIFS($C$5:$C$804,$C722,$D$5:$D$804,$D722,$B$5:$B$804,$B722)&gt;1,"Takror",""))</f>
        <v/>
      </c>
    </row>
    <row r="723" customFormat="false" ht="15" hidden="false" customHeight="false" outlineLevel="0" collapsed="false">
      <c r="A723" s="8" t="n">
        <v>719</v>
      </c>
      <c r="B723" s="13"/>
      <c r="C723" s="12"/>
      <c r="D723" s="13"/>
      <c r="E723" s="24"/>
      <c r="F723" s="12"/>
      <c r="G723" s="14" t="str">
        <f aca="false">IF(OR($D723="",$B723=""),"",INT(($B723-$D723)/365.25))</f>
        <v/>
      </c>
      <c r="H723" s="25"/>
      <c r="I723" s="12"/>
      <c r="J723" s="14" t="str">
        <f aca="false">IF(OR($C723="",$D723="",$B723=""),"",IF(COUNTIFS($C$5:$C$804,$C723,$D$5:$D$804,$D723,$B$5:$B$804,$B723)&gt;1,"Takror",""))</f>
        <v/>
      </c>
    </row>
    <row r="724" customFormat="false" ht="15" hidden="false" customHeight="false" outlineLevel="0" collapsed="false">
      <c r="A724" s="8" t="n">
        <v>720</v>
      </c>
      <c r="B724" s="13"/>
      <c r="C724" s="12"/>
      <c r="D724" s="13"/>
      <c r="E724" s="24"/>
      <c r="F724" s="12"/>
      <c r="G724" s="14" t="str">
        <f aca="false">IF(OR($D724="",$B724=""),"",INT(($B724-$D724)/365.25))</f>
        <v/>
      </c>
      <c r="H724" s="25"/>
      <c r="I724" s="12"/>
      <c r="J724" s="14" t="str">
        <f aca="false">IF(OR($C724="",$D724="",$B724=""),"",IF(COUNTIFS($C$5:$C$804,$C724,$D$5:$D$804,$D724,$B$5:$B$804,$B724)&gt;1,"Takror",""))</f>
        <v/>
      </c>
    </row>
    <row r="725" customFormat="false" ht="15" hidden="false" customHeight="false" outlineLevel="0" collapsed="false">
      <c r="A725" s="8" t="n">
        <v>721</v>
      </c>
      <c r="B725" s="13"/>
      <c r="C725" s="12"/>
      <c r="D725" s="13"/>
      <c r="E725" s="24"/>
      <c r="F725" s="12"/>
      <c r="G725" s="14" t="str">
        <f aca="false">IF(OR($D725="",$B725=""),"",INT(($B725-$D725)/365.25))</f>
        <v/>
      </c>
      <c r="H725" s="25"/>
      <c r="I725" s="12"/>
      <c r="J725" s="14" t="str">
        <f aca="false">IF(OR($C725="",$D725="",$B725=""),"",IF(COUNTIFS($C$5:$C$804,$C725,$D$5:$D$804,$D725,$B$5:$B$804,$B725)&gt;1,"Takror",""))</f>
        <v/>
      </c>
    </row>
    <row r="726" customFormat="false" ht="15" hidden="false" customHeight="false" outlineLevel="0" collapsed="false">
      <c r="A726" s="8" t="n">
        <v>722</v>
      </c>
      <c r="B726" s="13"/>
      <c r="C726" s="12"/>
      <c r="D726" s="13"/>
      <c r="E726" s="24"/>
      <c r="F726" s="12"/>
      <c r="G726" s="14" t="str">
        <f aca="false">IF(OR($D726="",$B726=""),"",INT(($B726-$D726)/365.25))</f>
        <v/>
      </c>
      <c r="H726" s="25"/>
      <c r="I726" s="12"/>
      <c r="J726" s="14" t="str">
        <f aca="false">IF(OR($C726="",$D726="",$B726=""),"",IF(COUNTIFS($C$5:$C$804,$C726,$D$5:$D$804,$D726,$B$5:$B$804,$B726)&gt;1,"Takror",""))</f>
        <v/>
      </c>
    </row>
    <row r="727" customFormat="false" ht="15" hidden="false" customHeight="false" outlineLevel="0" collapsed="false">
      <c r="A727" s="8" t="n">
        <v>723</v>
      </c>
      <c r="B727" s="13"/>
      <c r="C727" s="12"/>
      <c r="D727" s="13"/>
      <c r="E727" s="24"/>
      <c r="F727" s="12"/>
      <c r="G727" s="14" t="str">
        <f aca="false">IF(OR($D727="",$B727=""),"",INT(($B727-$D727)/365.25))</f>
        <v/>
      </c>
      <c r="H727" s="25"/>
      <c r="I727" s="12"/>
      <c r="J727" s="14" t="str">
        <f aca="false">IF(OR($C727="",$D727="",$B727=""),"",IF(COUNTIFS($C$5:$C$804,$C727,$D$5:$D$804,$D727,$B$5:$B$804,$B727)&gt;1,"Takror",""))</f>
        <v/>
      </c>
    </row>
    <row r="728" customFormat="false" ht="15" hidden="false" customHeight="false" outlineLevel="0" collapsed="false">
      <c r="A728" s="8" t="n">
        <v>724</v>
      </c>
      <c r="B728" s="13"/>
      <c r="C728" s="12"/>
      <c r="D728" s="13"/>
      <c r="E728" s="24"/>
      <c r="F728" s="12"/>
      <c r="G728" s="14" t="str">
        <f aca="false">IF(OR($D728="",$B728=""),"",INT(($B728-$D728)/365.25))</f>
        <v/>
      </c>
      <c r="H728" s="25"/>
      <c r="I728" s="12"/>
      <c r="J728" s="14" t="str">
        <f aca="false">IF(OR($C728="",$D728="",$B728=""),"",IF(COUNTIFS($C$5:$C$804,$C728,$D$5:$D$804,$D728,$B$5:$B$804,$B728)&gt;1,"Takror",""))</f>
        <v/>
      </c>
    </row>
    <row r="729" customFormat="false" ht="15" hidden="false" customHeight="false" outlineLevel="0" collapsed="false">
      <c r="A729" s="8" t="n">
        <v>725</v>
      </c>
      <c r="B729" s="13"/>
      <c r="C729" s="12"/>
      <c r="D729" s="13"/>
      <c r="E729" s="24"/>
      <c r="F729" s="12"/>
      <c r="G729" s="14" t="str">
        <f aca="false">IF(OR($D729="",$B729=""),"",INT(($B729-$D729)/365.25))</f>
        <v/>
      </c>
      <c r="H729" s="25"/>
      <c r="I729" s="12"/>
      <c r="J729" s="14" t="str">
        <f aca="false">IF(OR($C729="",$D729="",$B729=""),"",IF(COUNTIFS($C$5:$C$804,$C729,$D$5:$D$804,$D729,$B$5:$B$804,$B729)&gt;1,"Takror",""))</f>
        <v/>
      </c>
    </row>
    <row r="730" customFormat="false" ht="15" hidden="false" customHeight="false" outlineLevel="0" collapsed="false">
      <c r="A730" s="8" t="n">
        <v>726</v>
      </c>
      <c r="B730" s="13"/>
      <c r="C730" s="12"/>
      <c r="D730" s="13"/>
      <c r="E730" s="24"/>
      <c r="F730" s="12"/>
      <c r="G730" s="14" t="str">
        <f aca="false">IF(OR($D730="",$B730=""),"",INT(($B730-$D730)/365.25))</f>
        <v/>
      </c>
      <c r="H730" s="25"/>
      <c r="I730" s="12"/>
      <c r="J730" s="14" t="str">
        <f aca="false">IF(OR($C730="",$D730="",$B730=""),"",IF(COUNTIFS($C$5:$C$804,$C730,$D$5:$D$804,$D730,$B$5:$B$804,$B730)&gt;1,"Takror",""))</f>
        <v/>
      </c>
    </row>
    <row r="731" customFormat="false" ht="15" hidden="false" customHeight="false" outlineLevel="0" collapsed="false">
      <c r="A731" s="8" t="n">
        <v>727</v>
      </c>
      <c r="B731" s="13"/>
      <c r="C731" s="12"/>
      <c r="D731" s="13"/>
      <c r="E731" s="24"/>
      <c r="F731" s="12"/>
      <c r="G731" s="14" t="str">
        <f aca="false">IF(OR($D731="",$B731=""),"",INT(($B731-$D731)/365.25))</f>
        <v/>
      </c>
      <c r="H731" s="25"/>
      <c r="I731" s="12"/>
      <c r="J731" s="14" t="str">
        <f aca="false">IF(OR($C731="",$D731="",$B731=""),"",IF(COUNTIFS($C$5:$C$804,$C731,$D$5:$D$804,$D731,$B$5:$B$804,$B731)&gt;1,"Takror",""))</f>
        <v/>
      </c>
    </row>
    <row r="732" customFormat="false" ht="15" hidden="false" customHeight="false" outlineLevel="0" collapsed="false">
      <c r="A732" s="8" t="n">
        <v>728</v>
      </c>
      <c r="B732" s="13"/>
      <c r="C732" s="12"/>
      <c r="D732" s="13"/>
      <c r="E732" s="24"/>
      <c r="F732" s="12"/>
      <c r="G732" s="14" t="str">
        <f aca="false">IF(OR($D732="",$B732=""),"",INT(($B732-$D732)/365.25))</f>
        <v/>
      </c>
      <c r="H732" s="25"/>
      <c r="I732" s="12"/>
      <c r="J732" s="14" t="str">
        <f aca="false">IF(OR($C732="",$D732="",$B732=""),"",IF(COUNTIFS($C$5:$C$804,$C732,$D$5:$D$804,$D732,$B$5:$B$804,$B732)&gt;1,"Takror",""))</f>
        <v/>
      </c>
    </row>
    <row r="733" customFormat="false" ht="15" hidden="false" customHeight="false" outlineLevel="0" collapsed="false">
      <c r="A733" s="8" t="n">
        <v>729</v>
      </c>
      <c r="B733" s="13"/>
      <c r="C733" s="12"/>
      <c r="D733" s="13"/>
      <c r="E733" s="24"/>
      <c r="F733" s="12"/>
      <c r="G733" s="14" t="str">
        <f aca="false">IF(OR($D733="",$B733=""),"",INT(($B733-$D733)/365.25))</f>
        <v/>
      </c>
      <c r="H733" s="25"/>
      <c r="I733" s="12"/>
      <c r="J733" s="14" t="str">
        <f aca="false">IF(OR($C733="",$D733="",$B733=""),"",IF(COUNTIFS($C$5:$C$804,$C733,$D$5:$D$804,$D733,$B$5:$B$804,$B733)&gt;1,"Takror",""))</f>
        <v/>
      </c>
    </row>
    <row r="734" customFormat="false" ht="15" hidden="false" customHeight="false" outlineLevel="0" collapsed="false">
      <c r="A734" s="8" t="n">
        <v>730</v>
      </c>
      <c r="B734" s="13"/>
      <c r="C734" s="12"/>
      <c r="D734" s="13"/>
      <c r="E734" s="24"/>
      <c r="F734" s="12"/>
      <c r="G734" s="14" t="str">
        <f aca="false">IF(OR($D734="",$B734=""),"",INT(($B734-$D734)/365.25))</f>
        <v/>
      </c>
      <c r="H734" s="25"/>
      <c r="I734" s="12"/>
      <c r="J734" s="14" t="str">
        <f aca="false">IF(OR($C734="",$D734="",$B734=""),"",IF(COUNTIFS($C$5:$C$804,$C734,$D$5:$D$804,$D734,$B$5:$B$804,$B734)&gt;1,"Takror",""))</f>
        <v/>
      </c>
    </row>
    <row r="735" customFormat="false" ht="15" hidden="false" customHeight="false" outlineLevel="0" collapsed="false">
      <c r="A735" s="8" t="n">
        <v>731</v>
      </c>
      <c r="B735" s="13"/>
      <c r="C735" s="12"/>
      <c r="D735" s="13"/>
      <c r="E735" s="24"/>
      <c r="F735" s="12"/>
      <c r="G735" s="14" t="str">
        <f aca="false">IF(OR($D735="",$B735=""),"",INT(($B735-$D735)/365.25))</f>
        <v/>
      </c>
      <c r="H735" s="25"/>
      <c r="I735" s="12"/>
      <c r="J735" s="14" t="str">
        <f aca="false">IF(OR($C735="",$D735="",$B735=""),"",IF(COUNTIFS($C$5:$C$804,$C735,$D$5:$D$804,$D735,$B$5:$B$804,$B735)&gt;1,"Takror",""))</f>
        <v/>
      </c>
    </row>
    <row r="736" customFormat="false" ht="15" hidden="false" customHeight="false" outlineLevel="0" collapsed="false">
      <c r="A736" s="8" t="n">
        <v>732</v>
      </c>
      <c r="B736" s="13"/>
      <c r="C736" s="12"/>
      <c r="D736" s="13"/>
      <c r="E736" s="24"/>
      <c r="F736" s="12"/>
      <c r="G736" s="14" t="str">
        <f aca="false">IF(OR($D736="",$B736=""),"",INT(($B736-$D736)/365.25))</f>
        <v/>
      </c>
      <c r="H736" s="25"/>
      <c r="I736" s="12"/>
      <c r="J736" s="14" t="str">
        <f aca="false">IF(OR($C736="",$D736="",$B736=""),"",IF(COUNTIFS($C$5:$C$804,$C736,$D$5:$D$804,$D736,$B$5:$B$804,$B736)&gt;1,"Takror",""))</f>
        <v/>
      </c>
    </row>
    <row r="737" customFormat="false" ht="15" hidden="false" customHeight="false" outlineLevel="0" collapsed="false">
      <c r="A737" s="8" t="n">
        <v>733</v>
      </c>
      <c r="B737" s="13"/>
      <c r="C737" s="12"/>
      <c r="D737" s="13"/>
      <c r="E737" s="24"/>
      <c r="F737" s="12"/>
      <c r="G737" s="14" t="str">
        <f aca="false">IF(OR($D737="",$B737=""),"",INT(($B737-$D737)/365.25))</f>
        <v/>
      </c>
      <c r="H737" s="25"/>
      <c r="I737" s="12"/>
      <c r="J737" s="14" t="str">
        <f aca="false">IF(OR($C737="",$D737="",$B737=""),"",IF(COUNTIFS($C$5:$C$804,$C737,$D$5:$D$804,$D737,$B$5:$B$804,$B737)&gt;1,"Takror",""))</f>
        <v/>
      </c>
    </row>
    <row r="738" customFormat="false" ht="15" hidden="false" customHeight="false" outlineLevel="0" collapsed="false">
      <c r="A738" s="8" t="n">
        <v>734</v>
      </c>
      <c r="B738" s="13"/>
      <c r="C738" s="12"/>
      <c r="D738" s="13"/>
      <c r="E738" s="24"/>
      <c r="F738" s="12"/>
      <c r="G738" s="14" t="str">
        <f aca="false">IF(OR($D738="",$B738=""),"",INT(($B738-$D738)/365.25))</f>
        <v/>
      </c>
      <c r="H738" s="25"/>
      <c r="I738" s="12"/>
      <c r="J738" s="14" t="str">
        <f aca="false">IF(OR($C738="",$D738="",$B738=""),"",IF(COUNTIFS($C$5:$C$804,$C738,$D$5:$D$804,$D738,$B$5:$B$804,$B738)&gt;1,"Takror",""))</f>
        <v/>
      </c>
    </row>
    <row r="739" customFormat="false" ht="15" hidden="false" customHeight="false" outlineLevel="0" collapsed="false">
      <c r="A739" s="8" t="n">
        <v>735</v>
      </c>
      <c r="B739" s="13"/>
      <c r="C739" s="12"/>
      <c r="D739" s="13"/>
      <c r="E739" s="24"/>
      <c r="F739" s="12"/>
      <c r="G739" s="14" t="str">
        <f aca="false">IF(OR($D739="",$B739=""),"",INT(($B739-$D739)/365.25))</f>
        <v/>
      </c>
      <c r="H739" s="25"/>
      <c r="I739" s="12"/>
      <c r="J739" s="14" t="str">
        <f aca="false">IF(OR($C739="",$D739="",$B739=""),"",IF(COUNTIFS($C$5:$C$804,$C739,$D$5:$D$804,$D739,$B$5:$B$804,$B739)&gt;1,"Takror",""))</f>
        <v/>
      </c>
    </row>
    <row r="740" customFormat="false" ht="15" hidden="false" customHeight="false" outlineLevel="0" collapsed="false">
      <c r="A740" s="8" t="n">
        <v>736</v>
      </c>
      <c r="B740" s="13"/>
      <c r="C740" s="12"/>
      <c r="D740" s="13"/>
      <c r="E740" s="24"/>
      <c r="F740" s="12"/>
      <c r="G740" s="14" t="str">
        <f aca="false">IF(OR($D740="",$B740=""),"",INT(($B740-$D740)/365.25))</f>
        <v/>
      </c>
      <c r="H740" s="25"/>
      <c r="I740" s="12"/>
      <c r="J740" s="14" t="str">
        <f aca="false">IF(OR($C740="",$D740="",$B740=""),"",IF(COUNTIFS($C$5:$C$804,$C740,$D$5:$D$804,$D740,$B$5:$B$804,$B740)&gt;1,"Takror",""))</f>
        <v/>
      </c>
    </row>
    <row r="741" customFormat="false" ht="15" hidden="false" customHeight="false" outlineLevel="0" collapsed="false">
      <c r="A741" s="8" t="n">
        <v>737</v>
      </c>
      <c r="B741" s="13"/>
      <c r="C741" s="12"/>
      <c r="D741" s="13"/>
      <c r="E741" s="24"/>
      <c r="F741" s="12"/>
      <c r="G741" s="14" t="str">
        <f aca="false">IF(OR($D741="",$B741=""),"",INT(($B741-$D741)/365.25))</f>
        <v/>
      </c>
      <c r="H741" s="25"/>
      <c r="I741" s="12"/>
      <c r="J741" s="14" t="str">
        <f aca="false">IF(OR($C741="",$D741="",$B741=""),"",IF(COUNTIFS($C$5:$C$804,$C741,$D$5:$D$804,$D741,$B$5:$B$804,$B741)&gt;1,"Takror",""))</f>
        <v/>
      </c>
    </row>
    <row r="742" customFormat="false" ht="15" hidden="false" customHeight="false" outlineLevel="0" collapsed="false">
      <c r="A742" s="8" t="n">
        <v>738</v>
      </c>
      <c r="B742" s="13"/>
      <c r="C742" s="12"/>
      <c r="D742" s="13"/>
      <c r="E742" s="24"/>
      <c r="F742" s="12"/>
      <c r="G742" s="14" t="str">
        <f aca="false">IF(OR($D742="",$B742=""),"",INT(($B742-$D742)/365.25))</f>
        <v/>
      </c>
      <c r="H742" s="25"/>
      <c r="I742" s="12"/>
      <c r="J742" s="14" t="str">
        <f aca="false">IF(OR($C742="",$D742="",$B742=""),"",IF(COUNTIFS($C$5:$C$804,$C742,$D$5:$D$804,$D742,$B$5:$B$804,$B742)&gt;1,"Takror",""))</f>
        <v/>
      </c>
    </row>
    <row r="743" customFormat="false" ht="15" hidden="false" customHeight="false" outlineLevel="0" collapsed="false">
      <c r="A743" s="8" t="n">
        <v>739</v>
      </c>
      <c r="B743" s="13"/>
      <c r="C743" s="12"/>
      <c r="D743" s="13"/>
      <c r="E743" s="24"/>
      <c r="F743" s="12"/>
      <c r="G743" s="14" t="str">
        <f aca="false">IF(OR($D743="",$B743=""),"",INT(($B743-$D743)/365.25))</f>
        <v/>
      </c>
      <c r="H743" s="25"/>
      <c r="I743" s="12"/>
      <c r="J743" s="14" t="str">
        <f aca="false">IF(OR($C743="",$D743="",$B743=""),"",IF(COUNTIFS($C$5:$C$804,$C743,$D$5:$D$804,$D743,$B$5:$B$804,$B743)&gt;1,"Takror",""))</f>
        <v/>
      </c>
    </row>
    <row r="744" customFormat="false" ht="15" hidden="false" customHeight="false" outlineLevel="0" collapsed="false">
      <c r="A744" s="8" t="n">
        <v>740</v>
      </c>
      <c r="B744" s="13"/>
      <c r="C744" s="12"/>
      <c r="D744" s="13"/>
      <c r="E744" s="24"/>
      <c r="F744" s="12"/>
      <c r="G744" s="14" t="str">
        <f aca="false">IF(OR($D744="",$B744=""),"",INT(($B744-$D744)/365.25))</f>
        <v/>
      </c>
      <c r="H744" s="25"/>
      <c r="I744" s="12"/>
      <c r="J744" s="14" t="str">
        <f aca="false">IF(OR($C744="",$D744="",$B744=""),"",IF(COUNTIFS($C$5:$C$804,$C744,$D$5:$D$804,$D744,$B$5:$B$804,$B744)&gt;1,"Takror",""))</f>
        <v/>
      </c>
    </row>
    <row r="745" customFormat="false" ht="15" hidden="false" customHeight="false" outlineLevel="0" collapsed="false">
      <c r="A745" s="8" t="n">
        <v>741</v>
      </c>
      <c r="B745" s="13"/>
      <c r="C745" s="12"/>
      <c r="D745" s="13"/>
      <c r="E745" s="24"/>
      <c r="F745" s="12"/>
      <c r="G745" s="14" t="str">
        <f aca="false">IF(OR($D745="",$B745=""),"",INT(($B745-$D745)/365.25))</f>
        <v/>
      </c>
      <c r="H745" s="25"/>
      <c r="I745" s="12"/>
      <c r="J745" s="14" t="str">
        <f aca="false">IF(OR($C745="",$D745="",$B745=""),"",IF(COUNTIFS($C$5:$C$804,$C745,$D$5:$D$804,$D745,$B$5:$B$804,$B745)&gt;1,"Takror",""))</f>
        <v/>
      </c>
    </row>
    <row r="746" customFormat="false" ht="15" hidden="false" customHeight="false" outlineLevel="0" collapsed="false">
      <c r="A746" s="8" t="n">
        <v>742</v>
      </c>
      <c r="B746" s="13"/>
      <c r="C746" s="12"/>
      <c r="D746" s="13"/>
      <c r="E746" s="24"/>
      <c r="F746" s="12"/>
      <c r="G746" s="14" t="str">
        <f aca="false">IF(OR($D746="",$B746=""),"",INT(($B746-$D746)/365.25))</f>
        <v/>
      </c>
      <c r="H746" s="25"/>
      <c r="I746" s="12"/>
      <c r="J746" s="14" t="str">
        <f aca="false">IF(OR($C746="",$D746="",$B746=""),"",IF(COUNTIFS($C$5:$C$804,$C746,$D$5:$D$804,$D746,$B$5:$B$804,$B746)&gt;1,"Takror",""))</f>
        <v/>
      </c>
    </row>
    <row r="747" customFormat="false" ht="15" hidden="false" customHeight="false" outlineLevel="0" collapsed="false">
      <c r="A747" s="8" t="n">
        <v>743</v>
      </c>
      <c r="B747" s="13"/>
      <c r="C747" s="12"/>
      <c r="D747" s="13"/>
      <c r="E747" s="24"/>
      <c r="F747" s="12"/>
      <c r="G747" s="14" t="str">
        <f aca="false">IF(OR($D747="",$B747=""),"",INT(($B747-$D747)/365.25))</f>
        <v/>
      </c>
      <c r="H747" s="25"/>
      <c r="I747" s="12"/>
      <c r="J747" s="14" t="str">
        <f aca="false">IF(OR($C747="",$D747="",$B747=""),"",IF(COUNTIFS($C$5:$C$804,$C747,$D$5:$D$804,$D747,$B$5:$B$804,$B747)&gt;1,"Takror",""))</f>
        <v/>
      </c>
    </row>
    <row r="748" customFormat="false" ht="15" hidden="false" customHeight="false" outlineLevel="0" collapsed="false">
      <c r="A748" s="8" t="n">
        <v>744</v>
      </c>
      <c r="B748" s="13"/>
      <c r="C748" s="12"/>
      <c r="D748" s="13"/>
      <c r="E748" s="24"/>
      <c r="F748" s="12"/>
      <c r="G748" s="14" t="str">
        <f aca="false">IF(OR($D748="",$B748=""),"",INT(($B748-$D748)/365.25))</f>
        <v/>
      </c>
      <c r="H748" s="25"/>
      <c r="I748" s="12"/>
      <c r="J748" s="14" t="str">
        <f aca="false">IF(OR($C748="",$D748="",$B748=""),"",IF(COUNTIFS($C$5:$C$804,$C748,$D$5:$D$804,$D748,$B$5:$B$804,$B748)&gt;1,"Takror",""))</f>
        <v/>
      </c>
    </row>
    <row r="749" customFormat="false" ht="15" hidden="false" customHeight="false" outlineLevel="0" collapsed="false">
      <c r="A749" s="8" t="n">
        <v>745</v>
      </c>
      <c r="B749" s="13"/>
      <c r="C749" s="12"/>
      <c r="D749" s="13"/>
      <c r="E749" s="24"/>
      <c r="F749" s="12"/>
      <c r="G749" s="14" t="str">
        <f aca="false">IF(OR($D749="",$B749=""),"",INT(($B749-$D749)/365.25))</f>
        <v/>
      </c>
      <c r="H749" s="25"/>
      <c r="I749" s="12"/>
      <c r="J749" s="14" t="str">
        <f aca="false">IF(OR($C749="",$D749="",$B749=""),"",IF(COUNTIFS($C$5:$C$804,$C749,$D$5:$D$804,$D749,$B$5:$B$804,$B749)&gt;1,"Takror",""))</f>
        <v/>
      </c>
    </row>
    <row r="750" customFormat="false" ht="15" hidden="false" customHeight="false" outlineLevel="0" collapsed="false">
      <c r="A750" s="8" t="n">
        <v>746</v>
      </c>
      <c r="B750" s="13"/>
      <c r="C750" s="12"/>
      <c r="D750" s="13"/>
      <c r="E750" s="24"/>
      <c r="F750" s="12"/>
      <c r="G750" s="14" t="str">
        <f aca="false">IF(OR($D750="",$B750=""),"",INT(($B750-$D750)/365.25))</f>
        <v/>
      </c>
      <c r="H750" s="25"/>
      <c r="I750" s="12"/>
      <c r="J750" s="14" t="str">
        <f aca="false">IF(OR($C750="",$D750="",$B750=""),"",IF(COUNTIFS($C$5:$C$804,$C750,$D$5:$D$804,$D750,$B$5:$B$804,$B750)&gt;1,"Takror",""))</f>
        <v/>
      </c>
    </row>
    <row r="751" customFormat="false" ht="15" hidden="false" customHeight="false" outlineLevel="0" collapsed="false">
      <c r="A751" s="8" t="n">
        <v>747</v>
      </c>
      <c r="B751" s="13"/>
      <c r="C751" s="12"/>
      <c r="D751" s="13"/>
      <c r="E751" s="24"/>
      <c r="F751" s="12"/>
      <c r="G751" s="14" t="str">
        <f aca="false">IF(OR($D751="",$B751=""),"",INT(($B751-$D751)/365.25))</f>
        <v/>
      </c>
      <c r="H751" s="25"/>
      <c r="I751" s="12"/>
      <c r="J751" s="14" t="str">
        <f aca="false">IF(OR($C751="",$D751="",$B751=""),"",IF(COUNTIFS($C$5:$C$804,$C751,$D$5:$D$804,$D751,$B$5:$B$804,$B751)&gt;1,"Takror",""))</f>
        <v/>
      </c>
    </row>
    <row r="752" customFormat="false" ht="15" hidden="false" customHeight="false" outlineLevel="0" collapsed="false">
      <c r="A752" s="8" t="n">
        <v>748</v>
      </c>
      <c r="B752" s="13"/>
      <c r="C752" s="12"/>
      <c r="D752" s="13"/>
      <c r="E752" s="24"/>
      <c r="F752" s="12"/>
      <c r="G752" s="14" t="str">
        <f aca="false">IF(OR($D752="",$B752=""),"",INT(($B752-$D752)/365.25))</f>
        <v/>
      </c>
      <c r="H752" s="25"/>
      <c r="I752" s="12"/>
      <c r="J752" s="14" t="str">
        <f aca="false">IF(OR($C752="",$D752="",$B752=""),"",IF(COUNTIFS($C$5:$C$804,$C752,$D$5:$D$804,$D752,$B$5:$B$804,$B752)&gt;1,"Takror",""))</f>
        <v/>
      </c>
    </row>
    <row r="753" customFormat="false" ht="15" hidden="false" customHeight="false" outlineLevel="0" collapsed="false">
      <c r="A753" s="8" t="n">
        <v>749</v>
      </c>
      <c r="B753" s="13"/>
      <c r="C753" s="12"/>
      <c r="D753" s="13"/>
      <c r="E753" s="24"/>
      <c r="F753" s="12"/>
      <c r="G753" s="14" t="str">
        <f aca="false">IF(OR($D753="",$B753=""),"",INT(($B753-$D753)/365.25))</f>
        <v/>
      </c>
      <c r="H753" s="25"/>
      <c r="I753" s="12"/>
      <c r="J753" s="14" t="str">
        <f aca="false">IF(OR($C753="",$D753="",$B753=""),"",IF(COUNTIFS($C$5:$C$804,$C753,$D$5:$D$804,$D753,$B$5:$B$804,$B753)&gt;1,"Takror",""))</f>
        <v/>
      </c>
    </row>
    <row r="754" customFormat="false" ht="15" hidden="false" customHeight="false" outlineLevel="0" collapsed="false">
      <c r="A754" s="8" t="n">
        <v>750</v>
      </c>
      <c r="B754" s="13"/>
      <c r="C754" s="12"/>
      <c r="D754" s="13"/>
      <c r="E754" s="24"/>
      <c r="F754" s="12"/>
      <c r="G754" s="14" t="str">
        <f aca="false">IF(OR($D754="",$B754=""),"",INT(($B754-$D754)/365.25))</f>
        <v/>
      </c>
      <c r="H754" s="25"/>
      <c r="I754" s="12"/>
      <c r="J754" s="14" t="str">
        <f aca="false">IF(OR($C754="",$D754="",$B754=""),"",IF(COUNTIFS($C$5:$C$804,$C754,$D$5:$D$804,$D754,$B$5:$B$804,$B754)&gt;1,"Takror",""))</f>
        <v/>
      </c>
    </row>
    <row r="755" customFormat="false" ht="15" hidden="false" customHeight="false" outlineLevel="0" collapsed="false">
      <c r="A755" s="8" t="n">
        <v>751</v>
      </c>
      <c r="B755" s="13"/>
      <c r="C755" s="12"/>
      <c r="D755" s="13"/>
      <c r="E755" s="24"/>
      <c r="F755" s="12"/>
      <c r="G755" s="14" t="str">
        <f aca="false">IF(OR($D755="",$B755=""),"",INT(($B755-$D755)/365.25))</f>
        <v/>
      </c>
      <c r="H755" s="25"/>
      <c r="I755" s="12"/>
      <c r="J755" s="14" t="str">
        <f aca="false">IF(OR($C755="",$D755="",$B755=""),"",IF(COUNTIFS($C$5:$C$804,$C755,$D$5:$D$804,$D755,$B$5:$B$804,$B755)&gt;1,"Takror",""))</f>
        <v/>
      </c>
    </row>
    <row r="756" customFormat="false" ht="15" hidden="false" customHeight="false" outlineLevel="0" collapsed="false">
      <c r="A756" s="8" t="n">
        <v>752</v>
      </c>
      <c r="B756" s="13"/>
      <c r="C756" s="12"/>
      <c r="D756" s="13"/>
      <c r="E756" s="24"/>
      <c r="F756" s="12"/>
      <c r="G756" s="14" t="str">
        <f aca="false">IF(OR($D756="",$B756=""),"",INT(($B756-$D756)/365.25))</f>
        <v/>
      </c>
      <c r="H756" s="25"/>
      <c r="I756" s="12"/>
      <c r="J756" s="14" t="str">
        <f aca="false">IF(OR($C756="",$D756="",$B756=""),"",IF(COUNTIFS($C$5:$C$804,$C756,$D$5:$D$804,$D756,$B$5:$B$804,$B756)&gt;1,"Takror",""))</f>
        <v/>
      </c>
    </row>
    <row r="757" customFormat="false" ht="15" hidden="false" customHeight="false" outlineLevel="0" collapsed="false">
      <c r="A757" s="8" t="n">
        <v>753</v>
      </c>
      <c r="B757" s="13"/>
      <c r="C757" s="12"/>
      <c r="D757" s="13"/>
      <c r="E757" s="24"/>
      <c r="F757" s="12"/>
      <c r="G757" s="14" t="str">
        <f aca="false">IF(OR($D757="",$B757=""),"",INT(($B757-$D757)/365.25))</f>
        <v/>
      </c>
      <c r="H757" s="25"/>
      <c r="I757" s="12"/>
      <c r="J757" s="14" t="str">
        <f aca="false">IF(OR($C757="",$D757="",$B757=""),"",IF(COUNTIFS($C$5:$C$804,$C757,$D$5:$D$804,$D757,$B$5:$B$804,$B757)&gt;1,"Takror",""))</f>
        <v/>
      </c>
    </row>
    <row r="758" customFormat="false" ht="15" hidden="false" customHeight="false" outlineLevel="0" collapsed="false">
      <c r="A758" s="8" t="n">
        <v>754</v>
      </c>
      <c r="B758" s="13"/>
      <c r="C758" s="12"/>
      <c r="D758" s="13"/>
      <c r="E758" s="24"/>
      <c r="F758" s="12"/>
      <c r="G758" s="14" t="str">
        <f aca="false">IF(OR($D758="",$B758=""),"",INT(($B758-$D758)/365.25))</f>
        <v/>
      </c>
      <c r="H758" s="25"/>
      <c r="I758" s="12"/>
      <c r="J758" s="14" t="str">
        <f aca="false">IF(OR($C758="",$D758="",$B758=""),"",IF(COUNTIFS($C$5:$C$804,$C758,$D$5:$D$804,$D758,$B$5:$B$804,$B758)&gt;1,"Takror",""))</f>
        <v/>
      </c>
    </row>
    <row r="759" customFormat="false" ht="15" hidden="false" customHeight="false" outlineLevel="0" collapsed="false">
      <c r="A759" s="8" t="n">
        <v>755</v>
      </c>
      <c r="B759" s="13"/>
      <c r="C759" s="12"/>
      <c r="D759" s="13"/>
      <c r="E759" s="24"/>
      <c r="F759" s="12"/>
      <c r="G759" s="14" t="str">
        <f aca="false">IF(OR($D759="",$B759=""),"",INT(($B759-$D759)/365.25))</f>
        <v/>
      </c>
      <c r="H759" s="25"/>
      <c r="I759" s="12"/>
      <c r="J759" s="14" t="str">
        <f aca="false">IF(OR($C759="",$D759="",$B759=""),"",IF(COUNTIFS($C$5:$C$804,$C759,$D$5:$D$804,$D759,$B$5:$B$804,$B759)&gt;1,"Takror",""))</f>
        <v/>
      </c>
    </row>
    <row r="760" customFormat="false" ht="15" hidden="false" customHeight="false" outlineLevel="0" collapsed="false">
      <c r="A760" s="8" t="n">
        <v>756</v>
      </c>
      <c r="B760" s="13"/>
      <c r="C760" s="12"/>
      <c r="D760" s="13"/>
      <c r="E760" s="24"/>
      <c r="F760" s="12"/>
      <c r="G760" s="14" t="str">
        <f aca="false">IF(OR($D760="",$B760=""),"",INT(($B760-$D760)/365.25))</f>
        <v/>
      </c>
      <c r="H760" s="25"/>
      <c r="I760" s="12"/>
      <c r="J760" s="14" t="str">
        <f aca="false">IF(OR($C760="",$D760="",$B760=""),"",IF(COUNTIFS($C$5:$C$804,$C760,$D$5:$D$804,$D760,$B$5:$B$804,$B760)&gt;1,"Takror",""))</f>
        <v/>
      </c>
    </row>
    <row r="761" customFormat="false" ht="15" hidden="false" customHeight="false" outlineLevel="0" collapsed="false">
      <c r="A761" s="8" t="n">
        <v>757</v>
      </c>
      <c r="B761" s="13"/>
      <c r="C761" s="12"/>
      <c r="D761" s="13"/>
      <c r="E761" s="24"/>
      <c r="F761" s="12"/>
      <c r="G761" s="14" t="str">
        <f aca="false">IF(OR($D761="",$B761=""),"",INT(($B761-$D761)/365.25))</f>
        <v/>
      </c>
      <c r="H761" s="25"/>
      <c r="I761" s="12"/>
      <c r="J761" s="14" t="str">
        <f aca="false">IF(OR($C761="",$D761="",$B761=""),"",IF(COUNTIFS($C$5:$C$804,$C761,$D$5:$D$804,$D761,$B$5:$B$804,$B761)&gt;1,"Takror",""))</f>
        <v/>
      </c>
    </row>
    <row r="762" customFormat="false" ht="15" hidden="false" customHeight="false" outlineLevel="0" collapsed="false">
      <c r="A762" s="8" t="n">
        <v>758</v>
      </c>
      <c r="B762" s="13"/>
      <c r="C762" s="12"/>
      <c r="D762" s="13"/>
      <c r="E762" s="24"/>
      <c r="F762" s="12"/>
      <c r="G762" s="14" t="str">
        <f aca="false">IF(OR($D762="",$B762=""),"",INT(($B762-$D762)/365.25))</f>
        <v/>
      </c>
      <c r="H762" s="25"/>
      <c r="I762" s="12"/>
      <c r="J762" s="14" t="str">
        <f aca="false">IF(OR($C762="",$D762="",$B762=""),"",IF(COUNTIFS($C$5:$C$804,$C762,$D$5:$D$804,$D762,$B$5:$B$804,$B762)&gt;1,"Takror",""))</f>
        <v/>
      </c>
    </row>
    <row r="763" customFormat="false" ht="15" hidden="false" customHeight="false" outlineLevel="0" collapsed="false">
      <c r="A763" s="8" t="n">
        <v>759</v>
      </c>
      <c r="B763" s="13"/>
      <c r="C763" s="12"/>
      <c r="D763" s="13"/>
      <c r="E763" s="24"/>
      <c r="F763" s="12"/>
      <c r="G763" s="14" t="str">
        <f aca="false">IF(OR($D763="",$B763=""),"",INT(($B763-$D763)/365.25))</f>
        <v/>
      </c>
      <c r="H763" s="25"/>
      <c r="I763" s="12"/>
      <c r="J763" s="14" t="str">
        <f aca="false">IF(OR($C763="",$D763="",$B763=""),"",IF(COUNTIFS($C$5:$C$804,$C763,$D$5:$D$804,$D763,$B$5:$B$804,$B763)&gt;1,"Takror",""))</f>
        <v/>
      </c>
    </row>
    <row r="764" customFormat="false" ht="15" hidden="false" customHeight="false" outlineLevel="0" collapsed="false">
      <c r="A764" s="8" t="n">
        <v>760</v>
      </c>
      <c r="B764" s="13"/>
      <c r="C764" s="12"/>
      <c r="D764" s="13"/>
      <c r="E764" s="24"/>
      <c r="F764" s="12"/>
      <c r="G764" s="14" t="str">
        <f aca="false">IF(OR($D764="",$B764=""),"",INT(($B764-$D764)/365.25))</f>
        <v/>
      </c>
      <c r="H764" s="25"/>
      <c r="I764" s="12"/>
      <c r="J764" s="14" t="str">
        <f aca="false">IF(OR($C764="",$D764="",$B764=""),"",IF(COUNTIFS($C$5:$C$804,$C764,$D$5:$D$804,$D764,$B$5:$B$804,$B764)&gt;1,"Takror",""))</f>
        <v/>
      </c>
    </row>
    <row r="765" customFormat="false" ht="15" hidden="false" customHeight="false" outlineLevel="0" collapsed="false">
      <c r="A765" s="8" t="n">
        <v>761</v>
      </c>
      <c r="B765" s="13"/>
      <c r="C765" s="12"/>
      <c r="D765" s="13"/>
      <c r="E765" s="24"/>
      <c r="F765" s="12"/>
      <c r="G765" s="14" t="str">
        <f aca="false">IF(OR($D765="",$B765=""),"",INT(($B765-$D765)/365.25))</f>
        <v/>
      </c>
      <c r="H765" s="25"/>
      <c r="I765" s="12"/>
      <c r="J765" s="14" t="str">
        <f aca="false">IF(OR($C765="",$D765="",$B765=""),"",IF(COUNTIFS($C$5:$C$804,$C765,$D$5:$D$804,$D765,$B$5:$B$804,$B765)&gt;1,"Takror",""))</f>
        <v/>
      </c>
    </row>
    <row r="766" customFormat="false" ht="15" hidden="false" customHeight="false" outlineLevel="0" collapsed="false">
      <c r="A766" s="8" t="n">
        <v>762</v>
      </c>
      <c r="B766" s="13"/>
      <c r="C766" s="12"/>
      <c r="D766" s="13"/>
      <c r="E766" s="24"/>
      <c r="F766" s="12"/>
      <c r="G766" s="14" t="str">
        <f aca="false">IF(OR($D766="",$B766=""),"",INT(($B766-$D766)/365.25))</f>
        <v/>
      </c>
      <c r="H766" s="25"/>
      <c r="I766" s="12"/>
      <c r="J766" s="14" t="str">
        <f aca="false">IF(OR($C766="",$D766="",$B766=""),"",IF(COUNTIFS($C$5:$C$804,$C766,$D$5:$D$804,$D766,$B$5:$B$804,$B766)&gt;1,"Takror",""))</f>
        <v/>
      </c>
    </row>
    <row r="767" customFormat="false" ht="15" hidden="false" customHeight="false" outlineLevel="0" collapsed="false">
      <c r="A767" s="8" t="n">
        <v>763</v>
      </c>
      <c r="B767" s="13"/>
      <c r="C767" s="12"/>
      <c r="D767" s="13"/>
      <c r="E767" s="24"/>
      <c r="F767" s="12"/>
      <c r="G767" s="14" t="str">
        <f aca="false">IF(OR($D767="",$B767=""),"",INT(($B767-$D767)/365.25))</f>
        <v/>
      </c>
      <c r="H767" s="25"/>
      <c r="I767" s="12"/>
      <c r="J767" s="14" t="str">
        <f aca="false">IF(OR($C767="",$D767="",$B767=""),"",IF(COUNTIFS($C$5:$C$804,$C767,$D$5:$D$804,$D767,$B$5:$B$804,$B767)&gt;1,"Takror",""))</f>
        <v/>
      </c>
    </row>
    <row r="768" customFormat="false" ht="15" hidden="false" customHeight="false" outlineLevel="0" collapsed="false">
      <c r="A768" s="8" t="n">
        <v>764</v>
      </c>
      <c r="B768" s="13"/>
      <c r="C768" s="12"/>
      <c r="D768" s="13"/>
      <c r="E768" s="24"/>
      <c r="F768" s="12"/>
      <c r="G768" s="14" t="str">
        <f aca="false">IF(OR($D768="",$B768=""),"",INT(($B768-$D768)/365.25))</f>
        <v/>
      </c>
      <c r="H768" s="25"/>
      <c r="I768" s="12"/>
      <c r="J768" s="14" t="str">
        <f aca="false">IF(OR($C768="",$D768="",$B768=""),"",IF(COUNTIFS($C$5:$C$804,$C768,$D$5:$D$804,$D768,$B$5:$B$804,$B768)&gt;1,"Takror",""))</f>
        <v/>
      </c>
    </row>
    <row r="769" customFormat="false" ht="15" hidden="false" customHeight="false" outlineLevel="0" collapsed="false">
      <c r="A769" s="8" t="n">
        <v>765</v>
      </c>
      <c r="B769" s="13"/>
      <c r="C769" s="12"/>
      <c r="D769" s="13"/>
      <c r="E769" s="24"/>
      <c r="F769" s="12"/>
      <c r="G769" s="14" t="str">
        <f aca="false">IF(OR($D769="",$B769=""),"",INT(($B769-$D769)/365.25))</f>
        <v/>
      </c>
      <c r="H769" s="25"/>
      <c r="I769" s="12"/>
      <c r="J769" s="14" t="str">
        <f aca="false">IF(OR($C769="",$D769="",$B769=""),"",IF(COUNTIFS($C$5:$C$804,$C769,$D$5:$D$804,$D769,$B$5:$B$804,$B769)&gt;1,"Takror",""))</f>
        <v/>
      </c>
    </row>
    <row r="770" customFormat="false" ht="15" hidden="false" customHeight="false" outlineLevel="0" collapsed="false">
      <c r="A770" s="8" t="n">
        <v>766</v>
      </c>
      <c r="B770" s="13"/>
      <c r="C770" s="12"/>
      <c r="D770" s="13"/>
      <c r="E770" s="24"/>
      <c r="F770" s="12"/>
      <c r="G770" s="14" t="str">
        <f aca="false">IF(OR($D770="",$B770=""),"",INT(($B770-$D770)/365.25))</f>
        <v/>
      </c>
      <c r="H770" s="25"/>
      <c r="I770" s="12"/>
      <c r="J770" s="14" t="str">
        <f aca="false">IF(OR($C770="",$D770="",$B770=""),"",IF(COUNTIFS($C$5:$C$804,$C770,$D$5:$D$804,$D770,$B$5:$B$804,$B770)&gt;1,"Takror",""))</f>
        <v/>
      </c>
    </row>
    <row r="771" customFormat="false" ht="15" hidden="false" customHeight="false" outlineLevel="0" collapsed="false">
      <c r="A771" s="8" t="n">
        <v>767</v>
      </c>
      <c r="B771" s="13"/>
      <c r="C771" s="12"/>
      <c r="D771" s="13"/>
      <c r="E771" s="24"/>
      <c r="F771" s="12"/>
      <c r="G771" s="14" t="str">
        <f aca="false">IF(OR($D771="",$B771=""),"",INT(($B771-$D771)/365.25))</f>
        <v/>
      </c>
      <c r="H771" s="25"/>
      <c r="I771" s="12"/>
      <c r="J771" s="14" t="str">
        <f aca="false">IF(OR($C771="",$D771="",$B771=""),"",IF(COUNTIFS($C$5:$C$804,$C771,$D$5:$D$804,$D771,$B$5:$B$804,$B771)&gt;1,"Takror",""))</f>
        <v/>
      </c>
    </row>
    <row r="772" customFormat="false" ht="15" hidden="false" customHeight="false" outlineLevel="0" collapsed="false">
      <c r="A772" s="8" t="n">
        <v>768</v>
      </c>
      <c r="B772" s="13"/>
      <c r="C772" s="12"/>
      <c r="D772" s="13"/>
      <c r="E772" s="24"/>
      <c r="F772" s="12"/>
      <c r="G772" s="14" t="str">
        <f aca="false">IF(OR($D772="",$B772=""),"",INT(($B772-$D772)/365.25))</f>
        <v/>
      </c>
      <c r="H772" s="25"/>
      <c r="I772" s="12"/>
      <c r="J772" s="14" t="str">
        <f aca="false">IF(OR($C772="",$D772="",$B772=""),"",IF(COUNTIFS($C$5:$C$804,$C772,$D$5:$D$804,$D772,$B$5:$B$804,$B772)&gt;1,"Takror",""))</f>
        <v/>
      </c>
    </row>
    <row r="773" customFormat="false" ht="15" hidden="false" customHeight="false" outlineLevel="0" collapsed="false">
      <c r="A773" s="8" t="n">
        <v>769</v>
      </c>
      <c r="B773" s="13"/>
      <c r="C773" s="12"/>
      <c r="D773" s="13"/>
      <c r="E773" s="24"/>
      <c r="F773" s="12"/>
      <c r="G773" s="14" t="str">
        <f aca="false">IF(OR($D773="",$B773=""),"",INT(($B773-$D773)/365.25))</f>
        <v/>
      </c>
      <c r="H773" s="25"/>
      <c r="I773" s="12"/>
      <c r="J773" s="14" t="str">
        <f aca="false">IF(OR($C773="",$D773="",$B773=""),"",IF(COUNTIFS($C$5:$C$804,$C773,$D$5:$D$804,$D773,$B$5:$B$804,$B773)&gt;1,"Takror",""))</f>
        <v/>
      </c>
    </row>
    <row r="774" customFormat="false" ht="15" hidden="false" customHeight="false" outlineLevel="0" collapsed="false">
      <c r="A774" s="8" t="n">
        <v>770</v>
      </c>
      <c r="B774" s="13"/>
      <c r="C774" s="12"/>
      <c r="D774" s="13"/>
      <c r="E774" s="24"/>
      <c r="F774" s="12"/>
      <c r="G774" s="14" t="str">
        <f aca="false">IF(OR($D774="",$B774=""),"",INT(($B774-$D774)/365.25))</f>
        <v/>
      </c>
      <c r="H774" s="25"/>
      <c r="I774" s="12"/>
      <c r="J774" s="14" t="str">
        <f aca="false">IF(OR($C774="",$D774="",$B774=""),"",IF(COUNTIFS($C$5:$C$804,$C774,$D$5:$D$804,$D774,$B$5:$B$804,$B774)&gt;1,"Takror",""))</f>
        <v/>
      </c>
    </row>
    <row r="775" customFormat="false" ht="15" hidden="false" customHeight="false" outlineLevel="0" collapsed="false">
      <c r="A775" s="8" t="n">
        <v>771</v>
      </c>
      <c r="B775" s="13"/>
      <c r="C775" s="12"/>
      <c r="D775" s="13"/>
      <c r="E775" s="24"/>
      <c r="F775" s="12"/>
      <c r="G775" s="14" t="str">
        <f aca="false">IF(OR($D775="",$B775=""),"",INT(($B775-$D775)/365.25))</f>
        <v/>
      </c>
      <c r="H775" s="25"/>
      <c r="I775" s="12"/>
      <c r="J775" s="14" t="str">
        <f aca="false">IF(OR($C775="",$D775="",$B775=""),"",IF(COUNTIFS($C$5:$C$804,$C775,$D$5:$D$804,$D775,$B$5:$B$804,$B775)&gt;1,"Takror",""))</f>
        <v/>
      </c>
    </row>
    <row r="776" customFormat="false" ht="15" hidden="false" customHeight="false" outlineLevel="0" collapsed="false">
      <c r="A776" s="8" t="n">
        <v>772</v>
      </c>
      <c r="B776" s="13"/>
      <c r="C776" s="12"/>
      <c r="D776" s="13"/>
      <c r="E776" s="24"/>
      <c r="F776" s="12"/>
      <c r="G776" s="14" t="str">
        <f aca="false">IF(OR($D776="",$B776=""),"",INT(($B776-$D776)/365.25))</f>
        <v/>
      </c>
      <c r="H776" s="25"/>
      <c r="I776" s="12"/>
      <c r="J776" s="14" t="str">
        <f aca="false">IF(OR($C776="",$D776="",$B776=""),"",IF(COUNTIFS($C$5:$C$804,$C776,$D$5:$D$804,$D776,$B$5:$B$804,$B776)&gt;1,"Takror",""))</f>
        <v/>
      </c>
    </row>
    <row r="777" customFormat="false" ht="15" hidden="false" customHeight="false" outlineLevel="0" collapsed="false">
      <c r="A777" s="8" t="n">
        <v>773</v>
      </c>
      <c r="B777" s="13"/>
      <c r="C777" s="12"/>
      <c r="D777" s="13"/>
      <c r="E777" s="24"/>
      <c r="F777" s="12"/>
      <c r="G777" s="14" t="str">
        <f aca="false">IF(OR($D777="",$B777=""),"",INT(($B777-$D777)/365.25))</f>
        <v/>
      </c>
      <c r="H777" s="25"/>
      <c r="I777" s="12"/>
      <c r="J777" s="14" t="str">
        <f aca="false">IF(OR($C777="",$D777="",$B777=""),"",IF(COUNTIFS($C$5:$C$804,$C777,$D$5:$D$804,$D777,$B$5:$B$804,$B777)&gt;1,"Takror",""))</f>
        <v/>
      </c>
    </row>
    <row r="778" customFormat="false" ht="15" hidden="false" customHeight="false" outlineLevel="0" collapsed="false">
      <c r="A778" s="8" t="n">
        <v>774</v>
      </c>
      <c r="B778" s="13"/>
      <c r="C778" s="12"/>
      <c r="D778" s="13"/>
      <c r="E778" s="24"/>
      <c r="F778" s="12"/>
      <c r="G778" s="14" t="str">
        <f aca="false">IF(OR($D778="",$B778=""),"",INT(($B778-$D778)/365.25))</f>
        <v/>
      </c>
      <c r="H778" s="25"/>
      <c r="I778" s="12"/>
      <c r="J778" s="14" t="str">
        <f aca="false">IF(OR($C778="",$D778="",$B778=""),"",IF(COUNTIFS($C$5:$C$804,$C778,$D$5:$D$804,$D778,$B$5:$B$804,$B778)&gt;1,"Takror",""))</f>
        <v/>
      </c>
    </row>
    <row r="779" customFormat="false" ht="15" hidden="false" customHeight="false" outlineLevel="0" collapsed="false">
      <c r="A779" s="8" t="n">
        <v>775</v>
      </c>
      <c r="B779" s="13"/>
      <c r="C779" s="12"/>
      <c r="D779" s="13"/>
      <c r="E779" s="24"/>
      <c r="F779" s="12"/>
      <c r="G779" s="14" t="str">
        <f aca="false">IF(OR($D779="",$B779=""),"",INT(($B779-$D779)/365.25))</f>
        <v/>
      </c>
      <c r="H779" s="25"/>
      <c r="I779" s="12"/>
      <c r="J779" s="14" t="str">
        <f aca="false">IF(OR($C779="",$D779="",$B779=""),"",IF(COUNTIFS($C$5:$C$804,$C779,$D$5:$D$804,$D779,$B$5:$B$804,$B779)&gt;1,"Takror",""))</f>
        <v/>
      </c>
    </row>
    <row r="780" customFormat="false" ht="15" hidden="false" customHeight="false" outlineLevel="0" collapsed="false">
      <c r="A780" s="8" t="n">
        <v>776</v>
      </c>
      <c r="B780" s="13"/>
      <c r="C780" s="12"/>
      <c r="D780" s="13"/>
      <c r="E780" s="24"/>
      <c r="F780" s="12"/>
      <c r="G780" s="14" t="str">
        <f aca="false">IF(OR($D780="",$B780=""),"",INT(($B780-$D780)/365.25))</f>
        <v/>
      </c>
      <c r="H780" s="25"/>
      <c r="I780" s="12"/>
      <c r="J780" s="14" t="str">
        <f aca="false">IF(OR($C780="",$D780="",$B780=""),"",IF(COUNTIFS($C$5:$C$804,$C780,$D$5:$D$804,$D780,$B$5:$B$804,$B780)&gt;1,"Takror",""))</f>
        <v/>
      </c>
    </row>
    <row r="781" customFormat="false" ht="15" hidden="false" customHeight="false" outlineLevel="0" collapsed="false">
      <c r="A781" s="8" t="n">
        <v>777</v>
      </c>
      <c r="B781" s="13"/>
      <c r="C781" s="12"/>
      <c r="D781" s="13"/>
      <c r="E781" s="24"/>
      <c r="F781" s="12"/>
      <c r="G781" s="14" t="str">
        <f aca="false">IF(OR($D781="",$B781=""),"",INT(($B781-$D781)/365.25))</f>
        <v/>
      </c>
      <c r="H781" s="25"/>
      <c r="I781" s="12"/>
      <c r="J781" s="14" t="str">
        <f aca="false">IF(OR($C781="",$D781="",$B781=""),"",IF(COUNTIFS($C$5:$C$804,$C781,$D$5:$D$804,$D781,$B$5:$B$804,$B781)&gt;1,"Takror",""))</f>
        <v/>
      </c>
    </row>
    <row r="782" customFormat="false" ht="15" hidden="false" customHeight="false" outlineLevel="0" collapsed="false">
      <c r="A782" s="8" t="n">
        <v>778</v>
      </c>
      <c r="B782" s="13"/>
      <c r="C782" s="12"/>
      <c r="D782" s="13"/>
      <c r="E782" s="24"/>
      <c r="F782" s="12"/>
      <c r="G782" s="14" t="str">
        <f aca="false">IF(OR($D782="",$B782=""),"",INT(($B782-$D782)/365.25))</f>
        <v/>
      </c>
      <c r="H782" s="25"/>
      <c r="I782" s="12"/>
      <c r="J782" s="14" t="str">
        <f aca="false">IF(OR($C782="",$D782="",$B782=""),"",IF(COUNTIFS($C$5:$C$804,$C782,$D$5:$D$804,$D782,$B$5:$B$804,$B782)&gt;1,"Takror",""))</f>
        <v/>
      </c>
    </row>
    <row r="783" customFormat="false" ht="15" hidden="false" customHeight="false" outlineLevel="0" collapsed="false">
      <c r="A783" s="8" t="n">
        <v>779</v>
      </c>
      <c r="B783" s="13"/>
      <c r="C783" s="12"/>
      <c r="D783" s="13"/>
      <c r="E783" s="24"/>
      <c r="F783" s="12"/>
      <c r="G783" s="14" t="str">
        <f aca="false">IF(OR($D783="",$B783=""),"",INT(($B783-$D783)/365.25))</f>
        <v/>
      </c>
      <c r="H783" s="25"/>
      <c r="I783" s="12"/>
      <c r="J783" s="14" t="str">
        <f aca="false">IF(OR($C783="",$D783="",$B783=""),"",IF(COUNTIFS($C$5:$C$804,$C783,$D$5:$D$804,$D783,$B$5:$B$804,$B783)&gt;1,"Takror",""))</f>
        <v/>
      </c>
    </row>
    <row r="784" customFormat="false" ht="15" hidden="false" customHeight="false" outlineLevel="0" collapsed="false">
      <c r="A784" s="8" t="n">
        <v>780</v>
      </c>
      <c r="B784" s="13"/>
      <c r="C784" s="12"/>
      <c r="D784" s="13"/>
      <c r="E784" s="24"/>
      <c r="F784" s="12"/>
      <c r="G784" s="14" t="str">
        <f aca="false">IF(OR($D784="",$B784=""),"",INT(($B784-$D784)/365.25))</f>
        <v/>
      </c>
      <c r="H784" s="25"/>
      <c r="I784" s="12"/>
      <c r="J784" s="14" t="str">
        <f aca="false">IF(OR($C784="",$D784="",$B784=""),"",IF(COUNTIFS($C$5:$C$804,$C784,$D$5:$D$804,$D784,$B$5:$B$804,$B784)&gt;1,"Takror",""))</f>
        <v/>
      </c>
    </row>
    <row r="785" customFormat="false" ht="15" hidden="false" customHeight="false" outlineLevel="0" collapsed="false">
      <c r="A785" s="8" t="n">
        <v>781</v>
      </c>
      <c r="B785" s="13"/>
      <c r="C785" s="12"/>
      <c r="D785" s="13"/>
      <c r="E785" s="24"/>
      <c r="F785" s="12"/>
      <c r="G785" s="14" t="str">
        <f aca="false">IF(OR($D785="",$B785=""),"",INT(($B785-$D785)/365.25))</f>
        <v/>
      </c>
      <c r="H785" s="25"/>
      <c r="I785" s="12"/>
      <c r="J785" s="14" t="str">
        <f aca="false">IF(OR($C785="",$D785="",$B785=""),"",IF(COUNTIFS($C$5:$C$804,$C785,$D$5:$D$804,$D785,$B$5:$B$804,$B785)&gt;1,"Takror",""))</f>
        <v/>
      </c>
    </row>
    <row r="786" customFormat="false" ht="15" hidden="false" customHeight="false" outlineLevel="0" collapsed="false">
      <c r="A786" s="8" t="n">
        <v>782</v>
      </c>
      <c r="B786" s="13"/>
      <c r="C786" s="12"/>
      <c r="D786" s="13"/>
      <c r="E786" s="24"/>
      <c r="F786" s="12"/>
      <c r="G786" s="14" t="str">
        <f aca="false">IF(OR($D786="",$B786=""),"",INT(($B786-$D786)/365.25))</f>
        <v/>
      </c>
      <c r="H786" s="25"/>
      <c r="I786" s="12"/>
      <c r="J786" s="14" t="str">
        <f aca="false">IF(OR($C786="",$D786="",$B786=""),"",IF(COUNTIFS($C$5:$C$804,$C786,$D$5:$D$804,$D786,$B$5:$B$804,$B786)&gt;1,"Takror",""))</f>
        <v/>
      </c>
    </row>
    <row r="787" customFormat="false" ht="15" hidden="false" customHeight="false" outlineLevel="0" collapsed="false">
      <c r="A787" s="8" t="n">
        <v>783</v>
      </c>
      <c r="B787" s="13"/>
      <c r="C787" s="12"/>
      <c r="D787" s="13"/>
      <c r="E787" s="24"/>
      <c r="F787" s="12"/>
      <c r="G787" s="14" t="str">
        <f aca="false">IF(OR($D787="",$B787=""),"",INT(($B787-$D787)/365.25))</f>
        <v/>
      </c>
      <c r="H787" s="25"/>
      <c r="I787" s="12"/>
      <c r="J787" s="14" t="str">
        <f aca="false">IF(OR($C787="",$D787="",$B787=""),"",IF(COUNTIFS($C$5:$C$804,$C787,$D$5:$D$804,$D787,$B$5:$B$804,$B787)&gt;1,"Takror",""))</f>
        <v/>
      </c>
    </row>
    <row r="788" customFormat="false" ht="15" hidden="false" customHeight="false" outlineLevel="0" collapsed="false">
      <c r="A788" s="8" t="n">
        <v>784</v>
      </c>
      <c r="B788" s="13"/>
      <c r="C788" s="12"/>
      <c r="D788" s="13"/>
      <c r="E788" s="24"/>
      <c r="F788" s="12"/>
      <c r="G788" s="14" t="str">
        <f aca="false">IF(OR($D788="",$B788=""),"",INT(($B788-$D788)/365.25))</f>
        <v/>
      </c>
      <c r="H788" s="25"/>
      <c r="I788" s="12"/>
      <c r="J788" s="14" t="str">
        <f aca="false">IF(OR($C788="",$D788="",$B788=""),"",IF(COUNTIFS($C$5:$C$804,$C788,$D$5:$D$804,$D788,$B$5:$B$804,$B788)&gt;1,"Takror",""))</f>
        <v/>
      </c>
    </row>
    <row r="789" customFormat="false" ht="15" hidden="false" customHeight="false" outlineLevel="0" collapsed="false">
      <c r="A789" s="8" t="n">
        <v>785</v>
      </c>
      <c r="B789" s="13"/>
      <c r="C789" s="12"/>
      <c r="D789" s="13"/>
      <c r="E789" s="24"/>
      <c r="F789" s="12"/>
      <c r="G789" s="14" t="str">
        <f aca="false">IF(OR($D789="",$B789=""),"",INT(($B789-$D789)/365.25))</f>
        <v/>
      </c>
      <c r="H789" s="25"/>
      <c r="I789" s="12"/>
      <c r="J789" s="14" t="str">
        <f aca="false">IF(OR($C789="",$D789="",$B789=""),"",IF(COUNTIFS($C$5:$C$804,$C789,$D$5:$D$804,$D789,$B$5:$B$804,$B789)&gt;1,"Takror",""))</f>
        <v/>
      </c>
    </row>
    <row r="790" customFormat="false" ht="15" hidden="false" customHeight="false" outlineLevel="0" collapsed="false">
      <c r="A790" s="8" t="n">
        <v>786</v>
      </c>
      <c r="B790" s="13"/>
      <c r="C790" s="12"/>
      <c r="D790" s="13"/>
      <c r="E790" s="24"/>
      <c r="F790" s="12"/>
      <c r="G790" s="14" t="str">
        <f aca="false">IF(OR($D790="",$B790=""),"",INT(($B790-$D790)/365.25))</f>
        <v/>
      </c>
      <c r="H790" s="25"/>
      <c r="I790" s="12"/>
      <c r="J790" s="14" t="str">
        <f aca="false">IF(OR($C790="",$D790="",$B790=""),"",IF(COUNTIFS($C$5:$C$804,$C790,$D$5:$D$804,$D790,$B$5:$B$804,$B790)&gt;1,"Takror",""))</f>
        <v/>
      </c>
    </row>
    <row r="791" customFormat="false" ht="15" hidden="false" customHeight="false" outlineLevel="0" collapsed="false">
      <c r="A791" s="8" t="n">
        <v>787</v>
      </c>
      <c r="B791" s="13"/>
      <c r="C791" s="12"/>
      <c r="D791" s="13"/>
      <c r="E791" s="24"/>
      <c r="F791" s="12"/>
      <c r="G791" s="14" t="str">
        <f aca="false">IF(OR($D791="",$B791=""),"",INT(($B791-$D791)/365.25))</f>
        <v/>
      </c>
      <c r="H791" s="25"/>
      <c r="I791" s="12"/>
      <c r="J791" s="14" t="str">
        <f aca="false">IF(OR($C791="",$D791="",$B791=""),"",IF(COUNTIFS($C$5:$C$804,$C791,$D$5:$D$804,$D791,$B$5:$B$804,$B791)&gt;1,"Takror",""))</f>
        <v/>
      </c>
    </row>
    <row r="792" customFormat="false" ht="15" hidden="false" customHeight="false" outlineLevel="0" collapsed="false">
      <c r="A792" s="8" t="n">
        <v>788</v>
      </c>
      <c r="B792" s="13"/>
      <c r="C792" s="12"/>
      <c r="D792" s="13"/>
      <c r="E792" s="24"/>
      <c r="F792" s="12"/>
      <c r="G792" s="14" t="str">
        <f aca="false">IF(OR($D792="",$B792=""),"",INT(($B792-$D792)/365.25))</f>
        <v/>
      </c>
      <c r="H792" s="25"/>
      <c r="I792" s="12"/>
      <c r="J792" s="14" t="str">
        <f aca="false">IF(OR($C792="",$D792="",$B792=""),"",IF(COUNTIFS($C$5:$C$804,$C792,$D$5:$D$804,$D792,$B$5:$B$804,$B792)&gt;1,"Takror",""))</f>
        <v/>
      </c>
    </row>
    <row r="793" customFormat="false" ht="15" hidden="false" customHeight="false" outlineLevel="0" collapsed="false">
      <c r="A793" s="8" t="n">
        <v>789</v>
      </c>
      <c r="B793" s="13"/>
      <c r="C793" s="12"/>
      <c r="D793" s="13"/>
      <c r="E793" s="24"/>
      <c r="F793" s="12"/>
      <c r="G793" s="14" t="str">
        <f aca="false">IF(OR($D793="",$B793=""),"",INT(($B793-$D793)/365.25))</f>
        <v/>
      </c>
      <c r="H793" s="25"/>
      <c r="I793" s="12"/>
      <c r="J793" s="14" t="str">
        <f aca="false">IF(OR($C793="",$D793="",$B793=""),"",IF(COUNTIFS($C$5:$C$804,$C793,$D$5:$D$804,$D793,$B$5:$B$804,$B793)&gt;1,"Takror",""))</f>
        <v/>
      </c>
    </row>
    <row r="794" customFormat="false" ht="15" hidden="false" customHeight="false" outlineLevel="0" collapsed="false">
      <c r="A794" s="8" t="n">
        <v>790</v>
      </c>
      <c r="B794" s="13"/>
      <c r="C794" s="12"/>
      <c r="D794" s="13"/>
      <c r="E794" s="24"/>
      <c r="F794" s="12"/>
      <c r="G794" s="14" t="str">
        <f aca="false">IF(OR($D794="",$B794=""),"",INT(($B794-$D794)/365.25))</f>
        <v/>
      </c>
      <c r="H794" s="25"/>
      <c r="I794" s="12"/>
      <c r="J794" s="14" t="str">
        <f aca="false">IF(OR($C794="",$D794="",$B794=""),"",IF(COUNTIFS($C$5:$C$804,$C794,$D$5:$D$804,$D794,$B$5:$B$804,$B794)&gt;1,"Takror",""))</f>
        <v/>
      </c>
    </row>
    <row r="795" customFormat="false" ht="15" hidden="false" customHeight="false" outlineLevel="0" collapsed="false">
      <c r="A795" s="8" t="n">
        <v>791</v>
      </c>
      <c r="B795" s="13"/>
      <c r="C795" s="12"/>
      <c r="D795" s="13"/>
      <c r="E795" s="24"/>
      <c r="F795" s="12"/>
      <c r="G795" s="14" t="str">
        <f aca="false">IF(OR($D795="",$B795=""),"",INT(($B795-$D795)/365.25))</f>
        <v/>
      </c>
      <c r="H795" s="25"/>
      <c r="I795" s="12"/>
      <c r="J795" s="14" t="str">
        <f aca="false">IF(OR($C795="",$D795="",$B795=""),"",IF(COUNTIFS($C$5:$C$804,$C795,$D$5:$D$804,$D795,$B$5:$B$804,$B795)&gt;1,"Takror",""))</f>
        <v/>
      </c>
    </row>
    <row r="796" customFormat="false" ht="15" hidden="false" customHeight="false" outlineLevel="0" collapsed="false">
      <c r="A796" s="8" t="n">
        <v>792</v>
      </c>
      <c r="B796" s="13"/>
      <c r="C796" s="12"/>
      <c r="D796" s="13"/>
      <c r="E796" s="24"/>
      <c r="F796" s="12"/>
      <c r="G796" s="14" t="str">
        <f aca="false">IF(OR($D796="",$B796=""),"",INT(($B796-$D796)/365.25))</f>
        <v/>
      </c>
      <c r="H796" s="25"/>
      <c r="I796" s="12"/>
      <c r="J796" s="14" t="str">
        <f aca="false">IF(OR($C796="",$D796="",$B796=""),"",IF(COUNTIFS($C$5:$C$804,$C796,$D$5:$D$804,$D796,$B$5:$B$804,$B796)&gt;1,"Takror",""))</f>
        <v/>
      </c>
    </row>
    <row r="797" customFormat="false" ht="15" hidden="false" customHeight="false" outlineLevel="0" collapsed="false">
      <c r="A797" s="8" t="n">
        <v>793</v>
      </c>
      <c r="B797" s="13"/>
      <c r="C797" s="12"/>
      <c r="D797" s="13"/>
      <c r="E797" s="24"/>
      <c r="F797" s="12"/>
      <c r="G797" s="14" t="str">
        <f aca="false">IF(OR($D797="",$B797=""),"",INT(($B797-$D797)/365.25))</f>
        <v/>
      </c>
      <c r="H797" s="25"/>
      <c r="I797" s="12"/>
      <c r="J797" s="14" t="str">
        <f aca="false">IF(OR($C797="",$D797="",$B797=""),"",IF(COUNTIFS($C$5:$C$804,$C797,$D$5:$D$804,$D797,$B$5:$B$804,$B797)&gt;1,"Takror",""))</f>
        <v/>
      </c>
    </row>
    <row r="798" customFormat="false" ht="15" hidden="false" customHeight="false" outlineLevel="0" collapsed="false">
      <c r="A798" s="8" t="n">
        <v>794</v>
      </c>
      <c r="B798" s="13"/>
      <c r="C798" s="12"/>
      <c r="D798" s="13"/>
      <c r="E798" s="24"/>
      <c r="F798" s="12"/>
      <c r="G798" s="14" t="str">
        <f aca="false">IF(OR($D798="",$B798=""),"",INT(($B798-$D798)/365.25))</f>
        <v/>
      </c>
      <c r="H798" s="25"/>
      <c r="I798" s="12"/>
      <c r="J798" s="14" t="str">
        <f aca="false">IF(OR($C798="",$D798="",$B798=""),"",IF(COUNTIFS($C$5:$C$804,$C798,$D$5:$D$804,$D798,$B$5:$B$804,$B798)&gt;1,"Takror",""))</f>
        <v/>
      </c>
    </row>
    <row r="799" customFormat="false" ht="15" hidden="false" customHeight="false" outlineLevel="0" collapsed="false">
      <c r="A799" s="8" t="n">
        <v>795</v>
      </c>
      <c r="B799" s="13"/>
      <c r="C799" s="12"/>
      <c r="D799" s="13"/>
      <c r="E799" s="24"/>
      <c r="F799" s="12"/>
      <c r="G799" s="14" t="str">
        <f aca="false">IF(OR($D799="",$B799=""),"",INT(($B799-$D799)/365.25))</f>
        <v/>
      </c>
      <c r="H799" s="25"/>
      <c r="I799" s="12"/>
      <c r="J799" s="14" t="str">
        <f aca="false">IF(OR($C799="",$D799="",$B799=""),"",IF(COUNTIFS($C$5:$C$804,$C799,$D$5:$D$804,$D799,$B$5:$B$804,$B799)&gt;1,"Takror",""))</f>
        <v/>
      </c>
    </row>
    <row r="800" customFormat="false" ht="15" hidden="false" customHeight="false" outlineLevel="0" collapsed="false">
      <c r="A800" s="8" t="n">
        <v>796</v>
      </c>
      <c r="B800" s="13"/>
      <c r="C800" s="12"/>
      <c r="D800" s="13"/>
      <c r="E800" s="24"/>
      <c r="F800" s="12"/>
      <c r="G800" s="14" t="str">
        <f aca="false">IF(OR($D800="",$B800=""),"",INT(($B800-$D800)/365.25))</f>
        <v/>
      </c>
      <c r="H800" s="25"/>
      <c r="I800" s="12"/>
      <c r="J800" s="14" t="str">
        <f aca="false">IF(OR($C800="",$D800="",$B800=""),"",IF(COUNTIFS($C$5:$C$804,$C800,$D$5:$D$804,$D800,$B$5:$B$804,$B800)&gt;1,"Takror",""))</f>
        <v/>
      </c>
    </row>
    <row r="801" customFormat="false" ht="15" hidden="false" customHeight="false" outlineLevel="0" collapsed="false">
      <c r="A801" s="8" t="n">
        <v>797</v>
      </c>
      <c r="B801" s="13"/>
      <c r="C801" s="12"/>
      <c r="D801" s="13"/>
      <c r="E801" s="24"/>
      <c r="F801" s="12"/>
      <c r="G801" s="14" t="str">
        <f aca="false">IF(OR($D801="",$B801=""),"",INT(($B801-$D801)/365.25))</f>
        <v/>
      </c>
      <c r="H801" s="25"/>
      <c r="I801" s="12"/>
      <c r="J801" s="14" t="str">
        <f aca="false">IF(OR($C801="",$D801="",$B801=""),"",IF(COUNTIFS($C$5:$C$804,$C801,$D$5:$D$804,$D801,$B$5:$B$804,$B801)&gt;1,"Takror",""))</f>
        <v/>
      </c>
    </row>
    <row r="802" customFormat="false" ht="15" hidden="false" customHeight="false" outlineLevel="0" collapsed="false">
      <c r="A802" s="8" t="n">
        <v>798</v>
      </c>
      <c r="B802" s="13"/>
      <c r="C802" s="12"/>
      <c r="D802" s="13"/>
      <c r="E802" s="24"/>
      <c r="F802" s="12"/>
      <c r="G802" s="14" t="str">
        <f aca="false">IF(OR($D802="",$B802=""),"",INT(($B802-$D802)/365.25))</f>
        <v/>
      </c>
      <c r="H802" s="25"/>
      <c r="I802" s="12"/>
      <c r="J802" s="14" t="str">
        <f aca="false">IF(OR($C802="",$D802="",$B802=""),"",IF(COUNTIFS($C$5:$C$804,$C802,$D$5:$D$804,$D802,$B$5:$B$804,$B802)&gt;1,"Takror",""))</f>
        <v/>
      </c>
    </row>
    <row r="803" customFormat="false" ht="15" hidden="false" customHeight="false" outlineLevel="0" collapsed="false">
      <c r="A803" s="8" t="n">
        <v>799</v>
      </c>
      <c r="B803" s="13"/>
      <c r="C803" s="12"/>
      <c r="D803" s="13"/>
      <c r="E803" s="24"/>
      <c r="F803" s="12"/>
      <c r="G803" s="14" t="str">
        <f aca="false">IF(OR($D803="",$B803=""),"",INT(($B803-$D803)/365.25))</f>
        <v/>
      </c>
      <c r="H803" s="25"/>
      <c r="I803" s="12"/>
      <c r="J803" s="14" t="str">
        <f aca="false">IF(OR($C803="",$D803="",$B803=""),"",IF(COUNTIFS($C$5:$C$804,$C803,$D$5:$D$804,$D803,$B$5:$B$804,$B803)&gt;1,"Takror",""))</f>
        <v/>
      </c>
    </row>
    <row r="804" customFormat="false" ht="15" hidden="false" customHeight="false" outlineLevel="0" collapsed="false">
      <c r="A804" s="8" t="n">
        <v>800</v>
      </c>
      <c r="B804" s="13"/>
      <c r="C804" s="12"/>
      <c r="D804" s="13"/>
      <c r="E804" s="24"/>
      <c r="F804" s="12"/>
      <c r="G804" s="14" t="str">
        <f aca="false">IF(OR($D804="",$B804=""),"",INT(($B804-$D804)/365.25))</f>
        <v/>
      </c>
      <c r="H804" s="25"/>
      <c r="I804" s="12"/>
      <c r="J804" s="14" t="str">
        <f aca="false">IF(OR($C804="",$D804="",$B804=""),"",IF(COUNTIFS($C$5:$C$804,$C804,$D$5:$D$804,$D804,$B$5:$B$804,$B804)&gt;1,"Takror",""))</f>
        <v/>
      </c>
    </row>
  </sheetData>
  <autoFilter ref="A4:J804"/>
  <conditionalFormatting sqref="J5:J804">
    <cfRule type="expression" priority="2" aboveAverage="0" equalAverage="0" bottom="0" percent="0" rank="0" text="" dxfId="0">
      <formula>$J5="Takror"</formula>
    </cfRule>
  </conditionalFormatting>
  <dataValidations count="3">
    <dataValidation allowBlank="true" error="Sanani kiriting (kun.oy.yil) / Введите дату (дд.мм.гггг)" errorStyle="stop" errorTitle="Sana / Дата" operator="greaterThan" showDropDown="false" showErrorMessage="true" showInputMessage="false" sqref="B5:B804 D5:D804" type="date">
      <formula1>1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8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H5:H804" type="list">
      <formula1>"Me'yor,Patologiya,Yetarli emas,Natija kutilmoqda"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24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344</v>
      </c>
    </row>
    <row r="2" customFormat="false" ht="15" hidden="false" customHeight="false" outlineLevel="0" collapsed="false">
      <c r="A2" s="2" t="s">
        <v>345</v>
      </c>
    </row>
    <row r="3" customFormat="false" ht="15" hidden="false" customHeight="false" outlineLevel="0" collapsed="false">
      <c r="A3" s="21" t="s">
        <v>258</v>
      </c>
      <c r="B3" s="22"/>
      <c r="C3" s="22"/>
      <c r="D3" s="22"/>
      <c r="E3" s="22"/>
      <c r="F3" s="22"/>
      <c r="G3" s="22"/>
      <c r="H3" s="22"/>
      <c r="I3" s="22"/>
      <c r="J3" s="22"/>
    </row>
    <row r="4" customFormat="false" ht="61.5" hidden="false" customHeight="true" outlineLevel="0" collapsed="false">
      <c r="A4" s="7" t="s">
        <v>12</v>
      </c>
      <c r="B4" s="7" t="s">
        <v>346</v>
      </c>
      <c r="C4" s="7" t="s">
        <v>260</v>
      </c>
      <c r="D4" s="7" t="s">
        <v>261</v>
      </c>
      <c r="E4" s="7" t="s">
        <v>262</v>
      </c>
      <c r="F4" s="23" t="s">
        <v>264</v>
      </c>
      <c r="G4" s="7" t="s">
        <v>347</v>
      </c>
      <c r="H4" s="7" t="s">
        <v>348</v>
      </c>
      <c r="I4" s="7" t="s">
        <v>278</v>
      </c>
      <c r="J4" s="23" t="s">
        <v>279</v>
      </c>
    </row>
    <row r="5" customFormat="false" ht="15" hidden="false" customHeight="false" outlineLevel="0" collapsed="false">
      <c r="A5" s="8" t="n">
        <v>1</v>
      </c>
      <c r="B5" s="13"/>
      <c r="C5" s="12"/>
      <c r="D5" s="13"/>
      <c r="E5" s="24"/>
      <c r="F5" s="14" t="str">
        <f aca="false">IF(OR($D5="",$B5=""),"",INT(($B5-$D5)/365.25))</f>
        <v/>
      </c>
      <c r="G5" s="25"/>
      <c r="H5" s="25"/>
      <c r="I5" s="12"/>
      <c r="J5" s="14" t="str">
        <f aca="false">IF(OR($C5="",$D5="",$B5="",$G5=""),"",IF(COUNTIFS($C$5:$C$804,$C5,$D$5:$D$804,$D5,$B$5:$B$804,$B5,$G$5:$G$804,$G5)&gt;1,"Takror",""))</f>
        <v/>
      </c>
    </row>
    <row r="6" customFormat="false" ht="15" hidden="false" customHeight="false" outlineLevel="0" collapsed="false">
      <c r="A6" s="8" t="n">
        <v>2</v>
      </c>
      <c r="B6" s="13"/>
      <c r="C6" s="12"/>
      <c r="D6" s="13"/>
      <c r="E6" s="24"/>
      <c r="F6" s="14" t="str">
        <f aca="false">IF(OR($D6="",$B6=""),"",INT(($B6-$D6)/365.25))</f>
        <v/>
      </c>
      <c r="G6" s="25"/>
      <c r="H6" s="25"/>
      <c r="I6" s="12"/>
      <c r="J6" s="14" t="str">
        <f aca="false">IF(OR($C6="",$D6="",$B6="",$G6=""),"",IF(COUNTIFS($C$5:$C$804,$C6,$D$5:$D$804,$D6,$B$5:$B$804,$B6,$G$5:$G$804,$G6)&gt;1,"Takror",""))</f>
        <v/>
      </c>
    </row>
    <row r="7" customFormat="false" ht="15" hidden="false" customHeight="false" outlineLevel="0" collapsed="false">
      <c r="A7" s="8" t="n">
        <v>3</v>
      </c>
      <c r="B7" s="13"/>
      <c r="C7" s="12"/>
      <c r="D7" s="13"/>
      <c r="E7" s="24"/>
      <c r="F7" s="14" t="str">
        <f aca="false">IF(OR($D7="",$B7=""),"",INT(($B7-$D7)/365.25))</f>
        <v/>
      </c>
      <c r="G7" s="25"/>
      <c r="H7" s="25"/>
      <c r="I7" s="12"/>
      <c r="J7" s="14" t="str">
        <f aca="false">IF(OR($C7="",$D7="",$B7="",$G7=""),"",IF(COUNTIFS($C$5:$C$804,$C7,$D$5:$D$804,$D7,$B$5:$B$804,$B7,$G$5:$G$804,$G7)&gt;1,"Takror",""))</f>
        <v/>
      </c>
    </row>
    <row r="8" customFormat="false" ht="15" hidden="false" customHeight="false" outlineLevel="0" collapsed="false">
      <c r="A8" s="8" t="n">
        <v>4</v>
      </c>
      <c r="B8" s="13"/>
      <c r="C8" s="12"/>
      <c r="D8" s="13"/>
      <c r="E8" s="24"/>
      <c r="F8" s="14" t="str">
        <f aca="false">IF(OR($D8="",$B8=""),"",INT(($B8-$D8)/365.25))</f>
        <v/>
      </c>
      <c r="G8" s="25"/>
      <c r="H8" s="25"/>
      <c r="I8" s="12"/>
      <c r="J8" s="14" t="str">
        <f aca="false">IF(OR($C8="",$D8="",$B8="",$G8=""),"",IF(COUNTIFS($C$5:$C$804,$C8,$D$5:$D$804,$D8,$B$5:$B$804,$B8,$G$5:$G$804,$G8)&gt;1,"Takror",""))</f>
        <v/>
      </c>
    </row>
    <row r="9" customFormat="false" ht="15" hidden="false" customHeight="false" outlineLevel="0" collapsed="false">
      <c r="A9" s="8" t="n">
        <v>5</v>
      </c>
      <c r="B9" s="13"/>
      <c r="C9" s="12"/>
      <c r="D9" s="13"/>
      <c r="E9" s="24"/>
      <c r="F9" s="14" t="str">
        <f aca="false">IF(OR($D9="",$B9=""),"",INT(($B9-$D9)/365.25))</f>
        <v/>
      </c>
      <c r="G9" s="25"/>
      <c r="H9" s="25"/>
      <c r="I9" s="12"/>
      <c r="J9" s="14" t="str">
        <f aca="false">IF(OR($C9="",$D9="",$B9="",$G9=""),"",IF(COUNTIFS($C$5:$C$804,$C9,$D$5:$D$804,$D9,$B$5:$B$804,$B9,$G$5:$G$804,$G9)&gt;1,"Takror",""))</f>
        <v/>
      </c>
    </row>
    <row r="10" customFormat="false" ht="15" hidden="false" customHeight="false" outlineLevel="0" collapsed="false">
      <c r="A10" s="8" t="n">
        <v>6</v>
      </c>
      <c r="B10" s="13"/>
      <c r="C10" s="12"/>
      <c r="D10" s="13"/>
      <c r="E10" s="24"/>
      <c r="F10" s="14" t="str">
        <f aca="false">IF(OR($D10="",$B10=""),"",INT(($B10-$D10)/365.25))</f>
        <v/>
      </c>
      <c r="G10" s="25"/>
      <c r="H10" s="25"/>
      <c r="I10" s="12"/>
      <c r="J10" s="14" t="str">
        <f aca="false">IF(OR($C10="",$D10="",$B10="",$G10=""),"",IF(COUNTIFS($C$5:$C$804,$C10,$D$5:$D$804,$D10,$B$5:$B$804,$B10,$G$5:$G$804,$G10)&gt;1,"Takror",""))</f>
        <v/>
      </c>
    </row>
    <row r="11" customFormat="false" ht="15" hidden="false" customHeight="false" outlineLevel="0" collapsed="false">
      <c r="A11" s="8" t="n">
        <v>7</v>
      </c>
      <c r="B11" s="13"/>
      <c r="C11" s="12"/>
      <c r="D11" s="13"/>
      <c r="E11" s="24"/>
      <c r="F11" s="14" t="str">
        <f aca="false">IF(OR($D11="",$B11=""),"",INT(($B11-$D11)/365.25))</f>
        <v/>
      </c>
      <c r="G11" s="25"/>
      <c r="H11" s="25"/>
      <c r="I11" s="12"/>
      <c r="J11" s="14" t="str">
        <f aca="false">IF(OR($C11="",$D11="",$B11="",$G11=""),"",IF(COUNTIFS($C$5:$C$804,$C11,$D$5:$D$804,$D11,$B$5:$B$804,$B11,$G$5:$G$804,$G11)&gt;1,"Takror",""))</f>
        <v/>
      </c>
    </row>
    <row r="12" customFormat="false" ht="15" hidden="false" customHeight="false" outlineLevel="0" collapsed="false">
      <c r="A12" s="8" t="n">
        <v>8</v>
      </c>
      <c r="B12" s="13"/>
      <c r="C12" s="12"/>
      <c r="D12" s="13"/>
      <c r="E12" s="24"/>
      <c r="F12" s="14" t="str">
        <f aca="false">IF(OR($D12="",$B12=""),"",INT(($B12-$D12)/365.25))</f>
        <v/>
      </c>
      <c r="G12" s="25"/>
      <c r="H12" s="25"/>
      <c r="I12" s="12"/>
      <c r="J12" s="14" t="str">
        <f aca="false">IF(OR($C12="",$D12="",$B12="",$G12=""),"",IF(COUNTIFS($C$5:$C$804,$C12,$D$5:$D$804,$D12,$B$5:$B$804,$B12,$G$5:$G$804,$G12)&gt;1,"Takror",""))</f>
        <v/>
      </c>
    </row>
    <row r="13" customFormat="false" ht="15" hidden="false" customHeight="false" outlineLevel="0" collapsed="false">
      <c r="A13" s="8" t="n">
        <v>9</v>
      </c>
      <c r="B13" s="13"/>
      <c r="C13" s="12"/>
      <c r="D13" s="13"/>
      <c r="E13" s="24"/>
      <c r="F13" s="14" t="str">
        <f aca="false">IF(OR($D13="",$B13=""),"",INT(($B13-$D13)/365.25))</f>
        <v/>
      </c>
      <c r="G13" s="25"/>
      <c r="H13" s="25"/>
      <c r="I13" s="12"/>
      <c r="J13" s="14" t="str">
        <f aca="false">IF(OR($C13="",$D13="",$B13="",$G13=""),"",IF(COUNTIFS($C$5:$C$804,$C13,$D$5:$D$804,$D13,$B$5:$B$804,$B13,$G$5:$G$804,$G13)&gt;1,"Takror",""))</f>
        <v/>
      </c>
    </row>
    <row r="14" customFormat="false" ht="15" hidden="false" customHeight="false" outlineLevel="0" collapsed="false">
      <c r="A14" s="8" t="n">
        <v>10</v>
      </c>
      <c r="B14" s="13"/>
      <c r="C14" s="12"/>
      <c r="D14" s="13"/>
      <c r="E14" s="24"/>
      <c r="F14" s="14" t="str">
        <f aca="false">IF(OR($D14="",$B14=""),"",INT(($B14-$D14)/365.25))</f>
        <v/>
      </c>
      <c r="G14" s="25"/>
      <c r="H14" s="25"/>
      <c r="I14" s="12"/>
      <c r="J14" s="14" t="str">
        <f aca="false">IF(OR($C14="",$D14="",$B14="",$G14=""),"",IF(COUNTIFS($C$5:$C$804,$C14,$D$5:$D$804,$D14,$B$5:$B$804,$B14,$G$5:$G$804,$G14)&gt;1,"Takror",""))</f>
        <v/>
      </c>
    </row>
    <row r="15" customFormat="false" ht="15" hidden="false" customHeight="false" outlineLevel="0" collapsed="false">
      <c r="A15" s="8" t="n">
        <v>11</v>
      </c>
      <c r="B15" s="13"/>
      <c r="C15" s="12"/>
      <c r="D15" s="13"/>
      <c r="E15" s="24"/>
      <c r="F15" s="14" t="str">
        <f aca="false">IF(OR($D15="",$B15=""),"",INT(($B15-$D15)/365.25))</f>
        <v/>
      </c>
      <c r="G15" s="25"/>
      <c r="H15" s="25"/>
      <c r="I15" s="12"/>
      <c r="J15" s="14" t="str">
        <f aca="false">IF(OR($C15="",$D15="",$B15="",$G15=""),"",IF(COUNTIFS($C$5:$C$804,$C15,$D$5:$D$804,$D15,$B$5:$B$804,$B15,$G$5:$G$804,$G15)&gt;1,"Takror",""))</f>
        <v/>
      </c>
    </row>
    <row r="16" customFormat="false" ht="15" hidden="false" customHeight="false" outlineLevel="0" collapsed="false">
      <c r="A16" s="8" t="n">
        <v>12</v>
      </c>
      <c r="B16" s="13"/>
      <c r="C16" s="12"/>
      <c r="D16" s="13"/>
      <c r="E16" s="24"/>
      <c r="F16" s="14" t="str">
        <f aca="false">IF(OR($D16="",$B16=""),"",INT(($B16-$D16)/365.25))</f>
        <v/>
      </c>
      <c r="G16" s="25"/>
      <c r="H16" s="25"/>
      <c r="I16" s="12"/>
      <c r="J16" s="14" t="str">
        <f aca="false">IF(OR($C16="",$D16="",$B16="",$G16=""),"",IF(COUNTIFS($C$5:$C$804,$C16,$D$5:$D$804,$D16,$B$5:$B$804,$B16,$G$5:$G$804,$G16)&gt;1,"Takror",""))</f>
        <v/>
      </c>
    </row>
    <row r="17" customFormat="false" ht="15" hidden="false" customHeight="false" outlineLevel="0" collapsed="false">
      <c r="A17" s="8" t="n">
        <v>13</v>
      </c>
      <c r="B17" s="13"/>
      <c r="C17" s="12"/>
      <c r="D17" s="13"/>
      <c r="E17" s="24"/>
      <c r="F17" s="14" t="str">
        <f aca="false">IF(OR($D17="",$B17=""),"",INT(($B17-$D17)/365.25))</f>
        <v/>
      </c>
      <c r="G17" s="25"/>
      <c r="H17" s="25"/>
      <c r="I17" s="12"/>
      <c r="J17" s="14" t="str">
        <f aca="false">IF(OR($C17="",$D17="",$B17="",$G17=""),"",IF(COUNTIFS($C$5:$C$804,$C17,$D$5:$D$804,$D17,$B$5:$B$804,$B17,$G$5:$G$804,$G17)&gt;1,"Takror",""))</f>
        <v/>
      </c>
    </row>
    <row r="18" customFormat="false" ht="15" hidden="false" customHeight="false" outlineLevel="0" collapsed="false">
      <c r="A18" s="8" t="n">
        <v>14</v>
      </c>
      <c r="B18" s="13"/>
      <c r="C18" s="12"/>
      <c r="D18" s="13"/>
      <c r="E18" s="24"/>
      <c r="F18" s="14" t="str">
        <f aca="false">IF(OR($D18="",$B18=""),"",INT(($B18-$D18)/365.25))</f>
        <v/>
      </c>
      <c r="G18" s="25"/>
      <c r="H18" s="25"/>
      <c r="I18" s="12"/>
      <c r="J18" s="14" t="str">
        <f aca="false">IF(OR($C18="",$D18="",$B18="",$G18=""),"",IF(COUNTIFS($C$5:$C$804,$C18,$D$5:$D$804,$D18,$B$5:$B$804,$B18,$G$5:$G$804,$G18)&gt;1,"Takror",""))</f>
        <v/>
      </c>
    </row>
    <row r="19" customFormat="false" ht="15" hidden="false" customHeight="false" outlineLevel="0" collapsed="false">
      <c r="A19" s="8" t="n">
        <v>15</v>
      </c>
      <c r="B19" s="13"/>
      <c r="C19" s="12"/>
      <c r="D19" s="13"/>
      <c r="E19" s="24"/>
      <c r="F19" s="14" t="str">
        <f aca="false">IF(OR($D19="",$B19=""),"",INT(($B19-$D19)/365.25))</f>
        <v/>
      </c>
      <c r="G19" s="25"/>
      <c r="H19" s="25"/>
      <c r="I19" s="12"/>
      <c r="J19" s="14" t="str">
        <f aca="false">IF(OR($C19="",$D19="",$B19="",$G19=""),"",IF(COUNTIFS($C$5:$C$804,$C19,$D$5:$D$804,$D19,$B$5:$B$804,$B19,$G$5:$G$804,$G19)&gt;1,"Takror",""))</f>
        <v/>
      </c>
    </row>
    <row r="20" customFormat="false" ht="15" hidden="false" customHeight="false" outlineLevel="0" collapsed="false">
      <c r="A20" s="8" t="n">
        <v>16</v>
      </c>
      <c r="B20" s="13"/>
      <c r="C20" s="12"/>
      <c r="D20" s="13"/>
      <c r="E20" s="24"/>
      <c r="F20" s="14" t="str">
        <f aca="false">IF(OR($D20="",$B20=""),"",INT(($B20-$D20)/365.25))</f>
        <v/>
      </c>
      <c r="G20" s="25"/>
      <c r="H20" s="25"/>
      <c r="I20" s="12"/>
      <c r="J20" s="14" t="str">
        <f aca="false">IF(OR($C20="",$D20="",$B20="",$G20=""),"",IF(COUNTIFS($C$5:$C$804,$C20,$D$5:$D$804,$D20,$B$5:$B$804,$B20,$G$5:$G$804,$G20)&gt;1,"Takror",""))</f>
        <v/>
      </c>
    </row>
    <row r="21" customFormat="false" ht="15" hidden="false" customHeight="false" outlineLevel="0" collapsed="false">
      <c r="A21" s="8" t="n">
        <v>17</v>
      </c>
      <c r="B21" s="13"/>
      <c r="C21" s="12"/>
      <c r="D21" s="13"/>
      <c r="E21" s="24"/>
      <c r="F21" s="14" t="str">
        <f aca="false">IF(OR($D21="",$B21=""),"",INT(($B21-$D21)/365.25))</f>
        <v/>
      </c>
      <c r="G21" s="25"/>
      <c r="H21" s="25"/>
      <c r="I21" s="12"/>
      <c r="J21" s="14" t="str">
        <f aca="false">IF(OR($C21="",$D21="",$B21="",$G21=""),"",IF(COUNTIFS($C$5:$C$804,$C21,$D$5:$D$804,$D21,$B$5:$B$804,$B21,$G$5:$G$804,$G21)&gt;1,"Takror",""))</f>
        <v/>
      </c>
    </row>
    <row r="22" customFormat="false" ht="15" hidden="false" customHeight="false" outlineLevel="0" collapsed="false">
      <c r="A22" s="8" t="n">
        <v>18</v>
      </c>
      <c r="B22" s="13"/>
      <c r="C22" s="12"/>
      <c r="D22" s="13"/>
      <c r="E22" s="24"/>
      <c r="F22" s="14" t="str">
        <f aca="false">IF(OR($D22="",$B22=""),"",INT(($B22-$D22)/365.25))</f>
        <v/>
      </c>
      <c r="G22" s="25"/>
      <c r="H22" s="25"/>
      <c r="I22" s="12"/>
      <c r="J22" s="14" t="str">
        <f aca="false">IF(OR($C22="",$D22="",$B22="",$G22=""),"",IF(COUNTIFS($C$5:$C$804,$C22,$D$5:$D$804,$D22,$B$5:$B$804,$B22,$G$5:$G$804,$G22)&gt;1,"Takror",""))</f>
        <v/>
      </c>
    </row>
    <row r="23" customFormat="false" ht="15" hidden="false" customHeight="false" outlineLevel="0" collapsed="false">
      <c r="A23" s="8" t="n">
        <v>19</v>
      </c>
      <c r="B23" s="13"/>
      <c r="C23" s="12"/>
      <c r="D23" s="13"/>
      <c r="E23" s="24"/>
      <c r="F23" s="14" t="str">
        <f aca="false">IF(OR($D23="",$B23=""),"",INT(($B23-$D23)/365.25))</f>
        <v/>
      </c>
      <c r="G23" s="25"/>
      <c r="H23" s="25"/>
      <c r="I23" s="12"/>
      <c r="J23" s="14" t="str">
        <f aca="false">IF(OR($C23="",$D23="",$B23="",$G23=""),"",IF(COUNTIFS($C$5:$C$804,$C23,$D$5:$D$804,$D23,$B$5:$B$804,$B23,$G$5:$G$804,$G23)&gt;1,"Takror",""))</f>
        <v/>
      </c>
    </row>
    <row r="24" customFormat="false" ht="15" hidden="false" customHeight="false" outlineLevel="0" collapsed="false">
      <c r="A24" s="8" t="n">
        <v>20</v>
      </c>
      <c r="B24" s="13"/>
      <c r="C24" s="12"/>
      <c r="D24" s="13"/>
      <c r="E24" s="24"/>
      <c r="F24" s="14" t="str">
        <f aca="false">IF(OR($D24="",$B24=""),"",INT(($B24-$D24)/365.25))</f>
        <v/>
      </c>
      <c r="G24" s="25"/>
      <c r="H24" s="25"/>
      <c r="I24" s="12"/>
      <c r="J24" s="14" t="str">
        <f aca="false">IF(OR($C24="",$D24="",$B24="",$G24=""),"",IF(COUNTIFS($C$5:$C$804,$C24,$D$5:$D$804,$D24,$B$5:$B$804,$B24,$G$5:$G$804,$G24)&gt;1,"Takror",""))</f>
        <v/>
      </c>
    </row>
    <row r="25" customFormat="false" ht="15" hidden="false" customHeight="false" outlineLevel="0" collapsed="false">
      <c r="A25" s="8" t="n">
        <v>21</v>
      </c>
      <c r="B25" s="13"/>
      <c r="C25" s="12"/>
      <c r="D25" s="13"/>
      <c r="E25" s="24"/>
      <c r="F25" s="14" t="str">
        <f aca="false">IF(OR($D25="",$B25=""),"",INT(($B25-$D25)/365.25))</f>
        <v/>
      </c>
      <c r="G25" s="25"/>
      <c r="H25" s="25"/>
      <c r="I25" s="12"/>
      <c r="J25" s="14" t="str">
        <f aca="false">IF(OR($C25="",$D25="",$B25="",$G25=""),"",IF(COUNTIFS($C$5:$C$804,$C25,$D$5:$D$804,$D25,$B$5:$B$804,$B25,$G$5:$G$804,$G25)&gt;1,"Takror",""))</f>
        <v/>
      </c>
    </row>
    <row r="26" customFormat="false" ht="15" hidden="false" customHeight="false" outlineLevel="0" collapsed="false">
      <c r="A26" s="8" t="n">
        <v>22</v>
      </c>
      <c r="B26" s="13"/>
      <c r="C26" s="12"/>
      <c r="D26" s="13"/>
      <c r="E26" s="24"/>
      <c r="F26" s="14" t="str">
        <f aca="false">IF(OR($D26="",$B26=""),"",INT(($B26-$D26)/365.25))</f>
        <v/>
      </c>
      <c r="G26" s="25"/>
      <c r="H26" s="25"/>
      <c r="I26" s="12"/>
      <c r="J26" s="14" t="str">
        <f aca="false">IF(OR($C26="",$D26="",$B26="",$G26=""),"",IF(COUNTIFS($C$5:$C$804,$C26,$D$5:$D$804,$D26,$B$5:$B$804,$B26,$G$5:$G$804,$G26)&gt;1,"Takror",""))</f>
        <v/>
      </c>
    </row>
    <row r="27" customFormat="false" ht="15" hidden="false" customHeight="false" outlineLevel="0" collapsed="false">
      <c r="A27" s="8" t="n">
        <v>23</v>
      </c>
      <c r="B27" s="13"/>
      <c r="C27" s="12"/>
      <c r="D27" s="13"/>
      <c r="E27" s="24"/>
      <c r="F27" s="14" t="str">
        <f aca="false">IF(OR($D27="",$B27=""),"",INT(($B27-$D27)/365.25))</f>
        <v/>
      </c>
      <c r="G27" s="25"/>
      <c r="H27" s="25"/>
      <c r="I27" s="12"/>
      <c r="J27" s="14" t="str">
        <f aca="false">IF(OR($C27="",$D27="",$B27="",$G27=""),"",IF(COUNTIFS($C$5:$C$804,$C27,$D$5:$D$804,$D27,$B$5:$B$804,$B27,$G$5:$G$804,$G27)&gt;1,"Takror",""))</f>
        <v/>
      </c>
    </row>
    <row r="28" customFormat="false" ht="15" hidden="false" customHeight="false" outlineLevel="0" collapsed="false">
      <c r="A28" s="8" t="n">
        <v>24</v>
      </c>
      <c r="B28" s="13"/>
      <c r="C28" s="12"/>
      <c r="D28" s="13"/>
      <c r="E28" s="24"/>
      <c r="F28" s="14" t="str">
        <f aca="false">IF(OR($D28="",$B28=""),"",INT(($B28-$D28)/365.25))</f>
        <v/>
      </c>
      <c r="G28" s="25"/>
      <c r="H28" s="25"/>
      <c r="I28" s="12"/>
      <c r="J28" s="14" t="str">
        <f aca="false">IF(OR($C28="",$D28="",$B28="",$G28=""),"",IF(COUNTIFS($C$5:$C$804,$C28,$D$5:$D$804,$D28,$B$5:$B$804,$B28,$G$5:$G$804,$G28)&gt;1,"Takror",""))</f>
        <v/>
      </c>
    </row>
    <row r="29" customFormat="false" ht="15" hidden="false" customHeight="false" outlineLevel="0" collapsed="false">
      <c r="A29" s="8" t="n">
        <v>25</v>
      </c>
      <c r="B29" s="13"/>
      <c r="C29" s="12"/>
      <c r="D29" s="13"/>
      <c r="E29" s="24"/>
      <c r="F29" s="14" t="str">
        <f aca="false">IF(OR($D29="",$B29=""),"",INT(($B29-$D29)/365.25))</f>
        <v/>
      </c>
      <c r="G29" s="25"/>
      <c r="H29" s="25"/>
      <c r="I29" s="12"/>
      <c r="J29" s="14" t="str">
        <f aca="false">IF(OR($C29="",$D29="",$B29="",$G29=""),"",IF(COUNTIFS($C$5:$C$804,$C29,$D$5:$D$804,$D29,$B$5:$B$804,$B29,$G$5:$G$804,$G29)&gt;1,"Takror",""))</f>
        <v/>
      </c>
    </row>
    <row r="30" customFormat="false" ht="15" hidden="false" customHeight="false" outlineLevel="0" collapsed="false">
      <c r="A30" s="8" t="n">
        <v>26</v>
      </c>
      <c r="B30" s="13"/>
      <c r="C30" s="12"/>
      <c r="D30" s="13"/>
      <c r="E30" s="24"/>
      <c r="F30" s="14" t="str">
        <f aca="false">IF(OR($D30="",$B30=""),"",INT(($B30-$D30)/365.25))</f>
        <v/>
      </c>
      <c r="G30" s="25"/>
      <c r="H30" s="25"/>
      <c r="I30" s="12"/>
      <c r="J30" s="14" t="str">
        <f aca="false">IF(OR($C30="",$D30="",$B30="",$G30=""),"",IF(COUNTIFS($C$5:$C$804,$C30,$D$5:$D$804,$D30,$B$5:$B$804,$B30,$G$5:$G$804,$G30)&gt;1,"Takror",""))</f>
        <v/>
      </c>
    </row>
    <row r="31" customFormat="false" ht="15" hidden="false" customHeight="false" outlineLevel="0" collapsed="false">
      <c r="A31" s="8" t="n">
        <v>27</v>
      </c>
      <c r="B31" s="13"/>
      <c r="C31" s="12"/>
      <c r="D31" s="13"/>
      <c r="E31" s="24"/>
      <c r="F31" s="14" t="str">
        <f aca="false">IF(OR($D31="",$B31=""),"",INT(($B31-$D31)/365.25))</f>
        <v/>
      </c>
      <c r="G31" s="25"/>
      <c r="H31" s="25"/>
      <c r="I31" s="12"/>
      <c r="J31" s="14" t="str">
        <f aca="false">IF(OR($C31="",$D31="",$B31="",$G31=""),"",IF(COUNTIFS($C$5:$C$804,$C31,$D$5:$D$804,$D31,$B$5:$B$804,$B31,$G$5:$G$804,$G31)&gt;1,"Takror",""))</f>
        <v/>
      </c>
    </row>
    <row r="32" customFormat="false" ht="15" hidden="false" customHeight="false" outlineLevel="0" collapsed="false">
      <c r="A32" s="8" t="n">
        <v>28</v>
      </c>
      <c r="B32" s="13"/>
      <c r="C32" s="12"/>
      <c r="D32" s="13"/>
      <c r="E32" s="24"/>
      <c r="F32" s="14" t="str">
        <f aca="false">IF(OR($D32="",$B32=""),"",INT(($B32-$D32)/365.25))</f>
        <v/>
      </c>
      <c r="G32" s="25"/>
      <c r="H32" s="25"/>
      <c r="I32" s="12"/>
      <c r="J32" s="14" t="str">
        <f aca="false">IF(OR($C32="",$D32="",$B32="",$G32=""),"",IF(COUNTIFS($C$5:$C$804,$C32,$D$5:$D$804,$D32,$B$5:$B$804,$B32,$G$5:$G$804,$G32)&gt;1,"Takror",""))</f>
        <v/>
      </c>
    </row>
    <row r="33" customFormat="false" ht="15" hidden="false" customHeight="false" outlineLevel="0" collapsed="false">
      <c r="A33" s="8" t="n">
        <v>29</v>
      </c>
      <c r="B33" s="13"/>
      <c r="C33" s="12"/>
      <c r="D33" s="13"/>
      <c r="E33" s="24"/>
      <c r="F33" s="14" t="str">
        <f aca="false">IF(OR($D33="",$B33=""),"",INT(($B33-$D33)/365.25))</f>
        <v/>
      </c>
      <c r="G33" s="25"/>
      <c r="H33" s="25"/>
      <c r="I33" s="12"/>
      <c r="J33" s="14" t="str">
        <f aca="false">IF(OR($C33="",$D33="",$B33="",$G33=""),"",IF(COUNTIFS($C$5:$C$804,$C33,$D$5:$D$804,$D33,$B$5:$B$804,$B33,$G$5:$G$804,$G33)&gt;1,"Takror",""))</f>
        <v/>
      </c>
    </row>
    <row r="34" customFormat="false" ht="15" hidden="false" customHeight="false" outlineLevel="0" collapsed="false">
      <c r="A34" s="8" t="n">
        <v>30</v>
      </c>
      <c r="B34" s="13"/>
      <c r="C34" s="12"/>
      <c r="D34" s="13"/>
      <c r="E34" s="24"/>
      <c r="F34" s="14" t="str">
        <f aca="false">IF(OR($D34="",$B34=""),"",INT(($B34-$D34)/365.25))</f>
        <v/>
      </c>
      <c r="G34" s="25"/>
      <c r="H34" s="25"/>
      <c r="I34" s="12"/>
      <c r="J34" s="14" t="str">
        <f aca="false">IF(OR($C34="",$D34="",$B34="",$G34=""),"",IF(COUNTIFS($C$5:$C$804,$C34,$D$5:$D$804,$D34,$B$5:$B$804,$B34,$G$5:$G$804,$G34)&gt;1,"Takror",""))</f>
        <v/>
      </c>
    </row>
    <row r="35" customFormat="false" ht="15" hidden="false" customHeight="false" outlineLevel="0" collapsed="false">
      <c r="A35" s="8" t="n">
        <v>31</v>
      </c>
      <c r="B35" s="13"/>
      <c r="C35" s="12"/>
      <c r="D35" s="13"/>
      <c r="E35" s="24"/>
      <c r="F35" s="14" t="str">
        <f aca="false">IF(OR($D35="",$B35=""),"",INT(($B35-$D35)/365.25))</f>
        <v/>
      </c>
      <c r="G35" s="25"/>
      <c r="H35" s="25"/>
      <c r="I35" s="12"/>
      <c r="J35" s="14" t="str">
        <f aca="false">IF(OR($C35="",$D35="",$B35="",$G35=""),"",IF(COUNTIFS($C$5:$C$804,$C35,$D$5:$D$804,$D35,$B$5:$B$804,$B35,$G$5:$G$804,$G35)&gt;1,"Takror",""))</f>
        <v/>
      </c>
    </row>
    <row r="36" customFormat="false" ht="15" hidden="false" customHeight="false" outlineLevel="0" collapsed="false">
      <c r="A36" s="8" t="n">
        <v>32</v>
      </c>
      <c r="B36" s="13"/>
      <c r="C36" s="12"/>
      <c r="D36" s="13"/>
      <c r="E36" s="24"/>
      <c r="F36" s="14" t="str">
        <f aca="false">IF(OR($D36="",$B36=""),"",INT(($B36-$D36)/365.25))</f>
        <v/>
      </c>
      <c r="G36" s="25"/>
      <c r="H36" s="25"/>
      <c r="I36" s="12"/>
      <c r="J36" s="14" t="str">
        <f aca="false">IF(OR($C36="",$D36="",$B36="",$G36=""),"",IF(COUNTIFS($C$5:$C$804,$C36,$D$5:$D$804,$D36,$B$5:$B$804,$B36,$G$5:$G$804,$G36)&gt;1,"Takror",""))</f>
        <v/>
      </c>
    </row>
    <row r="37" customFormat="false" ht="15" hidden="false" customHeight="false" outlineLevel="0" collapsed="false">
      <c r="A37" s="8" t="n">
        <v>33</v>
      </c>
      <c r="B37" s="13"/>
      <c r="C37" s="12"/>
      <c r="D37" s="13"/>
      <c r="E37" s="24"/>
      <c r="F37" s="14" t="str">
        <f aca="false">IF(OR($D37="",$B37=""),"",INT(($B37-$D37)/365.25))</f>
        <v/>
      </c>
      <c r="G37" s="25"/>
      <c r="H37" s="25"/>
      <c r="I37" s="12"/>
      <c r="J37" s="14" t="str">
        <f aca="false">IF(OR($C37="",$D37="",$B37="",$G37=""),"",IF(COUNTIFS($C$5:$C$804,$C37,$D$5:$D$804,$D37,$B$5:$B$804,$B37,$G$5:$G$804,$G37)&gt;1,"Takror",""))</f>
        <v/>
      </c>
    </row>
    <row r="38" customFormat="false" ht="15" hidden="false" customHeight="false" outlineLevel="0" collapsed="false">
      <c r="A38" s="8" t="n">
        <v>34</v>
      </c>
      <c r="B38" s="13"/>
      <c r="C38" s="12"/>
      <c r="D38" s="13"/>
      <c r="E38" s="24"/>
      <c r="F38" s="14" t="str">
        <f aca="false">IF(OR($D38="",$B38=""),"",INT(($B38-$D38)/365.25))</f>
        <v/>
      </c>
      <c r="G38" s="25"/>
      <c r="H38" s="25"/>
      <c r="I38" s="12"/>
      <c r="J38" s="14" t="str">
        <f aca="false">IF(OR($C38="",$D38="",$B38="",$G38=""),"",IF(COUNTIFS($C$5:$C$804,$C38,$D$5:$D$804,$D38,$B$5:$B$804,$B38,$G$5:$G$804,$G38)&gt;1,"Takror",""))</f>
        <v/>
      </c>
    </row>
    <row r="39" customFormat="false" ht="15" hidden="false" customHeight="false" outlineLevel="0" collapsed="false">
      <c r="A39" s="8" t="n">
        <v>35</v>
      </c>
      <c r="B39" s="13"/>
      <c r="C39" s="12"/>
      <c r="D39" s="13"/>
      <c r="E39" s="24"/>
      <c r="F39" s="14" t="str">
        <f aca="false">IF(OR($D39="",$B39=""),"",INT(($B39-$D39)/365.25))</f>
        <v/>
      </c>
      <c r="G39" s="25"/>
      <c r="H39" s="25"/>
      <c r="I39" s="12"/>
      <c r="J39" s="14" t="str">
        <f aca="false">IF(OR($C39="",$D39="",$B39="",$G39=""),"",IF(COUNTIFS($C$5:$C$804,$C39,$D$5:$D$804,$D39,$B$5:$B$804,$B39,$G$5:$G$804,$G39)&gt;1,"Takror",""))</f>
        <v/>
      </c>
    </row>
    <row r="40" customFormat="false" ht="15" hidden="false" customHeight="false" outlineLevel="0" collapsed="false">
      <c r="A40" s="8" t="n">
        <v>36</v>
      </c>
      <c r="B40" s="13"/>
      <c r="C40" s="12"/>
      <c r="D40" s="13"/>
      <c r="E40" s="24"/>
      <c r="F40" s="14" t="str">
        <f aca="false">IF(OR($D40="",$B40=""),"",INT(($B40-$D40)/365.25))</f>
        <v/>
      </c>
      <c r="G40" s="25"/>
      <c r="H40" s="25"/>
      <c r="I40" s="12"/>
      <c r="J40" s="14" t="str">
        <f aca="false">IF(OR($C40="",$D40="",$B40="",$G40=""),"",IF(COUNTIFS($C$5:$C$804,$C40,$D$5:$D$804,$D40,$B$5:$B$804,$B40,$G$5:$G$804,$G40)&gt;1,"Takror",""))</f>
        <v/>
      </c>
    </row>
    <row r="41" customFormat="false" ht="15" hidden="false" customHeight="false" outlineLevel="0" collapsed="false">
      <c r="A41" s="8" t="n">
        <v>37</v>
      </c>
      <c r="B41" s="13"/>
      <c r="C41" s="12"/>
      <c r="D41" s="13"/>
      <c r="E41" s="24"/>
      <c r="F41" s="14" t="str">
        <f aca="false">IF(OR($D41="",$B41=""),"",INT(($B41-$D41)/365.25))</f>
        <v/>
      </c>
      <c r="G41" s="25"/>
      <c r="H41" s="25"/>
      <c r="I41" s="12"/>
      <c r="J41" s="14" t="str">
        <f aca="false">IF(OR($C41="",$D41="",$B41="",$G41=""),"",IF(COUNTIFS($C$5:$C$804,$C41,$D$5:$D$804,$D41,$B$5:$B$804,$B41,$G$5:$G$804,$G41)&gt;1,"Takror",""))</f>
        <v/>
      </c>
    </row>
    <row r="42" customFormat="false" ht="15" hidden="false" customHeight="false" outlineLevel="0" collapsed="false">
      <c r="A42" s="8" t="n">
        <v>38</v>
      </c>
      <c r="B42" s="13"/>
      <c r="C42" s="12"/>
      <c r="D42" s="13"/>
      <c r="E42" s="24"/>
      <c r="F42" s="14" t="str">
        <f aca="false">IF(OR($D42="",$B42=""),"",INT(($B42-$D42)/365.25))</f>
        <v/>
      </c>
      <c r="G42" s="25"/>
      <c r="H42" s="25"/>
      <c r="I42" s="12"/>
      <c r="J42" s="14" t="str">
        <f aca="false">IF(OR($C42="",$D42="",$B42="",$G42=""),"",IF(COUNTIFS($C$5:$C$804,$C42,$D$5:$D$804,$D42,$B$5:$B$804,$B42,$G$5:$G$804,$G42)&gt;1,"Takror",""))</f>
        <v/>
      </c>
    </row>
    <row r="43" customFormat="false" ht="15" hidden="false" customHeight="false" outlineLevel="0" collapsed="false">
      <c r="A43" s="8" t="n">
        <v>39</v>
      </c>
      <c r="B43" s="13"/>
      <c r="C43" s="12"/>
      <c r="D43" s="13"/>
      <c r="E43" s="24"/>
      <c r="F43" s="14" t="str">
        <f aca="false">IF(OR($D43="",$B43=""),"",INT(($B43-$D43)/365.25))</f>
        <v/>
      </c>
      <c r="G43" s="25"/>
      <c r="H43" s="25"/>
      <c r="I43" s="12"/>
      <c r="J43" s="14" t="str">
        <f aca="false">IF(OR($C43="",$D43="",$B43="",$G43=""),"",IF(COUNTIFS($C$5:$C$804,$C43,$D$5:$D$804,$D43,$B$5:$B$804,$B43,$G$5:$G$804,$G43)&gt;1,"Takror",""))</f>
        <v/>
      </c>
    </row>
    <row r="44" customFormat="false" ht="15" hidden="false" customHeight="false" outlineLevel="0" collapsed="false">
      <c r="A44" s="8" t="n">
        <v>40</v>
      </c>
      <c r="B44" s="13"/>
      <c r="C44" s="12"/>
      <c r="D44" s="13"/>
      <c r="E44" s="24"/>
      <c r="F44" s="14" t="str">
        <f aca="false">IF(OR($D44="",$B44=""),"",INT(($B44-$D44)/365.25))</f>
        <v/>
      </c>
      <c r="G44" s="25"/>
      <c r="H44" s="25"/>
      <c r="I44" s="12"/>
      <c r="J44" s="14" t="str">
        <f aca="false">IF(OR($C44="",$D44="",$B44="",$G44=""),"",IF(COUNTIFS($C$5:$C$804,$C44,$D$5:$D$804,$D44,$B$5:$B$804,$B44,$G$5:$G$804,$G44)&gt;1,"Takror",""))</f>
        <v/>
      </c>
    </row>
    <row r="45" customFormat="false" ht="15" hidden="false" customHeight="false" outlineLevel="0" collapsed="false">
      <c r="A45" s="8" t="n">
        <v>41</v>
      </c>
      <c r="B45" s="13"/>
      <c r="C45" s="12"/>
      <c r="D45" s="13"/>
      <c r="E45" s="24"/>
      <c r="F45" s="14" t="str">
        <f aca="false">IF(OR($D45="",$B45=""),"",INT(($B45-$D45)/365.25))</f>
        <v/>
      </c>
      <c r="G45" s="25"/>
      <c r="H45" s="25"/>
      <c r="I45" s="12"/>
      <c r="J45" s="14" t="str">
        <f aca="false">IF(OR($C45="",$D45="",$B45="",$G45=""),"",IF(COUNTIFS($C$5:$C$804,$C45,$D$5:$D$804,$D45,$B$5:$B$804,$B45,$G$5:$G$804,$G45)&gt;1,"Takror",""))</f>
        <v/>
      </c>
    </row>
    <row r="46" customFormat="false" ht="15" hidden="false" customHeight="false" outlineLevel="0" collapsed="false">
      <c r="A46" s="8" t="n">
        <v>42</v>
      </c>
      <c r="B46" s="13"/>
      <c r="C46" s="12"/>
      <c r="D46" s="13"/>
      <c r="E46" s="24"/>
      <c r="F46" s="14" t="str">
        <f aca="false">IF(OR($D46="",$B46=""),"",INT(($B46-$D46)/365.25))</f>
        <v/>
      </c>
      <c r="G46" s="25"/>
      <c r="H46" s="25"/>
      <c r="I46" s="12"/>
      <c r="J46" s="14" t="str">
        <f aca="false">IF(OR($C46="",$D46="",$B46="",$G46=""),"",IF(COUNTIFS($C$5:$C$804,$C46,$D$5:$D$804,$D46,$B$5:$B$804,$B46,$G$5:$G$804,$G46)&gt;1,"Takror",""))</f>
        <v/>
      </c>
    </row>
    <row r="47" customFormat="false" ht="15" hidden="false" customHeight="false" outlineLevel="0" collapsed="false">
      <c r="A47" s="8" t="n">
        <v>43</v>
      </c>
      <c r="B47" s="13"/>
      <c r="C47" s="12"/>
      <c r="D47" s="13"/>
      <c r="E47" s="24"/>
      <c r="F47" s="14" t="str">
        <f aca="false">IF(OR($D47="",$B47=""),"",INT(($B47-$D47)/365.25))</f>
        <v/>
      </c>
      <c r="G47" s="25"/>
      <c r="H47" s="25"/>
      <c r="I47" s="12"/>
      <c r="J47" s="14" t="str">
        <f aca="false">IF(OR($C47="",$D47="",$B47="",$G47=""),"",IF(COUNTIFS($C$5:$C$804,$C47,$D$5:$D$804,$D47,$B$5:$B$804,$B47,$G$5:$G$804,$G47)&gt;1,"Takror",""))</f>
        <v/>
      </c>
    </row>
    <row r="48" customFormat="false" ht="15" hidden="false" customHeight="false" outlineLevel="0" collapsed="false">
      <c r="A48" s="8" t="n">
        <v>44</v>
      </c>
      <c r="B48" s="13"/>
      <c r="C48" s="12"/>
      <c r="D48" s="13"/>
      <c r="E48" s="24"/>
      <c r="F48" s="14" t="str">
        <f aca="false">IF(OR($D48="",$B48=""),"",INT(($B48-$D48)/365.25))</f>
        <v/>
      </c>
      <c r="G48" s="25"/>
      <c r="H48" s="25"/>
      <c r="I48" s="12"/>
      <c r="J48" s="14" t="str">
        <f aca="false">IF(OR($C48="",$D48="",$B48="",$G48=""),"",IF(COUNTIFS($C$5:$C$804,$C48,$D$5:$D$804,$D48,$B$5:$B$804,$B48,$G$5:$G$804,$G48)&gt;1,"Takror",""))</f>
        <v/>
      </c>
    </row>
    <row r="49" customFormat="false" ht="15" hidden="false" customHeight="false" outlineLevel="0" collapsed="false">
      <c r="A49" s="8" t="n">
        <v>45</v>
      </c>
      <c r="B49" s="13"/>
      <c r="C49" s="12"/>
      <c r="D49" s="13"/>
      <c r="E49" s="24"/>
      <c r="F49" s="14" t="str">
        <f aca="false">IF(OR($D49="",$B49=""),"",INT(($B49-$D49)/365.25))</f>
        <v/>
      </c>
      <c r="G49" s="25"/>
      <c r="H49" s="25"/>
      <c r="I49" s="12"/>
      <c r="J49" s="14" t="str">
        <f aca="false">IF(OR($C49="",$D49="",$B49="",$G49=""),"",IF(COUNTIFS($C$5:$C$804,$C49,$D$5:$D$804,$D49,$B$5:$B$804,$B49,$G$5:$G$804,$G49)&gt;1,"Takror",""))</f>
        <v/>
      </c>
    </row>
    <row r="50" customFormat="false" ht="15" hidden="false" customHeight="false" outlineLevel="0" collapsed="false">
      <c r="A50" s="8" t="n">
        <v>46</v>
      </c>
      <c r="B50" s="13"/>
      <c r="C50" s="12"/>
      <c r="D50" s="13"/>
      <c r="E50" s="24"/>
      <c r="F50" s="14" t="str">
        <f aca="false">IF(OR($D50="",$B50=""),"",INT(($B50-$D50)/365.25))</f>
        <v/>
      </c>
      <c r="G50" s="25"/>
      <c r="H50" s="25"/>
      <c r="I50" s="12"/>
      <c r="J50" s="14" t="str">
        <f aca="false">IF(OR($C50="",$D50="",$B50="",$G50=""),"",IF(COUNTIFS($C$5:$C$804,$C50,$D$5:$D$804,$D50,$B$5:$B$804,$B50,$G$5:$G$804,$G50)&gt;1,"Takror",""))</f>
        <v/>
      </c>
    </row>
    <row r="51" customFormat="false" ht="15" hidden="false" customHeight="false" outlineLevel="0" collapsed="false">
      <c r="A51" s="8" t="n">
        <v>47</v>
      </c>
      <c r="B51" s="13"/>
      <c r="C51" s="12"/>
      <c r="D51" s="13"/>
      <c r="E51" s="24"/>
      <c r="F51" s="14" t="str">
        <f aca="false">IF(OR($D51="",$B51=""),"",INT(($B51-$D51)/365.25))</f>
        <v/>
      </c>
      <c r="G51" s="25"/>
      <c r="H51" s="25"/>
      <c r="I51" s="12"/>
      <c r="J51" s="14" t="str">
        <f aca="false">IF(OR($C51="",$D51="",$B51="",$G51=""),"",IF(COUNTIFS($C$5:$C$804,$C51,$D$5:$D$804,$D51,$B$5:$B$804,$B51,$G$5:$G$804,$G51)&gt;1,"Takror",""))</f>
        <v/>
      </c>
    </row>
    <row r="52" customFormat="false" ht="15" hidden="false" customHeight="false" outlineLevel="0" collapsed="false">
      <c r="A52" s="8" t="n">
        <v>48</v>
      </c>
      <c r="B52" s="13"/>
      <c r="C52" s="12"/>
      <c r="D52" s="13"/>
      <c r="E52" s="24"/>
      <c r="F52" s="14" t="str">
        <f aca="false">IF(OR($D52="",$B52=""),"",INT(($B52-$D52)/365.25))</f>
        <v/>
      </c>
      <c r="G52" s="25"/>
      <c r="H52" s="25"/>
      <c r="I52" s="12"/>
      <c r="J52" s="14" t="str">
        <f aca="false">IF(OR($C52="",$D52="",$B52="",$G52=""),"",IF(COUNTIFS($C$5:$C$804,$C52,$D$5:$D$804,$D52,$B$5:$B$804,$B52,$G$5:$G$804,$G52)&gt;1,"Takror",""))</f>
        <v/>
      </c>
    </row>
    <row r="53" customFormat="false" ht="15" hidden="false" customHeight="false" outlineLevel="0" collapsed="false">
      <c r="A53" s="8" t="n">
        <v>49</v>
      </c>
      <c r="B53" s="13"/>
      <c r="C53" s="12"/>
      <c r="D53" s="13"/>
      <c r="E53" s="24"/>
      <c r="F53" s="14" t="str">
        <f aca="false">IF(OR($D53="",$B53=""),"",INT(($B53-$D53)/365.25))</f>
        <v/>
      </c>
      <c r="G53" s="25"/>
      <c r="H53" s="25"/>
      <c r="I53" s="12"/>
      <c r="J53" s="14" t="str">
        <f aca="false">IF(OR($C53="",$D53="",$B53="",$G53=""),"",IF(COUNTIFS($C$5:$C$804,$C53,$D$5:$D$804,$D53,$B$5:$B$804,$B53,$G$5:$G$804,$G53)&gt;1,"Takror",""))</f>
        <v/>
      </c>
    </row>
    <row r="54" customFormat="false" ht="15" hidden="false" customHeight="false" outlineLevel="0" collapsed="false">
      <c r="A54" s="8" t="n">
        <v>50</v>
      </c>
      <c r="B54" s="13"/>
      <c r="C54" s="12"/>
      <c r="D54" s="13"/>
      <c r="E54" s="24"/>
      <c r="F54" s="14" t="str">
        <f aca="false">IF(OR($D54="",$B54=""),"",INT(($B54-$D54)/365.25))</f>
        <v/>
      </c>
      <c r="G54" s="25"/>
      <c r="H54" s="25"/>
      <c r="I54" s="12"/>
      <c r="J54" s="14" t="str">
        <f aca="false">IF(OR($C54="",$D54="",$B54="",$G54=""),"",IF(COUNTIFS($C$5:$C$804,$C54,$D$5:$D$804,$D54,$B$5:$B$804,$B54,$G$5:$G$804,$G54)&gt;1,"Takror",""))</f>
        <v/>
      </c>
    </row>
    <row r="55" customFormat="false" ht="15" hidden="false" customHeight="false" outlineLevel="0" collapsed="false">
      <c r="A55" s="8" t="n">
        <v>51</v>
      </c>
      <c r="B55" s="13"/>
      <c r="C55" s="12"/>
      <c r="D55" s="13"/>
      <c r="E55" s="24"/>
      <c r="F55" s="14" t="str">
        <f aca="false">IF(OR($D55="",$B55=""),"",INT(($B55-$D55)/365.25))</f>
        <v/>
      </c>
      <c r="G55" s="25"/>
      <c r="H55" s="25"/>
      <c r="I55" s="12"/>
      <c r="J55" s="14" t="str">
        <f aca="false">IF(OR($C55="",$D55="",$B55="",$G55=""),"",IF(COUNTIFS($C$5:$C$804,$C55,$D$5:$D$804,$D55,$B$5:$B$804,$B55,$G$5:$G$804,$G55)&gt;1,"Takror",""))</f>
        <v/>
      </c>
    </row>
    <row r="56" customFormat="false" ht="15" hidden="false" customHeight="false" outlineLevel="0" collapsed="false">
      <c r="A56" s="8" t="n">
        <v>52</v>
      </c>
      <c r="B56" s="13"/>
      <c r="C56" s="12"/>
      <c r="D56" s="13"/>
      <c r="E56" s="24"/>
      <c r="F56" s="14" t="str">
        <f aca="false">IF(OR($D56="",$B56=""),"",INT(($B56-$D56)/365.25))</f>
        <v/>
      </c>
      <c r="G56" s="25"/>
      <c r="H56" s="25"/>
      <c r="I56" s="12"/>
      <c r="J56" s="14" t="str">
        <f aca="false">IF(OR($C56="",$D56="",$B56="",$G56=""),"",IF(COUNTIFS($C$5:$C$804,$C56,$D$5:$D$804,$D56,$B$5:$B$804,$B56,$G$5:$G$804,$G56)&gt;1,"Takror",""))</f>
        <v/>
      </c>
    </row>
    <row r="57" customFormat="false" ht="15" hidden="false" customHeight="false" outlineLevel="0" collapsed="false">
      <c r="A57" s="8" t="n">
        <v>53</v>
      </c>
      <c r="B57" s="13"/>
      <c r="C57" s="12"/>
      <c r="D57" s="13"/>
      <c r="E57" s="24"/>
      <c r="F57" s="14" t="str">
        <f aca="false">IF(OR($D57="",$B57=""),"",INT(($B57-$D57)/365.25))</f>
        <v/>
      </c>
      <c r="G57" s="25"/>
      <c r="H57" s="25"/>
      <c r="I57" s="12"/>
      <c r="J57" s="14" t="str">
        <f aca="false">IF(OR($C57="",$D57="",$B57="",$G57=""),"",IF(COUNTIFS($C$5:$C$804,$C57,$D$5:$D$804,$D57,$B$5:$B$804,$B57,$G$5:$G$804,$G57)&gt;1,"Takror",""))</f>
        <v/>
      </c>
    </row>
    <row r="58" customFormat="false" ht="15" hidden="false" customHeight="false" outlineLevel="0" collapsed="false">
      <c r="A58" s="8" t="n">
        <v>54</v>
      </c>
      <c r="B58" s="13"/>
      <c r="C58" s="12"/>
      <c r="D58" s="13"/>
      <c r="E58" s="24"/>
      <c r="F58" s="14" t="str">
        <f aca="false">IF(OR($D58="",$B58=""),"",INT(($B58-$D58)/365.25))</f>
        <v/>
      </c>
      <c r="G58" s="25"/>
      <c r="H58" s="25"/>
      <c r="I58" s="12"/>
      <c r="J58" s="14" t="str">
        <f aca="false">IF(OR($C58="",$D58="",$B58="",$G58=""),"",IF(COUNTIFS($C$5:$C$804,$C58,$D$5:$D$804,$D58,$B$5:$B$804,$B58,$G$5:$G$804,$G58)&gt;1,"Takror",""))</f>
        <v/>
      </c>
    </row>
    <row r="59" customFormat="false" ht="15" hidden="false" customHeight="false" outlineLevel="0" collapsed="false">
      <c r="A59" s="8" t="n">
        <v>55</v>
      </c>
      <c r="B59" s="13"/>
      <c r="C59" s="12"/>
      <c r="D59" s="13"/>
      <c r="E59" s="24"/>
      <c r="F59" s="14" t="str">
        <f aca="false">IF(OR($D59="",$B59=""),"",INT(($B59-$D59)/365.25))</f>
        <v/>
      </c>
      <c r="G59" s="25"/>
      <c r="H59" s="25"/>
      <c r="I59" s="12"/>
      <c r="J59" s="14" t="str">
        <f aca="false">IF(OR($C59="",$D59="",$B59="",$G59=""),"",IF(COUNTIFS($C$5:$C$804,$C59,$D$5:$D$804,$D59,$B$5:$B$804,$B59,$G$5:$G$804,$G59)&gt;1,"Takror",""))</f>
        <v/>
      </c>
    </row>
    <row r="60" customFormat="false" ht="15" hidden="false" customHeight="false" outlineLevel="0" collapsed="false">
      <c r="A60" s="8" t="n">
        <v>56</v>
      </c>
      <c r="B60" s="13"/>
      <c r="C60" s="12"/>
      <c r="D60" s="13"/>
      <c r="E60" s="24"/>
      <c r="F60" s="14" t="str">
        <f aca="false">IF(OR($D60="",$B60=""),"",INT(($B60-$D60)/365.25))</f>
        <v/>
      </c>
      <c r="G60" s="25"/>
      <c r="H60" s="25"/>
      <c r="I60" s="12"/>
      <c r="J60" s="14" t="str">
        <f aca="false">IF(OR($C60="",$D60="",$B60="",$G60=""),"",IF(COUNTIFS($C$5:$C$804,$C60,$D$5:$D$804,$D60,$B$5:$B$804,$B60,$G$5:$G$804,$G60)&gt;1,"Takror",""))</f>
        <v/>
      </c>
    </row>
    <row r="61" customFormat="false" ht="15" hidden="false" customHeight="false" outlineLevel="0" collapsed="false">
      <c r="A61" s="8" t="n">
        <v>57</v>
      </c>
      <c r="B61" s="13"/>
      <c r="C61" s="12"/>
      <c r="D61" s="13"/>
      <c r="E61" s="24"/>
      <c r="F61" s="14" t="str">
        <f aca="false">IF(OR($D61="",$B61=""),"",INT(($B61-$D61)/365.25))</f>
        <v/>
      </c>
      <c r="G61" s="25"/>
      <c r="H61" s="25"/>
      <c r="I61" s="12"/>
      <c r="J61" s="14" t="str">
        <f aca="false">IF(OR($C61="",$D61="",$B61="",$G61=""),"",IF(COUNTIFS($C$5:$C$804,$C61,$D$5:$D$804,$D61,$B$5:$B$804,$B61,$G$5:$G$804,$G61)&gt;1,"Takror",""))</f>
        <v/>
      </c>
    </row>
    <row r="62" customFormat="false" ht="15" hidden="false" customHeight="false" outlineLevel="0" collapsed="false">
      <c r="A62" s="8" t="n">
        <v>58</v>
      </c>
      <c r="B62" s="13"/>
      <c r="C62" s="12"/>
      <c r="D62" s="13"/>
      <c r="E62" s="24"/>
      <c r="F62" s="14" t="str">
        <f aca="false">IF(OR($D62="",$B62=""),"",INT(($B62-$D62)/365.25))</f>
        <v/>
      </c>
      <c r="G62" s="25"/>
      <c r="H62" s="25"/>
      <c r="I62" s="12"/>
      <c r="J62" s="14" t="str">
        <f aca="false">IF(OR($C62="",$D62="",$B62="",$G62=""),"",IF(COUNTIFS($C$5:$C$804,$C62,$D$5:$D$804,$D62,$B$5:$B$804,$B62,$G$5:$G$804,$G62)&gt;1,"Takror",""))</f>
        <v/>
      </c>
    </row>
    <row r="63" customFormat="false" ht="15" hidden="false" customHeight="false" outlineLevel="0" collapsed="false">
      <c r="A63" s="8" t="n">
        <v>59</v>
      </c>
      <c r="B63" s="13"/>
      <c r="C63" s="12"/>
      <c r="D63" s="13"/>
      <c r="E63" s="24"/>
      <c r="F63" s="14" t="str">
        <f aca="false">IF(OR($D63="",$B63=""),"",INT(($B63-$D63)/365.25))</f>
        <v/>
      </c>
      <c r="G63" s="25"/>
      <c r="H63" s="25"/>
      <c r="I63" s="12"/>
      <c r="J63" s="14" t="str">
        <f aca="false">IF(OR($C63="",$D63="",$B63="",$G63=""),"",IF(COUNTIFS($C$5:$C$804,$C63,$D$5:$D$804,$D63,$B$5:$B$804,$B63,$G$5:$G$804,$G63)&gt;1,"Takror",""))</f>
        <v/>
      </c>
    </row>
    <row r="64" customFormat="false" ht="15" hidden="false" customHeight="false" outlineLevel="0" collapsed="false">
      <c r="A64" s="8" t="n">
        <v>60</v>
      </c>
      <c r="B64" s="13"/>
      <c r="C64" s="12"/>
      <c r="D64" s="13"/>
      <c r="E64" s="24"/>
      <c r="F64" s="14" t="str">
        <f aca="false">IF(OR($D64="",$B64=""),"",INT(($B64-$D64)/365.25))</f>
        <v/>
      </c>
      <c r="G64" s="25"/>
      <c r="H64" s="25"/>
      <c r="I64" s="12"/>
      <c r="J64" s="14" t="str">
        <f aca="false">IF(OR($C64="",$D64="",$B64="",$G64=""),"",IF(COUNTIFS($C$5:$C$804,$C64,$D$5:$D$804,$D64,$B$5:$B$804,$B64,$G$5:$G$804,$G64)&gt;1,"Takror",""))</f>
        <v/>
      </c>
    </row>
    <row r="65" customFormat="false" ht="15" hidden="false" customHeight="false" outlineLevel="0" collapsed="false">
      <c r="A65" s="8" t="n">
        <v>61</v>
      </c>
      <c r="B65" s="13"/>
      <c r="C65" s="12"/>
      <c r="D65" s="13"/>
      <c r="E65" s="24"/>
      <c r="F65" s="14" t="str">
        <f aca="false">IF(OR($D65="",$B65=""),"",INT(($B65-$D65)/365.25))</f>
        <v/>
      </c>
      <c r="G65" s="25"/>
      <c r="H65" s="25"/>
      <c r="I65" s="12"/>
      <c r="J65" s="14" t="str">
        <f aca="false">IF(OR($C65="",$D65="",$B65="",$G65=""),"",IF(COUNTIFS($C$5:$C$804,$C65,$D$5:$D$804,$D65,$B$5:$B$804,$B65,$G$5:$G$804,$G65)&gt;1,"Takror",""))</f>
        <v/>
      </c>
    </row>
    <row r="66" customFormat="false" ht="15" hidden="false" customHeight="false" outlineLevel="0" collapsed="false">
      <c r="A66" s="8" t="n">
        <v>62</v>
      </c>
      <c r="B66" s="13"/>
      <c r="C66" s="12"/>
      <c r="D66" s="13"/>
      <c r="E66" s="24"/>
      <c r="F66" s="14" t="str">
        <f aca="false">IF(OR($D66="",$B66=""),"",INT(($B66-$D66)/365.25))</f>
        <v/>
      </c>
      <c r="G66" s="25"/>
      <c r="H66" s="25"/>
      <c r="I66" s="12"/>
      <c r="J66" s="14" t="str">
        <f aca="false">IF(OR($C66="",$D66="",$B66="",$G66=""),"",IF(COUNTIFS($C$5:$C$804,$C66,$D$5:$D$804,$D66,$B$5:$B$804,$B66,$G$5:$G$804,$G66)&gt;1,"Takror",""))</f>
        <v/>
      </c>
    </row>
    <row r="67" customFormat="false" ht="15" hidden="false" customHeight="false" outlineLevel="0" collapsed="false">
      <c r="A67" s="8" t="n">
        <v>63</v>
      </c>
      <c r="B67" s="13"/>
      <c r="C67" s="12"/>
      <c r="D67" s="13"/>
      <c r="E67" s="24"/>
      <c r="F67" s="14" t="str">
        <f aca="false">IF(OR($D67="",$B67=""),"",INT(($B67-$D67)/365.25))</f>
        <v/>
      </c>
      <c r="G67" s="25"/>
      <c r="H67" s="25"/>
      <c r="I67" s="12"/>
      <c r="J67" s="14" t="str">
        <f aca="false">IF(OR($C67="",$D67="",$B67="",$G67=""),"",IF(COUNTIFS($C$5:$C$804,$C67,$D$5:$D$804,$D67,$B$5:$B$804,$B67,$G$5:$G$804,$G67)&gt;1,"Takror",""))</f>
        <v/>
      </c>
    </row>
    <row r="68" customFormat="false" ht="15" hidden="false" customHeight="false" outlineLevel="0" collapsed="false">
      <c r="A68" s="8" t="n">
        <v>64</v>
      </c>
      <c r="B68" s="13"/>
      <c r="C68" s="12"/>
      <c r="D68" s="13"/>
      <c r="E68" s="24"/>
      <c r="F68" s="14" t="str">
        <f aca="false">IF(OR($D68="",$B68=""),"",INT(($B68-$D68)/365.25))</f>
        <v/>
      </c>
      <c r="G68" s="25"/>
      <c r="H68" s="25"/>
      <c r="I68" s="12"/>
      <c r="J68" s="14" t="str">
        <f aca="false">IF(OR($C68="",$D68="",$B68="",$G68=""),"",IF(COUNTIFS($C$5:$C$804,$C68,$D$5:$D$804,$D68,$B$5:$B$804,$B68,$G$5:$G$804,$G68)&gt;1,"Takror",""))</f>
        <v/>
      </c>
    </row>
    <row r="69" customFormat="false" ht="15" hidden="false" customHeight="false" outlineLevel="0" collapsed="false">
      <c r="A69" s="8" t="n">
        <v>65</v>
      </c>
      <c r="B69" s="13"/>
      <c r="C69" s="12"/>
      <c r="D69" s="13"/>
      <c r="E69" s="24"/>
      <c r="F69" s="14" t="str">
        <f aca="false">IF(OR($D69="",$B69=""),"",INT(($B69-$D69)/365.25))</f>
        <v/>
      </c>
      <c r="G69" s="25"/>
      <c r="H69" s="25"/>
      <c r="I69" s="12"/>
      <c r="J69" s="14" t="str">
        <f aca="false">IF(OR($C69="",$D69="",$B69="",$G69=""),"",IF(COUNTIFS($C$5:$C$804,$C69,$D$5:$D$804,$D69,$B$5:$B$804,$B69,$G$5:$G$804,$G69)&gt;1,"Takror",""))</f>
        <v/>
      </c>
    </row>
    <row r="70" customFormat="false" ht="15" hidden="false" customHeight="false" outlineLevel="0" collapsed="false">
      <c r="A70" s="8" t="n">
        <v>66</v>
      </c>
      <c r="B70" s="13"/>
      <c r="C70" s="12"/>
      <c r="D70" s="13"/>
      <c r="E70" s="24"/>
      <c r="F70" s="14" t="str">
        <f aca="false">IF(OR($D70="",$B70=""),"",INT(($B70-$D70)/365.25))</f>
        <v/>
      </c>
      <c r="G70" s="25"/>
      <c r="H70" s="25"/>
      <c r="I70" s="12"/>
      <c r="J70" s="14" t="str">
        <f aca="false">IF(OR($C70="",$D70="",$B70="",$G70=""),"",IF(COUNTIFS($C$5:$C$804,$C70,$D$5:$D$804,$D70,$B$5:$B$804,$B70,$G$5:$G$804,$G70)&gt;1,"Takror",""))</f>
        <v/>
      </c>
    </row>
    <row r="71" customFormat="false" ht="15" hidden="false" customHeight="false" outlineLevel="0" collapsed="false">
      <c r="A71" s="8" t="n">
        <v>67</v>
      </c>
      <c r="B71" s="13"/>
      <c r="C71" s="12"/>
      <c r="D71" s="13"/>
      <c r="E71" s="24"/>
      <c r="F71" s="14" t="str">
        <f aca="false">IF(OR($D71="",$B71=""),"",INT(($B71-$D71)/365.25))</f>
        <v/>
      </c>
      <c r="G71" s="25"/>
      <c r="H71" s="25"/>
      <c r="I71" s="12"/>
      <c r="J71" s="14" t="str">
        <f aca="false">IF(OR($C71="",$D71="",$B71="",$G71=""),"",IF(COUNTIFS($C$5:$C$804,$C71,$D$5:$D$804,$D71,$B$5:$B$804,$B71,$G$5:$G$804,$G71)&gt;1,"Takror",""))</f>
        <v/>
      </c>
    </row>
    <row r="72" customFormat="false" ht="15" hidden="false" customHeight="false" outlineLevel="0" collapsed="false">
      <c r="A72" s="8" t="n">
        <v>68</v>
      </c>
      <c r="B72" s="13"/>
      <c r="C72" s="12"/>
      <c r="D72" s="13"/>
      <c r="E72" s="24"/>
      <c r="F72" s="14" t="str">
        <f aca="false">IF(OR($D72="",$B72=""),"",INT(($B72-$D72)/365.25))</f>
        <v/>
      </c>
      <c r="G72" s="25"/>
      <c r="H72" s="25"/>
      <c r="I72" s="12"/>
      <c r="J72" s="14" t="str">
        <f aca="false">IF(OR($C72="",$D72="",$B72="",$G72=""),"",IF(COUNTIFS($C$5:$C$804,$C72,$D$5:$D$804,$D72,$B$5:$B$804,$B72,$G$5:$G$804,$G72)&gt;1,"Takror",""))</f>
        <v/>
      </c>
    </row>
    <row r="73" customFormat="false" ht="15" hidden="false" customHeight="false" outlineLevel="0" collapsed="false">
      <c r="A73" s="8" t="n">
        <v>69</v>
      </c>
      <c r="B73" s="13"/>
      <c r="C73" s="12"/>
      <c r="D73" s="13"/>
      <c r="E73" s="24"/>
      <c r="F73" s="14" t="str">
        <f aca="false">IF(OR($D73="",$B73=""),"",INT(($B73-$D73)/365.25))</f>
        <v/>
      </c>
      <c r="G73" s="25"/>
      <c r="H73" s="25"/>
      <c r="I73" s="12"/>
      <c r="J73" s="14" t="str">
        <f aca="false">IF(OR($C73="",$D73="",$B73="",$G73=""),"",IF(COUNTIFS($C$5:$C$804,$C73,$D$5:$D$804,$D73,$B$5:$B$804,$B73,$G$5:$G$804,$G73)&gt;1,"Takror",""))</f>
        <v/>
      </c>
    </row>
    <row r="74" customFormat="false" ht="15" hidden="false" customHeight="false" outlineLevel="0" collapsed="false">
      <c r="A74" s="8" t="n">
        <v>70</v>
      </c>
      <c r="B74" s="13"/>
      <c r="C74" s="12"/>
      <c r="D74" s="13"/>
      <c r="E74" s="24"/>
      <c r="F74" s="14" t="str">
        <f aca="false">IF(OR($D74="",$B74=""),"",INT(($B74-$D74)/365.25))</f>
        <v/>
      </c>
      <c r="G74" s="25"/>
      <c r="H74" s="25"/>
      <c r="I74" s="12"/>
      <c r="J74" s="14" t="str">
        <f aca="false">IF(OR($C74="",$D74="",$B74="",$G74=""),"",IF(COUNTIFS($C$5:$C$804,$C74,$D$5:$D$804,$D74,$B$5:$B$804,$B74,$G$5:$G$804,$G74)&gt;1,"Takror",""))</f>
        <v/>
      </c>
    </row>
    <row r="75" customFormat="false" ht="15" hidden="false" customHeight="false" outlineLevel="0" collapsed="false">
      <c r="A75" s="8" t="n">
        <v>71</v>
      </c>
      <c r="B75" s="13"/>
      <c r="C75" s="12"/>
      <c r="D75" s="13"/>
      <c r="E75" s="24"/>
      <c r="F75" s="14" t="str">
        <f aca="false">IF(OR($D75="",$B75=""),"",INT(($B75-$D75)/365.25))</f>
        <v/>
      </c>
      <c r="G75" s="25"/>
      <c r="H75" s="25"/>
      <c r="I75" s="12"/>
      <c r="J75" s="14" t="str">
        <f aca="false">IF(OR($C75="",$D75="",$B75="",$G75=""),"",IF(COUNTIFS($C$5:$C$804,$C75,$D$5:$D$804,$D75,$B$5:$B$804,$B75,$G$5:$G$804,$G75)&gt;1,"Takror",""))</f>
        <v/>
      </c>
    </row>
    <row r="76" customFormat="false" ht="15" hidden="false" customHeight="false" outlineLevel="0" collapsed="false">
      <c r="A76" s="8" t="n">
        <v>72</v>
      </c>
      <c r="B76" s="13"/>
      <c r="C76" s="12"/>
      <c r="D76" s="13"/>
      <c r="E76" s="24"/>
      <c r="F76" s="14" t="str">
        <f aca="false">IF(OR($D76="",$B76=""),"",INT(($B76-$D76)/365.25))</f>
        <v/>
      </c>
      <c r="G76" s="25"/>
      <c r="H76" s="25"/>
      <c r="I76" s="12"/>
      <c r="J76" s="14" t="str">
        <f aca="false">IF(OR($C76="",$D76="",$B76="",$G76=""),"",IF(COUNTIFS($C$5:$C$804,$C76,$D$5:$D$804,$D76,$B$5:$B$804,$B76,$G$5:$G$804,$G76)&gt;1,"Takror",""))</f>
        <v/>
      </c>
    </row>
    <row r="77" customFormat="false" ht="15" hidden="false" customHeight="false" outlineLevel="0" collapsed="false">
      <c r="A77" s="8" t="n">
        <v>73</v>
      </c>
      <c r="B77" s="13"/>
      <c r="C77" s="12"/>
      <c r="D77" s="13"/>
      <c r="E77" s="24"/>
      <c r="F77" s="14" t="str">
        <f aca="false">IF(OR($D77="",$B77=""),"",INT(($B77-$D77)/365.25))</f>
        <v/>
      </c>
      <c r="G77" s="25"/>
      <c r="H77" s="25"/>
      <c r="I77" s="12"/>
      <c r="J77" s="14" t="str">
        <f aca="false">IF(OR($C77="",$D77="",$B77="",$G77=""),"",IF(COUNTIFS($C$5:$C$804,$C77,$D$5:$D$804,$D77,$B$5:$B$804,$B77,$G$5:$G$804,$G77)&gt;1,"Takror",""))</f>
        <v/>
      </c>
    </row>
    <row r="78" customFormat="false" ht="15" hidden="false" customHeight="false" outlineLevel="0" collapsed="false">
      <c r="A78" s="8" t="n">
        <v>74</v>
      </c>
      <c r="B78" s="13"/>
      <c r="C78" s="12"/>
      <c r="D78" s="13"/>
      <c r="E78" s="24"/>
      <c r="F78" s="14" t="str">
        <f aca="false">IF(OR($D78="",$B78=""),"",INT(($B78-$D78)/365.25))</f>
        <v/>
      </c>
      <c r="G78" s="25"/>
      <c r="H78" s="25"/>
      <c r="I78" s="12"/>
      <c r="J78" s="14" t="str">
        <f aca="false">IF(OR($C78="",$D78="",$B78="",$G78=""),"",IF(COUNTIFS($C$5:$C$804,$C78,$D$5:$D$804,$D78,$B$5:$B$804,$B78,$G$5:$G$804,$G78)&gt;1,"Takror",""))</f>
        <v/>
      </c>
    </row>
    <row r="79" customFormat="false" ht="15" hidden="false" customHeight="false" outlineLevel="0" collapsed="false">
      <c r="A79" s="8" t="n">
        <v>75</v>
      </c>
      <c r="B79" s="13"/>
      <c r="C79" s="12"/>
      <c r="D79" s="13"/>
      <c r="E79" s="24"/>
      <c r="F79" s="14" t="str">
        <f aca="false">IF(OR($D79="",$B79=""),"",INT(($B79-$D79)/365.25))</f>
        <v/>
      </c>
      <c r="G79" s="25"/>
      <c r="H79" s="25"/>
      <c r="I79" s="12"/>
      <c r="J79" s="14" t="str">
        <f aca="false">IF(OR($C79="",$D79="",$B79="",$G79=""),"",IF(COUNTIFS($C$5:$C$804,$C79,$D$5:$D$804,$D79,$B$5:$B$804,$B79,$G$5:$G$804,$G79)&gt;1,"Takror",""))</f>
        <v/>
      </c>
    </row>
    <row r="80" customFormat="false" ht="15" hidden="false" customHeight="false" outlineLevel="0" collapsed="false">
      <c r="A80" s="8" t="n">
        <v>76</v>
      </c>
      <c r="B80" s="13"/>
      <c r="C80" s="12"/>
      <c r="D80" s="13"/>
      <c r="E80" s="24"/>
      <c r="F80" s="14" t="str">
        <f aca="false">IF(OR($D80="",$B80=""),"",INT(($B80-$D80)/365.25))</f>
        <v/>
      </c>
      <c r="G80" s="25"/>
      <c r="H80" s="25"/>
      <c r="I80" s="12"/>
      <c r="J80" s="14" t="str">
        <f aca="false">IF(OR($C80="",$D80="",$B80="",$G80=""),"",IF(COUNTIFS($C$5:$C$804,$C80,$D$5:$D$804,$D80,$B$5:$B$804,$B80,$G$5:$G$804,$G80)&gt;1,"Takror",""))</f>
        <v/>
      </c>
    </row>
    <row r="81" customFormat="false" ht="15" hidden="false" customHeight="false" outlineLevel="0" collapsed="false">
      <c r="A81" s="8" t="n">
        <v>77</v>
      </c>
      <c r="B81" s="13"/>
      <c r="C81" s="12"/>
      <c r="D81" s="13"/>
      <c r="E81" s="24"/>
      <c r="F81" s="14" t="str">
        <f aca="false">IF(OR($D81="",$B81=""),"",INT(($B81-$D81)/365.25))</f>
        <v/>
      </c>
      <c r="G81" s="25"/>
      <c r="H81" s="25"/>
      <c r="I81" s="12"/>
      <c r="J81" s="14" t="str">
        <f aca="false">IF(OR($C81="",$D81="",$B81="",$G81=""),"",IF(COUNTIFS($C$5:$C$804,$C81,$D$5:$D$804,$D81,$B$5:$B$804,$B81,$G$5:$G$804,$G81)&gt;1,"Takror",""))</f>
        <v/>
      </c>
    </row>
    <row r="82" customFormat="false" ht="15" hidden="false" customHeight="false" outlineLevel="0" collapsed="false">
      <c r="A82" s="8" t="n">
        <v>78</v>
      </c>
      <c r="B82" s="13"/>
      <c r="C82" s="12"/>
      <c r="D82" s="13"/>
      <c r="E82" s="24"/>
      <c r="F82" s="14" t="str">
        <f aca="false">IF(OR($D82="",$B82=""),"",INT(($B82-$D82)/365.25))</f>
        <v/>
      </c>
      <c r="G82" s="25"/>
      <c r="H82" s="25"/>
      <c r="I82" s="12"/>
      <c r="J82" s="14" t="str">
        <f aca="false">IF(OR($C82="",$D82="",$B82="",$G82=""),"",IF(COUNTIFS($C$5:$C$804,$C82,$D$5:$D$804,$D82,$B$5:$B$804,$B82,$G$5:$G$804,$G82)&gt;1,"Takror",""))</f>
        <v/>
      </c>
    </row>
    <row r="83" customFormat="false" ht="15" hidden="false" customHeight="false" outlineLevel="0" collapsed="false">
      <c r="A83" s="8" t="n">
        <v>79</v>
      </c>
      <c r="B83" s="13"/>
      <c r="C83" s="12"/>
      <c r="D83" s="13"/>
      <c r="E83" s="24"/>
      <c r="F83" s="14" t="str">
        <f aca="false">IF(OR($D83="",$B83=""),"",INT(($B83-$D83)/365.25))</f>
        <v/>
      </c>
      <c r="G83" s="25"/>
      <c r="H83" s="25"/>
      <c r="I83" s="12"/>
      <c r="J83" s="14" t="str">
        <f aca="false">IF(OR($C83="",$D83="",$B83="",$G83=""),"",IF(COUNTIFS($C$5:$C$804,$C83,$D$5:$D$804,$D83,$B$5:$B$804,$B83,$G$5:$G$804,$G83)&gt;1,"Takror",""))</f>
        <v/>
      </c>
    </row>
    <row r="84" customFormat="false" ht="15" hidden="false" customHeight="false" outlineLevel="0" collapsed="false">
      <c r="A84" s="8" t="n">
        <v>80</v>
      </c>
      <c r="B84" s="13"/>
      <c r="C84" s="12"/>
      <c r="D84" s="13"/>
      <c r="E84" s="24"/>
      <c r="F84" s="14" t="str">
        <f aca="false">IF(OR($D84="",$B84=""),"",INT(($B84-$D84)/365.25))</f>
        <v/>
      </c>
      <c r="G84" s="25"/>
      <c r="H84" s="25"/>
      <c r="I84" s="12"/>
      <c r="J84" s="14" t="str">
        <f aca="false">IF(OR($C84="",$D84="",$B84="",$G84=""),"",IF(COUNTIFS($C$5:$C$804,$C84,$D$5:$D$804,$D84,$B$5:$B$804,$B84,$G$5:$G$804,$G84)&gt;1,"Takror",""))</f>
        <v/>
      </c>
    </row>
    <row r="85" customFormat="false" ht="15" hidden="false" customHeight="false" outlineLevel="0" collapsed="false">
      <c r="A85" s="8" t="n">
        <v>81</v>
      </c>
      <c r="B85" s="13"/>
      <c r="C85" s="12"/>
      <c r="D85" s="13"/>
      <c r="E85" s="24"/>
      <c r="F85" s="14" t="str">
        <f aca="false">IF(OR($D85="",$B85=""),"",INT(($B85-$D85)/365.25))</f>
        <v/>
      </c>
      <c r="G85" s="25"/>
      <c r="H85" s="25"/>
      <c r="I85" s="12"/>
      <c r="J85" s="14" t="str">
        <f aca="false">IF(OR($C85="",$D85="",$B85="",$G85=""),"",IF(COUNTIFS($C$5:$C$804,$C85,$D$5:$D$804,$D85,$B$5:$B$804,$B85,$G$5:$G$804,$G85)&gt;1,"Takror",""))</f>
        <v/>
      </c>
    </row>
    <row r="86" customFormat="false" ht="15" hidden="false" customHeight="false" outlineLevel="0" collapsed="false">
      <c r="A86" s="8" t="n">
        <v>82</v>
      </c>
      <c r="B86" s="13"/>
      <c r="C86" s="12"/>
      <c r="D86" s="13"/>
      <c r="E86" s="24"/>
      <c r="F86" s="14" t="str">
        <f aca="false">IF(OR($D86="",$B86=""),"",INT(($B86-$D86)/365.25))</f>
        <v/>
      </c>
      <c r="G86" s="25"/>
      <c r="H86" s="25"/>
      <c r="I86" s="12"/>
      <c r="J86" s="14" t="str">
        <f aca="false">IF(OR($C86="",$D86="",$B86="",$G86=""),"",IF(COUNTIFS($C$5:$C$804,$C86,$D$5:$D$804,$D86,$B$5:$B$804,$B86,$G$5:$G$804,$G86)&gt;1,"Takror",""))</f>
        <v/>
      </c>
    </row>
    <row r="87" customFormat="false" ht="15" hidden="false" customHeight="false" outlineLevel="0" collapsed="false">
      <c r="A87" s="8" t="n">
        <v>83</v>
      </c>
      <c r="B87" s="13"/>
      <c r="C87" s="12"/>
      <c r="D87" s="13"/>
      <c r="E87" s="24"/>
      <c r="F87" s="14" t="str">
        <f aca="false">IF(OR($D87="",$B87=""),"",INT(($B87-$D87)/365.25))</f>
        <v/>
      </c>
      <c r="G87" s="25"/>
      <c r="H87" s="25"/>
      <c r="I87" s="12"/>
      <c r="J87" s="14" t="str">
        <f aca="false">IF(OR($C87="",$D87="",$B87="",$G87=""),"",IF(COUNTIFS($C$5:$C$804,$C87,$D$5:$D$804,$D87,$B$5:$B$804,$B87,$G$5:$G$804,$G87)&gt;1,"Takror",""))</f>
        <v/>
      </c>
    </row>
    <row r="88" customFormat="false" ht="15" hidden="false" customHeight="false" outlineLevel="0" collapsed="false">
      <c r="A88" s="8" t="n">
        <v>84</v>
      </c>
      <c r="B88" s="13"/>
      <c r="C88" s="12"/>
      <c r="D88" s="13"/>
      <c r="E88" s="24"/>
      <c r="F88" s="14" t="str">
        <f aca="false">IF(OR($D88="",$B88=""),"",INT(($B88-$D88)/365.25))</f>
        <v/>
      </c>
      <c r="G88" s="25"/>
      <c r="H88" s="25"/>
      <c r="I88" s="12"/>
      <c r="J88" s="14" t="str">
        <f aca="false">IF(OR($C88="",$D88="",$B88="",$G88=""),"",IF(COUNTIFS($C$5:$C$804,$C88,$D$5:$D$804,$D88,$B$5:$B$804,$B88,$G$5:$G$804,$G88)&gt;1,"Takror",""))</f>
        <v/>
      </c>
    </row>
    <row r="89" customFormat="false" ht="15" hidden="false" customHeight="false" outlineLevel="0" collapsed="false">
      <c r="A89" s="8" t="n">
        <v>85</v>
      </c>
      <c r="B89" s="13"/>
      <c r="C89" s="12"/>
      <c r="D89" s="13"/>
      <c r="E89" s="24"/>
      <c r="F89" s="14" t="str">
        <f aca="false">IF(OR($D89="",$B89=""),"",INT(($B89-$D89)/365.25))</f>
        <v/>
      </c>
      <c r="G89" s="25"/>
      <c r="H89" s="25"/>
      <c r="I89" s="12"/>
      <c r="J89" s="14" t="str">
        <f aca="false">IF(OR($C89="",$D89="",$B89="",$G89=""),"",IF(COUNTIFS($C$5:$C$804,$C89,$D$5:$D$804,$D89,$B$5:$B$804,$B89,$G$5:$G$804,$G89)&gt;1,"Takror",""))</f>
        <v/>
      </c>
    </row>
    <row r="90" customFormat="false" ht="15" hidden="false" customHeight="false" outlineLevel="0" collapsed="false">
      <c r="A90" s="8" t="n">
        <v>86</v>
      </c>
      <c r="B90" s="13"/>
      <c r="C90" s="12"/>
      <c r="D90" s="13"/>
      <c r="E90" s="24"/>
      <c r="F90" s="14" t="str">
        <f aca="false">IF(OR($D90="",$B90=""),"",INT(($B90-$D90)/365.25))</f>
        <v/>
      </c>
      <c r="G90" s="25"/>
      <c r="H90" s="25"/>
      <c r="I90" s="12"/>
      <c r="J90" s="14" t="str">
        <f aca="false">IF(OR($C90="",$D90="",$B90="",$G90=""),"",IF(COUNTIFS($C$5:$C$804,$C90,$D$5:$D$804,$D90,$B$5:$B$804,$B90,$G$5:$G$804,$G90)&gt;1,"Takror",""))</f>
        <v/>
      </c>
    </row>
    <row r="91" customFormat="false" ht="15" hidden="false" customHeight="false" outlineLevel="0" collapsed="false">
      <c r="A91" s="8" t="n">
        <v>87</v>
      </c>
      <c r="B91" s="13"/>
      <c r="C91" s="12"/>
      <c r="D91" s="13"/>
      <c r="E91" s="24"/>
      <c r="F91" s="14" t="str">
        <f aca="false">IF(OR($D91="",$B91=""),"",INT(($B91-$D91)/365.25))</f>
        <v/>
      </c>
      <c r="G91" s="25"/>
      <c r="H91" s="25"/>
      <c r="I91" s="12"/>
      <c r="J91" s="14" t="str">
        <f aca="false">IF(OR($C91="",$D91="",$B91="",$G91=""),"",IF(COUNTIFS($C$5:$C$804,$C91,$D$5:$D$804,$D91,$B$5:$B$804,$B91,$G$5:$G$804,$G91)&gt;1,"Takror",""))</f>
        <v/>
      </c>
    </row>
    <row r="92" customFormat="false" ht="15" hidden="false" customHeight="false" outlineLevel="0" collapsed="false">
      <c r="A92" s="8" t="n">
        <v>88</v>
      </c>
      <c r="B92" s="13"/>
      <c r="C92" s="12"/>
      <c r="D92" s="13"/>
      <c r="E92" s="24"/>
      <c r="F92" s="14" t="str">
        <f aca="false">IF(OR($D92="",$B92=""),"",INT(($B92-$D92)/365.25))</f>
        <v/>
      </c>
      <c r="G92" s="25"/>
      <c r="H92" s="25"/>
      <c r="I92" s="12"/>
      <c r="J92" s="14" t="str">
        <f aca="false">IF(OR($C92="",$D92="",$B92="",$G92=""),"",IF(COUNTIFS($C$5:$C$804,$C92,$D$5:$D$804,$D92,$B$5:$B$804,$B92,$G$5:$G$804,$G92)&gt;1,"Takror",""))</f>
        <v/>
      </c>
    </row>
    <row r="93" customFormat="false" ht="15" hidden="false" customHeight="false" outlineLevel="0" collapsed="false">
      <c r="A93" s="8" t="n">
        <v>89</v>
      </c>
      <c r="B93" s="13"/>
      <c r="C93" s="12"/>
      <c r="D93" s="13"/>
      <c r="E93" s="24"/>
      <c r="F93" s="14" t="str">
        <f aca="false">IF(OR($D93="",$B93=""),"",INT(($B93-$D93)/365.25))</f>
        <v/>
      </c>
      <c r="G93" s="25"/>
      <c r="H93" s="25"/>
      <c r="I93" s="12"/>
      <c r="J93" s="14" t="str">
        <f aca="false">IF(OR($C93="",$D93="",$B93="",$G93=""),"",IF(COUNTIFS($C$5:$C$804,$C93,$D$5:$D$804,$D93,$B$5:$B$804,$B93,$G$5:$G$804,$G93)&gt;1,"Takror",""))</f>
        <v/>
      </c>
    </row>
    <row r="94" customFormat="false" ht="15" hidden="false" customHeight="false" outlineLevel="0" collapsed="false">
      <c r="A94" s="8" t="n">
        <v>90</v>
      </c>
      <c r="B94" s="13"/>
      <c r="C94" s="12"/>
      <c r="D94" s="13"/>
      <c r="E94" s="24"/>
      <c r="F94" s="14" t="str">
        <f aca="false">IF(OR($D94="",$B94=""),"",INT(($B94-$D94)/365.25))</f>
        <v/>
      </c>
      <c r="G94" s="25"/>
      <c r="H94" s="25"/>
      <c r="I94" s="12"/>
      <c r="J94" s="14" t="str">
        <f aca="false">IF(OR($C94="",$D94="",$B94="",$G94=""),"",IF(COUNTIFS($C$5:$C$804,$C94,$D$5:$D$804,$D94,$B$5:$B$804,$B94,$G$5:$G$804,$G94)&gt;1,"Takror",""))</f>
        <v/>
      </c>
    </row>
    <row r="95" customFormat="false" ht="15" hidden="false" customHeight="false" outlineLevel="0" collapsed="false">
      <c r="A95" s="8" t="n">
        <v>91</v>
      </c>
      <c r="B95" s="13"/>
      <c r="C95" s="12"/>
      <c r="D95" s="13"/>
      <c r="E95" s="24"/>
      <c r="F95" s="14" t="str">
        <f aca="false">IF(OR($D95="",$B95=""),"",INT(($B95-$D95)/365.25))</f>
        <v/>
      </c>
      <c r="G95" s="25"/>
      <c r="H95" s="25"/>
      <c r="I95" s="12"/>
      <c r="J95" s="14" t="str">
        <f aca="false">IF(OR($C95="",$D95="",$B95="",$G95=""),"",IF(COUNTIFS($C$5:$C$804,$C95,$D$5:$D$804,$D95,$B$5:$B$804,$B95,$G$5:$G$804,$G95)&gt;1,"Takror",""))</f>
        <v/>
      </c>
    </row>
    <row r="96" customFormat="false" ht="15" hidden="false" customHeight="false" outlineLevel="0" collapsed="false">
      <c r="A96" s="8" t="n">
        <v>92</v>
      </c>
      <c r="B96" s="13"/>
      <c r="C96" s="12"/>
      <c r="D96" s="13"/>
      <c r="E96" s="24"/>
      <c r="F96" s="14" t="str">
        <f aca="false">IF(OR($D96="",$B96=""),"",INT(($B96-$D96)/365.25))</f>
        <v/>
      </c>
      <c r="G96" s="25"/>
      <c r="H96" s="25"/>
      <c r="I96" s="12"/>
      <c r="J96" s="14" t="str">
        <f aca="false">IF(OR($C96="",$D96="",$B96="",$G96=""),"",IF(COUNTIFS($C$5:$C$804,$C96,$D$5:$D$804,$D96,$B$5:$B$804,$B96,$G$5:$G$804,$G96)&gt;1,"Takror",""))</f>
        <v/>
      </c>
    </row>
    <row r="97" customFormat="false" ht="15" hidden="false" customHeight="false" outlineLevel="0" collapsed="false">
      <c r="A97" s="8" t="n">
        <v>93</v>
      </c>
      <c r="B97" s="13"/>
      <c r="C97" s="12"/>
      <c r="D97" s="13"/>
      <c r="E97" s="24"/>
      <c r="F97" s="14" t="str">
        <f aca="false">IF(OR($D97="",$B97=""),"",INT(($B97-$D97)/365.25))</f>
        <v/>
      </c>
      <c r="G97" s="25"/>
      <c r="H97" s="25"/>
      <c r="I97" s="12"/>
      <c r="J97" s="14" t="str">
        <f aca="false">IF(OR($C97="",$D97="",$B97="",$G97=""),"",IF(COUNTIFS($C$5:$C$804,$C97,$D$5:$D$804,$D97,$B$5:$B$804,$B97,$G$5:$G$804,$G97)&gt;1,"Takror",""))</f>
        <v/>
      </c>
    </row>
    <row r="98" customFormat="false" ht="15" hidden="false" customHeight="false" outlineLevel="0" collapsed="false">
      <c r="A98" s="8" t="n">
        <v>94</v>
      </c>
      <c r="B98" s="13"/>
      <c r="C98" s="12"/>
      <c r="D98" s="13"/>
      <c r="E98" s="24"/>
      <c r="F98" s="14" t="str">
        <f aca="false">IF(OR($D98="",$B98=""),"",INT(($B98-$D98)/365.25))</f>
        <v/>
      </c>
      <c r="G98" s="25"/>
      <c r="H98" s="25"/>
      <c r="I98" s="12"/>
      <c r="J98" s="14" t="str">
        <f aca="false">IF(OR($C98="",$D98="",$B98="",$G98=""),"",IF(COUNTIFS($C$5:$C$804,$C98,$D$5:$D$804,$D98,$B$5:$B$804,$B98,$G$5:$G$804,$G98)&gt;1,"Takror",""))</f>
        <v/>
      </c>
    </row>
    <row r="99" customFormat="false" ht="15" hidden="false" customHeight="false" outlineLevel="0" collapsed="false">
      <c r="A99" s="8" t="n">
        <v>95</v>
      </c>
      <c r="B99" s="13"/>
      <c r="C99" s="12"/>
      <c r="D99" s="13"/>
      <c r="E99" s="24"/>
      <c r="F99" s="14" t="str">
        <f aca="false">IF(OR($D99="",$B99=""),"",INT(($B99-$D99)/365.25))</f>
        <v/>
      </c>
      <c r="G99" s="25"/>
      <c r="H99" s="25"/>
      <c r="I99" s="12"/>
      <c r="J99" s="14" t="str">
        <f aca="false">IF(OR($C99="",$D99="",$B99="",$G99=""),"",IF(COUNTIFS($C$5:$C$804,$C99,$D$5:$D$804,$D99,$B$5:$B$804,$B99,$G$5:$G$804,$G99)&gt;1,"Takror",""))</f>
        <v/>
      </c>
    </row>
    <row r="100" customFormat="false" ht="15" hidden="false" customHeight="false" outlineLevel="0" collapsed="false">
      <c r="A100" s="8" t="n">
        <v>96</v>
      </c>
      <c r="B100" s="13"/>
      <c r="C100" s="12"/>
      <c r="D100" s="13"/>
      <c r="E100" s="24"/>
      <c r="F100" s="14" t="str">
        <f aca="false">IF(OR($D100="",$B100=""),"",INT(($B100-$D100)/365.25))</f>
        <v/>
      </c>
      <c r="G100" s="25"/>
      <c r="H100" s="25"/>
      <c r="I100" s="12"/>
      <c r="J100" s="14" t="str">
        <f aca="false">IF(OR($C100="",$D100="",$B100="",$G100=""),"",IF(COUNTIFS($C$5:$C$804,$C100,$D$5:$D$804,$D100,$B$5:$B$804,$B100,$G$5:$G$804,$G100)&gt;1,"Takror",""))</f>
        <v/>
      </c>
    </row>
    <row r="101" customFormat="false" ht="15" hidden="false" customHeight="false" outlineLevel="0" collapsed="false">
      <c r="A101" s="8" t="n">
        <v>97</v>
      </c>
      <c r="B101" s="13"/>
      <c r="C101" s="12"/>
      <c r="D101" s="13"/>
      <c r="E101" s="24"/>
      <c r="F101" s="14" t="str">
        <f aca="false">IF(OR($D101="",$B101=""),"",INT(($B101-$D101)/365.25))</f>
        <v/>
      </c>
      <c r="G101" s="25"/>
      <c r="H101" s="25"/>
      <c r="I101" s="12"/>
      <c r="J101" s="14" t="str">
        <f aca="false">IF(OR($C101="",$D101="",$B101="",$G101=""),"",IF(COUNTIFS($C$5:$C$804,$C101,$D$5:$D$804,$D101,$B$5:$B$804,$B101,$G$5:$G$804,$G101)&gt;1,"Takror",""))</f>
        <v/>
      </c>
    </row>
    <row r="102" customFormat="false" ht="15" hidden="false" customHeight="false" outlineLevel="0" collapsed="false">
      <c r="A102" s="8" t="n">
        <v>98</v>
      </c>
      <c r="B102" s="13"/>
      <c r="C102" s="12"/>
      <c r="D102" s="13"/>
      <c r="E102" s="24"/>
      <c r="F102" s="14" t="str">
        <f aca="false">IF(OR($D102="",$B102=""),"",INT(($B102-$D102)/365.25))</f>
        <v/>
      </c>
      <c r="G102" s="25"/>
      <c r="H102" s="25"/>
      <c r="I102" s="12"/>
      <c r="J102" s="14" t="str">
        <f aca="false">IF(OR($C102="",$D102="",$B102="",$G102=""),"",IF(COUNTIFS($C$5:$C$804,$C102,$D$5:$D$804,$D102,$B$5:$B$804,$B102,$G$5:$G$804,$G102)&gt;1,"Takror",""))</f>
        <v/>
      </c>
    </row>
    <row r="103" customFormat="false" ht="15" hidden="false" customHeight="false" outlineLevel="0" collapsed="false">
      <c r="A103" s="8" t="n">
        <v>99</v>
      </c>
      <c r="B103" s="13"/>
      <c r="C103" s="12"/>
      <c r="D103" s="13"/>
      <c r="E103" s="24"/>
      <c r="F103" s="14" t="str">
        <f aca="false">IF(OR($D103="",$B103=""),"",INT(($B103-$D103)/365.25))</f>
        <v/>
      </c>
      <c r="G103" s="25"/>
      <c r="H103" s="25"/>
      <c r="I103" s="12"/>
      <c r="J103" s="14" t="str">
        <f aca="false">IF(OR($C103="",$D103="",$B103="",$G103=""),"",IF(COUNTIFS($C$5:$C$804,$C103,$D$5:$D$804,$D103,$B$5:$B$804,$B103,$G$5:$G$804,$G103)&gt;1,"Takror",""))</f>
        <v/>
      </c>
    </row>
    <row r="104" customFormat="false" ht="15" hidden="false" customHeight="false" outlineLevel="0" collapsed="false">
      <c r="A104" s="8" t="n">
        <v>100</v>
      </c>
      <c r="B104" s="13"/>
      <c r="C104" s="12"/>
      <c r="D104" s="13"/>
      <c r="E104" s="24"/>
      <c r="F104" s="14" t="str">
        <f aca="false">IF(OR($D104="",$B104=""),"",INT(($B104-$D104)/365.25))</f>
        <v/>
      </c>
      <c r="G104" s="25"/>
      <c r="H104" s="25"/>
      <c r="I104" s="12"/>
      <c r="J104" s="14" t="str">
        <f aca="false">IF(OR($C104="",$D104="",$B104="",$G104=""),"",IF(COUNTIFS($C$5:$C$804,$C104,$D$5:$D$804,$D104,$B$5:$B$804,$B104,$G$5:$G$804,$G104)&gt;1,"Takror",""))</f>
        <v/>
      </c>
    </row>
    <row r="105" customFormat="false" ht="15" hidden="false" customHeight="false" outlineLevel="0" collapsed="false">
      <c r="A105" s="8" t="n">
        <v>101</v>
      </c>
      <c r="B105" s="13"/>
      <c r="C105" s="12"/>
      <c r="D105" s="13"/>
      <c r="E105" s="24"/>
      <c r="F105" s="14" t="str">
        <f aca="false">IF(OR($D105="",$B105=""),"",INT(($B105-$D105)/365.25))</f>
        <v/>
      </c>
      <c r="G105" s="25"/>
      <c r="H105" s="25"/>
      <c r="I105" s="12"/>
      <c r="J105" s="14" t="str">
        <f aca="false">IF(OR($C105="",$D105="",$B105="",$G105=""),"",IF(COUNTIFS($C$5:$C$804,$C105,$D$5:$D$804,$D105,$B$5:$B$804,$B105,$G$5:$G$804,$G105)&gt;1,"Takror",""))</f>
        <v/>
      </c>
    </row>
    <row r="106" customFormat="false" ht="15" hidden="false" customHeight="false" outlineLevel="0" collapsed="false">
      <c r="A106" s="8" t="n">
        <v>102</v>
      </c>
      <c r="B106" s="13"/>
      <c r="C106" s="12"/>
      <c r="D106" s="13"/>
      <c r="E106" s="24"/>
      <c r="F106" s="14" t="str">
        <f aca="false">IF(OR($D106="",$B106=""),"",INT(($B106-$D106)/365.25))</f>
        <v/>
      </c>
      <c r="G106" s="25"/>
      <c r="H106" s="25"/>
      <c r="I106" s="12"/>
      <c r="J106" s="14" t="str">
        <f aca="false">IF(OR($C106="",$D106="",$B106="",$G106=""),"",IF(COUNTIFS($C$5:$C$804,$C106,$D$5:$D$804,$D106,$B$5:$B$804,$B106,$G$5:$G$804,$G106)&gt;1,"Takror",""))</f>
        <v/>
      </c>
    </row>
    <row r="107" customFormat="false" ht="15" hidden="false" customHeight="false" outlineLevel="0" collapsed="false">
      <c r="A107" s="8" t="n">
        <v>103</v>
      </c>
      <c r="B107" s="13"/>
      <c r="C107" s="12"/>
      <c r="D107" s="13"/>
      <c r="E107" s="24"/>
      <c r="F107" s="14" t="str">
        <f aca="false">IF(OR($D107="",$B107=""),"",INT(($B107-$D107)/365.25))</f>
        <v/>
      </c>
      <c r="G107" s="25"/>
      <c r="H107" s="25"/>
      <c r="I107" s="12"/>
      <c r="J107" s="14" t="str">
        <f aca="false">IF(OR($C107="",$D107="",$B107="",$G107=""),"",IF(COUNTIFS($C$5:$C$804,$C107,$D$5:$D$804,$D107,$B$5:$B$804,$B107,$G$5:$G$804,$G107)&gt;1,"Takror",""))</f>
        <v/>
      </c>
    </row>
    <row r="108" customFormat="false" ht="15" hidden="false" customHeight="false" outlineLevel="0" collapsed="false">
      <c r="A108" s="8" t="n">
        <v>104</v>
      </c>
      <c r="B108" s="13"/>
      <c r="C108" s="12"/>
      <c r="D108" s="13"/>
      <c r="E108" s="24"/>
      <c r="F108" s="14" t="str">
        <f aca="false">IF(OR($D108="",$B108=""),"",INT(($B108-$D108)/365.25))</f>
        <v/>
      </c>
      <c r="G108" s="25"/>
      <c r="H108" s="25"/>
      <c r="I108" s="12"/>
      <c r="J108" s="14" t="str">
        <f aca="false">IF(OR($C108="",$D108="",$B108="",$G108=""),"",IF(COUNTIFS($C$5:$C$804,$C108,$D$5:$D$804,$D108,$B$5:$B$804,$B108,$G$5:$G$804,$G108)&gt;1,"Takror",""))</f>
        <v/>
      </c>
    </row>
    <row r="109" customFormat="false" ht="15" hidden="false" customHeight="false" outlineLevel="0" collapsed="false">
      <c r="A109" s="8" t="n">
        <v>105</v>
      </c>
      <c r="B109" s="13"/>
      <c r="C109" s="12"/>
      <c r="D109" s="13"/>
      <c r="E109" s="24"/>
      <c r="F109" s="14" t="str">
        <f aca="false">IF(OR($D109="",$B109=""),"",INT(($B109-$D109)/365.25))</f>
        <v/>
      </c>
      <c r="G109" s="25"/>
      <c r="H109" s="25"/>
      <c r="I109" s="12"/>
      <c r="J109" s="14" t="str">
        <f aca="false">IF(OR($C109="",$D109="",$B109="",$G109=""),"",IF(COUNTIFS($C$5:$C$804,$C109,$D$5:$D$804,$D109,$B$5:$B$804,$B109,$G$5:$G$804,$G109)&gt;1,"Takror",""))</f>
        <v/>
      </c>
    </row>
    <row r="110" customFormat="false" ht="15" hidden="false" customHeight="false" outlineLevel="0" collapsed="false">
      <c r="A110" s="8" t="n">
        <v>106</v>
      </c>
      <c r="B110" s="13"/>
      <c r="C110" s="12"/>
      <c r="D110" s="13"/>
      <c r="E110" s="24"/>
      <c r="F110" s="14" t="str">
        <f aca="false">IF(OR($D110="",$B110=""),"",INT(($B110-$D110)/365.25))</f>
        <v/>
      </c>
      <c r="G110" s="25"/>
      <c r="H110" s="25"/>
      <c r="I110" s="12"/>
      <c r="J110" s="14" t="str">
        <f aca="false">IF(OR($C110="",$D110="",$B110="",$G110=""),"",IF(COUNTIFS($C$5:$C$804,$C110,$D$5:$D$804,$D110,$B$5:$B$804,$B110,$G$5:$G$804,$G110)&gt;1,"Takror",""))</f>
        <v/>
      </c>
    </row>
    <row r="111" customFormat="false" ht="15" hidden="false" customHeight="false" outlineLevel="0" collapsed="false">
      <c r="A111" s="8" t="n">
        <v>107</v>
      </c>
      <c r="B111" s="13"/>
      <c r="C111" s="12"/>
      <c r="D111" s="13"/>
      <c r="E111" s="24"/>
      <c r="F111" s="14" t="str">
        <f aca="false">IF(OR($D111="",$B111=""),"",INT(($B111-$D111)/365.25))</f>
        <v/>
      </c>
      <c r="G111" s="25"/>
      <c r="H111" s="25"/>
      <c r="I111" s="12"/>
      <c r="J111" s="14" t="str">
        <f aca="false">IF(OR($C111="",$D111="",$B111="",$G111=""),"",IF(COUNTIFS($C$5:$C$804,$C111,$D$5:$D$804,$D111,$B$5:$B$804,$B111,$G$5:$G$804,$G111)&gt;1,"Takror",""))</f>
        <v/>
      </c>
    </row>
    <row r="112" customFormat="false" ht="15" hidden="false" customHeight="false" outlineLevel="0" collapsed="false">
      <c r="A112" s="8" t="n">
        <v>108</v>
      </c>
      <c r="B112" s="13"/>
      <c r="C112" s="12"/>
      <c r="D112" s="13"/>
      <c r="E112" s="24"/>
      <c r="F112" s="14" t="str">
        <f aca="false">IF(OR($D112="",$B112=""),"",INT(($B112-$D112)/365.25))</f>
        <v/>
      </c>
      <c r="G112" s="25"/>
      <c r="H112" s="25"/>
      <c r="I112" s="12"/>
      <c r="J112" s="14" t="str">
        <f aca="false">IF(OR($C112="",$D112="",$B112="",$G112=""),"",IF(COUNTIFS($C$5:$C$804,$C112,$D$5:$D$804,$D112,$B$5:$B$804,$B112,$G$5:$G$804,$G112)&gt;1,"Takror",""))</f>
        <v/>
      </c>
    </row>
    <row r="113" customFormat="false" ht="15" hidden="false" customHeight="false" outlineLevel="0" collapsed="false">
      <c r="A113" s="8" t="n">
        <v>109</v>
      </c>
      <c r="B113" s="13"/>
      <c r="C113" s="12"/>
      <c r="D113" s="13"/>
      <c r="E113" s="24"/>
      <c r="F113" s="14" t="str">
        <f aca="false">IF(OR($D113="",$B113=""),"",INT(($B113-$D113)/365.25))</f>
        <v/>
      </c>
      <c r="G113" s="25"/>
      <c r="H113" s="25"/>
      <c r="I113" s="12"/>
      <c r="J113" s="14" t="str">
        <f aca="false">IF(OR($C113="",$D113="",$B113="",$G113=""),"",IF(COUNTIFS($C$5:$C$804,$C113,$D$5:$D$804,$D113,$B$5:$B$804,$B113,$G$5:$G$804,$G113)&gt;1,"Takror",""))</f>
        <v/>
      </c>
    </row>
    <row r="114" customFormat="false" ht="15" hidden="false" customHeight="false" outlineLevel="0" collapsed="false">
      <c r="A114" s="8" t="n">
        <v>110</v>
      </c>
      <c r="B114" s="13"/>
      <c r="C114" s="12"/>
      <c r="D114" s="13"/>
      <c r="E114" s="24"/>
      <c r="F114" s="14" t="str">
        <f aca="false">IF(OR($D114="",$B114=""),"",INT(($B114-$D114)/365.25))</f>
        <v/>
      </c>
      <c r="G114" s="25"/>
      <c r="H114" s="25"/>
      <c r="I114" s="12"/>
      <c r="J114" s="14" t="str">
        <f aca="false">IF(OR($C114="",$D114="",$B114="",$G114=""),"",IF(COUNTIFS($C$5:$C$804,$C114,$D$5:$D$804,$D114,$B$5:$B$804,$B114,$G$5:$G$804,$G114)&gt;1,"Takror",""))</f>
        <v/>
      </c>
    </row>
    <row r="115" customFormat="false" ht="15" hidden="false" customHeight="false" outlineLevel="0" collapsed="false">
      <c r="A115" s="8" t="n">
        <v>111</v>
      </c>
      <c r="B115" s="13"/>
      <c r="C115" s="12"/>
      <c r="D115" s="13"/>
      <c r="E115" s="24"/>
      <c r="F115" s="14" t="str">
        <f aca="false">IF(OR($D115="",$B115=""),"",INT(($B115-$D115)/365.25))</f>
        <v/>
      </c>
      <c r="G115" s="25"/>
      <c r="H115" s="25"/>
      <c r="I115" s="12"/>
      <c r="J115" s="14" t="str">
        <f aca="false">IF(OR($C115="",$D115="",$B115="",$G115=""),"",IF(COUNTIFS($C$5:$C$804,$C115,$D$5:$D$804,$D115,$B$5:$B$804,$B115,$G$5:$G$804,$G115)&gt;1,"Takror",""))</f>
        <v/>
      </c>
    </row>
    <row r="116" customFormat="false" ht="15" hidden="false" customHeight="false" outlineLevel="0" collapsed="false">
      <c r="A116" s="8" t="n">
        <v>112</v>
      </c>
      <c r="B116" s="13"/>
      <c r="C116" s="12"/>
      <c r="D116" s="13"/>
      <c r="E116" s="24"/>
      <c r="F116" s="14" t="str">
        <f aca="false">IF(OR($D116="",$B116=""),"",INT(($B116-$D116)/365.25))</f>
        <v/>
      </c>
      <c r="G116" s="25"/>
      <c r="H116" s="25"/>
      <c r="I116" s="12"/>
      <c r="J116" s="14" t="str">
        <f aca="false">IF(OR($C116="",$D116="",$B116="",$G116=""),"",IF(COUNTIFS($C$5:$C$804,$C116,$D$5:$D$804,$D116,$B$5:$B$804,$B116,$G$5:$G$804,$G116)&gt;1,"Takror",""))</f>
        <v/>
      </c>
    </row>
    <row r="117" customFormat="false" ht="15" hidden="false" customHeight="false" outlineLevel="0" collapsed="false">
      <c r="A117" s="8" t="n">
        <v>113</v>
      </c>
      <c r="B117" s="13"/>
      <c r="C117" s="12"/>
      <c r="D117" s="13"/>
      <c r="E117" s="24"/>
      <c r="F117" s="14" t="str">
        <f aca="false">IF(OR($D117="",$B117=""),"",INT(($B117-$D117)/365.25))</f>
        <v/>
      </c>
      <c r="G117" s="25"/>
      <c r="H117" s="25"/>
      <c r="I117" s="12"/>
      <c r="J117" s="14" t="str">
        <f aca="false">IF(OR($C117="",$D117="",$B117="",$G117=""),"",IF(COUNTIFS($C$5:$C$804,$C117,$D$5:$D$804,$D117,$B$5:$B$804,$B117,$G$5:$G$804,$G117)&gt;1,"Takror",""))</f>
        <v/>
      </c>
    </row>
    <row r="118" customFormat="false" ht="15" hidden="false" customHeight="false" outlineLevel="0" collapsed="false">
      <c r="A118" s="8" t="n">
        <v>114</v>
      </c>
      <c r="B118" s="13"/>
      <c r="C118" s="12"/>
      <c r="D118" s="13"/>
      <c r="E118" s="24"/>
      <c r="F118" s="14" t="str">
        <f aca="false">IF(OR($D118="",$B118=""),"",INT(($B118-$D118)/365.25))</f>
        <v/>
      </c>
      <c r="G118" s="25"/>
      <c r="H118" s="25"/>
      <c r="I118" s="12"/>
      <c r="J118" s="14" t="str">
        <f aca="false">IF(OR($C118="",$D118="",$B118="",$G118=""),"",IF(COUNTIFS($C$5:$C$804,$C118,$D$5:$D$804,$D118,$B$5:$B$804,$B118,$G$5:$G$804,$G118)&gt;1,"Takror",""))</f>
        <v/>
      </c>
    </row>
    <row r="119" customFormat="false" ht="15" hidden="false" customHeight="false" outlineLevel="0" collapsed="false">
      <c r="A119" s="8" t="n">
        <v>115</v>
      </c>
      <c r="B119" s="13"/>
      <c r="C119" s="12"/>
      <c r="D119" s="13"/>
      <c r="E119" s="24"/>
      <c r="F119" s="14" t="str">
        <f aca="false">IF(OR($D119="",$B119=""),"",INT(($B119-$D119)/365.25))</f>
        <v/>
      </c>
      <c r="G119" s="25"/>
      <c r="H119" s="25"/>
      <c r="I119" s="12"/>
      <c r="J119" s="14" t="str">
        <f aca="false">IF(OR($C119="",$D119="",$B119="",$G119=""),"",IF(COUNTIFS($C$5:$C$804,$C119,$D$5:$D$804,$D119,$B$5:$B$804,$B119,$G$5:$G$804,$G119)&gt;1,"Takror",""))</f>
        <v/>
      </c>
    </row>
    <row r="120" customFormat="false" ht="15" hidden="false" customHeight="false" outlineLevel="0" collapsed="false">
      <c r="A120" s="8" t="n">
        <v>116</v>
      </c>
      <c r="B120" s="13"/>
      <c r="C120" s="12"/>
      <c r="D120" s="13"/>
      <c r="E120" s="24"/>
      <c r="F120" s="14" t="str">
        <f aca="false">IF(OR($D120="",$B120=""),"",INT(($B120-$D120)/365.25))</f>
        <v/>
      </c>
      <c r="G120" s="25"/>
      <c r="H120" s="25"/>
      <c r="I120" s="12"/>
      <c r="J120" s="14" t="str">
        <f aca="false">IF(OR($C120="",$D120="",$B120="",$G120=""),"",IF(COUNTIFS($C$5:$C$804,$C120,$D$5:$D$804,$D120,$B$5:$B$804,$B120,$G$5:$G$804,$G120)&gt;1,"Takror",""))</f>
        <v/>
      </c>
    </row>
    <row r="121" customFormat="false" ht="15" hidden="false" customHeight="false" outlineLevel="0" collapsed="false">
      <c r="A121" s="8" t="n">
        <v>117</v>
      </c>
      <c r="B121" s="13"/>
      <c r="C121" s="12"/>
      <c r="D121" s="13"/>
      <c r="E121" s="24"/>
      <c r="F121" s="14" t="str">
        <f aca="false">IF(OR($D121="",$B121=""),"",INT(($B121-$D121)/365.25))</f>
        <v/>
      </c>
      <c r="G121" s="25"/>
      <c r="H121" s="25"/>
      <c r="I121" s="12"/>
      <c r="J121" s="14" t="str">
        <f aca="false">IF(OR($C121="",$D121="",$B121="",$G121=""),"",IF(COUNTIFS($C$5:$C$804,$C121,$D$5:$D$804,$D121,$B$5:$B$804,$B121,$G$5:$G$804,$G121)&gt;1,"Takror",""))</f>
        <v/>
      </c>
    </row>
    <row r="122" customFormat="false" ht="15" hidden="false" customHeight="false" outlineLevel="0" collapsed="false">
      <c r="A122" s="8" t="n">
        <v>118</v>
      </c>
      <c r="B122" s="13"/>
      <c r="C122" s="12"/>
      <c r="D122" s="13"/>
      <c r="E122" s="24"/>
      <c r="F122" s="14" t="str">
        <f aca="false">IF(OR($D122="",$B122=""),"",INT(($B122-$D122)/365.25))</f>
        <v/>
      </c>
      <c r="G122" s="25"/>
      <c r="H122" s="25"/>
      <c r="I122" s="12"/>
      <c r="J122" s="14" t="str">
        <f aca="false">IF(OR($C122="",$D122="",$B122="",$G122=""),"",IF(COUNTIFS($C$5:$C$804,$C122,$D$5:$D$804,$D122,$B$5:$B$804,$B122,$G$5:$G$804,$G122)&gt;1,"Takror",""))</f>
        <v/>
      </c>
    </row>
    <row r="123" customFormat="false" ht="15" hidden="false" customHeight="false" outlineLevel="0" collapsed="false">
      <c r="A123" s="8" t="n">
        <v>119</v>
      </c>
      <c r="B123" s="13"/>
      <c r="C123" s="12"/>
      <c r="D123" s="13"/>
      <c r="E123" s="24"/>
      <c r="F123" s="14" t="str">
        <f aca="false">IF(OR($D123="",$B123=""),"",INT(($B123-$D123)/365.25))</f>
        <v/>
      </c>
      <c r="G123" s="25"/>
      <c r="H123" s="25"/>
      <c r="I123" s="12"/>
      <c r="J123" s="14" t="str">
        <f aca="false">IF(OR($C123="",$D123="",$B123="",$G123=""),"",IF(COUNTIFS($C$5:$C$804,$C123,$D$5:$D$804,$D123,$B$5:$B$804,$B123,$G$5:$G$804,$G123)&gt;1,"Takror",""))</f>
        <v/>
      </c>
    </row>
    <row r="124" customFormat="false" ht="15" hidden="false" customHeight="false" outlineLevel="0" collapsed="false">
      <c r="A124" s="8" t="n">
        <v>120</v>
      </c>
      <c r="B124" s="13"/>
      <c r="C124" s="12"/>
      <c r="D124" s="13"/>
      <c r="E124" s="24"/>
      <c r="F124" s="14" t="str">
        <f aca="false">IF(OR($D124="",$B124=""),"",INT(($B124-$D124)/365.25))</f>
        <v/>
      </c>
      <c r="G124" s="25"/>
      <c r="H124" s="25"/>
      <c r="I124" s="12"/>
      <c r="J124" s="14" t="str">
        <f aca="false">IF(OR($C124="",$D124="",$B124="",$G124=""),"",IF(COUNTIFS($C$5:$C$804,$C124,$D$5:$D$804,$D124,$B$5:$B$804,$B124,$G$5:$G$804,$G124)&gt;1,"Takror",""))</f>
        <v/>
      </c>
    </row>
    <row r="125" customFormat="false" ht="15" hidden="false" customHeight="false" outlineLevel="0" collapsed="false">
      <c r="A125" s="8" t="n">
        <v>121</v>
      </c>
      <c r="B125" s="13"/>
      <c r="C125" s="12"/>
      <c r="D125" s="13"/>
      <c r="E125" s="24"/>
      <c r="F125" s="14" t="str">
        <f aca="false">IF(OR($D125="",$B125=""),"",INT(($B125-$D125)/365.25))</f>
        <v/>
      </c>
      <c r="G125" s="25"/>
      <c r="H125" s="25"/>
      <c r="I125" s="12"/>
      <c r="J125" s="14" t="str">
        <f aca="false">IF(OR($C125="",$D125="",$B125="",$G125=""),"",IF(COUNTIFS($C$5:$C$804,$C125,$D$5:$D$804,$D125,$B$5:$B$804,$B125,$G$5:$G$804,$G125)&gt;1,"Takror",""))</f>
        <v/>
      </c>
    </row>
    <row r="126" customFormat="false" ht="15" hidden="false" customHeight="false" outlineLevel="0" collapsed="false">
      <c r="A126" s="8" t="n">
        <v>122</v>
      </c>
      <c r="B126" s="13"/>
      <c r="C126" s="12"/>
      <c r="D126" s="13"/>
      <c r="E126" s="24"/>
      <c r="F126" s="14" t="str">
        <f aca="false">IF(OR($D126="",$B126=""),"",INT(($B126-$D126)/365.25))</f>
        <v/>
      </c>
      <c r="G126" s="25"/>
      <c r="H126" s="25"/>
      <c r="I126" s="12"/>
      <c r="J126" s="14" t="str">
        <f aca="false">IF(OR($C126="",$D126="",$B126="",$G126=""),"",IF(COUNTIFS($C$5:$C$804,$C126,$D$5:$D$804,$D126,$B$5:$B$804,$B126,$G$5:$G$804,$G126)&gt;1,"Takror",""))</f>
        <v/>
      </c>
    </row>
    <row r="127" customFormat="false" ht="15" hidden="false" customHeight="false" outlineLevel="0" collapsed="false">
      <c r="A127" s="8" t="n">
        <v>123</v>
      </c>
      <c r="B127" s="13"/>
      <c r="C127" s="12"/>
      <c r="D127" s="13"/>
      <c r="E127" s="24"/>
      <c r="F127" s="14" t="str">
        <f aca="false">IF(OR($D127="",$B127=""),"",INT(($B127-$D127)/365.25))</f>
        <v/>
      </c>
      <c r="G127" s="25"/>
      <c r="H127" s="25"/>
      <c r="I127" s="12"/>
      <c r="J127" s="14" t="str">
        <f aca="false">IF(OR($C127="",$D127="",$B127="",$G127=""),"",IF(COUNTIFS($C$5:$C$804,$C127,$D$5:$D$804,$D127,$B$5:$B$804,$B127,$G$5:$G$804,$G127)&gt;1,"Takror",""))</f>
        <v/>
      </c>
    </row>
    <row r="128" customFormat="false" ht="15" hidden="false" customHeight="false" outlineLevel="0" collapsed="false">
      <c r="A128" s="8" t="n">
        <v>124</v>
      </c>
      <c r="B128" s="13"/>
      <c r="C128" s="12"/>
      <c r="D128" s="13"/>
      <c r="E128" s="24"/>
      <c r="F128" s="14" t="str">
        <f aca="false">IF(OR($D128="",$B128=""),"",INT(($B128-$D128)/365.25))</f>
        <v/>
      </c>
      <c r="G128" s="25"/>
      <c r="H128" s="25"/>
      <c r="I128" s="12"/>
      <c r="J128" s="14" t="str">
        <f aca="false">IF(OR($C128="",$D128="",$B128="",$G128=""),"",IF(COUNTIFS($C$5:$C$804,$C128,$D$5:$D$804,$D128,$B$5:$B$804,$B128,$G$5:$G$804,$G128)&gt;1,"Takror",""))</f>
        <v/>
      </c>
    </row>
    <row r="129" customFormat="false" ht="15" hidden="false" customHeight="false" outlineLevel="0" collapsed="false">
      <c r="A129" s="8" t="n">
        <v>125</v>
      </c>
      <c r="B129" s="13"/>
      <c r="C129" s="12"/>
      <c r="D129" s="13"/>
      <c r="E129" s="24"/>
      <c r="F129" s="14" t="str">
        <f aca="false">IF(OR($D129="",$B129=""),"",INT(($B129-$D129)/365.25))</f>
        <v/>
      </c>
      <c r="G129" s="25"/>
      <c r="H129" s="25"/>
      <c r="I129" s="12"/>
      <c r="J129" s="14" t="str">
        <f aca="false">IF(OR($C129="",$D129="",$B129="",$G129=""),"",IF(COUNTIFS($C$5:$C$804,$C129,$D$5:$D$804,$D129,$B$5:$B$804,$B129,$G$5:$G$804,$G129)&gt;1,"Takror",""))</f>
        <v/>
      </c>
    </row>
    <row r="130" customFormat="false" ht="15" hidden="false" customHeight="false" outlineLevel="0" collapsed="false">
      <c r="A130" s="8" t="n">
        <v>126</v>
      </c>
      <c r="B130" s="13"/>
      <c r="C130" s="12"/>
      <c r="D130" s="13"/>
      <c r="E130" s="24"/>
      <c r="F130" s="14" t="str">
        <f aca="false">IF(OR($D130="",$B130=""),"",INT(($B130-$D130)/365.25))</f>
        <v/>
      </c>
      <c r="G130" s="25"/>
      <c r="H130" s="25"/>
      <c r="I130" s="12"/>
      <c r="J130" s="14" t="str">
        <f aca="false">IF(OR($C130="",$D130="",$B130="",$G130=""),"",IF(COUNTIFS($C$5:$C$804,$C130,$D$5:$D$804,$D130,$B$5:$B$804,$B130,$G$5:$G$804,$G130)&gt;1,"Takror",""))</f>
        <v/>
      </c>
    </row>
    <row r="131" customFormat="false" ht="15" hidden="false" customHeight="false" outlineLevel="0" collapsed="false">
      <c r="A131" s="8" t="n">
        <v>127</v>
      </c>
      <c r="B131" s="13"/>
      <c r="C131" s="12"/>
      <c r="D131" s="13"/>
      <c r="E131" s="24"/>
      <c r="F131" s="14" t="str">
        <f aca="false">IF(OR($D131="",$B131=""),"",INT(($B131-$D131)/365.25))</f>
        <v/>
      </c>
      <c r="G131" s="25"/>
      <c r="H131" s="25"/>
      <c r="I131" s="12"/>
      <c r="J131" s="14" t="str">
        <f aca="false">IF(OR($C131="",$D131="",$B131="",$G131=""),"",IF(COUNTIFS($C$5:$C$804,$C131,$D$5:$D$804,$D131,$B$5:$B$804,$B131,$G$5:$G$804,$G131)&gt;1,"Takror",""))</f>
        <v/>
      </c>
    </row>
    <row r="132" customFormat="false" ht="15" hidden="false" customHeight="false" outlineLevel="0" collapsed="false">
      <c r="A132" s="8" t="n">
        <v>128</v>
      </c>
      <c r="B132" s="13"/>
      <c r="C132" s="12"/>
      <c r="D132" s="13"/>
      <c r="E132" s="24"/>
      <c r="F132" s="14" t="str">
        <f aca="false">IF(OR($D132="",$B132=""),"",INT(($B132-$D132)/365.25))</f>
        <v/>
      </c>
      <c r="G132" s="25"/>
      <c r="H132" s="25"/>
      <c r="I132" s="12"/>
      <c r="J132" s="14" t="str">
        <f aca="false">IF(OR($C132="",$D132="",$B132="",$G132=""),"",IF(COUNTIFS($C$5:$C$804,$C132,$D$5:$D$804,$D132,$B$5:$B$804,$B132,$G$5:$G$804,$G132)&gt;1,"Takror",""))</f>
        <v/>
      </c>
    </row>
    <row r="133" customFormat="false" ht="15" hidden="false" customHeight="false" outlineLevel="0" collapsed="false">
      <c r="A133" s="8" t="n">
        <v>129</v>
      </c>
      <c r="B133" s="13"/>
      <c r="C133" s="12"/>
      <c r="D133" s="13"/>
      <c r="E133" s="24"/>
      <c r="F133" s="14" t="str">
        <f aca="false">IF(OR($D133="",$B133=""),"",INT(($B133-$D133)/365.25))</f>
        <v/>
      </c>
      <c r="G133" s="25"/>
      <c r="H133" s="25"/>
      <c r="I133" s="12"/>
      <c r="J133" s="14" t="str">
        <f aca="false">IF(OR($C133="",$D133="",$B133="",$G133=""),"",IF(COUNTIFS($C$5:$C$804,$C133,$D$5:$D$804,$D133,$B$5:$B$804,$B133,$G$5:$G$804,$G133)&gt;1,"Takror",""))</f>
        <v/>
      </c>
    </row>
    <row r="134" customFormat="false" ht="15" hidden="false" customHeight="false" outlineLevel="0" collapsed="false">
      <c r="A134" s="8" t="n">
        <v>130</v>
      </c>
      <c r="B134" s="13"/>
      <c r="C134" s="12"/>
      <c r="D134" s="13"/>
      <c r="E134" s="24"/>
      <c r="F134" s="14" t="str">
        <f aca="false">IF(OR($D134="",$B134=""),"",INT(($B134-$D134)/365.25))</f>
        <v/>
      </c>
      <c r="G134" s="25"/>
      <c r="H134" s="25"/>
      <c r="I134" s="12"/>
      <c r="J134" s="14" t="str">
        <f aca="false">IF(OR($C134="",$D134="",$B134="",$G134=""),"",IF(COUNTIFS($C$5:$C$804,$C134,$D$5:$D$804,$D134,$B$5:$B$804,$B134,$G$5:$G$804,$G134)&gt;1,"Takror",""))</f>
        <v/>
      </c>
    </row>
    <row r="135" customFormat="false" ht="15" hidden="false" customHeight="false" outlineLevel="0" collapsed="false">
      <c r="A135" s="8" t="n">
        <v>131</v>
      </c>
      <c r="B135" s="13"/>
      <c r="C135" s="12"/>
      <c r="D135" s="13"/>
      <c r="E135" s="24"/>
      <c r="F135" s="14" t="str">
        <f aca="false">IF(OR($D135="",$B135=""),"",INT(($B135-$D135)/365.25))</f>
        <v/>
      </c>
      <c r="G135" s="25"/>
      <c r="H135" s="25"/>
      <c r="I135" s="12"/>
      <c r="J135" s="14" t="str">
        <f aca="false">IF(OR($C135="",$D135="",$B135="",$G135=""),"",IF(COUNTIFS($C$5:$C$804,$C135,$D$5:$D$804,$D135,$B$5:$B$804,$B135,$G$5:$G$804,$G135)&gt;1,"Takror",""))</f>
        <v/>
      </c>
    </row>
    <row r="136" customFormat="false" ht="15" hidden="false" customHeight="false" outlineLevel="0" collapsed="false">
      <c r="A136" s="8" t="n">
        <v>132</v>
      </c>
      <c r="B136" s="13"/>
      <c r="C136" s="12"/>
      <c r="D136" s="13"/>
      <c r="E136" s="24"/>
      <c r="F136" s="14" t="str">
        <f aca="false">IF(OR($D136="",$B136=""),"",INT(($B136-$D136)/365.25))</f>
        <v/>
      </c>
      <c r="G136" s="25"/>
      <c r="H136" s="25"/>
      <c r="I136" s="12"/>
      <c r="J136" s="14" t="str">
        <f aca="false">IF(OR($C136="",$D136="",$B136="",$G136=""),"",IF(COUNTIFS($C$5:$C$804,$C136,$D$5:$D$804,$D136,$B$5:$B$804,$B136,$G$5:$G$804,$G136)&gt;1,"Takror",""))</f>
        <v/>
      </c>
    </row>
    <row r="137" customFormat="false" ht="15" hidden="false" customHeight="false" outlineLevel="0" collapsed="false">
      <c r="A137" s="8" t="n">
        <v>133</v>
      </c>
      <c r="B137" s="13"/>
      <c r="C137" s="12"/>
      <c r="D137" s="13"/>
      <c r="E137" s="24"/>
      <c r="F137" s="14" t="str">
        <f aca="false">IF(OR($D137="",$B137=""),"",INT(($B137-$D137)/365.25))</f>
        <v/>
      </c>
      <c r="G137" s="25"/>
      <c r="H137" s="25"/>
      <c r="I137" s="12"/>
      <c r="J137" s="14" t="str">
        <f aca="false">IF(OR($C137="",$D137="",$B137="",$G137=""),"",IF(COUNTIFS($C$5:$C$804,$C137,$D$5:$D$804,$D137,$B$5:$B$804,$B137,$G$5:$G$804,$G137)&gt;1,"Takror",""))</f>
        <v/>
      </c>
    </row>
    <row r="138" customFormat="false" ht="15" hidden="false" customHeight="false" outlineLevel="0" collapsed="false">
      <c r="A138" s="8" t="n">
        <v>134</v>
      </c>
      <c r="B138" s="13"/>
      <c r="C138" s="12"/>
      <c r="D138" s="13"/>
      <c r="E138" s="24"/>
      <c r="F138" s="14" t="str">
        <f aca="false">IF(OR($D138="",$B138=""),"",INT(($B138-$D138)/365.25))</f>
        <v/>
      </c>
      <c r="G138" s="25"/>
      <c r="H138" s="25"/>
      <c r="I138" s="12"/>
      <c r="J138" s="14" t="str">
        <f aca="false">IF(OR($C138="",$D138="",$B138="",$G138=""),"",IF(COUNTIFS($C$5:$C$804,$C138,$D$5:$D$804,$D138,$B$5:$B$804,$B138,$G$5:$G$804,$G138)&gt;1,"Takror",""))</f>
        <v/>
      </c>
    </row>
    <row r="139" customFormat="false" ht="15" hidden="false" customHeight="false" outlineLevel="0" collapsed="false">
      <c r="A139" s="8" t="n">
        <v>135</v>
      </c>
      <c r="B139" s="13"/>
      <c r="C139" s="12"/>
      <c r="D139" s="13"/>
      <c r="E139" s="24"/>
      <c r="F139" s="14" t="str">
        <f aca="false">IF(OR($D139="",$B139=""),"",INT(($B139-$D139)/365.25))</f>
        <v/>
      </c>
      <c r="G139" s="25"/>
      <c r="H139" s="25"/>
      <c r="I139" s="12"/>
      <c r="J139" s="14" t="str">
        <f aca="false">IF(OR($C139="",$D139="",$B139="",$G139=""),"",IF(COUNTIFS($C$5:$C$804,$C139,$D$5:$D$804,$D139,$B$5:$B$804,$B139,$G$5:$G$804,$G139)&gt;1,"Takror",""))</f>
        <v/>
      </c>
    </row>
    <row r="140" customFormat="false" ht="15" hidden="false" customHeight="false" outlineLevel="0" collapsed="false">
      <c r="A140" s="8" t="n">
        <v>136</v>
      </c>
      <c r="B140" s="13"/>
      <c r="C140" s="12"/>
      <c r="D140" s="13"/>
      <c r="E140" s="24"/>
      <c r="F140" s="14" t="str">
        <f aca="false">IF(OR($D140="",$B140=""),"",INT(($B140-$D140)/365.25))</f>
        <v/>
      </c>
      <c r="G140" s="25"/>
      <c r="H140" s="25"/>
      <c r="I140" s="12"/>
      <c r="J140" s="14" t="str">
        <f aca="false">IF(OR($C140="",$D140="",$B140="",$G140=""),"",IF(COUNTIFS($C$5:$C$804,$C140,$D$5:$D$804,$D140,$B$5:$B$804,$B140,$G$5:$G$804,$G140)&gt;1,"Takror",""))</f>
        <v/>
      </c>
    </row>
    <row r="141" customFormat="false" ht="15" hidden="false" customHeight="false" outlineLevel="0" collapsed="false">
      <c r="A141" s="8" t="n">
        <v>137</v>
      </c>
      <c r="B141" s="13"/>
      <c r="C141" s="12"/>
      <c r="D141" s="13"/>
      <c r="E141" s="24"/>
      <c r="F141" s="14" t="str">
        <f aca="false">IF(OR($D141="",$B141=""),"",INT(($B141-$D141)/365.25))</f>
        <v/>
      </c>
      <c r="G141" s="25"/>
      <c r="H141" s="25"/>
      <c r="I141" s="12"/>
      <c r="J141" s="14" t="str">
        <f aca="false">IF(OR($C141="",$D141="",$B141="",$G141=""),"",IF(COUNTIFS($C$5:$C$804,$C141,$D$5:$D$804,$D141,$B$5:$B$804,$B141,$G$5:$G$804,$G141)&gt;1,"Takror",""))</f>
        <v/>
      </c>
    </row>
    <row r="142" customFormat="false" ht="15" hidden="false" customHeight="false" outlineLevel="0" collapsed="false">
      <c r="A142" s="8" t="n">
        <v>138</v>
      </c>
      <c r="B142" s="13"/>
      <c r="C142" s="12"/>
      <c r="D142" s="13"/>
      <c r="E142" s="24"/>
      <c r="F142" s="14" t="str">
        <f aca="false">IF(OR($D142="",$B142=""),"",INT(($B142-$D142)/365.25))</f>
        <v/>
      </c>
      <c r="G142" s="25"/>
      <c r="H142" s="25"/>
      <c r="I142" s="12"/>
      <c r="J142" s="14" t="str">
        <f aca="false">IF(OR($C142="",$D142="",$B142="",$G142=""),"",IF(COUNTIFS($C$5:$C$804,$C142,$D$5:$D$804,$D142,$B$5:$B$804,$B142,$G$5:$G$804,$G142)&gt;1,"Takror",""))</f>
        <v/>
      </c>
    </row>
    <row r="143" customFormat="false" ht="15" hidden="false" customHeight="false" outlineLevel="0" collapsed="false">
      <c r="A143" s="8" t="n">
        <v>139</v>
      </c>
      <c r="B143" s="13"/>
      <c r="C143" s="12"/>
      <c r="D143" s="13"/>
      <c r="E143" s="24"/>
      <c r="F143" s="14" t="str">
        <f aca="false">IF(OR($D143="",$B143=""),"",INT(($B143-$D143)/365.25))</f>
        <v/>
      </c>
      <c r="G143" s="25"/>
      <c r="H143" s="25"/>
      <c r="I143" s="12"/>
      <c r="J143" s="14" t="str">
        <f aca="false">IF(OR($C143="",$D143="",$B143="",$G143=""),"",IF(COUNTIFS($C$5:$C$804,$C143,$D$5:$D$804,$D143,$B$5:$B$804,$B143,$G$5:$G$804,$G143)&gt;1,"Takror",""))</f>
        <v/>
      </c>
    </row>
    <row r="144" customFormat="false" ht="15" hidden="false" customHeight="false" outlineLevel="0" collapsed="false">
      <c r="A144" s="8" t="n">
        <v>140</v>
      </c>
      <c r="B144" s="13"/>
      <c r="C144" s="12"/>
      <c r="D144" s="13"/>
      <c r="E144" s="24"/>
      <c r="F144" s="14" t="str">
        <f aca="false">IF(OR($D144="",$B144=""),"",INT(($B144-$D144)/365.25))</f>
        <v/>
      </c>
      <c r="G144" s="25"/>
      <c r="H144" s="25"/>
      <c r="I144" s="12"/>
      <c r="J144" s="14" t="str">
        <f aca="false">IF(OR($C144="",$D144="",$B144="",$G144=""),"",IF(COUNTIFS($C$5:$C$804,$C144,$D$5:$D$804,$D144,$B$5:$B$804,$B144,$G$5:$G$804,$G144)&gt;1,"Takror",""))</f>
        <v/>
      </c>
    </row>
    <row r="145" customFormat="false" ht="15" hidden="false" customHeight="false" outlineLevel="0" collapsed="false">
      <c r="A145" s="8" t="n">
        <v>141</v>
      </c>
      <c r="B145" s="13"/>
      <c r="C145" s="12"/>
      <c r="D145" s="13"/>
      <c r="E145" s="24"/>
      <c r="F145" s="14" t="str">
        <f aca="false">IF(OR($D145="",$B145=""),"",INT(($B145-$D145)/365.25))</f>
        <v/>
      </c>
      <c r="G145" s="25"/>
      <c r="H145" s="25"/>
      <c r="I145" s="12"/>
      <c r="J145" s="14" t="str">
        <f aca="false">IF(OR($C145="",$D145="",$B145="",$G145=""),"",IF(COUNTIFS($C$5:$C$804,$C145,$D$5:$D$804,$D145,$B$5:$B$804,$B145,$G$5:$G$804,$G145)&gt;1,"Takror",""))</f>
        <v/>
      </c>
    </row>
    <row r="146" customFormat="false" ht="15" hidden="false" customHeight="false" outlineLevel="0" collapsed="false">
      <c r="A146" s="8" t="n">
        <v>142</v>
      </c>
      <c r="B146" s="13"/>
      <c r="C146" s="12"/>
      <c r="D146" s="13"/>
      <c r="E146" s="24"/>
      <c r="F146" s="14" t="str">
        <f aca="false">IF(OR($D146="",$B146=""),"",INT(($B146-$D146)/365.25))</f>
        <v/>
      </c>
      <c r="G146" s="25"/>
      <c r="H146" s="25"/>
      <c r="I146" s="12"/>
      <c r="J146" s="14" t="str">
        <f aca="false">IF(OR($C146="",$D146="",$B146="",$G146=""),"",IF(COUNTIFS($C$5:$C$804,$C146,$D$5:$D$804,$D146,$B$5:$B$804,$B146,$G$5:$G$804,$G146)&gt;1,"Takror",""))</f>
        <v/>
      </c>
    </row>
    <row r="147" customFormat="false" ht="15" hidden="false" customHeight="false" outlineLevel="0" collapsed="false">
      <c r="A147" s="8" t="n">
        <v>143</v>
      </c>
      <c r="B147" s="13"/>
      <c r="C147" s="12"/>
      <c r="D147" s="13"/>
      <c r="E147" s="24"/>
      <c r="F147" s="14" t="str">
        <f aca="false">IF(OR($D147="",$B147=""),"",INT(($B147-$D147)/365.25))</f>
        <v/>
      </c>
      <c r="G147" s="25"/>
      <c r="H147" s="25"/>
      <c r="I147" s="12"/>
      <c r="J147" s="14" t="str">
        <f aca="false">IF(OR($C147="",$D147="",$B147="",$G147=""),"",IF(COUNTIFS($C$5:$C$804,$C147,$D$5:$D$804,$D147,$B$5:$B$804,$B147,$G$5:$G$804,$G147)&gt;1,"Takror",""))</f>
        <v/>
      </c>
    </row>
    <row r="148" customFormat="false" ht="15" hidden="false" customHeight="false" outlineLevel="0" collapsed="false">
      <c r="A148" s="8" t="n">
        <v>144</v>
      </c>
      <c r="B148" s="13"/>
      <c r="C148" s="12"/>
      <c r="D148" s="13"/>
      <c r="E148" s="24"/>
      <c r="F148" s="14" t="str">
        <f aca="false">IF(OR($D148="",$B148=""),"",INT(($B148-$D148)/365.25))</f>
        <v/>
      </c>
      <c r="G148" s="25"/>
      <c r="H148" s="25"/>
      <c r="I148" s="12"/>
      <c r="J148" s="14" t="str">
        <f aca="false">IF(OR($C148="",$D148="",$B148="",$G148=""),"",IF(COUNTIFS($C$5:$C$804,$C148,$D$5:$D$804,$D148,$B$5:$B$804,$B148,$G$5:$G$804,$G148)&gt;1,"Takror",""))</f>
        <v/>
      </c>
    </row>
    <row r="149" customFormat="false" ht="15" hidden="false" customHeight="false" outlineLevel="0" collapsed="false">
      <c r="A149" s="8" t="n">
        <v>145</v>
      </c>
      <c r="B149" s="13"/>
      <c r="C149" s="12"/>
      <c r="D149" s="13"/>
      <c r="E149" s="24"/>
      <c r="F149" s="14" t="str">
        <f aca="false">IF(OR($D149="",$B149=""),"",INT(($B149-$D149)/365.25))</f>
        <v/>
      </c>
      <c r="G149" s="25"/>
      <c r="H149" s="25"/>
      <c r="I149" s="12"/>
      <c r="J149" s="14" t="str">
        <f aca="false">IF(OR($C149="",$D149="",$B149="",$G149=""),"",IF(COUNTIFS($C$5:$C$804,$C149,$D$5:$D$804,$D149,$B$5:$B$804,$B149,$G$5:$G$804,$G149)&gt;1,"Takror",""))</f>
        <v/>
      </c>
    </row>
    <row r="150" customFormat="false" ht="15" hidden="false" customHeight="false" outlineLevel="0" collapsed="false">
      <c r="A150" s="8" t="n">
        <v>146</v>
      </c>
      <c r="B150" s="13"/>
      <c r="C150" s="12"/>
      <c r="D150" s="13"/>
      <c r="E150" s="24"/>
      <c r="F150" s="14" t="str">
        <f aca="false">IF(OR($D150="",$B150=""),"",INT(($B150-$D150)/365.25))</f>
        <v/>
      </c>
      <c r="G150" s="25"/>
      <c r="H150" s="25"/>
      <c r="I150" s="12"/>
      <c r="J150" s="14" t="str">
        <f aca="false">IF(OR($C150="",$D150="",$B150="",$G150=""),"",IF(COUNTIFS($C$5:$C$804,$C150,$D$5:$D$804,$D150,$B$5:$B$804,$B150,$G$5:$G$804,$G150)&gt;1,"Takror",""))</f>
        <v/>
      </c>
    </row>
    <row r="151" customFormat="false" ht="15" hidden="false" customHeight="false" outlineLevel="0" collapsed="false">
      <c r="A151" s="8" t="n">
        <v>147</v>
      </c>
      <c r="B151" s="13"/>
      <c r="C151" s="12"/>
      <c r="D151" s="13"/>
      <c r="E151" s="24"/>
      <c r="F151" s="14" t="str">
        <f aca="false">IF(OR($D151="",$B151=""),"",INT(($B151-$D151)/365.25))</f>
        <v/>
      </c>
      <c r="G151" s="25"/>
      <c r="H151" s="25"/>
      <c r="I151" s="12"/>
      <c r="J151" s="14" t="str">
        <f aca="false">IF(OR($C151="",$D151="",$B151="",$G151=""),"",IF(COUNTIFS($C$5:$C$804,$C151,$D$5:$D$804,$D151,$B$5:$B$804,$B151,$G$5:$G$804,$G151)&gt;1,"Takror",""))</f>
        <v/>
      </c>
    </row>
    <row r="152" customFormat="false" ht="15" hidden="false" customHeight="false" outlineLevel="0" collapsed="false">
      <c r="A152" s="8" t="n">
        <v>148</v>
      </c>
      <c r="B152" s="13"/>
      <c r="C152" s="12"/>
      <c r="D152" s="13"/>
      <c r="E152" s="24"/>
      <c r="F152" s="14" t="str">
        <f aca="false">IF(OR($D152="",$B152=""),"",INT(($B152-$D152)/365.25))</f>
        <v/>
      </c>
      <c r="G152" s="25"/>
      <c r="H152" s="25"/>
      <c r="I152" s="12"/>
      <c r="J152" s="14" t="str">
        <f aca="false">IF(OR($C152="",$D152="",$B152="",$G152=""),"",IF(COUNTIFS($C$5:$C$804,$C152,$D$5:$D$804,$D152,$B$5:$B$804,$B152,$G$5:$G$804,$G152)&gt;1,"Takror",""))</f>
        <v/>
      </c>
    </row>
    <row r="153" customFormat="false" ht="15" hidden="false" customHeight="false" outlineLevel="0" collapsed="false">
      <c r="A153" s="8" t="n">
        <v>149</v>
      </c>
      <c r="B153" s="13"/>
      <c r="C153" s="12"/>
      <c r="D153" s="13"/>
      <c r="E153" s="24"/>
      <c r="F153" s="14" t="str">
        <f aca="false">IF(OR($D153="",$B153=""),"",INT(($B153-$D153)/365.25))</f>
        <v/>
      </c>
      <c r="G153" s="25"/>
      <c r="H153" s="25"/>
      <c r="I153" s="12"/>
      <c r="J153" s="14" t="str">
        <f aca="false">IF(OR($C153="",$D153="",$B153="",$G153=""),"",IF(COUNTIFS($C$5:$C$804,$C153,$D$5:$D$804,$D153,$B$5:$B$804,$B153,$G$5:$G$804,$G153)&gt;1,"Takror",""))</f>
        <v/>
      </c>
    </row>
    <row r="154" customFormat="false" ht="15" hidden="false" customHeight="false" outlineLevel="0" collapsed="false">
      <c r="A154" s="8" t="n">
        <v>150</v>
      </c>
      <c r="B154" s="13"/>
      <c r="C154" s="12"/>
      <c r="D154" s="13"/>
      <c r="E154" s="24"/>
      <c r="F154" s="14" t="str">
        <f aca="false">IF(OR($D154="",$B154=""),"",INT(($B154-$D154)/365.25))</f>
        <v/>
      </c>
      <c r="G154" s="25"/>
      <c r="H154" s="25"/>
      <c r="I154" s="12"/>
      <c r="J154" s="14" t="str">
        <f aca="false">IF(OR($C154="",$D154="",$B154="",$G154=""),"",IF(COUNTIFS($C$5:$C$804,$C154,$D$5:$D$804,$D154,$B$5:$B$804,$B154,$G$5:$G$804,$G154)&gt;1,"Takror",""))</f>
        <v/>
      </c>
    </row>
    <row r="155" customFormat="false" ht="15" hidden="false" customHeight="false" outlineLevel="0" collapsed="false">
      <c r="A155" s="8" t="n">
        <v>151</v>
      </c>
      <c r="B155" s="13"/>
      <c r="C155" s="12"/>
      <c r="D155" s="13"/>
      <c r="E155" s="24"/>
      <c r="F155" s="14" t="str">
        <f aca="false">IF(OR($D155="",$B155=""),"",INT(($B155-$D155)/365.25))</f>
        <v/>
      </c>
      <c r="G155" s="25"/>
      <c r="H155" s="25"/>
      <c r="I155" s="12"/>
      <c r="J155" s="14" t="str">
        <f aca="false">IF(OR($C155="",$D155="",$B155="",$G155=""),"",IF(COUNTIFS($C$5:$C$804,$C155,$D$5:$D$804,$D155,$B$5:$B$804,$B155,$G$5:$G$804,$G155)&gt;1,"Takror",""))</f>
        <v/>
      </c>
    </row>
    <row r="156" customFormat="false" ht="15" hidden="false" customHeight="false" outlineLevel="0" collapsed="false">
      <c r="A156" s="8" t="n">
        <v>152</v>
      </c>
      <c r="B156" s="13"/>
      <c r="C156" s="12"/>
      <c r="D156" s="13"/>
      <c r="E156" s="24"/>
      <c r="F156" s="14" t="str">
        <f aca="false">IF(OR($D156="",$B156=""),"",INT(($B156-$D156)/365.25))</f>
        <v/>
      </c>
      <c r="G156" s="25"/>
      <c r="H156" s="25"/>
      <c r="I156" s="12"/>
      <c r="J156" s="14" t="str">
        <f aca="false">IF(OR($C156="",$D156="",$B156="",$G156=""),"",IF(COUNTIFS($C$5:$C$804,$C156,$D$5:$D$804,$D156,$B$5:$B$804,$B156,$G$5:$G$804,$G156)&gt;1,"Takror",""))</f>
        <v/>
      </c>
    </row>
    <row r="157" customFormat="false" ht="15" hidden="false" customHeight="false" outlineLevel="0" collapsed="false">
      <c r="A157" s="8" t="n">
        <v>153</v>
      </c>
      <c r="B157" s="13"/>
      <c r="C157" s="12"/>
      <c r="D157" s="13"/>
      <c r="E157" s="24"/>
      <c r="F157" s="14" t="str">
        <f aca="false">IF(OR($D157="",$B157=""),"",INT(($B157-$D157)/365.25))</f>
        <v/>
      </c>
      <c r="G157" s="25"/>
      <c r="H157" s="25"/>
      <c r="I157" s="12"/>
      <c r="J157" s="14" t="str">
        <f aca="false">IF(OR($C157="",$D157="",$B157="",$G157=""),"",IF(COUNTIFS($C$5:$C$804,$C157,$D$5:$D$804,$D157,$B$5:$B$804,$B157,$G$5:$G$804,$G157)&gt;1,"Takror",""))</f>
        <v/>
      </c>
    </row>
    <row r="158" customFormat="false" ht="15" hidden="false" customHeight="false" outlineLevel="0" collapsed="false">
      <c r="A158" s="8" t="n">
        <v>154</v>
      </c>
      <c r="B158" s="13"/>
      <c r="C158" s="12"/>
      <c r="D158" s="13"/>
      <c r="E158" s="24"/>
      <c r="F158" s="14" t="str">
        <f aca="false">IF(OR($D158="",$B158=""),"",INT(($B158-$D158)/365.25))</f>
        <v/>
      </c>
      <c r="G158" s="25"/>
      <c r="H158" s="25"/>
      <c r="I158" s="12"/>
      <c r="J158" s="14" t="str">
        <f aca="false">IF(OR($C158="",$D158="",$B158="",$G158=""),"",IF(COUNTIFS($C$5:$C$804,$C158,$D$5:$D$804,$D158,$B$5:$B$804,$B158,$G$5:$G$804,$G158)&gt;1,"Takror",""))</f>
        <v/>
      </c>
    </row>
    <row r="159" customFormat="false" ht="15" hidden="false" customHeight="false" outlineLevel="0" collapsed="false">
      <c r="A159" s="8" t="n">
        <v>155</v>
      </c>
      <c r="B159" s="13"/>
      <c r="C159" s="12"/>
      <c r="D159" s="13"/>
      <c r="E159" s="24"/>
      <c r="F159" s="14" t="str">
        <f aca="false">IF(OR($D159="",$B159=""),"",INT(($B159-$D159)/365.25))</f>
        <v/>
      </c>
      <c r="G159" s="25"/>
      <c r="H159" s="25"/>
      <c r="I159" s="12"/>
      <c r="J159" s="14" t="str">
        <f aca="false">IF(OR($C159="",$D159="",$B159="",$G159=""),"",IF(COUNTIFS($C$5:$C$804,$C159,$D$5:$D$804,$D159,$B$5:$B$804,$B159,$G$5:$G$804,$G159)&gt;1,"Takror",""))</f>
        <v/>
      </c>
    </row>
    <row r="160" customFormat="false" ht="15" hidden="false" customHeight="false" outlineLevel="0" collapsed="false">
      <c r="A160" s="8" t="n">
        <v>156</v>
      </c>
      <c r="B160" s="13"/>
      <c r="C160" s="12"/>
      <c r="D160" s="13"/>
      <c r="E160" s="24"/>
      <c r="F160" s="14" t="str">
        <f aca="false">IF(OR($D160="",$B160=""),"",INT(($B160-$D160)/365.25))</f>
        <v/>
      </c>
      <c r="G160" s="25"/>
      <c r="H160" s="25"/>
      <c r="I160" s="12"/>
      <c r="J160" s="14" t="str">
        <f aca="false">IF(OR($C160="",$D160="",$B160="",$G160=""),"",IF(COUNTIFS($C$5:$C$804,$C160,$D$5:$D$804,$D160,$B$5:$B$804,$B160,$G$5:$G$804,$G160)&gt;1,"Takror",""))</f>
        <v/>
      </c>
    </row>
    <row r="161" customFormat="false" ht="15" hidden="false" customHeight="false" outlineLevel="0" collapsed="false">
      <c r="A161" s="8" t="n">
        <v>157</v>
      </c>
      <c r="B161" s="13"/>
      <c r="C161" s="12"/>
      <c r="D161" s="13"/>
      <c r="E161" s="24"/>
      <c r="F161" s="14" t="str">
        <f aca="false">IF(OR($D161="",$B161=""),"",INT(($B161-$D161)/365.25))</f>
        <v/>
      </c>
      <c r="G161" s="25"/>
      <c r="H161" s="25"/>
      <c r="I161" s="12"/>
      <c r="J161" s="14" t="str">
        <f aca="false">IF(OR($C161="",$D161="",$B161="",$G161=""),"",IF(COUNTIFS($C$5:$C$804,$C161,$D$5:$D$804,$D161,$B$5:$B$804,$B161,$G$5:$G$804,$G161)&gt;1,"Takror",""))</f>
        <v/>
      </c>
    </row>
    <row r="162" customFormat="false" ht="15" hidden="false" customHeight="false" outlineLevel="0" collapsed="false">
      <c r="A162" s="8" t="n">
        <v>158</v>
      </c>
      <c r="B162" s="13"/>
      <c r="C162" s="12"/>
      <c r="D162" s="13"/>
      <c r="E162" s="24"/>
      <c r="F162" s="14" t="str">
        <f aca="false">IF(OR($D162="",$B162=""),"",INT(($B162-$D162)/365.25))</f>
        <v/>
      </c>
      <c r="G162" s="25"/>
      <c r="H162" s="25"/>
      <c r="I162" s="12"/>
      <c r="J162" s="14" t="str">
        <f aca="false">IF(OR($C162="",$D162="",$B162="",$G162=""),"",IF(COUNTIFS($C$5:$C$804,$C162,$D$5:$D$804,$D162,$B$5:$B$804,$B162,$G$5:$G$804,$G162)&gt;1,"Takror",""))</f>
        <v/>
      </c>
    </row>
    <row r="163" customFormat="false" ht="15" hidden="false" customHeight="false" outlineLevel="0" collapsed="false">
      <c r="A163" s="8" t="n">
        <v>159</v>
      </c>
      <c r="B163" s="13"/>
      <c r="C163" s="12"/>
      <c r="D163" s="13"/>
      <c r="E163" s="24"/>
      <c r="F163" s="14" t="str">
        <f aca="false">IF(OR($D163="",$B163=""),"",INT(($B163-$D163)/365.25))</f>
        <v/>
      </c>
      <c r="G163" s="25"/>
      <c r="H163" s="25"/>
      <c r="I163" s="12"/>
      <c r="J163" s="14" t="str">
        <f aca="false">IF(OR($C163="",$D163="",$B163="",$G163=""),"",IF(COUNTIFS($C$5:$C$804,$C163,$D$5:$D$804,$D163,$B$5:$B$804,$B163,$G$5:$G$804,$G163)&gt;1,"Takror",""))</f>
        <v/>
      </c>
    </row>
    <row r="164" customFormat="false" ht="15" hidden="false" customHeight="false" outlineLevel="0" collapsed="false">
      <c r="A164" s="8" t="n">
        <v>160</v>
      </c>
      <c r="B164" s="13"/>
      <c r="C164" s="12"/>
      <c r="D164" s="13"/>
      <c r="E164" s="24"/>
      <c r="F164" s="14" t="str">
        <f aca="false">IF(OR($D164="",$B164=""),"",INT(($B164-$D164)/365.25))</f>
        <v/>
      </c>
      <c r="G164" s="25"/>
      <c r="H164" s="25"/>
      <c r="I164" s="12"/>
      <c r="J164" s="14" t="str">
        <f aca="false">IF(OR($C164="",$D164="",$B164="",$G164=""),"",IF(COUNTIFS($C$5:$C$804,$C164,$D$5:$D$804,$D164,$B$5:$B$804,$B164,$G$5:$G$804,$G164)&gt;1,"Takror",""))</f>
        <v/>
      </c>
    </row>
    <row r="165" customFormat="false" ht="15" hidden="false" customHeight="false" outlineLevel="0" collapsed="false">
      <c r="A165" s="8" t="n">
        <v>161</v>
      </c>
      <c r="B165" s="13"/>
      <c r="C165" s="12"/>
      <c r="D165" s="13"/>
      <c r="E165" s="24"/>
      <c r="F165" s="14" t="str">
        <f aca="false">IF(OR($D165="",$B165=""),"",INT(($B165-$D165)/365.25))</f>
        <v/>
      </c>
      <c r="G165" s="25"/>
      <c r="H165" s="25"/>
      <c r="I165" s="12"/>
      <c r="J165" s="14" t="str">
        <f aca="false">IF(OR($C165="",$D165="",$B165="",$G165=""),"",IF(COUNTIFS($C$5:$C$804,$C165,$D$5:$D$804,$D165,$B$5:$B$804,$B165,$G$5:$G$804,$G165)&gt;1,"Takror",""))</f>
        <v/>
      </c>
    </row>
    <row r="166" customFormat="false" ht="15" hidden="false" customHeight="false" outlineLevel="0" collapsed="false">
      <c r="A166" s="8" t="n">
        <v>162</v>
      </c>
      <c r="B166" s="13"/>
      <c r="C166" s="12"/>
      <c r="D166" s="13"/>
      <c r="E166" s="24"/>
      <c r="F166" s="14" t="str">
        <f aca="false">IF(OR($D166="",$B166=""),"",INT(($B166-$D166)/365.25))</f>
        <v/>
      </c>
      <c r="G166" s="25"/>
      <c r="H166" s="25"/>
      <c r="I166" s="12"/>
      <c r="J166" s="14" t="str">
        <f aca="false">IF(OR($C166="",$D166="",$B166="",$G166=""),"",IF(COUNTIFS($C$5:$C$804,$C166,$D$5:$D$804,$D166,$B$5:$B$804,$B166,$G$5:$G$804,$G166)&gt;1,"Takror",""))</f>
        <v/>
      </c>
    </row>
    <row r="167" customFormat="false" ht="15" hidden="false" customHeight="false" outlineLevel="0" collapsed="false">
      <c r="A167" s="8" t="n">
        <v>163</v>
      </c>
      <c r="B167" s="13"/>
      <c r="C167" s="12"/>
      <c r="D167" s="13"/>
      <c r="E167" s="24"/>
      <c r="F167" s="14" t="str">
        <f aca="false">IF(OR($D167="",$B167=""),"",INT(($B167-$D167)/365.25))</f>
        <v/>
      </c>
      <c r="G167" s="25"/>
      <c r="H167" s="25"/>
      <c r="I167" s="12"/>
      <c r="J167" s="14" t="str">
        <f aca="false">IF(OR($C167="",$D167="",$B167="",$G167=""),"",IF(COUNTIFS($C$5:$C$804,$C167,$D$5:$D$804,$D167,$B$5:$B$804,$B167,$G$5:$G$804,$G167)&gt;1,"Takror",""))</f>
        <v/>
      </c>
    </row>
    <row r="168" customFormat="false" ht="15" hidden="false" customHeight="false" outlineLevel="0" collapsed="false">
      <c r="A168" s="8" t="n">
        <v>164</v>
      </c>
      <c r="B168" s="13"/>
      <c r="C168" s="12"/>
      <c r="D168" s="13"/>
      <c r="E168" s="24"/>
      <c r="F168" s="14" t="str">
        <f aca="false">IF(OR($D168="",$B168=""),"",INT(($B168-$D168)/365.25))</f>
        <v/>
      </c>
      <c r="G168" s="25"/>
      <c r="H168" s="25"/>
      <c r="I168" s="12"/>
      <c r="J168" s="14" t="str">
        <f aca="false">IF(OR($C168="",$D168="",$B168="",$G168=""),"",IF(COUNTIFS($C$5:$C$804,$C168,$D$5:$D$804,$D168,$B$5:$B$804,$B168,$G$5:$G$804,$G168)&gt;1,"Takror",""))</f>
        <v/>
      </c>
    </row>
    <row r="169" customFormat="false" ht="15" hidden="false" customHeight="false" outlineLevel="0" collapsed="false">
      <c r="A169" s="8" t="n">
        <v>165</v>
      </c>
      <c r="B169" s="13"/>
      <c r="C169" s="12"/>
      <c r="D169" s="13"/>
      <c r="E169" s="24"/>
      <c r="F169" s="14" t="str">
        <f aca="false">IF(OR($D169="",$B169=""),"",INT(($B169-$D169)/365.25))</f>
        <v/>
      </c>
      <c r="G169" s="25"/>
      <c r="H169" s="25"/>
      <c r="I169" s="12"/>
      <c r="J169" s="14" t="str">
        <f aca="false">IF(OR($C169="",$D169="",$B169="",$G169=""),"",IF(COUNTIFS($C$5:$C$804,$C169,$D$5:$D$804,$D169,$B$5:$B$804,$B169,$G$5:$G$804,$G169)&gt;1,"Takror",""))</f>
        <v/>
      </c>
    </row>
    <row r="170" customFormat="false" ht="15" hidden="false" customHeight="false" outlineLevel="0" collapsed="false">
      <c r="A170" s="8" t="n">
        <v>166</v>
      </c>
      <c r="B170" s="13"/>
      <c r="C170" s="12"/>
      <c r="D170" s="13"/>
      <c r="E170" s="24"/>
      <c r="F170" s="14" t="str">
        <f aca="false">IF(OR($D170="",$B170=""),"",INT(($B170-$D170)/365.25))</f>
        <v/>
      </c>
      <c r="G170" s="25"/>
      <c r="H170" s="25"/>
      <c r="I170" s="12"/>
      <c r="J170" s="14" t="str">
        <f aca="false">IF(OR($C170="",$D170="",$B170="",$G170=""),"",IF(COUNTIFS($C$5:$C$804,$C170,$D$5:$D$804,$D170,$B$5:$B$804,$B170,$G$5:$G$804,$G170)&gt;1,"Takror",""))</f>
        <v/>
      </c>
    </row>
    <row r="171" customFormat="false" ht="15" hidden="false" customHeight="false" outlineLevel="0" collapsed="false">
      <c r="A171" s="8" t="n">
        <v>167</v>
      </c>
      <c r="B171" s="13"/>
      <c r="C171" s="12"/>
      <c r="D171" s="13"/>
      <c r="E171" s="24"/>
      <c r="F171" s="14" t="str">
        <f aca="false">IF(OR($D171="",$B171=""),"",INT(($B171-$D171)/365.25))</f>
        <v/>
      </c>
      <c r="G171" s="25"/>
      <c r="H171" s="25"/>
      <c r="I171" s="12"/>
      <c r="J171" s="14" t="str">
        <f aca="false">IF(OR($C171="",$D171="",$B171="",$G171=""),"",IF(COUNTIFS($C$5:$C$804,$C171,$D$5:$D$804,$D171,$B$5:$B$804,$B171,$G$5:$G$804,$G171)&gt;1,"Takror",""))</f>
        <v/>
      </c>
    </row>
    <row r="172" customFormat="false" ht="15" hidden="false" customHeight="false" outlineLevel="0" collapsed="false">
      <c r="A172" s="8" t="n">
        <v>168</v>
      </c>
      <c r="B172" s="13"/>
      <c r="C172" s="12"/>
      <c r="D172" s="13"/>
      <c r="E172" s="24"/>
      <c r="F172" s="14" t="str">
        <f aca="false">IF(OR($D172="",$B172=""),"",INT(($B172-$D172)/365.25))</f>
        <v/>
      </c>
      <c r="G172" s="25"/>
      <c r="H172" s="25"/>
      <c r="I172" s="12"/>
      <c r="J172" s="14" t="str">
        <f aca="false">IF(OR($C172="",$D172="",$B172="",$G172=""),"",IF(COUNTIFS($C$5:$C$804,$C172,$D$5:$D$804,$D172,$B$5:$B$804,$B172,$G$5:$G$804,$G172)&gt;1,"Takror",""))</f>
        <v/>
      </c>
    </row>
    <row r="173" customFormat="false" ht="15" hidden="false" customHeight="false" outlineLevel="0" collapsed="false">
      <c r="A173" s="8" t="n">
        <v>169</v>
      </c>
      <c r="B173" s="13"/>
      <c r="C173" s="12"/>
      <c r="D173" s="13"/>
      <c r="E173" s="24"/>
      <c r="F173" s="14" t="str">
        <f aca="false">IF(OR($D173="",$B173=""),"",INT(($B173-$D173)/365.25))</f>
        <v/>
      </c>
      <c r="G173" s="25"/>
      <c r="H173" s="25"/>
      <c r="I173" s="12"/>
      <c r="J173" s="14" t="str">
        <f aca="false">IF(OR($C173="",$D173="",$B173="",$G173=""),"",IF(COUNTIFS($C$5:$C$804,$C173,$D$5:$D$804,$D173,$B$5:$B$804,$B173,$G$5:$G$804,$G173)&gt;1,"Takror",""))</f>
        <v/>
      </c>
    </row>
    <row r="174" customFormat="false" ht="15" hidden="false" customHeight="false" outlineLevel="0" collapsed="false">
      <c r="A174" s="8" t="n">
        <v>170</v>
      </c>
      <c r="B174" s="13"/>
      <c r="C174" s="12"/>
      <c r="D174" s="13"/>
      <c r="E174" s="24"/>
      <c r="F174" s="14" t="str">
        <f aca="false">IF(OR($D174="",$B174=""),"",INT(($B174-$D174)/365.25))</f>
        <v/>
      </c>
      <c r="G174" s="25"/>
      <c r="H174" s="25"/>
      <c r="I174" s="12"/>
      <c r="J174" s="14" t="str">
        <f aca="false">IF(OR($C174="",$D174="",$B174="",$G174=""),"",IF(COUNTIFS($C$5:$C$804,$C174,$D$5:$D$804,$D174,$B$5:$B$804,$B174,$G$5:$G$804,$G174)&gt;1,"Takror",""))</f>
        <v/>
      </c>
    </row>
    <row r="175" customFormat="false" ht="15" hidden="false" customHeight="false" outlineLevel="0" collapsed="false">
      <c r="A175" s="8" t="n">
        <v>171</v>
      </c>
      <c r="B175" s="13"/>
      <c r="C175" s="12"/>
      <c r="D175" s="13"/>
      <c r="E175" s="24"/>
      <c r="F175" s="14" t="str">
        <f aca="false">IF(OR($D175="",$B175=""),"",INT(($B175-$D175)/365.25))</f>
        <v/>
      </c>
      <c r="G175" s="25"/>
      <c r="H175" s="25"/>
      <c r="I175" s="12"/>
      <c r="J175" s="14" t="str">
        <f aca="false">IF(OR($C175="",$D175="",$B175="",$G175=""),"",IF(COUNTIFS($C$5:$C$804,$C175,$D$5:$D$804,$D175,$B$5:$B$804,$B175,$G$5:$G$804,$G175)&gt;1,"Takror",""))</f>
        <v/>
      </c>
    </row>
    <row r="176" customFormat="false" ht="15" hidden="false" customHeight="false" outlineLevel="0" collapsed="false">
      <c r="A176" s="8" t="n">
        <v>172</v>
      </c>
      <c r="B176" s="13"/>
      <c r="C176" s="12"/>
      <c r="D176" s="13"/>
      <c r="E176" s="24"/>
      <c r="F176" s="14" t="str">
        <f aca="false">IF(OR($D176="",$B176=""),"",INT(($B176-$D176)/365.25))</f>
        <v/>
      </c>
      <c r="G176" s="25"/>
      <c r="H176" s="25"/>
      <c r="I176" s="12"/>
      <c r="J176" s="14" t="str">
        <f aca="false">IF(OR($C176="",$D176="",$B176="",$G176=""),"",IF(COUNTIFS($C$5:$C$804,$C176,$D$5:$D$804,$D176,$B$5:$B$804,$B176,$G$5:$G$804,$G176)&gt;1,"Takror",""))</f>
        <v/>
      </c>
    </row>
    <row r="177" customFormat="false" ht="15" hidden="false" customHeight="false" outlineLevel="0" collapsed="false">
      <c r="A177" s="8" t="n">
        <v>173</v>
      </c>
      <c r="B177" s="13"/>
      <c r="C177" s="12"/>
      <c r="D177" s="13"/>
      <c r="E177" s="24"/>
      <c r="F177" s="14" t="str">
        <f aca="false">IF(OR($D177="",$B177=""),"",INT(($B177-$D177)/365.25))</f>
        <v/>
      </c>
      <c r="G177" s="25"/>
      <c r="H177" s="25"/>
      <c r="I177" s="12"/>
      <c r="J177" s="14" t="str">
        <f aca="false">IF(OR($C177="",$D177="",$B177="",$G177=""),"",IF(COUNTIFS($C$5:$C$804,$C177,$D$5:$D$804,$D177,$B$5:$B$804,$B177,$G$5:$G$804,$G177)&gt;1,"Takror",""))</f>
        <v/>
      </c>
    </row>
    <row r="178" customFormat="false" ht="15" hidden="false" customHeight="false" outlineLevel="0" collapsed="false">
      <c r="A178" s="8" t="n">
        <v>174</v>
      </c>
      <c r="B178" s="13"/>
      <c r="C178" s="12"/>
      <c r="D178" s="13"/>
      <c r="E178" s="24"/>
      <c r="F178" s="14" t="str">
        <f aca="false">IF(OR($D178="",$B178=""),"",INT(($B178-$D178)/365.25))</f>
        <v/>
      </c>
      <c r="G178" s="25"/>
      <c r="H178" s="25"/>
      <c r="I178" s="12"/>
      <c r="J178" s="14" t="str">
        <f aca="false">IF(OR($C178="",$D178="",$B178="",$G178=""),"",IF(COUNTIFS($C$5:$C$804,$C178,$D$5:$D$804,$D178,$B$5:$B$804,$B178,$G$5:$G$804,$G178)&gt;1,"Takror",""))</f>
        <v/>
      </c>
    </row>
    <row r="179" customFormat="false" ht="15" hidden="false" customHeight="false" outlineLevel="0" collapsed="false">
      <c r="A179" s="8" t="n">
        <v>175</v>
      </c>
      <c r="B179" s="13"/>
      <c r="C179" s="12"/>
      <c r="D179" s="13"/>
      <c r="E179" s="24"/>
      <c r="F179" s="14" t="str">
        <f aca="false">IF(OR($D179="",$B179=""),"",INT(($B179-$D179)/365.25))</f>
        <v/>
      </c>
      <c r="G179" s="25"/>
      <c r="H179" s="25"/>
      <c r="I179" s="12"/>
      <c r="J179" s="14" t="str">
        <f aca="false">IF(OR($C179="",$D179="",$B179="",$G179=""),"",IF(COUNTIFS($C$5:$C$804,$C179,$D$5:$D$804,$D179,$B$5:$B$804,$B179,$G$5:$G$804,$G179)&gt;1,"Takror",""))</f>
        <v/>
      </c>
    </row>
    <row r="180" customFormat="false" ht="15" hidden="false" customHeight="false" outlineLevel="0" collapsed="false">
      <c r="A180" s="8" t="n">
        <v>176</v>
      </c>
      <c r="B180" s="13"/>
      <c r="C180" s="12"/>
      <c r="D180" s="13"/>
      <c r="E180" s="24"/>
      <c r="F180" s="14" t="str">
        <f aca="false">IF(OR($D180="",$B180=""),"",INT(($B180-$D180)/365.25))</f>
        <v/>
      </c>
      <c r="G180" s="25"/>
      <c r="H180" s="25"/>
      <c r="I180" s="12"/>
      <c r="J180" s="14" t="str">
        <f aca="false">IF(OR($C180="",$D180="",$B180="",$G180=""),"",IF(COUNTIFS($C$5:$C$804,$C180,$D$5:$D$804,$D180,$B$5:$B$804,$B180,$G$5:$G$804,$G180)&gt;1,"Takror",""))</f>
        <v/>
      </c>
    </row>
    <row r="181" customFormat="false" ht="15" hidden="false" customHeight="false" outlineLevel="0" collapsed="false">
      <c r="A181" s="8" t="n">
        <v>177</v>
      </c>
      <c r="B181" s="13"/>
      <c r="C181" s="12"/>
      <c r="D181" s="13"/>
      <c r="E181" s="24"/>
      <c r="F181" s="14" t="str">
        <f aca="false">IF(OR($D181="",$B181=""),"",INT(($B181-$D181)/365.25))</f>
        <v/>
      </c>
      <c r="G181" s="25"/>
      <c r="H181" s="25"/>
      <c r="I181" s="12"/>
      <c r="J181" s="14" t="str">
        <f aca="false">IF(OR($C181="",$D181="",$B181="",$G181=""),"",IF(COUNTIFS($C$5:$C$804,$C181,$D$5:$D$804,$D181,$B$5:$B$804,$B181,$G$5:$G$804,$G181)&gt;1,"Takror",""))</f>
        <v/>
      </c>
    </row>
    <row r="182" customFormat="false" ht="15" hidden="false" customHeight="false" outlineLevel="0" collapsed="false">
      <c r="A182" s="8" t="n">
        <v>178</v>
      </c>
      <c r="B182" s="13"/>
      <c r="C182" s="12"/>
      <c r="D182" s="13"/>
      <c r="E182" s="24"/>
      <c r="F182" s="14" t="str">
        <f aca="false">IF(OR($D182="",$B182=""),"",INT(($B182-$D182)/365.25))</f>
        <v/>
      </c>
      <c r="G182" s="25"/>
      <c r="H182" s="25"/>
      <c r="I182" s="12"/>
      <c r="J182" s="14" t="str">
        <f aca="false">IF(OR($C182="",$D182="",$B182="",$G182=""),"",IF(COUNTIFS($C$5:$C$804,$C182,$D$5:$D$804,$D182,$B$5:$B$804,$B182,$G$5:$G$804,$G182)&gt;1,"Takror",""))</f>
        <v/>
      </c>
    </row>
    <row r="183" customFormat="false" ht="15" hidden="false" customHeight="false" outlineLevel="0" collapsed="false">
      <c r="A183" s="8" t="n">
        <v>179</v>
      </c>
      <c r="B183" s="13"/>
      <c r="C183" s="12"/>
      <c r="D183" s="13"/>
      <c r="E183" s="24"/>
      <c r="F183" s="14" t="str">
        <f aca="false">IF(OR($D183="",$B183=""),"",INT(($B183-$D183)/365.25))</f>
        <v/>
      </c>
      <c r="G183" s="25"/>
      <c r="H183" s="25"/>
      <c r="I183" s="12"/>
      <c r="J183" s="14" t="str">
        <f aca="false">IF(OR($C183="",$D183="",$B183="",$G183=""),"",IF(COUNTIFS($C$5:$C$804,$C183,$D$5:$D$804,$D183,$B$5:$B$804,$B183,$G$5:$G$804,$G183)&gt;1,"Takror",""))</f>
        <v/>
      </c>
    </row>
    <row r="184" customFormat="false" ht="15" hidden="false" customHeight="false" outlineLevel="0" collapsed="false">
      <c r="A184" s="8" t="n">
        <v>180</v>
      </c>
      <c r="B184" s="13"/>
      <c r="C184" s="12"/>
      <c r="D184" s="13"/>
      <c r="E184" s="24"/>
      <c r="F184" s="14" t="str">
        <f aca="false">IF(OR($D184="",$B184=""),"",INT(($B184-$D184)/365.25))</f>
        <v/>
      </c>
      <c r="G184" s="25"/>
      <c r="H184" s="25"/>
      <c r="I184" s="12"/>
      <c r="J184" s="14" t="str">
        <f aca="false">IF(OR($C184="",$D184="",$B184="",$G184=""),"",IF(COUNTIFS($C$5:$C$804,$C184,$D$5:$D$804,$D184,$B$5:$B$804,$B184,$G$5:$G$804,$G184)&gt;1,"Takror",""))</f>
        <v/>
      </c>
    </row>
    <row r="185" customFormat="false" ht="15" hidden="false" customHeight="false" outlineLevel="0" collapsed="false">
      <c r="A185" s="8" t="n">
        <v>181</v>
      </c>
      <c r="B185" s="13"/>
      <c r="C185" s="12"/>
      <c r="D185" s="13"/>
      <c r="E185" s="24"/>
      <c r="F185" s="14" t="str">
        <f aca="false">IF(OR($D185="",$B185=""),"",INT(($B185-$D185)/365.25))</f>
        <v/>
      </c>
      <c r="G185" s="25"/>
      <c r="H185" s="25"/>
      <c r="I185" s="12"/>
      <c r="J185" s="14" t="str">
        <f aca="false">IF(OR($C185="",$D185="",$B185="",$G185=""),"",IF(COUNTIFS($C$5:$C$804,$C185,$D$5:$D$804,$D185,$B$5:$B$804,$B185,$G$5:$G$804,$G185)&gt;1,"Takror",""))</f>
        <v/>
      </c>
    </row>
    <row r="186" customFormat="false" ht="15" hidden="false" customHeight="false" outlineLevel="0" collapsed="false">
      <c r="A186" s="8" t="n">
        <v>182</v>
      </c>
      <c r="B186" s="13"/>
      <c r="C186" s="12"/>
      <c r="D186" s="13"/>
      <c r="E186" s="24"/>
      <c r="F186" s="14" t="str">
        <f aca="false">IF(OR($D186="",$B186=""),"",INT(($B186-$D186)/365.25))</f>
        <v/>
      </c>
      <c r="G186" s="25"/>
      <c r="H186" s="25"/>
      <c r="I186" s="12"/>
      <c r="J186" s="14" t="str">
        <f aca="false">IF(OR($C186="",$D186="",$B186="",$G186=""),"",IF(COUNTIFS($C$5:$C$804,$C186,$D$5:$D$804,$D186,$B$5:$B$804,$B186,$G$5:$G$804,$G186)&gt;1,"Takror",""))</f>
        <v/>
      </c>
    </row>
    <row r="187" customFormat="false" ht="15" hidden="false" customHeight="false" outlineLevel="0" collapsed="false">
      <c r="A187" s="8" t="n">
        <v>183</v>
      </c>
      <c r="B187" s="13"/>
      <c r="C187" s="12"/>
      <c r="D187" s="13"/>
      <c r="E187" s="24"/>
      <c r="F187" s="14" t="str">
        <f aca="false">IF(OR($D187="",$B187=""),"",INT(($B187-$D187)/365.25))</f>
        <v/>
      </c>
      <c r="G187" s="25"/>
      <c r="H187" s="25"/>
      <c r="I187" s="12"/>
      <c r="J187" s="14" t="str">
        <f aca="false">IF(OR($C187="",$D187="",$B187="",$G187=""),"",IF(COUNTIFS($C$5:$C$804,$C187,$D$5:$D$804,$D187,$B$5:$B$804,$B187,$G$5:$G$804,$G187)&gt;1,"Takror",""))</f>
        <v/>
      </c>
    </row>
    <row r="188" customFormat="false" ht="15" hidden="false" customHeight="false" outlineLevel="0" collapsed="false">
      <c r="A188" s="8" t="n">
        <v>184</v>
      </c>
      <c r="B188" s="13"/>
      <c r="C188" s="12"/>
      <c r="D188" s="13"/>
      <c r="E188" s="24"/>
      <c r="F188" s="14" t="str">
        <f aca="false">IF(OR($D188="",$B188=""),"",INT(($B188-$D188)/365.25))</f>
        <v/>
      </c>
      <c r="G188" s="25"/>
      <c r="H188" s="25"/>
      <c r="I188" s="12"/>
      <c r="J188" s="14" t="str">
        <f aca="false">IF(OR($C188="",$D188="",$B188="",$G188=""),"",IF(COUNTIFS($C$5:$C$804,$C188,$D$5:$D$804,$D188,$B$5:$B$804,$B188,$G$5:$G$804,$G188)&gt;1,"Takror",""))</f>
        <v/>
      </c>
    </row>
    <row r="189" customFormat="false" ht="15" hidden="false" customHeight="false" outlineLevel="0" collapsed="false">
      <c r="A189" s="8" t="n">
        <v>185</v>
      </c>
      <c r="B189" s="13"/>
      <c r="C189" s="12"/>
      <c r="D189" s="13"/>
      <c r="E189" s="24"/>
      <c r="F189" s="14" t="str">
        <f aca="false">IF(OR($D189="",$B189=""),"",INT(($B189-$D189)/365.25))</f>
        <v/>
      </c>
      <c r="G189" s="25"/>
      <c r="H189" s="25"/>
      <c r="I189" s="12"/>
      <c r="J189" s="14" t="str">
        <f aca="false">IF(OR($C189="",$D189="",$B189="",$G189=""),"",IF(COUNTIFS($C$5:$C$804,$C189,$D$5:$D$804,$D189,$B$5:$B$804,$B189,$G$5:$G$804,$G189)&gt;1,"Takror",""))</f>
        <v/>
      </c>
    </row>
    <row r="190" customFormat="false" ht="15" hidden="false" customHeight="false" outlineLevel="0" collapsed="false">
      <c r="A190" s="8" t="n">
        <v>186</v>
      </c>
      <c r="B190" s="13"/>
      <c r="C190" s="12"/>
      <c r="D190" s="13"/>
      <c r="E190" s="24"/>
      <c r="F190" s="14" t="str">
        <f aca="false">IF(OR($D190="",$B190=""),"",INT(($B190-$D190)/365.25))</f>
        <v/>
      </c>
      <c r="G190" s="25"/>
      <c r="H190" s="25"/>
      <c r="I190" s="12"/>
      <c r="J190" s="14" t="str">
        <f aca="false">IF(OR($C190="",$D190="",$B190="",$G190=""),"",IF(COUNTIFS($C$5:$C$804,$C190,$D$5:$D$804,$D190,$B$5:$B$804,$B190,$G$5:$G$804,$G190)&gt;1,"Takror",""))</f>
        <v/>
      </c>
    </row>
    <row r="191" customFormat="false" ht="15" hidden="false" customHeight="false" outlineLevel="0" collapsed="false">
      <c r="A191" s="8" t="n">
        <v>187</v>
      </c>
      <c r="B191" s="13"/>
      <c r="C191" s="12"/>
      <c r="D191" s="13"/>
      <c r="E191" s="24"/>
      <c r="F191" s="14" t="str">
        <f aca="false">IF(OR($D191="",$B191=""),"",INT(($B191-$D191)/365.25))</f>
        <v/>
      </c>
      <c r="G191" s="25"/>
      <c r="H191" s="25"/>
      <c r="I191" s="12"/>
      <c r="J191" s="14" t="str">
        <f aca="false">IF(OR($C191="",$D191="",$B191="",$G191=""),"",IF(COUNTIFS($C$5:$C$804,$C191,$D$5:$D$804,$D191,$B$5:$B$804,$B191,$G$5:$G$804,$G191)&gt;1,"Takror",""))</f>
        <v/>
      </c>
    </row>
    <row r="192" customFormat="false" ht="15" hidden="false" customHeight="false" outlineLevel="0" collapsed="false">
      <c r="A192" s="8" t="n">
        <v>188</v>
      </c>
      <c r="B192" s="13"/>
      <c r="C192" s="12"/>
      <c r="D192" s="13"/>
      <c r="E192" s="24"/>
      <c r="F192" s="14" t="str">
        <f aca="false">IF(OR($D192="",$B192=""),"",INT(($B192-$D192)/365.25))</f>
        <v/>
      </c>
      <c r="G192" s="25"/>
      <c r="H192" s="25"/>
      <c r="I192" s="12"/>
      <c r="J192" s="14" t="str">
        <f aca="false">IF(OR($C192="",$D192="",$B192="",$G192=""),"",IF(COUNTIFS($C$5:$C$804,$C192,$D$5:$D$804,$D192,$B$5:$B$804,$B192,$G$5:$G$804,$G192)&gt;1,"Takror",""))</f>
        <v/>
      </c>
    </row>
    <row r="193" customFormat="false" ht="15" hidden="false" customHeight="false" outlineLevel="0" collapsed="false">
      <c r="A193" s="8" t="n">
        <v>189</v>
      </c>
      <c r="B193" s="13"/>
      <c r="C193" s="12"/>
      <c r="D193" s="13"/>
      <c r="E193" s="24"/>
      <c r="F193" s="14" t="str">
        <f aca="false">IF(OR($D193="",$B193=""),"",INT(($B193-$D193)/365.25))</f>
        <v/>
      </c>
      <c r="G193" s="25"/>
      <c r="H193" s="25"/>
      <c r="I193" s="12"/>
      <c r="J193" s="14" t="str">
        <f aca="false">IF(OR($C193="",$D193="",$B193="",$G193=""),"",IF(COUNTIFS($C$5:$C$804,$C193,$D$5:$D$804,$D193,$B$5:$B$804,$B193,$G$5:$G$804,$G193)&gt;1,"Takror",""))</f>
        <v/>
      </c>
    </row>
    <row r="194" customFormat="false" ht="15" hidden="false" customHeight="false" outlineLevel="0" collapsed="false">
      <c r="A194" s="8" t="n">
        <v>190</v>
      </c>
      <c r="B194" s="13"/>
      <c r="C194" s="12"/>
      <c r="D194" s="13"/>
      <c r="E194" s="24"/>
      <c r="F194" s="14" t="str">
        <f aca="false">IF(OR($D194="",$B194=""),"",INT(($B194-$D194)/365.25))</f>
        <v/>
      </c>
      <c r="G194" s="25"/>
      <c r="H194" s="25"/>
      <c r="I194" s="12"/>
      <c r="J194" s="14" t="str">
        <f aca="false">IF(OR($C194="",$D194="",$B194="",$G194=""),"",IF(COUNTIFS($C$5:$C$804,$C194,$D$5:$D$804,$D194,$B$5:$B$804,$B194,$G$5:$G$804,$G194)&gt;1,"Takror",""))</f>
        <v/>
      </c>
    </row>
    <row r="195" customFormat="false" ht="15" hidden="false" customHeight="false" outlineLevel="0" collapsed="false">
      <c r="A195" s="8" t="n">
        <v>191</v>
      </c>
      <c r="B195" s="13"/>
      <c r="C195" s="12"/>
      <c r="D195" s="13"/>
      <c r="E195" s="24"/>
      <c r="F195" s="14" t="str">
        <f aca="false">IF(OR($D195="",$B195=""),"",INT(($B195-$D195)/365.25))</f>
        <v/>
      </c>
      <c r="G195" s="25"/>
      <c r="H195" s="25"/>
      <c r="I195" s="12"/>
      <c r="J195" s="14" t="str">
        <f aca="false">IF(OR($C195="",$D195="",$B195="",$G195=""),"",IF(COUNTIFS($C$5:$C$804,$C195,$D$5:$D$804,$D195,$B$5:$B$804,$B195,$G$5:$G$804,$G195)&gt;1,"Takror",""))</f>
        <v/>
      </c>
    </row>
    <row r="196" customFormat="false" ht="15" hidden="false" customHeight="false" outlineLevel="0" collapsed="false">
      <c r="A196" s="8" t="n">
        <v>192</v>
      </c>
      <c r="B196" s="13"/>
      <c r="C196" s="12"/>
      <c r="D196" s="13"/>
      <c r="E196" s="24"/>
      <c r="F196" s="14" t="str">
        <f aca="false">IF(OR($D196="",$B196=""),"",INT(($B196-$D196)/365.25))</f>
        <v/>
      </c>
      <c r="G196" s="25"/>
      <c r="H196" s="25"/>
      <c r="I196" s="12"/>
      <c r="J196" s="14" t="str">
        <f aca="false">IF(OR($C196="",$D196="",$B196="",$G196=""),"",IF(COUNTIFS($C$5:$C$804,$C196,$D$5:$D$804,$D196,$B$5:$B$804,$B196,$G$5:$G$804,$G196)&gt;1,"Takror",""))</f>
        <v/>
      </c>
    </row>
    <row r="197" customFormat="false" ht="15" hidden="false" customHeight="false" outlineLevel="0" collapsed="false">
      <c r="A197" s="8" t="n">
        <v>193</v>
      </c>
      <c r="B197" s="13"/>
      <c r="C197" s="12"/>
      <c r="D197" s="13"/>
      <c r="E197" s="24"/>
      <c r="F197" s="14" t="str">
        <f aca="false">IF(OR($D197="",$B197=""),"",INT(($B197-$D197)/365.25))</f>
        <v/>
      </c>
      <c r="G197" s="25"/>
      <c r="H197" s="25"/>
      <c r="I197" s="12"/>
      <c r="J197" s="14" t="str">
        <f aca="false">IF(OR($C197="",$D197="",$B197="",$G197=""),"",IF(COUNTIFS($C$5:$C$804,$C197,$D$5:$D$804,$D197,$B$5:$B$804,$B197,$G$5:$G$804,$G197)&gt;1,"Takror",""))</f>
        <v/>
      </c>
    </row>
    <row r="198" customFormat="false" ht="15" hidden="false" customHeight="false" outlineLevel="0" collapsed="false">
      <c r="A198" s="8" t="n">
        <v>194</v>
      </c>
      <c r="B198" s="13"/>
      <c r="C198" s="12"/>
      <c r="D198" s="13"/>
      <c r="E198" s="24"/>
      <c r="F198" s="14" t="str">
        <f aca="false">IF(OR($D198="",$B198=""),"",INT(($B198-$D198)/365.25))</f>
        <v/>
      </c>
      <c r="G198" s="25"/>
      <c r="H198" s="25"/>
      <c r="I198" s="12"/>
      <c r="J198" s="14" t="str">
        <f aca="false">IF(OR($C198="",$D198="",$B198="",$G198=""),"",IF(COUNTIFS($C$5:$C$804,$C198,$D$5:$D$804,$D198,$B$5:$B$804,$B198,$G$5:$G$804,$G198)&gt;1,"Takror",""))</f>
        <v/>
      </c>
    </row>
    <row r="199" customFormat="false" ht="15" hidden="false" customHeight="false" outlineLevel="0" collapsed="false">
      <c r="A199" s="8" t="n">
        <v>195</v>
      </c>
      <c r="B199" s="13"/>
      <c r="C199" s="12"/>
      <c r="D199" s="13"/>
      <c r="E199" s="24"/>
      <c r="F199" s="14" t="str">
        <f aca="false">IF(OR($D199="",$B199=""),"",INT(($B199-$D199)/365.25))</f>
        <v/>
      </c>
      <c r="G199" s="25"/>
      <c r="H199" s="25"/>
      <c r="I199" s="12"/>
      <c r="J199" s="14" t="str">
        <f aca="false">IF(OR($C199="",$D199="",$B199="",$G199=""),"",IF(COUNTIFS($C$5:$C$804,$C199,$D$5:$D$804,$D199,$B$5:$B$804,$B199,$G$5:$G$804,$G199)&gt;1,"Takror",""))</f>
        <v/>
      </c>
    </row>
    <row r="200" customFormat="false" ht="15" hidden="false" customHeight="false" outlineLevel="0" collapsed="false">
      <c r="A200" s="8" t="n">
        <v>196</v>
      </c>
      <c r="B200" s="13"/>
      <c r="C200" s="12"/>
      <c r="D200" s="13"/>
      <c r="E200" s="24"/>
      <c r="F200" s="14" t="str">
        <f aca="false">IF(OR($D200="",$B200=""),"",INT(($B200-$D200)/365.25))</f>
        <v/>
      </c>
      <c r="G200" s="25"/>
      <c r="H200" s="25"/>
      <c r="I200" s="12"/>
      <c r="J200" s="14" t="str">
        <f aca="false">IF(OR($C200="",$D200="",$B200="",$G200=""),"",IF(COUNTIFS($C$5:$C$804,$C200,$D$5:$D$804,$D200,$B$5:$B$804,$B200,$G$5:$G$804,$G200)&gt;1,"Takror",""))</f>
        <v/>
      </c>
    </row>
    <row r="201" customFormat="false" ht="15" hidden="false" customHeight="false" outlineLevel="0" collapsed="false">
      <c r="A201" s="8" t="n">
        <v>197</v>
      </c>
      <c r="B201" s="13"/>
      <c r="C201" s="12"/>
      <c r="D201" s="13"/>
      <c r="E201" s="24"/>
      <c r="F201" s="14" t="str">
        <f aca="false">IF(OR($D201="",$B201=""),"",INT(($B201-$D201)/365.25))</f>
        <v/>
      </c>
      <c r="G201" s="25"/>
      <c r="H201" s="25"/>
      <c r="I201" s="12"/>
      <c r="J201" s="14" t="str">
        <f aca="false">IF(OR($C201="",$D201="",$B201="",$G201=""),"",IF(COUNTIFS($C$5:$C$804,$C201,$D$5:$D$804,$D201,$B$5:$B$804,$B201,$G$5:$G$804,$G201)&gt;1,"Takror",""))</f>
        <v/>
      </c>
    </row>
    <row r="202" customFormat="false" ht="15" hidden="false" customHeight="false" outlineLevel="0" collapsed="false">
      <c r="A202" s="8" t="n">
        <v>198</v>
      </c>
      <c r="B202" s="13"/>
      <c r="C202" s="12"/>
      <c r="D202" s="13"/>
      <c r="E202" s="24"/>
      <c r="F202" s="14" t="str">
        <f aca="false">IF(OR($D202="",$B202=""),"",INT(($B202-$D202)/365.25))</f>
        <v/>
      </c>
      <c r="G202" s="25"/>
      <c r="H202" s="25"/>
      <c r="I202" s="12"/>
      <c r="J202" s="14" t="str">
        <f aca="false">IF(OR($C202="",$D202="",$B202="",$G202=""),"",IF(COUNTIFS($C$5:$C$804,$C202,$D$5:$D$804,$D202,$B$5:$B$804,$B202,$G$5:$G$804,$G202)&gt;1,"Takror",""))</f>
        <v/>
      </c>
    </row>
    <row r="203" customFormat="false" ht="15" hidden="false" customHeight="false" outlineLevel="0" collapsed="false">
      <c r="A203" s="8" t="n">
        <v>199</v>
      </c>
      <c r="B203" s="13"/>
      <c r="C203" s="12"/>
      <c r="D203" s="13"/>
      <c r="E203" s="24"/>
      <c r="F203" s="14" t="str">
        <f aca="false">IF(OR($D203="",$B203=""),"",INT(($B203-$D203)/365.25))</f>
        <v/>
      </c>
      <c r="G203" s="25"/>
      <c r="H203" s="25"/>
      <c r="I203" s="12"/>
      <c r="J203" s="14" t="str">
        <f aca="false">IF(OR($C203="",$D203="",$B203="",$G203=""),"",IF(COUNTIFS($C$5:$C$804,$C203,$D$5:$D$804,$D203,$B$5:$B$804,$B203,$G$5:$G$804,$G203)&gt;1,"Takror",""))</f>
        <v/>
      </c>
    </row>
    <row r="204" customFormat="false" ht="15" hidden="false" customHeight="false" outlineLevel="0" collapsed="false">
      <c r="A204" s="8" t="n">
        <v>200</v>
      </c>
      <c r="B204" s="13"/>
      <c r="C204" s="12"/>
      <c r="D204" s="13"/>
      <c r="E204" s="24"/>
      <c r="F204" s="14" t="str">
        <f aca="false">IF(OR($D204="",$B204=""),"",INT(($B204-$D204)/365.25))</f>
        <v/>
      </c>
      <c r="G204" s="25"/>
      <c r="H204" s="25"/>
      <c r="I204" s="12"/>
      <c r="J204" s="14" t="str">
        <f aca="false">IF(OR($C204="",$D204="",$B204="",$G204=""),"",IF(COUNTIFS($C$5:$C$804,$C204,$D$5:$D$804,$D204,$B$5:$B$804,$B204,$G$5:$G$804,$G204)&gt;1,"Takror",""))</f>
        <v/>
      </c>
    </row>
    <row r="205" customFormat="false" ht="15" hidden="false" customHeight="false" outlineLevel="0" collapsed="false">
      <c r="A205" s="8" t="n">
        <v>201</v>
      </c>
      <c r="B205" s="13"/>
      <c r="C205" s="12"/>
      <c r="D205" s="13"/>
      <c r="E205" s="24"/>
      <c r="F205" s="14" t="str">
        <f aca="false">IF(OR($D205="",$B205=""),"",INT(($B205-$D205)/365.25))</f>
        <v/>
      </c>
      <c r="G205" s="25"/>
      <c r="H205" s="25"/>
      <c r="I205" s="12"/>
      <c r="J205" s="14" t="str">
        <f aca="false">IF(OR($C205="",$D205="",$B205="",$G205=""),"",IF(COUNTIFS($C$5:$C$804,$C205,$D$5:$D$804,$D205,$B$5:$B$804,$B205,$G$5:$G$804,$G205)&gt;1,"Takror",""))</f>
        <v/>
      </c>
    </row>
    <row r="206" customFormat="false" ht="15" hidden="false" customHeight="false" outlineLevel="0" collapsed="false">
      <c r="A206" s="8" t="n">
        <v>202</v>
      </c>
      <c r="B206" s="13"/>
      <c r="C206" s="12"/>
      <c r="D206" s="13"/>
      <c r="E206" s="24"/>
      <c r="F206" s="14" t="str">
        <f aca="false">IF(OR($D206="",$B206=""),"",INT(($B206-$D206)/365.25))</f>
        <v/>
      </c>
      <c r="G206" s="25"/>
      <c r="H206" s="25"/>
      <c r="I206" s="12"/>
      <c r="J206" s="14" t="str">
        <f aca="false">IF(OR($C206="",$D206="",$B206="",$G206=""),"",IF(COUNTIFS($C$5:$C$804,$C206,$D$5:$D$804,$D206,$B$5:$B$804,$B206,$G$5:$G$804,$G206)&gt;1,"Takror",""))</f>
        <v/>
      </c>
    </row>
    <row r="207" customFormat="false" ht="15" hidden="false" customHeight="false" outlineLevel="0" collapsed="false">
      <c r="A207" s="8" t="n">
        <v>203</v>
      </c>
      <c r="B207" s="13"/>
      <c r="C207" s="12"/>
      <c r="D207" s="13"/>
      <c r="E207" s="24"/>
      <c r="F207" s="14" t="str">
        <f aca="false">IF(OR($D207="",$B207=""),"",INT(($B207-$D207)/365.25))</f>
        <v/>
      </c>
      <c r="G207" s="25"/>
      <c r="H207" s="25"/>
      <c r="I207" s="12"/>
      <c r="J207" s="14" t="str">
        <f aca="false">IF(OR($C207="",$D207="",$B207="",$G207=""),"",IF(COUNTIFS($C$5:$C$804,$C207,$D$5:$D$804,$D207,$B$5:$B$804,$B207,$G$5:$G$804,$G207)&gt;1,"Takror",""))</f>
        <v/>
      </c>
    </row>
    <row r="208" customFormat="false" ht="15" hidden="false" customHeight="false" outlineLevel="0" collapsed="false">
      <c r="A208" s="8" t="n">
        <v>204</v>
      </c>
      <c r="B208" s="13"/>
      <c r="C208" s="12"/>
      <c r="D208" s="13"/>
      <c r="E208" s="24"/>
      <c r="F208" s="14" t="str">
        <f aca="false">IF(OR($D208="",$B208=""),"",INT(($B208-$D208)/365.25))</f>
        <v/>
      </c>
      <c r="G208" s="25"/>
      <c r="H208" s="25"/>
      <c r="I208" s="12"/>
      <c r="J208" s="14" t="str">
        <f aca="false">IF(OR($C208="",$D208="",$B208="",$G208=""),"",IF(COUNTIFS($C$5:$C$804,$C208,$D$5:$D$804,$D208,$B$5:$B$804,$B208,$G$5:$G$804,$G208)&gt;1,"Takror",""))</f>
        <v/>
      </c>
    </row>
    <row r="209" customFormat="false" ht="15" hidden="false" customHeight="false" outlineLevel="0" collapsed="false">
      <c r="A209" s="8" t="n">
        <v>205</v>
      </c>
      <c r="B209" s="13"/>
      <c r="C209" s="12"/>
      <c r="D209" s="13"/>
      <c r="E209" s="24"/>
      <c r="F209" s="14" t="str">
        <f aca="false">IF(OR($D209="",$B209=""),"",INT(($B209-$D209)/365.25))</f>
        <v/>
      </c>
      <c r="G209" s="25"/>
      <c r="H209" s="25"/>
      <c r="I209" s="12"/>
      <c r="J209" s="14" t="str">
        <f aca="false">IF(OR($C209="",$D209="",$B209="",$G209=""),"",IF(COUNTIFS($C$5:$C$804,$C209,$D$5:$D$804,$D209,$B$5:$B$804,$B209,$G$5:$G$804,$G209)&gt;1,"Takror",""))</f>
        <v/>
      </c>
    </row>
    <row r="210" customFormat="false" ht="15" hidden="false" customHeight="false" outlineLevel="0" collapsed="false">
      <c r="A210" s="8" t="n">
        <v>206</v>
      </c>
      <c r="B210" s="13"/>
      <c r="C210" s="12"/>
      <c r="D210" s="13"/>
      <c r="E210" s="24"/>
      <c r="F210" s="14" t="str">
        <f aca="false">IF(OR($D210="",$B210=""),"",INT(($B210-$D210)/365.25))</f>
        <v/>
      </c>
      <c r="G210" s="25"/>
      <c r="H210" s="25"/>
      <c r="I210" s="12"/>
      <c r="J210" s="14" t="str">
        <f aca="false">IF(OR($C210="",$D210="",$B210="",$G210=""),"",IF(COUNTIFS($C$5:$C$804,$C210,$D$5:$D$804,$D210,$B$5:$B$804,$B210,$G$5:$G$804,$G210)&gt;1,"Takror",""))</f>
        <v/>
      </c>
    </row>
    <row r="211" customFormat="false" ht="15" hidden="false" customHeight="false" outlineLevel="0" collapsed="false">
      <c r="A211" s="8" t="n">
        <v>207</v>
      </c>
      <c r="B211" s="13"/>
      <c r="C211" s="12"/>
      <c r="D211" s="13"/>
      <c r="E211" s="24"/>
      <c r="F211" s="14" t="str">
        <f aca="false">IF(OR($D211="",$B211=""),"",INT(($B211-$D211)/365.25))</f>
        <v/>
      </c>
      <c r="G211" s="25"/>
      <c r="H211" s="25"/>
      <c r="I211" s="12"/>
      <c r="J211" s="14" t="str">
        <f aca="false">IF(OR($C211="",$D211="",$B211="",$G211=""),"",IF(COUNTIFS($C$5:$C$804,$C211,$D$5:$D$804,$D211,$B$5:$B$804,$B211,$G$5:$G$804,$G211)&gt;1,"Takror",""))</f>
        <v/>
      </c>
    </row>
    <row r="212" customFormat="false" ht="15" hidden="false" customHeight="false" outlineLevel="0" collapsed="false">
      <c r="A212" s="8" t="n">
        <v>208</v>
      </c>
      <c r="B212" s="13"/>
      <c r="C212" s="12"/>
      <c r="D212" s="13"/>
      <c r="E212" s="24"/>
      <c r="F212" s="14" t="str">
        <f aca="false">IF(OR($D212="",$B212=""),"",INT(($B212-$D212)/365.25))</f>
        <v/>
      </c>
      <c r="G212" s="25"/>
      <c r="H212" s="25"/>
      <c r="I212" s="12"/>
      <c r="J212" s="14" t="str">
        <f aca="false">IF(OR($C212="",$D212="",$B212="",$G212=""),"",IF(COUNTIFS($C$5:$C$804,$C212,$D$5:$D$804,$D212,$B$5:$B$804,$B212,$G$5:$G$804,$G212)&gt;1,"Takror",""))</f>
        <v/>
      </c>
    </row>
    <row r="213" customFormat="false" ht="15" hidden="false" customHeight="false" outlineLevel="0" collapsed="false">
      <c r="A213" s="8" t="n">
        <v>209</v>
      </c>
      <c r="B213" s="13"/>
      <c r="C213" s="12"/>
      <c r="D213" s="13"/>
      <c r="E213" s="24"/>
      <c r="F213" s="14" t="str">
        <f aca="false">IF(OR($D213="",$B213=""),"",INT(($B213-$D213)/365.25))</f>
        <v/>
      </c>
      <c r="G213" s="25"/>
      <c r="H213" s="25"/>
      <c r="I213" s="12"/>
      <c r="J213" s="14" t="str">
        <f aca="false">IF(OR($C213="",$D213="",$B213="",$G213=""),"",IF(COUNTIFS($C$5:$C$804,$C213,$D$5:$D$804,$D213,$B$5:$B$804,$B213,$G$5:$G$804,$G213)&gt;1,"Takror",""))</f>
        <v/>
      </c>
    </row>
    <row r="214" customFormat="false" ht="15" hidden="false" customHeight="false" outlineLevel="0" collapsed="false">
      <c r="A214" s="8" t="n">
        <v>210</v>
      </c>
      <c r="B214" s="13"/>
      <c r="C214" s="12"/>
      <c r="D214" s="13"/>
      <c r="E214" s="24"/>
      <c r="F214" s="14" t="str">
        <f aca="false">IF(OR($D214="",$B214=""),"",INT(($B214-$D214)/365.25))</f>
        <v/>
      </c>
      <c r="G214" s="25"/>
      <c r="H214" s="25"/>
      <c r="I214" s="12"/>
      <c r="J214" s="14" t="str">
        <f aca="false">IF(OR($C214="",$D214="",$B214="",$G214=""),"",IF(COUNTIFS($C$5:$C$804,$C214,$D$5:$D$804,$D214,$B$5:$B$804,$B214,$G$5:$G$804,$G214)&gt;1,"Takror",""))</f>
        <v/>
      </c>
    </row>
    <row r="215" customFormat="false" ht="15" hidden="false" customHeight="false" outlineLevel="0" collapsed="false">
      <c r="A215" s="8" t="n">
        <v>211</v>
      </c>
      <c r="B215" s="13"/>
      <c r="C215" s="12"/>
      <c r="D215" s="13"/>
      <c r="E215" s="24"/>
      <c r="F215" s="14" t="str">
        <f aca="false">IF(OR($D215="",$B215=""),"",INT(($B215-$D215)/365.25))</f>
        <v/>
      </c>
      <c r="G215" s="25"/>
      <c r="H215" s="25"/>
      <c r="I215" s="12"/>
      <c r="J215" s="14" t="str">
        <f aca="false">IF(OR($C215="",$D215="",$B215="",$G215=""),"",IF(COUNTIFS($C$5:$C$804,$C215,$D$5:$D$804,$D215,$B$5:$B$804,$B215,$G$5:$G$804,$G215)&gt;1,"Takror",""))</f>
        <v/>
      </c>
    </row>
    <row r="216" customFormat="false" ht="15" hidden="false" customHeight="false" outlineLevel="0" collapsed="false">
      <c r="A216" s="8" t="n">
        <v>212</v>
      </c>
      <c r="B216" s="13"/>
      <c r="C216" s="12"/>
      <c r="D216" s="13"/>
      <c r="E216" s="24"/>
      <c r="F216" s="14" t="str">
        <f aca="false">IF(OR($D216="",$B216=""),"",INT(($B216-$D216)/365.25))</f>
        <v/>
      </c>
      <c r="G216" s="25"/>
      <c r="H216" s="25"/>
      <c r="I216" s="12"/>
      <c r="J216" s="14" t="str">
        <f aca="false">IF(OR($C216="",$D216="",$B216="",$G216=""),"",IF(COUNTIFS($C$5:$C$804,$C216,$D$5:$D$804,$D216,$B$5:$B$804,$B216,$G$5:$G$804,$G216)&gt;1,"Takror",""))</f>
        <v/>
      </c>
    </row>
    <row r="217" customFormat="false" ht="15" hidden="false" customHeight="false" outlineLevel="0" collapsed="false">
      <c r="A217" s="8" t="n">
        <v>213</v>
      </c>
      <c r="B217" s="13"/>
      <c r="C217" s="12"/>
      <c r="D217" s="13"/>
      <c r="E217" s="24"/>
      <c r="F217" s="14" t="str">
        <f aca="false">IF(OR($D217="",$B217=""),"",INT(($B217-$D217)/365.25))</f>
        <v/>
      </c>
      <c r="G217" s="25"/>
      <c r="H217" s="25"/>
      <c r="I217" s="12"/>
      <c r="J217" s="14" t="str">
        <f aca="false">IF(OR($C217="",$D217="",$B217="",$G217=""),"",IF(COUNTIFS($C$5:$C$804,$C217,$D$5:$D$804,$D217,$B$5:$B$804,$B217,$G$5:$G$804,$G217)&gt;1,"Takror",""))</f>
        <v/>
      </c>
    </row>
    <row r="218" customFormat="false" ht="15" hidden="false" customHeight="false" outlineLevel="0" collapsed="false">
      <c r="A218" s="8" t="n">
        <v>214</v>
      </c>
      <c r="B218" s="13"/>
      <c r="C218" s="12"/>
      <c r="D218" s="13"/>
      <c r="E218" s="24"/>
      <c r="F218" s="14" t="str">
        <f aca="false">IF(OR($D218="",$B218=""),"",INT(($B218-$D218)/365.25))</f>
        <v/>
      </c>
      <c r="G218" s="25"/>
      <c r="H218" s="25"/>
      <c r="I218" s="12"/>
      <c r="J218" s="14" t="str">
        <f aca="false">IF(OR($C218="",$D218="",$B218="",$G218=""),"",IF(COUNTIFS($C$5:$C$804,$C218,$D$5:$D$804,$D218,$B$5:$B$804,$B218,$G$5:$G$804,$G218)&gt;1,"Takror",""))</f>
        <v/>
      </c>
    </row>
    <row r="219" customFormat="false" ht="15" hidden="false" customHeight="false" outlineLevel="0" collapsed="false">
      <c r="A219" s="8" t="n">
        <v>215</v>
      </c>
      <c r="B219" s="13"/>
      <c r="C219" s="12"/>
      <c r="D219" s="13"/>
      <c r="E219" s="24"/>
      <c r="F219" s="14" t="str">
        <f aca="false">IF(OR($D219="",$B219=""),"",INT(($B219-$D219)/365.25))</f>
        <v/>
      </c>
      <c r="G219" s="25"/>
      <c r="H219" s="25"/>
      <c r="I219" s="12"/>
      <c r="J219" s="14" t="str">
        <f aca="false">IF(OR($C219="",$D219="",$B219="",$G219=""),"",IF(COUNTIFS($C$5:$C$804,$C219,$D$5:$D$804,$D219,$B$5:$B$804,$B219,$G$5:$G$804,$G219)&gt;1,"Takror",""))</f>
        <v/>
      </c>
    </row>
    <row r="220" customFormat="false" ht="15" hidden="false" customHeight="false" outlineLevel="0" collapsed="false">
      <c r="A220" s="8" t="n">
        <v>216</v>
      </c>
      <c r="B220" s="13"/>
      <c r="C220" s="12"/>
      <c r="D220" s="13"/>
      <c r="E220" s="24"/>
      <c r="F220" s="14" t="str">
        <f aca="false">IF(OR($D220="",$B220=""),"",INT(($B220-$D220)/365.25))</f>
        <v/>
      </c>
      <c r="G220" s="25"/>
      <c r="H220" s="25"/>
      <c r="I220" s="12"/>
      <c r="J220" s="14" t="str">
        <f aca="false">IF(OR($C220="",$D220="",$B220="",$G220=""),"",IF(COUNTIFS($C$5:$C$804,$C220,$D$5:$D$804,$D220,$B$5:$B$804,$B220,$G$5:$G$804,$G220)&gt;1,"Takror",""))</f>
        <v/>
      </c>
    </row>
    <row r="221" customFormat="false" ht="15" hidden="false" customHeight="false" outlineLevel="0" collapsed="false">
      <c r="A221" s="8" t="n">
        <v>217</v>
      </c>
      <c r="B221" s="13"/>
      <c r="C221" s="12"/>
      <c r="D221" s="13"/>
      <c r="E221" s="24"/>
      <c r="F221" s="14" t="str">
        <f aca="false">IF(OR($D221="",$B221=""),"",INT(($B221-$D221)/365.25))</f>
        <v/>
      </c>
      <c r="G221" s="25"/>
      <c r="H221" s="25"/>
      <c r="I221" s="12"/>
      <c r="J221" s="14" t="str">
        <f aca="false">IF(OR($C221="",$D221="",$B221="",$G221=""),"",IF(COUNTIFS($C$5:$C$804,$C221,$D$5:$D$804,$D221,$B$5:$B$804,$B221,$G$5:$G$804,$G221)&gt;1,"Takror",""))</f>
        <v/>
      </c>
    </row>
    <row r="222" customFormat="false" ht="15" hidden="false" customHeight="false" outlineLevel="0" collapsed="false">
      <c r="A222" s="8" t="n">
        <v>218</v>
      </c>
      <c r="B222" s="13"/>
      <c r="C222" s="12"/>
      <c r="D222" s="13"/>
      <c r="E222" s="24"/>
      <c r="F222" s="14" t="str">
        <f aca="false">IF(OR($D222="",$B222=""),"",INT(($B222-$D222)/365.25))</f>
        <v/>
      </c>
      <c r="G222" s="25"/>
      <c r="H222" s="25"/>
      <c r="I222" s="12"/>
      <c r="J222" s="14" t="str">
        <f aca="false">IF(OR($C222="",$D222="",$B222="",$G222=""),"",IF(COUNTIFS($C$5:$C$804,$C222,$D$5:$D$804,$D222,$B$5:$B$804,$B222,$G$5:$G$804,$G222)&gt;1,"Takror",""))</f>
        <v/>
      </c>
    </row>
    <row r="223" customFormat="false" ht="15" hidden="false" customHeight="false" outlineLevel="0" collapsed="false">
      <c r="A223" s="8" t="n">
        <v>219</v>
      </c>
      <c r="B223" s="13"/>
      <c r="C223" s="12"/>
      <c r="D223" s="13"/>
      <c r="E223" s="24"/>
      <c r="F223" s="14" t="str">
        <f aca="false">IF(OR($D223="",$B223=""),"",INT(($B223-$D223)/365.25))</f>
        <v/>
      </c>
      <c r="G223" s="25"/>
      <c r="H223" s="25"/>
      <c r="I223" s="12"/>
      <c r="J223" s="14" t="str">
        <f aca="false">IF(OR($C223="",$D223="",$B223="",$G223=""),"",IF(COUNTIFS($C$5:$C$804,$C223,$D$5:$D$804,$D223,$B$5:$B$804,$B223,$G$5:$G$804,$G223)&gt;1,"Takror",""))</f>
        <v/>
      </c>
    </row>
    <row r="224" customFormat="false" ht="15" hidden="false" customHeight="false" outlineLevel="0" collapsed="false">
      <c r="A224" s="8" t="n">
        <v>220</v>
      </c>
      <c r="B224" s="13"/>
      <c r="C224" s="12"/>
      <c r="D224" s="13"/>
      <c r="E224" s="24"/>
      <c r="F224" s="14" t="str">
        <f aca="false">IF(OR($D224="",$B224=""),"",INT(($B224-$D224)/365.25))</f>
        <v/>
      </c>
      <c r="G224" s="25"/>
      <c r="H224" s="25"/>
      <c r="I224" s="12"/>
      <c r="J224" s="14" t="str">
        <f aca="false">IF(OR($C224="",$D224="",$B224="",$G224=""),"",IF(COUNTIFS($C$5:$C$804,$C224,$D$5:$D$804,$D224,$B$5:$B$804,$B224,$G$5:$G$804,$G224)&gt;1,"Takror",""))</f>
        <v/>
      </c>
    </row>
    <row r="225" customFormat="false" ht="15" hidden="false" customHeight="false" outlineLevel="0" collapsed="false">
      <c r="A225" s="8" t="n">
        <v>221</v>
      </c>
      <c r="B225" s="13"/>
      <c r="C225" s="12"/>
      <c r="D225" s="13"/>
      <c r="E225" s="24"/>
      <c r="F225" s="14" t="str">
        <f aca="false">IF(OR($D225="",$B225=""),"",INT(($B225-$D225)/365.25))</f>
        <v/>
      </c>
      <c r="G225" s="25"/>
      <c r="H225" s="25"/>
      <c r="I225" s="12"/>
      <c r="J225" s="14" t="str">
        <f aca="false">IF(OR($C225="",$D225="",$B225="",$G225=""),"",IF(COUNTIFS($C$5:$C$804,$C225,$D$5:$D$804,$D225,$B$5:$B$804,$B225,$G$5:$G$804,$G225)&gt;1,"Takror",""))</f>
        <v/>
      </c>
    </row>
    <row r="226" customFormat="false" ht="15" hidden="false" customHeight="false" outlineLevel="0" collapsed="false">
      <c r="A226" s="8" t="n">
        <v>222</v>
      </c>
      <c r="B226" s="13"/>
      <c r="C226" s="12"/>
      <c r="D226" s="13"/>
      <c r="E226" s="24"/>
      <c r="F226" s="14" t="str">
        <f aca="false">IF(OR($D226="",$B226=""),"",INT(($B226-$D226)/365.25))</f>
        <v/>
      </c>
      <c r="G226" s="25"/>
      <c r="H226" s="25"/>
      <c r="I226" s="12"/>
      <c r="J226" s="14" t="str">
        <f aca="false">IF(OR($C226="",$D226="",$B226="",$G226=""),"",IF(COUNTIFS($C$5:$C$804,$C226,$D$5:$D$804,$D226,$B$5:$B$804,$B226,$G$5:$G$804,$G226)&gt;1,"Takror",""))</f>
        <v/>
      </c>
    </row>
    <row r="227" customFormat="false" ht="15" hidden="false" customHeight="false" outlineLevel="0" collapsed="false">
      <c r="A227" s="8" t="n">
        <v>223</v>
      </c>
      <c r="B227" s="13"/>
      <c r="C227" s="12"/>
      <c r="D227" s="13"/>
      <c r="E227" s="24"/>
      <c r="F227" s="14" t="str">
        <f aca="false">IF(OR($D227="",$B227=""),"",INT(($B227-$D227)/365.25))</f>
        <v/>
      </c>
      <c r="G227" s="25"/>
      <c r="H227" s="25"/>
      <c r="I227" s="12"/>
      <c r="J227" s="14" t="str">
        <f aca="false">IF(OR($C227="",$D227="",$B227="",$G227=""),"",IF(COUNTIFS($C$5:$C$804,$C227,$D$5:$D$804,$D227,$B$5:$B$804,$B227,$G$5:$G$804,$G227)&gt;1,"Takror",""))</f>
        <v/>
      </c>
    </row>
    <row r="228" customFormat="false" ht="15" hidden="false" customHeight="false" outlineLevel="0" collapsed="false">
      <c r="A228" s="8" t="n">
        <v>224</v>
      </c>
      <c r="B228" s="13"/>
      <c r="C228" s="12"/>
      <c r="D228" s="13"/>
      <c r="E228" s="24"/>
      <c r="F228" s="14" t="str">
        <f aca="false">IF(OR($D228="",$B228=""),"",INT(($B228-$D228)/365.25))</f>
        <v/>
      </c>
      <c r="G228" s="25"/>
      <c r="H228" s="25"/>
      <c r="I228" s="12"/>
      <c r="J228" s="14" t="str">
        <f aca="false">IF(OR($C228="",$D228="",$B228="",$G228=""),"",IF(COUNTIFS($C$5:$C$804,$C228,$D$5:$D$804,$D228,$B$5:$B$804,$B228,$G$5:$G$804,$G228)&gt;1,"Takror",""))</f>
        <v/>
      </c>
    </row>
    <row r="229" customFormat="false" ht="15" hidden="false" customHeight="false" outlineLevel="0" collapsed="false">
      <c r="A229" s="8" t="n">
        <v>225</v>
      </c>
      <c r="B229" s="13"/>
      <c r="C229" s="12"/>
      <c r="D229" s="13"/>
      <c r="E229" s="24"/>
      <c r="F229" s="14" t="str">
        <f aca="false">IF(OR($D229="",$B229=""),"",INT(($B229-$D229)/365.25))</f>
        <v/>
      </c>
      <c r="G229" s="25"/>
      <c r="H229" s="25"/>
      <c r="I229" s="12"/>
      <c r="J229" s="14" t="str">
        <f aca="false">IF(OR($C229="",$D229="",$B229="",$G229=""),"",IF(COUNTIFS($C$5:$C$804,$C229,$D$5:$D$804,$D229,$B$5:$B$804,$B229,$G$5:$G$804,$G229)&gt;1,"Takror",""))</f>
        <v/>
      </c>
    </row>
    <row r="230" customFormat="false" ht="15" hidden="false" customHeight="false" outlineLevel="0" collapsed="false">
      <c r="A230" s="8" t="n">
        <v>226</v>
      </c>
      <c r="B230" s="13"/>
      <c r="C230" s="12"/>
      <c r="D230" s="13"/>
      <c r="E230" s="24"/>
      <c r="F230" s="14" t="str">
        <f aca="false">IF(OR($D230="",$B230=""),"",INT(($B230-$D230)/365.25))</f>
        <v/>
      </c>
      <c r="G230" s="25"/>
      <c r="H230" s="25"/>
      <c r="I230" s="12"/>
      <c r="J230" s="14" t="str">
        <f aca="false">IF(OR($C230="",$D230="",$B230="",$G230=""),"",IF(COUNTIFS($C$5:$C$804,$C230,$D$5:$D$804,$D230,$B$5:$B$804,$B230,$G$5:$G$804,$G230)&gt;1,"Takror",""))</f>
        <v/>
      </c>
    </row>
    <row r="231" customFormat="false" ht="15" hidden="false" customHeight="false" outlineLevel="0" collapsed="false">
      <c r="A231" s="8" t="n">
        <v>227</v>
      </c>
      <c r="B231" s="13"/>
      <c r="C231" s="12"/>
      <c r="D231" s="13"/>
      <c r="E231" s="24"/>
      <c r="F231" s="14" t="str">
        <f aca="false">IF(OR($D231="",$B231=""),"",INT(($B231-$D231)/365.25))</f>
        <v/>
      </c>
      <c r="G231" s="25"/>
      <c r="H231" s="25"/>
      <c r="I231" s="12"/>
      <c r="J231" s="14" t="str">
        <f aca="false">IF(OR($C231="",$D231="",$B231="",$G231=""),"",IF(COUNTIFS($C$5:$C$804,$C231,$D$5:$D$804,$D231,$B$5:$B$804,$B231,$G$5:$G$804,$G231)&gt;1,"Takror",""))</f>
        <v/>
      </c>
    </row>
    <row r="232" customFormat="false" ht="15" hidden="false" customHeight="false" outlineLevel="0" collapsed="false">
      <c r="A232" s="8" t="n">
        <v>228</v>
      </c>
      <c r="B232" s="13"/>
      <c r="C232" s="12"/>
      <c r="D232" s="13"/>
      <c r="E232" s="24"/>
      <c r="F232" s="14" t="str">
        <f aca="false">IF(OR($D232="",$B232=""),"",INT(($B232-$D232)/365.25))</f>
        <v/>
      </c>
      <c r="G232" s="25"/>
      <c r="H232" s="25"/>
      <c r="I232" s="12"/>
      <c r="J232" s="14" t="str">
        <f aca="false">IF(OR($C232="",$D232="",$B232="",$G232=""),"",IF(COUNTIFS($C$5:$C$804,$C232,$D$5:$D$804,$D232,$B$5:$B$804,$B232,$G$5:$G$804,$G232)&gt;1,"Takror",""))</f>
        <v/>
      </c>
    </row>
    <row r="233" customFormat="false" ht="15" hidden="false" customHeight="false" outlineLevel="0" collapsed="false">
      <c r="A233" s="8" t="n">
        <v>229</v>
      </c>
      <c r="B233" s="13"/>
      <c r="C233" s="12"/>
      <c r="D233" s="13"/>
      <c r="E233" s="24"/>
      <c r="F233" s="14" t="str">
        <f aca="false">IF(OR($D233="",$B233=""),"",INT(($B233-$D233)/365.25))</f>
        <v/>
      </c>
      <c r="G233" s="25"/>
      <c r="H233" s="25"/>
      <c r="I233" s="12"/>
      <c r="J233" s="14" t="str">
        <f aca="false">IF(OR($C233="",$D233="",$B233="",$G233=""),"",IF(COUNTIFS($C$5:$C$804,$C233,$D$5:$D$804,$D233,$B$5:$B$804,$B233,$G$5:$G$804,$G233)&gt;1,"Takror",""))</f>
        <v/>
      </c>
    </row>
    <row r="234" customFormat="false" ht="15" hidden="false" customHeight="false" outlineLevel="0" collapsed="false">
      <c r="A234" s="8" t="n">
        <v>230</v>
      </c>
      <c r="B234" s="13"/>
      <c r="C234" s="12"/>
      <c r="D234" s="13"/>
      <c r="E234" s="24"/>
      <c r="F234" s="14" t="str">
        <f aca="false">IF(OR($D234="",$B234=""),"",INT(($B234-$D234)/365.25))</f>
        <v/>
      </c>
      <c r="G234" s="25"/>
      <c r="H234" s="25"/>
      <c r="I234" s="12"/>
      <c r="J234" s="14" t="str">
        <f aca="false">IF(OR($C234="",$D234="",$B234="",$G234=""),"",IF(COUNTIFS($C$5:$C$804,$C234,$D$5:$D$804,$D234,$B$5:$B$804,$B234,$G$5:$G$804,$G234)&gt;1,"Takror",""))</f>
        <v/>
      </c>
    </row>
    <row r="235" customFormat="false" ht="15" hidden="false" customHeight="false" outlineLevel="0" collapsed="false">
      <c r="A235" s="8" t="n">
        <v>231</v>
      </c>
      <c r="B235" s="13"/>
      <c r="C235" s="12"/>
      <c r="D235" s="13"/>
      <c r="E235" s="24"/>
      <c r="F235" s="14" t="str">
        <f aca="false">IF(OR($D235="",$B235=""),"",INT(($B235-$D235)/365.25))</f>
        <v/>
      </c>
      <c r="G235" s="25"/>
      <c r="H235" s="25"/>
      <c r="I235" s="12"/>
      <c r="J235" s="14" t="str">
        <f aca="false">IF(OR($C235="",$D235="",$B235="",$G235=""),"",IF(COUNTIFS($C$5:$C$804,$C235,$D$5:$D$804,$D235,$B$5:$B$804,$B235,$G$5:$G$804,$G235)&gt;1,"Takror",""))</f>
        <v/>
      </c>
    </row>
    <row r="236" customFormat="false" ht="15" hidden="false" customHeight="false" outlineLevel="0" collapsed="false">
      <c r="A236" s="8" t="n">
        <v>232</v>
      </c>
      <c r="B236" s="13"/>
      <c r="C236" s="12"/>
      <c r="D236" s="13"/>
      <c r="E236" s="24"/>
      <c r="F236" s="14" t="str">
        <f aca="false">IF(OR($D236="",$B236=""),"",INT(($B236-$D236)/365.25))</f>
        <v/>
      </c>
      <c r="G236" s="25"/>
      <c r="H236" s="25"/>
      <c r="I236" s="12"/>
      <c r="J236" s="14" t="str">
        <f aca="false">IF(OR($C236="",$D236="",$B236="",$G236=""),"",IF(COUNTIFS($C$5:$C$804,$C236,$D$5:$D$804,$D236,$B$5:$B$804,$B236,$G$5:$G$804,$G236)&gt;1,"Takror",""))</f>
        <v/>
      </c>
    </row>
    <row r="237" customFormat="false" ht="15" hidden="false" customHeight="false" outlineLevel="0" collapsed="false">
      <c r="A237" s="8" t="n">
        <v>233</v>
      </c>
      <c r="B237" s="13"/>
      <c r="C237" s="12"/>
      <c r="D237" s="13"/>
      <c r="E237" s="24"/>
      <c r="F237" s="14" t="str">
        <f aca="false">IF(OR($D237="",$B237=""),"",INT(($B237-$D237)/365.25))</f>
        <v/>
      </c>
      <c r="G237" s="25"/>
      <c r="H237" s="25"/>
      <c r="I237" s="12"/>
      <c r="J237" s="14" t="str">
        <f aca="false">IF(OR($C237="",$D237="",$B237="",$G237=""),"",IF(COUNTIFS($C$5:$C$804,$C237,$D$5:$D$804,$D237,$B$5:$B$804,$B237,$G$5:$G$804,$G237)&gt;1,"Takror",""))</f>
        <v/>
      </c>
    </row>
    <row r="238" customFormat="false" ht="15" hidden="false" customHeight="false" outlineLevel="0" collapsed="false">
      <c r="A238" s="8" t="n">
        <v>234</v>
      </c>
      <c r="B238" s="13"/>
      <c r="C238" s="12"/>
      <c r="D238" s="13"/>
      <c r="E238" s="24"/>
      <c r="F238" s="14" t="str">
        <f aca="false">IF(OR($D238="",$B238=""),"",INT(($B238-$D238)/365.25))</f>
        <v/>
      </c>
      <c r="G238" s="25"/>
      <c r="H238" s="25"/>
      <c r="I238" s="12"/>
      <c r="J238" s="14" t="str">
        <f aca="false">IF(OR($C238="",$D238="",$B238="",$G238=""),"",IF(COUNTIFS($C$5:$C$804,$C238,$D$5:$D$804,$D238,$B$5:$B$804,$B238,$G$5:$G$804,$G238)&gt;1,"Takror",""))</f>
        <v/>
      </c>
    </row>
    <row r="239" customFormat="false" ht="15" hidden="false" customHeight="false" outlineLevel="0" collapsed="false">
      <c r="A239" s="8" t="n">
        <v>235</v>
      </c>
      <c r="B239" s="13"/>
      <c r="C239" s="12"/>
      <c r="D239" s="13"/>
      <c r="E239" s="24"/>
      <c r="F239" s="14" t="str">
        <f aca="false">IF(OR($D239="",$B239=""),"",INT(($B239-$D239)/365.25))</f>
        <v/>
      </c>
      <c r="G239" s="25"/>
      <c r="H239" s="25"/>
      <c r="I239" s="12"/>
      <c r="J239" s="14" t="str">
        <f aca="false">IF(OR($C239="",$D239="",$B239="",$G239=""),"",IF(COUNTIFS($C$5:$C$804,$C239,$D$5:$D$804,$D239,$B$5:$B$804,$B239,$G$5:$G$804,$G239)&gt;1,"Takror",""))</f>
        <v/>
      </c>
    </row>
    <row r="240" customFormat="false" ht="15" hidden="false" customHeight="false" outlineLevel="0" collapsed="false">
      <c r="A240" s="8" t="n">
        <v>236</v>
      </c>
      <c r="B240" s="13"/>
      <c r="C240" s="12"/>
      <c r="D240" s="13"/>
      <c r="E240" s="24"/>
      <c r="F240" s="14" t="str">
        <f aca="false">IF(OR($D240="",$B240=""),"",INT(($B240-$D240)/365.25))</f>
        <v/>
      </c>
      <c r="G240" s="25"/>
      <c r="H240" s="25"/>
      <c r="I240" s="12"/>
      <c r="J240" s="14" t="str">
        <f aca="false">IF(OR($C240="",$D240="",$B240="",$G240=""),"",IF(COUNTIFS($C$5:$C$804,$C240,$D$5:$D$804,$D240,$B$5:$B$804,$B240,$G$5:$G$804,$G240)&gt;1,"Takror",""))</f>
        <v/>
      </c>
    </row>
    <row r="241" customFormat="false" ht="15" hidden="false" customHeight="false" outlineLevel="0" collapsed="false">
      <c r="A241" s="8" t="n">
        <v>237</v>
      </c>
      <c r="B241" s="13"/>
      <c r="C241" s="12"/>
      <c r="D241" s="13"/>
      <c r="E241" s="24"/>
      <c r="F241" s="14" t="str">
        <f aca="false">IF(OR($D241="",$B241=""),"",INT(($B241-$D241)/365.25))</f>
        <v/>
      </c>
      <c r="G241" s="25"/>
      <c r="H241" s="25"/>
      <c r="I241" s="12"/>
      <c r="J241" s="14" t="str">
        <f aca="false">IF(OR($C241="",$D241="",$B241="",$G241=""),"",IF(COUNTIFS($C$5:$C$804,$C241,$D$5:$D$804,$D241,$B$5:$B$804,$B241,$G$5:$G$804,$G241)&gt;1,"Takror",""))</f>
        <v/>
      </c>
    </row>
    <row r="242" customFormat="false" ht="15" hidden="false" customHeight="false" outlineLevel="0" collapsed="false">
      <c r="A242" s="8" t="n">
        <v>238</v>
      </c>
      <c r="B242" s="13"/>
      <c r="C242" s="12"/>
      <c r="D242" s="13"/>
      <c r="E242" s="24"/>
      <c r="F242" s="14" t="str">
        <f aca="false">IF(OR($D242="",$B242=""),"",INT(($B242-$D242)/365.25))</f>
        <v/>
      </c>
      <c r="G242" s="25"/>
      <c r="H242" s="25"/>
      <c r="I242" s="12"/>
      <c r="J242" s="14" t="str">
        <f aca="false">IF(OR($C242="",$D242="",$B242="",$G242=""),"",IF(COUNTIFS($C$5:$C$804,$C242,$D$5:$D$804,$D242,$B$5:$B$804,$B242,$G$5:$G$804,$G242)&gt;1,"Takror",""))</f>
        <v/>
      </c>
    </row>
    <row r="243" customFormat="false" ht="15" hidden="false" customHeight="false" outlineLevel="0" collapsed="false">
      <c r="A243" s="8" t="n">
        <v>239</v>
      </c>
      <c r="B243" s="13"/>
      <c r="C243" s="12"/>
      <c r="D243" s="13"/>
      <c r="E243" s="24"/>
      <c r="F243" s="14" t="str">
        <f aca="false">IF(OR($D243="",$B243=""),"",INT(($B243-$D243)/365.25))</f>
        <v/>
      </c>
      <c r="G243" s="25"/>
      <c r="H243" s="25"/>
      <c r="I243" s="12"/>
      <c r="J243" s="14" t="str">
        <f aca="false">IF(OR($C243="",$D243="",$B243="",$G243=""),"",IF(COUNTIFS($C$5:$C$804,$C243,$D$5:$D$804,$D243,$B$5:$B$804,$B243,$G$5:$G$804,$G243)&gt;1,"Takror",""))</f>
        <v/>
      </c>
    </row>
    <row r="244" customFormat="false" ht="15" hidden="false" customHeight="false" outlineLevel="0" collapsed="false">
      <c r="A244" s="8" t="n">
        <v>240</v>
      </c>
      <c r="B244" s="13"/>
      <c r="C244" s="12"/>
      <c r="D244" s="13"/>
      <c r="E244" s="24"/>
      <c r="F244" s="14" t="str">
        <f aca="false">IF(OR($D244="",$B244=""),"",INT(($B244-$D244)/365.25))</f>
        <v/>
      </c>
      <c r="G244" s="25"/>
      <c r="H244" s="25"/>
      <c r="I244" s="12"/>
      <c r="J244" s="14" t="str">
        <f aca="false">IF(OR($C244="",$D244="",$B244="",$G244=""),"",IF(COUNTIFS($C$5:$C$804,$C244,$D$5:$D$804,$D244,$B$5:$B$804,$B244,$G$5:$G$804,$G244)&gt;1,"Takror",""))</f>
        <v/>
      </c>
    </row>
    <row r="245" customFormat="false" ht="15" hidden="false" customHeight="false" outlineLevel="0" collapsed="false">
      <c r="A245" s="8" t="n">
        <v>241</v>
      </c>
      <c r="B245" s="13"/>
      <c r="C245" s="12"/>
      <c r="D245" s="13"/>
      <c r="E245" s="24"/>
      <c r="F245" s="14" t="str">
        <f aca="false">IF(OR($D245="",$B245=""),"",INT(($B245-$D245)/365.25))</f>
        <v/>
      </c>
      <c r="G245" s="25"/>
      <c r="H245" s="25"/>
      <c r="I245" s="12"/>
      <c r="J245" s="14" t="str">
        <f aca="false">IF(OR($C245="",$D245="",$B245="",$G245=""),"",IF(COUNTIFS($C$5:$C$804,$C245,$D$5:$D$804,$D245,$B$5:$B$804,$B245,$G$5:$G$804,$G245)&gt;1,"Takror",""))</f>
        <v/>
      </c>
    </row>
    <row r="246" customFormat="false" ht="15" hidden="false" customHeight="false" outlineLevel="0" collapsed="false">
      <c r="A246" s="8" t="n">
        <v>242</v>
      </c>
      <c r="B246" s="13"/>
      <c r="C246" s="12"/>
      <c r="D246" s="13"/>
      <c r="E246" s="24"/>
      <c r="F246" s="14" t="str">
        <f aca="false">IF(OR($D246="",$B246=""),"",INT(($B246-$D246)/365.25))</f>
        <v/>
      </c>
      <c r="G246" s="25"/>
      <c r="H246" s="25"/>
      <c r="I246" s="12"/>
      <c r="J246" s="14" t="str">
        <f aca="false">IF(OR($C246="",$D246="",$B246="",$G246=""),"",IF(COUNTIFS($C$5:$C$804,$C246,$D$5:$D$804,$D246,$B$5:$B$804,$B246,$G$5:$G$804,$G246)&gt;1,"Takror",""))</f>
        <v/>
      </c>
    </row>
    <row r="247" customFormat="false" ht="15" hidden="false" customHeight="false" outlineLevel="0" collapsed="false">
      <c r="A247" s="8" t="n">
        <v>243</v>
      </c>
      <c r="B247" s="13"/>
      <c r="C247" s="12"/>
      <c r="D247" s="13"/>
      <c r="E247" s="24"/>
      <c r="F247" s="14" t="str">
        <f aca="false">IF(OR($D247="",$B247=""),"",INT(($B247-$D247)/365.25))</f>
        <v/>
      </c>
      <c r="G247" s="25"/>
      <c r="H247" s="25"/>
      <c r="I247" s="12"/>
      <c r="J247" s="14" t="str">
        <f aca="false">IF(OR($C247="",$D247="",$B247="",$G247=""),"",IF(COUNTIFS($C$5:$C$804,$C247,$D$5:$D$804,$D247,$B$5:$B$804,$B247,$G$5:$G$804,$G247)&gt;1,"Takror",""))</f>
        <v/>
      </c>
    </row>
    <row r="248" customFormat="false" ht="15" hidden="false" customHeight="false" outlineLevel="0" collapsed="false">
      <c r="A248" s="8" t="n">
        <v>244</v>
      </c>
      <c r="B248" s="13"/>
      <c r="C248" s="12"/>
      <c r="D248" s="13"/>
      <c r="E248" s="24"/>
      <c r="F248" s="14" t="str">
        <f aca="false">IF(OR($D248="",$B248=""),"",INT(($B248-$D248)/365.25))</f>
        <v/>
      </c>
      <c r="G248" s="25"/>
      <c r="H248" s="25"/>
      <c r="I248" s="12"/>
      <c r="J248" s="14" t="str">
        <f aca="false">IF(OR($C248="",$D248="",$B248="",$G248=""),"",IF(COUNTIFS($C$5:$C$804,$C248,$D$5:$D$804,$D248,$B$5:$B$804,$B248,$G$5:$G$804,$G248)&gt;1,"Takror",""))</f>
        <v/>
      </c>
    </row>
    <row r="249" customFormat="false" ht="15" hidden="false" customHeight="false" outlineLevel="0" collapsed="false">
      <c r="A249" s="8" t="n">
        <v>245</v>
      </c>
      <c r="B249" s="13"/>
      <c r="C249" s="12"/>
      <c r="D249" s="13"/>
      <c r="E249" s="24"/>
      <c r="F249" s="14" t="str">
        <f aca="false">IF(OR($D249="",$B249=""),"",INT(($B249-$D249)/365.25))</f>
        <v/>
      </c>
      <c r="G249" s="25"/>
      <c r="H249" s="25"/>
      <c r="I249" s="12"/>
      <c r="J249" s="14" t="str">
        <f aca="false">IF(OR($C249="",$D249="",$B249="",$G249=""),"",IF(COUNTIFS($C$5:$C$804,$C249,$D$5:$D$804,$D249,$B$5:$B$804,$B249,$G$5:$G$804,$G249)&gt;1,"Takror",""))</f>
        <v/>
      </c>
    </row>
    <row r="250" customFormat="false" ht="15" hidden="false" customHeight="false" outlineLevel="0" collapsed="false">
      <c r="A250" s="8" t="n">
        <v>246</v>
      </c>
      <c r="B250" s="13"/>
      <c r="C250" s="12"/>
      <c r="D250" s="13"/>
      <c r="E250" s="24"/>
      <c r="F250" s="14" t="str">
        <f aca="false">IF(OR($D250="",$B250=""),"",INT(($B250-$D250)/365.25))</f>
        <v/>
      </c>
      <c r="G250" s="25"/>
      <c r="H250" s="25"/>
      <c r="I250" s="12"/>
      <c r="J250" s="14" t="str">
        <f aca="false">IF(OR($C250="",$D250="",$B250="",$G250=""),"",IF(COUNTIFS($C$5:$C$804,$C250,$D$5:$D$804,$D250,$B$5:$B$804,$B250,$G$5:$G$804,$G250)&gt;1,"Takror",""))</f>
        <v/>
      </c>
    </row>
    <row r="251" customFormat="false" ht="15" hidden="false" customHeight="false" outlineLevel="0" collapsed="false">
      <c r="A251" s="8" t="n">
        <v>247</v>
      </c>
      <c r="B251" s="13"/>
      <c r="C251" s="12"/>
      <c r="D251" s="13"/>
      <c r="E251" s="24"/>
      <c r="F251" s="14" t="str">
        <f aca="false">IF(OR($D251="",$B251=""),"",INT(($B251-$D251)/365.25))</f>
        <v/>
      </c>
      <c r="G251" s="25"/>
      <c r="H251" s="25"/>
      <c r="I251" s="12"/>
      <c r="J251" s="14" t="str">
        <f aca="false">IF(OR($C251="",$D251="",$B251="",$G251=""),"",IF(COUNTIFS($C$5:$C$804,$C251,$D$5:$D$804,$D251,$B$5:$B$804,$B251,$G$5:$G$804,$G251)&gt;1,"Takror",""))</f>
        <v/>
      </c>
    </row>
    <row r="252" customFormat="false" ht="15" hidden="false" customHeight="false" outlineLevel="0" collapsed="false">
      <c r="A252" s="8" t="n">
        <v>248</v>
      </c>
      <c r="B252" s="13"/>
      <c r="C252" s="12"/>
      <c r="D252" s="13"/>
      <c r="E252" s="24"/>
      <c r="F252" s="14" t="str">
        <f aca="false">IF(OR($D252="",$B252=""),"",INT(($B252-$D252)/365.25))</f>
        <v/>
      </c>
      <c r="G252" s="25"/>
      <c r="H252" s="25"/>
      <c r="I252" s="12"/>
      <c r="J252" s="14" t="str">
        <f aca="false">IF(OR($C252="",$D252="",$B252="",$G252=""),"",IF(COUNTIFS($C$5:$C$804,$C252,$D$5:$D$804,$D252,$B$5:$B$804,$B252,$G$5:$G$804,$G252)&gt;1,"Takror",""))</f>
        <v/>
      </c>
    </row>
    <row r="253" customFormat="false" ht="15" hidden="false" customHeight="false" outlineLevel="0" collapsed="false">
      <c r="A253" s="8" t="n">
        <v>249</v>
      </c>
      <c r="B253" s="13"/>
      <c r="C253" s="12"/>
      <c r="D253" s="13"/>
      <c r="E253" s="24"/>
      <c r="F253" s="14" t="str">
        <f aca="false">IF(OR($D253="",$B253=""),"",INT(($B253-$D253)/365.25))</f>
        <v/>
      </c>
      <c r="G253" s="25"/>
      <c r="H253" s="25"/>
      <c r="I253" s="12"/>
      <c r="J253" s="14" t="str">
        <f aca="false">IF(OR($C253="",$D253="",$B253="",$G253=""),"",IF(COUNTIFS($C$5:$C$804,$C253,$D$5:$D$804,$D253,$B$5:$B$804,$B253,$G$5:$G$804,$G253)&gt;1,"Takror",""))</f>
        <v/>
      </c>
    </row>
    <row r="254" customFormat="false" ht="15" hidden="false" customHeight="false" outlineLevel="0" collapsed="false">
      <c r="A254" s="8" t="n">
        <v>250</v>
      </c>
      <c r="B254" s="13"/>
      <c r="C254" s="12"/>
      <c r="D254" s="13"/>
      <c r="E254" s="24"/>
      <c r="F254" s="14" t="str">
        <f aca="false">IF(OR($D254="",$B254=""),"",INT(($B254-$D254)/365.25))</f>
        <v/>
      </c>
      <c r="G254" s="25"/>
      <c r="H254" s="25"/>
      <c r="I254" s="12"/>
      <c r="J254" s="14" t="str">
        <f aca="false">IF(OR($C254="",$D254="",$B254="",$G254=""),"",IF(COUNTIFS($C$5:$C$804,$C254,$D$5:$D$804,$D254,$B$5:$B$804,$B254,$G$5:$G$804,$G254)&gt;1,"Takror",""))</f>
        <v/>
      </c>
    </row>
    <row r="255" customFormat="false" ht="15" hidden="false" customHeight="false" outlineLevel="0" collapsed="false">
      <c r="A255" s="8" t="n">
        <v>251</v>
      </c>
      <c r="B255" s="13"/>
      <c r="C255" s="12"/>
      <c r="D255" s="13"/>
      <c r="E255" s="24"/>
      <c r="F255" s="14" t="str">
        <f aca="false">IF(OR($D255="",$B255=""),"",INT(($B255-$D255)/365.25))</f>
        <v/>
      </c>
      <c r="G255" s="25"/>
      <c r="H255" s="25"/>
      <c r="I255" s="12"/>
      <c r="J255" s="14" t="str">
        <f aca="false">IF(OR($C255="",$D255="",$B255="",$G255=""),"",IF(COUNTIFS($C$5:$C$804,$C255,$D$5:$D$804,$D255,$B$5:$B$804,$B255,$G$5:$G$804,$G255)&gt;1,"Takror",""))</f>
        <v/>
      </c>
    </row>
    <row r="256" customFormat="false" ht="15" hidden="false" customHeight="false" outlineLevel="0" collapsed="false">
      <c r="A256" s="8" t="n">
        <v>252</v>
      </c>
      <c r="B256" s="13"/>
      <c r="C256" s="12"/>
      <c r="D256" s="13"/>
      <c r="E256" s="24"/>
      <c r="F256" s="14" t="str">
        <f aca="false">IF(OR($D256="",$B256=""),"",INT(($B256-$D256)/365.25))</f>
        <v/>
      </c>
      <c r="G256" s="25"/>
      <c r="H256" s="25"/>
      <c r="I256" s="12"/>
      <c r="J256" s="14" t="str">
        <f aca="false">IF(OR($C256="",$D256="",$B256="",$G256=""),"",IF(COUNTIFS($C$5:$C$804,$C256,$D$5:$D$804,$D256,$B$5:$B$804,$B256,$G$5:$G$804,$G256)&gt;1,"Takror",""))</f>
        <v/>
      </c>
    </row>
    <row r="257" customFormat="false" ht="15" hidden="false" customHeight="false" outlineLevel="0" collapsed="false">
      <c r="A257" s="8" t="n">
        <v>253</v>
      </c>
      <c r="B257" s="13"/>
      <c r="C257" s="12"/>
      <c r="D257" s="13"/>
      <c r="E257" s="24"/>
      <c r="F257" s="14" t="str">
        <f aca="false">IF(OR($D257="",$B257=""),"",INT(($B257-$D257)/365.25))</f>
        <v/>
      </c>
      <c r="G257" s="25"/>
      <c r="H257" s="25"/>
      <c r="I257" s="12"/>
      <c r="J257" s="14" t="str">
        <f aca="false">IF(OR($C257="",$D257="",$B257="",$G257=""),"",IF(COUNTIFS($C$5:$C$804,$C257,$D$5:$D$804,$D257,$B$5:$B$804,$B257,$G$5:$G$804,$G257)&gt;1,"Takror",""))</f>
        <v/>
      </c>
    </row>
    <row r="258" customFormat="false" ht="15" hidden="false" customHeight="false" outlineLevel="0" collapsed="false">
      <c r="A258" s="8" t="n">
        <v>254</v>
      </c>
      <c r="B258" s="13"/>
      <c r="C258" s="12"/>
      <c r="D258" s="13"/>
      <c r="E258" s="24"/>
      <c r="F258" s="14" t="str">
        <f aca="false">IF(OR($D258="",$B258=""),"",INT(($B258-$D258)/365.25))</f>
        <v/>
      </c>
      <c r="G258" s="25"/>
      <c r="H258" s="25"/>
      <c r="I258" s="12"/>
      <c r="J258" s="14" t="str">
        <f aca="false">IF(OR($C258="",$D258="",$B258="",$G258=""),"",IF(COUNTIFS($C$5:$C$804,$C258,$D$5:$D$804,$D258,$B$5:$B$804,$B258,$G$5:$G$804,$G258)&gt;1,"Takror",""))</f>
        <v/>
      </c>
    </row>
    <row r="259" customFormat="false" ht="15" hidden="false" customHeight="false" outlineLevel="0" collapsed="false">
      <c r="A259" s="8" t="n">
        <v>255</v>
      </c>
      <c r="B259" s="13"/>
      <c r="C259" s="12"/>
      <c r="D259" s="13"/>
      <c r="E259" s="24"/>
      <c r="F259" s="14" t="str">
        <f aca="false">IF(OR($D259="",$B259=""),"",INT(($B259-$D259)/365.25))</f>
        <v/>
      </c>
      <c r="G259" s="25"/>
      <c r="H259" s="25"/>
      <c r="I259" s="12"/>
      <c r="J259" s="14" t="str">
        <f aca="false">IF(OR($C259="",$D259="",$B259="",$G259=""),"",IF(COUNTIFS($C$5:$C$804,$C259,$D$5:$D$804,$D259,$B$5:$B$804,$B259,$G$5:$G$804,$G259)&gt;1,"Takror",""))</f>
        <v/>
      </c>
    </row>
    <row r="260" customFormat="false" ht="15" hidden="false" customHeight="false" outlineLevel="0" collapsed="false">
      <c r="A260" s="8" t="n">
        <v>256</v>
      </c>
      <c r="B260" s="13"/>
      <c r="C260" s="12"/>
      <c r="D260" s="13"/>
      <c r="E260" s="24"/>
      <c r="F260" s="14" t="str">
        <f aca="false">IF(OR($D260="",$B260=""),"",INT(($B260-$D260)/365.25))</f>
        <v/>
      </c>
      <c r="G260" s="25"/>
      <c r="H260" s="25"/>
      <c r="I260" s="12"/>
      <c r="J260" s="14" t="str">
        <f aca="false">IF(OR($C260="",$D260="",$B260="",$G260=""),"",IF(COUNTIFS($C$5:$C$804,$C260,$D$5:$D$804,$D260,$B$5:$B$804,$B260,$G$5:$G$804,$G260)&gt;1,"Takror",""))</f>
        <v/>
      </c>
    </row>
    <row r="261" customFormat="false" ht="15" hidden="false" customHeight="false" outlineLevel="0" collapsed="false">
      <c r="A261" s="8" t="n">
        <v>257</v>
      </c>
      <c r="B261" s="13"/>
      <c r="C261" s="12"/>
      <c r="D261" s="13"/>
      <c r="E261" s="24"/>
      <c r="F261" s="14" t="str">
        <f aca="false">IF(OR($D261="",$B261=""),"",INT(($B261-$D261)/365.25))</f>
        <v/>
      </c>
      <c r="G261" s="25"/>
      <c r="H261" s="25"/>
      <c r="I261" s="12"/>
      <c r="J261" s="14" t="str">
        <f aca="false">IF(OR($C261="",$D261="",$B261="",$G261=""),"",IF(COUNTIFS($C$5:$C$804,$C261,$D$5:$D$804,$D261,$B$5:$B$804,$B261,$G$5:$G$804,$G261)&gt;1,"Takror",""))</f>
        <v/>
      </c>
    </row>
    <row r="262" customFormat="false" ht="15" hidden="false" customHeight="false" outlineLevel="0" collapsed="false">
      <c r="A262" s="8" t="n">
        <v>258</v>
      </c>
      <c r="B262" s="13"/>
      <c r="C262" s="12"/>
      <c r="D262" s="13"/>
      <c r="E262" s="24"/>
      <c r="F262" s="14" t="str">
        <f aca="false">IF(OR($D262="",$B262=""),"",INT(($B262-$D262)/365.25))</f>
        <v/>
      </c>
      <c r="G262" s="25"/>
      <c r="H262" s="25"/>
      <c r="I262" s="12"/>
      <c r="J262" s="14" t="str">
        <f aca="false">IF(OR($C262="",$D262="",$B262="",$G262=""),"",IF(COUNTIFS($C$5:$C$804,$C262,$D$5:$D$804,$D262,$B$5:$B$804,$B262,$G$5:$G$804,$G262)&gt;1,"Takror",""))</f>
        <v/>
      </c>
    </row>
    <row r="263" customFormat="false" ht="15" hidden="false" customHeight="false" outlineLevel="0" collapsed="false">
      <c r="A263" s="8" t="n">
        <v>259</v>
      </c>
      <c r="B263" s="13"/>
      <c r="C263" s="12"/>
      <c r="D263" s="13"/>
      <c r="E263" s="24"/>
      <c r="F263" s="14" t="str">
        <f aca="false">IF(OR($D263="",$B263=""),"",INT(($B263-$D263)/365.25))</f>
        <v/>
      </c>
      <c r="G263" s="25"/>
      <c r="H263" s="25"/>
      <c r="I263" s="12"/>
      <c r="J263" s="14" t="str">
        <f aca="false">IF(OR($C263="",$D263="",$B263="",$G263=""),"",IF(COUNTIFS($C$5:$C$804,$C263,$D$5:$D$804,$D263,$B$5:$B$804,$B263,$G$5:$G$804,$G263)&gt;1,"Takror",""))</f>
        <v/>
      </c>
    </row>
    <row r="264" customFormat="false" ht="15" hidden="false" customHeight="false" outlineLevel="0" collapsed="false">
      <c r="A264" s="8" t="n">
        <v>260</v>
      </c>
      <c r="B264" s="13"/>
      <c r="C264" s="12"/>
      <c r="D264" s="13"/>
      <c r="E264" s="24"/>
      <c r="F264" s="14" t="str">
        <f aca="false">IF(OR($D264="",$B264=""),"",INT(($B264-$D264)/365.25))</f>
        <v/>
      </c>
      <c r="G264" s="25"/>
      <c r="H264" s="25"/>
      <c r="I264" s="12"/>
      <c r="J264" s="14" t="str">
        <f aca="false">IF(OR($C264="",$D264="",$B264="",$G264=""),"",IF(COUNTIFS($C$5:$C$804,$C264,$D$5:$D$804,$D264,$B$5:$B$804,$B264,$G$5:$G$804,$G264)&gt;1,"Takror",""))</f>
        <v/>
      </c>
    </row>
    <row r="265" customFormat="false" ht="15" hidden="false" customHeight="false" outlineLevel="0" collapsed="false">
      <c r="A265" s="8" t="n">
        <v>261</v>
      </c>
      <c r="B265" s="13"/>
      <c r="C265" s="12"/>
      <c r="D265" s="13"/>
      <c r="E265" s="24"/>
      <c r="F265" s="14" t="str">
        <f aca="false">IF(OR($D265="",$B265=""),"",INT(($B265-$D265)/365.25))</f>
        <v/>
      </c>
      <c r="G265" s="25"/>
      <c r="H265" s="25"/>
      <c r="I265" s="12"/>
      <c r="J265" s="14" t="str">
        <f aca="false">IF(OR($C265="",$D265="",$B265="",$G265=""),"",IF(COUNTIFS($C$5:$C$804,$C265,$D$5:$D$804,$D265,$B$5:$B$804,$B265,$G$5:$G$804,$G265)&gt;1,"Takror",""))</f>
        <v/>
      </c>
    </row>
    <row r="266" customFormat="false" ht="15" hidden="false" customHeight="false" outlineLevel="0" collapsed="false">
      <c r="A266" s="8" t="n">
        <v>262</v>
      </c>
      <c r="B266" s="13"/>
      <c r="C266" s="12"/>
      <c r="D266" s="13"/>
      <c r="E266" s="24"/>
      <c r="F266" s="14" t="str">
        <f aca="false">IF(OR($D266="",$B266=""),"",INT(($B266-$D266)/365.25))</f>
        <v/>
      </c>
      <c r="G266" s="25"/>
      <c r="H266" s="25"/>
      <c r="I266" s="12"/>
      <c r="J266" s="14" t="str">
        <f aca="false">IF(OR($C266="",$D266="",$B266="",$G266=""),"",IF(COUNTIFS($C$5:$C$804,$C266,$D$5:$D$804,$D266,$B$5:$B$804,$B266,$G$5:$G$804,$G266)&gt;1,"Takror",""))</f>
        <v/>
      </c>
    </row>
    <row r="267" customFormat="false" ht="15" hidden="false" customHeight="false" outlineLevel="0" collapsed="false">
      <c r="A267" s="8" t="n">
        <v>263</v>
      </c>
      <c r="B267" s="13"/>
      <c r="C267" s="12"/>
      <c r="D267" s="13"/>
      <c r="E267" s="24"/>
      <c r="F267" s="14" t="str">
        <f aca="false">IF(OR($D267="",$B267=""),"",INT(($B267-$D267)/365.25))</f>
        <v/>
      </c>
      <c r="G267" s="25"/>
      <c r="H267" s="25"/>
      <c r="I267" s="12"/>
      <c r="J267" s="14" t="str">
        <f aca="false">IF(OR($C267="",$D267="",$B267="",$G267=""),"",IF(COUNTIFS($C$5:$C$804,$C267,$D$5:$D$804,$D267,$B$5:$B$804,$B267,$G$5:$G$804,$G267)&gt;1,"Takror",""))</f>
        <v/>
      </c>
    </row>
    <row r="268" customFormat="false" ht="15" hidden="false" customHeight="false" outlineLevel="0" collapsed="false">
      <c r="A268" s="8" t="n">
        <v>264</v>
      </c>
      <c r="B268" s="13"/>
      <c r="C268" s="12"/>
      <c r="D268" s="13"/>
      <c r="E268" s="24"/>
      <c r="F268" s="14" t="str">
        <f aca="false">IF(OR($D268="",$B268=""),"",INT(($B268-$D268)/365.25))</f>
        <v/>
      </c>
      <c r="G268" s="25"/>
      <c r="H268" s="25"/>
      <c r="I268" s="12"/>
      <c r="J268" s="14" t="str">
        <f aca="false">IF(OR($C268="",$D268="",$B268="",$G268=""),"",IF(COUNTIFS($C$5:$C$804,$C268,$D$5:$D$804,$D268,$B$5:$B$804,$B268,$G$5:$G$804,$G268)&gt;1,"Takror",""))</f>
        <v/>
      </c>
    </row>
    <row r="269" customFormat="false" ht="15" hidden="false" customHeight="false" outlineLevel="0" collapsed="false">
      <c r="A269" s="8" t="n">
        <v>265</v>
      </c>
      <c r="B269" s="13"/>
      <c r="C269" s="12"/>
      <c r="D269" s="13"/>
      <c r="E269" s="24"/>
      <c r="F269" s="14" t="str">
        <f aca="false">IF(OR($D269="",$B269=""),"",INT(($B269-$D269)/365.25))</f>
        <v/>
      </c>
      <c r="G269" s="25"/>
      <c r="H269" s="25"/>
      <c r="I269" s="12"/>
      <c r="J269" s="14" t="str">
        <f aca="false">IF(OR($C269="",$D269="",$B269="",$G269=""),"",IF(COUNTIFS($C$5:$C$804,$C269,$D$5:$D$804,$D269,$B$5:$B$804,$B269,$G$5:$G$804,$G269)&gt;1,"Takror",""))</f>
        <v/>
      </c>
    </row>
    <row r="270" customFormat="false" ht="15" hidden="false" customHeight="false" outlineLevel="0" collapsed="false">
      <c r="A270" s="8" t="n">
        <v>266</v>
      </c>
      <c r="B270" s="13"/>
      <c r="C270" s="12"/>
      <c r="D270" s="13"/>
      <c r="E270" s="24"/>
      <c r="F270" s="14" t="str">
        <f aca="false">IF(OR($D270="",$B270=""),"",INT(($B270-$D270)/365.25))</f>
        <v/>
      </c>
      <c r="G270" s="25"/>
      <c r="H270" s="25"/>
      <c r="I270" s="12"/>
      <c r="J270" s="14" t="str">
        <f aca="false">IF(OR($C270="",$D270="",$B270="",$G270=""),"",IF(COUNTIFS($C$5:$C$804,$C270,$D$5:$D$804,$D270,$B$5:$B$804,$B270,$G$5:$G$804,$G270)&gt;1,"Takror",""))</f>
        <v/>
      </c>
    </row>
    <row r="271" customFormat="false" ht="15" hidden="false" customHeight="false" outlineLevel="0" collapsed="false">
      <c r="A271" s="8" t="n">
        <v>267</v>
      </c>
      <c r="B271" s="13"/>
      <c r="C271" s="12"/>
      <c r="D271" s="13"/>
      <c r="E271" s="24"/>
      <c r="F271" s="14" t="str">
        <f aca="false">IF(OR($D271="",$B271=""),"",INT(($B271-$D271)/365.25))</f>
        <v/>
      </c>
      <c r="G271" s="25"/>
      <c r="H271" s="25"/>
      <c r="I271" s="12"/>
      <c r="J271" s="14" t="str">
        <f aca="false">IF(OR($C271="",$D271="",$B271="",$G271=""),"",IF(COUNTIFS($C$5:$C$804,$C271,$D$5:$D$804,$D271,$B$5:$B$804,$B271,$G$5:$G$804,$G271)&gt;1,"Takror",""))</f>
        <v/>
      </c>
    </row>
    <row r="272" customFormat="false" ht="15" hidden="false" customHeight="false" outlineLevel="0" collapsed="false">
      <c r="A272" s="8" t="n">
        <v>268</v>
      </c>
      <c r="B272" s="13"/>
      <c r="C272" s="12"/>
      <c r="D272" s="13"/>
      <c r="E272" s="24"/>
      <c r="F272" s="14" t="str">
        <f aca="false">IF(OR($D272="",$B272=""),"",INT(($B272-$D272)/365.25))</f>
        <v/>
      </c>
      <c r="G272" s="25"/>
      <c r="H272" s="25"/>
      <c r="I272" s="12"/>
      <c r="J272" s="14" t="str">
        <f aca="false">IF(OR($C272="",$D272="",$B272="",$G272=""),"",IF(COUNTIFS($C$5:$C$804,$C272,$D$5:$D$804,$D272,$B$5:$B$804,$B272,$G$5:$G$804,$G272)&gt;1,"Takror",""))</f>
        <v/>
      </c>
    </row>
    <row r="273" customFormat="false" ht="15" hidden="false" customHeight="false" outlineLevel="0" collapsed="false">
      <c r="A273" s="8" t="n">
        <v>269</v>
      </c>
      <c r="B273" s="13"/>
      <c r="C273" s="12"/>
      <c r="D273" s="13"/>
      <c r="E273" s="24"/>
      <c r="F273" s="14" t="str">
        <f aca="false">IF(OR($D273="",$B273=""),"",INT(($B273-$D273)/365.25))</f>
        <v/>
      </c>
      <c r="G273" s="25"/>
      <c r="H273" s="25"/>
      <c r="I273" s="12"/>
      <c r="J273" s="14" t="str">
        <f aca="false">IF(OR($C273="",$D273="",$B273="",$G273=""),"",IF(COUNTIFS($C$5:$C$804,$C273,$D$5:$D$804,$D273,$B$5:$B$804,$B273,$G$5:$G$804,$G273)&gt;1,"Takror",""))</f>
        <v/>
      </c>
    </row>
    <row r="274" customFormat="false" ht="15" hidden="false" customHeight="false" outlineLevel="0" collapsed="false">
      <c r="A274" s="8" t="n">
        <v>270</v>
      </c>
      <c r="B274" s="13"/>
      <c r="C274" s="12"/>
      <c r="D274" s="13"/>
      <c r="E274" s="24"/>
      <c r="F274" s="14" t="str">
        <f aca="false">IF(OR($D274="",$B274=""),"",INT(($B274-$D274)/365.25))</f>
        <v/>
      </c>
      <c r="G274" s="25"/>
      <c r="H274" s="25"/>
      <c r="I274" s="12"/>
      <c r="J274" s="14" t="str">
        <f aca="false">IF(OR($C274="",$D274="",$B274="",$G274=""),"",IF(COUNTIFS($C$5:$C$804,$C274,$D$5:$D$804,$D274,$B$5:$B$804,$B274,$G$5:$G$804,$G274)&gt;1,"Takror",""))</f>
        <v/>
      </c>
    </row>
    <row r="275" customFormat="false" ht="15" hidden="false" customHeight="false" outlineLevel="0" collapsed="false">
      <c r="A275" s="8" t="n">
        <v>271</v>
      </c>
      <c r="B275" s="13"/>
      <c r="C275" s="12"/>
      <c r="D275" s="13"/>
      <c r="E275" s="24"/>
      <c r="F275" s="14" t="str">
        <f aca="false">IF(OR($D275="",$B275=""),"",INT(($B275-$D275)/365.25))</f>
        <v/>
      </c>
      <c r="G275" s="25"/>
      <c r="H275" s="25"/>
      <c r="I275" s="12"/>
      <c r="J275" s="14" t="str">
        <f aca="false">IF(OR($C275="",$D275="",$B275="",$G275=""),"",IF(COUNTIFS($C$5:$C$804,$C275,$D$5:$D$804,$D275,$B$5:$B$804,$B275,$G$5:$G$804,$G275)&gt;1,"Takror",""))</f>
        <v/>
      </c>
    </row>
    <row r="276" customFormat="false" ht="15" hidden="false" customHeight="false" outlineLevel="0" collapsed="false">
      <c r="A276" s="8" t="n">
        <v>272</v>
      </c>
      <c r="B276" s="13"/>
      <c r="C276" s="12"/>
      <c r="D276" s="13"/>
      <c r="E276" s="24"/>
      <c r="F276" s="14" t="str">
        <f aca="false">IF(OR($D276="",$B276=""),"",INT(($B276-$D276)/365.25))</f>
        <v/>
      </c>
      <c r="G276" s="25"/>
      <c r="H276" s="25"/>
      <c r="I276" s="12"/>
      <c r="J276" s="14" t="str">
        <f aca="false">IF(OR($C276="",$D276="",$B276="",$G276=""),"",IF(COUNTIFS($C$5:$C$804,$C276,$D$5:$D$804,$D276,$B$5:$B$804,$B276,$G$5:$G$804,$G276)&gt;1,"Takror",""))</f>
        <v/>
      </c>
    </row>
    <row r="277" customFormat="false" ht="15" hidden="false" customHeight="false" outlineLevel="0" collapsed="false">
      <c r="A277" s="8" t="n">
        <v>273</v>
      </c>
      <c r="B277" s="13"/>
      <c r="C277" s="12"/>
      <c r="D277" s="13"/>
      <c r="E277" s="24"/>
      <c r="F277" s="14" t="str">
        <f aca="false">IF(OR($D277="",$B277=""),"",INT(($B277-$D277)/365.25))</f>
        <v/>
      </c>
      <c r="G277" s="25"/>
      <c r="H277" s="25"/>
      <c r="I277" s="12"/>
      <c r="J277" s="14" t="str">
        <f aca="false">IF(OR($C277="",$D277="",$B277="",$G277=""),"",IF(COUNTIFS($C$5:$C$804,$C277,$D$5:$D$804,$D277,$B$5:$B$804,$B277,$G$5:$G$804,$G277)&gt;1,"Takror",""))</f>
        <v/>
      </c>
    </row>
    <row r="278" customFormat="false" ht="15" hidden="false" customHeight="false" outlineLevel="0" collapsed="false">
      <c r="A278" s="8" t="n">
        <v>274</v>
      </c>
      <c r="B278" s="13"/>
      <c r="C278" s="12"/>
      <c r="D278" s="13"/>
      <c r="E278" s="24"/>
      <c r="F278" s="14" t="str">
        <f aca="false">IF(OR($D278="",$B278=""),"",INT(($B278-$D278)/365.25))</f>
        <v/>
      </c>
      <c r="G278" s="25"/>
      <c r="H278" s="25"/>
      <c r="I278" s="12"/>
      <c r="J278" s="14" t="str">
        <f aca="false">IF(OR($C278="",$D278="",$B278="",$G278=""),"",IF(COUNTIFS($C$5:$C$804,$C278,$D$5:$D$804,$D278,$B$5:$B$804,$B278,$G$5:$G$804,$G278)&gt;1,"Takror",""))</f>
        <v/>
      </c>
    </row>
    <row r="279" customFormat="false" ht="15" hidden="false" customHeight="false" outlineLevel="0" collapsed="false">
      <c r="A279" s="8" t="n">
        <v>275</v>
      </c>
      <c r="B279" s="13"/>
      <c r="C279" s="12"/>
      <c r="D279" s="13"/>
      <c r="E279" s="24"/>
      <c r="F279" s="14" t="str">
        <f aca="false">IF(OR($D279="",$B279=""),"",INT(($B279-$D279)/365.25))</f>
        <v/>
      </c>
      <c r="G279" s="25"/>
      <c r="H279" s="25"/>
      <c r="I279" s="12"/>
      <c r="J279" s="14" t="str">
        <f aca="false">IF(OR($C279="",$D279="",$B279="",$G279=""),"",IF(COUNTIFS($C$5:$C$804,$C279,$D$5:$D$804,$D279,$B$5:$B$804,$B279,$G$5:$G$804,$G279)&gt;1,"Takror",""))</f>
        <v/>
      </c>
    </row>
    <row r="280" customFormat="false" ht="15" hidden="false" customHeight="false" outlineLevel="0" collapsed="false">
      <c r="A280" s="8" t="n">
        <v>276</v>
      </c>
      <c r="B280" s="13"/>
      <c r="C280" s="12"/>
      <c r="D280" s="13"/>
      <c r="E280" s="24"/>
      <c r="F280" s="14" t="str">
        <f aca="false">IF(OR($D280="",$B280=""),"",INT(($B280-$D280)/365.25))</f>
        <v/>
      </c>
      <c r="G280" s="25"/>
      <c r="H280" s="25"/>
      <c r="I280" s="12"/>
      <c r="J280" s="14" t="str">
        <f aca="false">IF(OR($C280="",$D280="",$B280="",$G280=""),"",IF(COUNTIFS($C$5:$C$804,$C280,$D$5:$D$804,$D280,$B$5:$B$804,$B280,$G$5:$G$804,$G280)&gt;1,"Takror",""))</f>
        <v/>
      </c>
    </row>
    <row r="281" customFormat="false" ht="15" hidden="false" customHeight="false" outlineLevel="0" collapsed="false">
      <c r="A281" s="8" t="n">
        <v>277</v>
      </c>
      <c r="B281" s="13"/>
      <c r="C281" s="12"/>
      <c r="D281" s="13"/>
      <c r="E281" s="24"/>
      <c r="F281" s="14" t="str">
        <f aca="false">IF(OR($D281="",$B281=""),"",INT(($B281-$D281)/365.25))</f>
        <v/>
      </c>
      <c r="G281" s="25"/>
      <c r="H281" s="25"/>
      <c r="I281" s="12"/>
      <c r="J281" s="14" t="str">
        <f aca="false">IF(OR($C281="",$D281="",$B281="",$G281=""),"",IF(COUNTIFS($C$5:$C$804,$C281,$D$5:$D$804,$D281,$B$5:$B$804,$B281,$G$5:$G$804,$G281)&gt;1,"Takror",""))</f>
        <v/>
      </c>
    </row>
    <row r="282" customFormat="false" ht="15" hidden="false" customHeight="false" outlineLevel="0" collapsed="false">
      <c r="A282" s="8" t="n">
        <v>278</v>
      </c>
      <c r="B282" s="13"/>
      <c r="C282" s="12"/>
      <c r="D282" s="13"/>
      <c r="E282" s="24"/>
      <c r="F282" s="14" t="str">
        <f aca="false">IF(OR($D282="",$B282=""),"",INT(($B282-$D282)/365.25))</f>
        <v/>
      </c>
      <c r="G282" s="25"/>
      <c r="H282" s="25"/>
      <c r="I282" s="12"/>
      <c r="J282" s="14" t="str">
        <f aca="false">IF(OR($C282="",$D282="",$B282="",$G282=""),"",IF(COUNTIFS($C$5:$C$804,$C282,$D$5:$D$804,$D282,$B$5:$B$804,$B282,$G$5:$G$804,$G282)&gt;1,"Takror",""))</f>
        <v/>
      </c>
    </row>
    <row r="283" customFormat="false" ht="15" hidden="false" customHeight="false" outlineLevel="0" collapsed="false">
      <c r="A283" s="8" t="n">
        <v>279</v>
      </c>
      <c r="B283" s="13"/>
      <c r="C283" s="12"/>
      <c r="D283" s="13"/>
      <c r="E283" s="24"/>
      <c r="F283" s="14" t="str">
        <f aca="false">IF(OR($D283="",$B283=""),"",INT(($B283-$D283)/365.25))</f>
        <v/>
      </c>
      <c r="G283" s="25"/>
      <c r="H283" s="25"/>
      <c r="I283" s="12"/>
      <c r="J283" s="14" t="str">
        <f aca="false">IF(OR($C283="",$D283="",$B283="",$G283=""),"",IF(COUNTIFS($C$5:$C$804,$C283,$D$5:$D$804,$D283,$B$5:$B$804,$B283,$G$5:$G$804,$G283)&gt;1,"Takror",""))</f>
        <v/>
      </c>
    </row>
    <row r="284" customFormat="false" ht="15" hidden="false" customHeight="false" outlineLevel="0" collapsed="false">
      <c r="A284" s="8" t="n">
        <v>280</v>
      </c>
      <c r="B284" s="13"/>
      <c r="C284" s="12"/>
      <c r="D284" s="13"/>
      <c r="E284" s="24"/>
      <c r="F284" s="14" t="str">
        <f aca="false">IF(OR($D284="",$B284=""),"",INT(($B284-$D284)/365.25))</f>
        <v/>
      </c>
      <c r="G284" s="25"/>
      <c r="H284" s="25"/>
      <c r="I284" s="12"/>
      <c r="J284" s="14" t="str">
        <f aca="false">IF(OR($C284="",$D284="",$B284="",$G284=""),"",IF(COUNTIFS($C$5:$C$804,$C284,$D$5:$D$804,$D284,$B$5:$B$804,$B284,$G$5:$G$804,$G284)&gt;1,"Takror",""))</f>
        <v/>
      </c>
    </row>
    <row r="285" customFormat="false" ht="15" hidden="false" customHeight="false" outlineLevel="0" collapsed="false">
      <c r="A285" s="8" t="n">
        <v>281</v>
      </c>
      <c r="B285" s="13"/>
      <c r="C285" s="12"/>
      <c r="D285" s="13"/>
      <c r="E285" s="24"/>
      <c r="F285" s="14" t="str">
        <f aca="false">IF(OR($D285="",$B285=""),"",INT(($B285-$D285)/365.25))</f>
        <v/>
      </c>
      <c r="G285" s="25"/>
      <c r="H285" s="25"/>
      <c r="I285" s="12"/>
      <c r="J285" s="14" t="str">
        <f aca="false">IF(OR($C285="",$D285="",$B285="",$G285=""),"",IF(COUNTIFS($C$5:$C$804,$C285,$D$5:$D$804,$D285,$B$5:$B$804,$B285,$G$5:$G$804,$G285)&gt;1,"Takror",""))</f>
        <v/>
      </c>
    </row>
    <row r="286" customFormat="false" ht="15" hidden="false" customHeight="false" outlineLevel="0" collapsed="false">
      <c r="A286" s="8" t="n">
        <v>282</v>
      </c>
      <c r="B286" s="13"/>
      <c r="C286" s="12"/>
      <c r="D286" s="13"/>
      <c r="E286" s="24"/>
      <c r="F286" s="14" t="str">
        <f aca="false">IF(OR($D286="",$B286=""),"",INT(($B286-$D286)/365.25))</f>
        <v/>
      </c>
      <c r="G286" s="25"/>
      <c r="H286" s="25"/>
      <c r="I286" s="12"/>
      <c r="J286" s="14" t="str">
        <f aca="false">IF(OR($C286="",$D286="",$B286="",$G286=""),"",IF(COUNTIFS($C$5:$C$804,$C286,$D$5:$D$804,$D286,$B$5:$B$804,$B286,$G$5:$G$804,$G286)&gt;1,"Takror",""))</f>
        <v/>
      </c>
    </row>
    <row r="287" customFormat="false" ht="15" hidden="false" customHeight="false" outlineLevel="0" collapsed="false">
      <c r="A287" s="8" t="n">
        <v>283</v>
      </c>
      <c r="B287" s="13"/>
      <c r="C287" s="12"/>
      <c r="D287" s="13"/>
      <c r="E287" s="24"/>
      <c r="F287" s="14" t="str">
        <f aca="false">IF(OR($D287="",$B287=""),"",INT(($B287-$D287)/365.25))</f>
        <v/>
      </c>
      <c r="G287" s="25"/>
      <c r="H287" s="25"/>
      <c r="I287" s="12"/>
      <c r="J287" s="14" t="str">
        <f aca="false">IF(OR($C287="",$D287="",$B287="",$G287=""),"",IF(COUNTIFS($C$5:$C$804,$C287,$D$5:$D$804,$D287,$B$5:$B$804,$B287,$G$5:$G$804,$G287)&gt;1,"Takror",""))</f>
        <v/>
      </c>
    </row>
    <row r="288" customFormat="false" ht="15" hidden="false" customHeight="false" outlineLevel="0" collapsed="false">
      <c r="A288" s="8" t="n">
        <v>284</v>
      </c>
      <c r="B288" s="13"/>
      <c r="C288" s="12"/>
      <c r="D288" s="13"/>
      <c r="E288" s="24"/>
      <c r="F288" s="14" t="str">
        <f aca="false">IF(OR($D288="",$B288=""),"",INT(($B288-$D288)/365.25))</f>
        <v/>
      </c>
      <c r="G288" s="25"/>
      <c r="H288" s="25"/>
      <c r="I288" s="12"/>
      <c r="J288" s="14" t="str">
        <f aca="false">IF(OR($C288="",$D288="",$B288="",$G288=""),"",IF(COUNTIFS($C$5:$C$804,$C288,$D$5:$D$804,$D288,$B$5:$B$804,$B288,$G$5:$G$804,$G288)&gt;1,"Takror",""))</f>
        <v/>
      </c>
    </row>
    <row r="289" customFormat="false" ht="15" hidden="false" customHeight="false" outlineLevel="0" collapsed="false">
      <c r="A289" s="8" t="n">
        <v>285</v>
      </c>
      <c r="B289" s="13"/>
      <c r="C289" s="12"/>
      <c r="D289" s="13"/>
      <c r="E289" s="24"/>
      <c r="F289" s="14" t="str">
        <f aca="false">IF(OR($D289="",$B289=""),"",INT(($B289-$D289)/365.25))</f>
        <v/>
      </c>
      <c r="G289" s="25"/>
      <c r="H289" s="25"/>
      <c r="I289" s="12"/>
      <c r="J289" s="14" t="str">
        <f aca="false">IF(OR($C289="",$D289="",$B289="",$G289=""),"",IF(COUNTIFS($C$5:$C$804,$C289,$D$5:$D$804,$D289,$B$5:$B$804,$B289,$G$5:$G$804,$G289)&gt;1,"Takror",""))</f>
        <v/>
      </c>
    </row>
    <row r="290" customFormat="false" ht="15" hidden="false" customHeight="false" outlineLevel="0" collapsed="false">
      <c r="A290" s="8" t="n">
        <v>286</v>
      </c>
      <c r="B290" s="13"/>
      <c r="C290" s="12"/>
      <c r="D290" s="13"/>
      <c r="E290" s="24"/>
      <c r="F290" s="14" t="str">
        <f aca="false">IF(OR($D290="",$B290=""),"",INT(($B290-$D290)/365.25))</f>
        <v/>
      </c>
      <c r="G290" s="25"/>
      <c r="H290" s="25"/>
      <c r="I290" s="12"/>
      <c r="J290" s="14" t="str">
        <f aca="false">IF(OR($C290="",$D290="",$B290="",$G290=""),"",IF(COUNTIFS($C$5:$C$804,$C290,$D$5:$D$804,$D290,$B$5:$B$804,$B290,$G$5:$G$804,$G290)&gt;1,"Takror",""))</f>
        <v/>
      </c>
    </row>
    <row r="291" customFormat="false" ht="15" hidden="false" customHeight="false" outlineLevel="0" collapsed="false">
      <c r="A291" s="8" t="n">
        <v>287</v>
      </c>
      <c r="B291" s="13"/>
      <c r="C291" s="12"/>
      <c r="D291" s="13"/>
      <c r="E291" s="24"/>
      <c r="F291" s="14" t="str">
        <f aca="false">IF(OR($D291="",$B291=""),"",INT(($B291-$D291)/365.25))</f>
        <v/>
      </c>
      <c r="G291" s="25"/>
      <c r="H291" s="25"/>
      <c r="I291" s="12"/>
      <c r="J291" s="14" t="str">
        <f aca="false">IF(OR($C291="",$D291="",$B291="",$G291=""),"",IF(COUNTIFS($C$5:$C$804,$C291,$D$5:$D$804,$D291,$B$5:$B$804,$B291,$G$5:$G$804,$G291)&gt;1,"Takror",""))</f>
        <v/>
      </c>
    </row>
    <row r="292" customFormat="false" ht="15" hidden="false" customHeight="false" outlineLevel="0" collapsed="false">
      <c r="A292" s="8" t="n">
        <v>288</v>
      </c>
      <c r="B292" s="13"/>
      <c r="C292" s="12"/>
      <c r="D292" s="13"/>
      <c r="E292" s="24"/>
      <c r="F292" s="14" t="str">
        <f aca="false">IF(OR($D292="",$B292=""),"",INT(($B292-$D292)/365.25))</f>
        <v/>
      </c>
      <c r="G292" s="25"/>
      <c r="H292" s="25"/>
      <c r="I292" s="12"/>
      <c r="J292" s="14" t="str">
        <f aca="false">IF(OR($C292="",$D292="",$B292="",$G292=""),"",IF(COUNTIFS($C$5:$C$804,$C292,$D$5:$D$804,$D292,$B$5:$B$804,$B292,$G$5:$G$804,$G292)&gt;1,"Takror",""))</f>
        <v/>
      </c>
    </row>
    <row r="293" customFormat="false" ht="15" hidden="false" customHeight="false" outlineLevel="0" collapsed="false">
      <c r="A293" s="8" t="n">
        <v>289</v>
      </c>
      <c r="B293" s="13"/>
      <c r="C293" s="12"/>
      <c r="D293" s="13"/>
      <c r="E293" s="24"/>
      <c r="F293" s="14" t="str">
        <f aca="false">IF(OR($D293="",$B293=""),"",INT(($B293-$D293)/365.25))</f>
        <v/>
      </c>
      <c r="G293" s="25"/>
      <c r="H293" s="25"/>
      <c r="I293" s="12"/>
      <c r="J293" s="14" t="str">
        <f aca="false">IF(OR($C293="",$D293="",$B293="",$G293=""),"",IF(COUNTIFS($C$5:$C$804,$C293,$D$5:$D$804,$D293,$B$5:$B$804,$B293,$G$5:$G$804,$G293)&gt;1,"Takror",""))</f>
        <v/>
      </c>
    </row>
    <row r="294" customFormat="false" ht="15" hidden="false" customHeight="false" outlineLevel="0" collapsed="false">
      <c r="A294" s="8" t="n">
        <v>290</v>
      </c>
      <c r="B294" s="13"/>
      <c r="C294" s="12"/>
      <c r="D294" s="13"/>
      <c r="E294" s="24"/>
      <c r="F294" s="14" t="str">
        <f aca="false">IF(OR($D294="",$B294=""),"",INT(($B294-$D294)/365.25))</f>
        <v/>
      </c>
      <c r="G294" s="25"/>
      <c r="H294" s="25"/>
      <c r="I294" s="12"/>
      <c r="J294" s="14" t="str">
        <f aca="false">IF(OR($C294="",$D294="",$B294="",$G294=""),"",IF(COUNTIFS($C$5:$C$804,$C294,$D$5:$D$804,$D294,$B$5:$B$804,$B294,$G$5:$G$804,$G294)&gt;1,"Takror",""))</f>
        <v/>
      </c>
    </row>
    <row r="295" customFormat="false" ht="15" hidden="false" customHeight="false" outlineLevel="0" collapsed="false">
      <c r="A295" s="8" t="n">
        <v>291</v>
      </c>
      <c r="B295" s="13"/>
      <c r="C295" s="12"/>
      <c r="D295" s="13"/>
      <c r="E295" s="24"/>
      <c r="F295" s="14" t="str">
        <f aca="false">IF(OR($D295="",$B295=""),"",INT(($B295-$D295)/365.25))</f>
        <v/>
      </c>
      <c r="G295" s="25"/>
      <c r="H295" s="25"/>
      <c r="I295" s="12"/>
      <c r="J295" s="14" t="str">
        <f aca="false">IF(OR($C295="",$D295="",$B295="",$G295=""),"",IF(COUNTIFS($C$5:$C$804,$C295,$D$5:$D$804,$D295,$B$5:$B$804,$B295,$G$5:$G$804,$G295)&gt;1,"Takror",""))</f>
        <v/>
      </c>
    </row>
    <row r="296" customFormat="false" ht="15" hidden="false" customHeight="false" outlineLevel="0" collapsed="false">
      <c r="A296" s="8" t="n">
        <v>292</v>
      </c>
      <c r="B296" s="13"/>
      <c r="C296" s="12"/>
      <c r="D296" s="13"/>
      <c r="E296" s="24"/>
      <c r="F296" s="14" t="str">
        <f aca="false">IF(OR($D296="",$B296=""),"",INT(($B296-$D296)/365.25))</f>
        <v/>
      </c>
      <c r="G296" s="25"/>
      <c r="H296" s="25"/>
      <c r="I296" s="12"/>
      <c r="J296" s="14" t="str">
        <f aca="false">IF(OR($C296="",$D296="",$B296="",$G296=""),"",IF(COUNTIFS($C$5:$C$804,$C296,$D$5:$D$804,$D296,$B$5:$B$804,$B296,$G$5:$G$804,$G296)&gt;1,"Takror",""))</f>
        <v/>
      </c>
    </row>
    <row r="297" customFormat="false" ht="15" hidden="false" customHeight="false" outlineLevel="0" collapsed="false">
      <c r="A297" s="8" t="n">
        <v>293</v>
      </c>
      <c r="B297" s="13"/>
      <c r="C297" s="12"/>
      <c r="D297" s="13"/>
      <c r="E297" s="24"/>
      <c r="F297" s="14" t="str">
        <f aca="false">IF(OR($D297="",$B297=""),"",INT(($B297-$D297)/365.25))</f>
        <v/>
      </c>
      <c r="G297" s="25"/>
      <c r="H297" s="25"/>
      <c r="I297" s="12"/>
      <c r="J297" s="14" t="str">
        <f aca="false">IF(OR($C297="",$D297="",$B297="",$G297=""),"",IF(COUNTIFS($C$5:$C$804,$C297,$D$5:$D$804,$D297,$B$5:$B$804,$B297,$G$5:$G$804,$G297)&gt;1,"Takror",""))</f>
        <v/>
      </c>
    </row>
    <row r="298" customFormat="false" ht="15" hidden="false" customHeight="false" outlineLevel="0" collapsed="false">
      <c r="A298" s="8" t="n">
        <v>294</v>
      </c>
      <c r="B298" s="13"/>
      <c r="C298" s="12"/>
      <c r="D298" s="13"/>
      <c r="E298" s="24"/>
      <c r="F298" s="14" t="str">
        <f aca="false">IF(OR($D298="",$B298=""),"",INT(($B298-$D298)/365.25))</f>
        <v/>
      </c>
      <c r="G298" s="25"/>
      <c r="H298" s="25"/>
      <c r="I298" s="12"/>
      <c r="J298" s="14" t="str">
        <f aca="false">IF(OR($C298="",$D298="",$B298="",$G298=""),"",IF(COUNTIFS($C$5:$C$804,$C298,$D$5:$D$804,$D298,$B$5:$B$804,$B298,$G$5:$G$804,$G298)&gt;1,"Takror",""))</f>
        <v/>
      </c>
    </row>
    <row r="299" customFormat="false" ht="15" hidden="false" customHeight="false" outlineLevel="0" collapsed="false">
      <c r="A299" s="8" t="n">
        <v>295</v>
      </c>
      <c r="B299" s="13"/>
      <c r="C299" s="12"/>
      <c r="D299" s="13"/>
      <c r="E299" s="24"/>
      <c r="F299" s="14" t="str">
        <f aca="false">IF(OR($D299="",$B299=""),"",INT(($B299-$D299)/365.25))</f>
        <v/>
      </c>
      <c r="G299" s="25"/>
      <c r="H299" s="25"/>
      <c r="I299" s="12"/>
      <c r="J299" s="14" t="str">
        <f aca="false">IF(OR($C299="",$D299="",$B299="",$G299=""),"",IF(COUNTIFS($C$5:$C$804,$C299,$D$5:$D$804,$D299,$B$5:$B$804,$B299,$G$5:$G$804,$G299)&gt;1,"Takror",""))</f>
        <v/>
      </c>
    </row>
    <row r="300" customFormat="false" ht="15" hidden="false" customHeight="false" outlineLevel="0" collapsed="false">
      <c r="A300" s="8" t="n">
        <v>296</v>
      </c>
      <c r="B300" s="13"/>
      <c r="C300" s="12"/>
      <c r="D300" s="13"/>
      <c r="E300" s="24"/>
      <c r="F300" s="14" t="str">
        <f aca="false">IF(OR($D300="",$B300=""),"",INT(($B300-$D300)/365.25))</f>
        <v/>
      </c>
      <c r="G300" s="25"/>
      <c r="H300" s="25"/>
      <c r="I300" s="12"/>
      <c r="J300" s="14" t="str">
        <f aca="false">IF(OR($C300="",$D300="",$B300="",$G300=""),"",IF(COUNTIFS($C$5:$C$804,$C300,$D$5:$D$804,$D300,$B$5:$B$804,$B300,$G$5:$G$804,$G300)&gt;1,"Takror",""))</f>
        <v/>
      </c>
    </row>
    <row r="301" customFormat="false" ht="15" hidden="false" customHeight="false" outlineLevel="0" collapsed="false">
      <c r="A301" s="8" t="n">
        <v>297</v>
      </c>
      <c r="B301" s="13"/>
      <c r="C301" s="12"/>
      <c r="D301" s="13"/>
      <c r="E301" s="24"/>
      <c r="F301" s="14" t="str">
        <f aca="false">IF(OR($D301="",$B301=""),"",INT(($B301-$D301)/365.25))</f>
        <v/>
      </c>
      <c r="G301" s="25"/>
      <c r="H301" s="25"/>
      <c r="I301" s="12"/>
      <c r="J301" s="14" t="str">
        <f aca="false">IF(OR($C301="",$D301="",$B301="",$G301=""),"",IF(COUNTIFS($C$5:$C$804,$C301,$D$5:$D$804,$D301,$B$5:$B$804,$B301,$G$5:$G$804,$G301)&gt;1,"Takror",""))</f>
        <v/>
      </c>
    </row>
    <row r="302" customFormat="false" ht="15" hidden="false" customHeight="false" outlineLevel="0" collapsed="false">
      <c r="A302" s="8" t="n">
        <v>298</v>
      </c>
      <c r="B302" s="13"/>
      <c r="C302" s="12"/>
      <c r="D302" s="13"/>
      <c r="E302" s="24"/>
      <c r="F302" s="14" t="str">
        <f aca="false">IF(OR($D302="",$B302=""),"",INT(($B302-$D302)/365.25))</f>
        <v/>
      </c>
      <c r="G302" s="25"/>
      <c r="H302" s="25"/>
      <c r="I302" s="12"/>
      <c r="J302" s="14" t="str">
        <f aca="false">IF(OR($C302="",$D302="",$B302="",$G302=""),"",IF(COUNTIFS($C$5:$C$804,$C302,$D$5:$D$804,$D302,$B$5:$B$804,$B302,$G$5:$G$804,$G302)&gt;1,"Takror",""))</f>
        <v/>
      </c>
    </row>
    <row r="303" customFormat="false" ht="15" hidden="false" customHeight="false" outlineLevel="0" collapsed="false">
      <c r="A303" s="8" t="n">
        <v>299</v>
      </c>
      <c r="B303" s="13"/>
      <c r="C303" s="12"/>
      <c r="D303" s="13"/>
      <c r="E303" s="24"/>
      <c r="F303" s="14" t="str">
        <f aca="false">IF(OR($D303="",$B303=""),"",INT(($B303-$D303)/365.25))</f>
        <v/>
      </c>
      <c r="G303" s="25"/>
      <c r="H303" s="25"/>
      <c r="I303" s="12"/>
      <c r="J303" s="14" t="str">
        <f aca="false">IF(OR($C303="",$D303="",$B303="",$G303=""),"",IF(COUNTIFS($C$5:$C$804,$C303,$D$5:$D$804,$D303,$B$5:$B$804,$B303,$G$5:$G$804,$G303)&gt;1,"Takror",""))</f>
        <v/>
      </c>
    </row>
    <row r="304" customFormat="false" ht="15" hidden="false" customHeight="false" outlineLevel="0" collapsed="false">
      <c r="A304" s="8" t="n">
        <v>300</v>
      </c>
      <c r="B304" s="13"/>
      <c r="C304" s="12"/>
      <c r="D304" s="13"/>
      <c r="E304" s="24"/>
      <c r="F304" s="14" t="str">
        <f aca="false">IF(OR($D304="",$B304=""),"",INT(($B304-$D304)/365.25))</f>
        <v/>
      </c>
      <c r="G304" s="25"/>
      <c r="H304" s="25"/>
      <c r="I304" s="12"/>
      <c r="J304" s="14" t="str">
        <f aca="false">IF(OR($C304="",$D304="",$B304="",$G304=""),"",IF(COUNTIFS($C$5:$C$804,$C304,$D$5:$D$804,$D304,$B$5:$B$804,$B304,$G$5:$G$804,$G304)&gt;1,"Takror",""))</f>
        <v/>
      </c>
    </row>
    <row r="305" customFormat="false" ht="15" hidden="false" customHeight="false" outlineLevel="0" collapsed="false">
      <c r="A305" s="8" t="n">
        <v>301</v>
      </c>
      <c r="B305" s="13"/>
      <c r="C305" s="12"/>
      <c r="D305" s="13"/>
      <c r="E305" s="24"/>
      <c r="F305" s="14" t="str">
        <f aca="false">IF(OR($D305="",$B305=""),"",INT(($B305-$D305)/365.25))</f>
        <v/>
      </c>
      <c r="G305" s="25"/>
      <c r="H305" s="25"/>
      <c r="I305" s="12"/>
      <c r="J305" s="14" t="str">
        <f aca="false">IF(OR($C305="",$D305="",$B305="",$G305=""),"",IF(COUNTIFS($C$5:$C$804,$C305,$D$5:$D$804,$D305,$B$5:$B$804,$B305,$G$5:$G$804,$G305)&gt;1,"Takror",""))</f>
        <v/>
      </c>
    </row>
    <row r="306" customFormat="false" ht="15" hidden="false" customHeight="false" outlineLevel="0" collapsed="false">
      <c r="A306" s="8" t="n">
        <v>302</v>
      </c>
      <c r="B306" s="13"/>
      <c r="C306" s="12"/>
      <c r="D306" s="13"/>
      <c r="E306" s="24"/>
      <c r="F306" s="14" t="str">
        <f aca="false">IF(OR($D306="",$B306=""),"",INT(($B306-$D306)/365.25))</f>
        <v/>
      </c>
      <c r="G306" s="25"/>
      <c r="H306" s="25"/>
      <c r="I306" s="12"/>
      <c r="J306" s="14" t="str">
        <f aca="false">IF(OR($C306="",$D306="",$B306="",$G306=""),"",IF(COUNTIFS($C$5:$C$804,$C306,$D$5:$D$804,$D306,$B$5:$B$804,$B306,$G$5:$G$804,$G306)&gt;1,"Takror",""))</f>
        <v/>
      </c>
    </row>
    <row r="307" customFormat="false" ht="15" hidden="false" customHeight="false" outlineLevel="0" collapsed="false">
      <c r="A307" s="8" t="n">
        <v>303</v>
      </c>
      <c r="B307" s="13"/>
      <c r="C307" s="12"/>
      <c r="D307" s="13"/>
      <c r="E307" s="24"/>
      <c r="F307" s="14" t="str">
        <f aca="false">IF(OR($D307="",$B307=""),"",INT(($B307-$D307)/365.25))</f>
        <v/>
      </c>
      <c r="G307" s="25"/>
      <c r="H307" s="25"/>
      <c r="I307" s="12"/>
      <c r="J307" s="14" t="str">
        <f aca="false">IF(OR($C307="",$D307="",$B307="",$G307=""),"",IF(COUNTIFS($C$5:$C$804,$C307,$D$5:$D$804,$D307,$B$5:$B$804,$B307,$G$5:$G$804,$G307)&gt;1,"Takror",""))</f>
        <v/>
      </c>
    </row>
    <row r="308" customFormat="false" ht="15" hidden="false" customHeight="false" outlineLevel="0" collapsed="false">
      <c r="A308" s="8" t="n">
        <v>304</v>
      </c>
      <c r="B308" s="13"/>
      <c r="C308" s="12"/>
      <c r="D308" s="13"/>
      <c r="E308" s="24"/>
      <c r="F308" s="14" t="str">
        <f aca="false">IF(OR($D308="",$B308=""),"",INT(($B308-$D308)/365.25))</f>
        <v/>
      </c>
      <c r="G308" s="25"/>
      <c r="H308" s="25"/>
      <c r="I308" s="12"/>
      <c r="J308" s="14" t="str">
        <f aca="false">IF(OR($C308="",$D308="",$B308="",$G308=""),"",IF(COUNTIFS($C$5:$C$804,$C308,$D$5:$D$804,$D308,$B$5:$B$804,$B308,$G$5:$G$804,$G308)&gt;1,"Takror",""))</f>
        <v/>
      </c>
    </row>
    <row r="309" customFormat="false" ht="15" hidden="false" customHeight="false" outlineLevel="0" collapsed="false">
      <c r="A309" s="8" t="n">
        <v>305</v>
      </c>
      <c r="B309" s="13"/>
      <c r="C309" s="12"/>
      <c r="D309" s="13"/>
      <c r="E309" s="24"/>
      <c r="F309" s="14" t="str">
        <f aca="false">IF(OR($D309="",$B309=""),"",INT(($B309-$D309)/365.25))</f>
        <v/>
      </c>
      <c r="G309" s="25"/>
      <c r="H309" s="25"/>
      <c r="I309" s="12"/>
      <c r="J309" s="14" t="str">
        <f aca="false">IF(OR($C309="",$D309="",$B309="",$G309=""),"",IF(COUNTIFS($C$5:$C$804,$C309,$D$5:$D$804,$D309,$B$5:$B$804,$B309,$G$5:$G$804,$G309)&gt;1,"Takror",""))</f>
        <v/>
      </c>
    </row>
    <row r="310" customFormat="false" ht="15" hidden="false" customHeight="false" outlineLevel="0" collapsed="false">
      <c r="A310" s="8" t="n">
        <v>306</v>
      </c>
      <c r="B310" s="13"/>
      <c r="C310" s="12"/>
      <c r="D310" s="13"/>
      <c r="E310" s="24"/>
      <c r="F310" s="14" t="str">
        <f aca="false">IF(OR($D310="",$B310=""),"",INT(($B310-$D310)/365.25))</f>
        <v/>
      </c>
      <c r="G310" s="25"/>
      <c r="H310" s="25"/>
      <c r="I310" s="12"/>
      <c r="J310" s="14" t="str">
        <f aca="false">IF(OR($C310="",$D310="",$B310="",$G310=""),"",IF(COUNTIFS($C$5:$C$804,$C310,$D$5:$D$804,$D310,$B$5:$B$804,$B310,$G$5:$G$804,$G310)&gt;1,"Takror",""))</f>
        <v/>
      </c>
    </row>
    <row r="311" customFormat="false" ht="15" hidden="false" customHeight="false" outlineLevel="0" collapsed="false">
      <c r="A311" s="8" t="n">
        <v>307</v>
      </c>
      <c r="B311" s="13"/>
      <c r="C311" s="12"/>
      <c r="D311" s="13"/>
      <c r="E311" s="24"/>
      <c r="F311" s="14" t="str">
        <f aca="false">IF(OR($D311="",$B311=""),"",INT(($B311-$D311)/365.25))</f>
        <v/>
      </c>
      <c r="G311" s="25"/>
      <c r="H311" s="25"/>
      <c r="I311" s="12"/>
      <c r="J311" s="14" t="str">
        <f aca="false">IF(OR($C311="",$D311="",$B311="",$G311=""),"",IF(COUNTIFS($C$5:$C$804,$C311,$D$5:$D$804,$D311,$B$5:$B$804,$B311,$G$5:$G$804,$G311)&gt;1,"Takror",""))</f>
        <v/>
      </c>
    </row>
    <row r="312" customFormat="false" ht="15" hidden="false" customHeight="false" outlineLevel="0" collapsed="false">
      <c r="A312" s="8" t="n">
        <v>308</v>
      </c>
      <c r="B312" s="13"/>
      <c r="C312" s="12"/>
      <c r="D312" s="13"/>
      <c r="E312" s="24"/>
      <c r="F312" s="14" t="str">
        <f aca="false">IF(OR($D312="",$B312=""),"",INT(($B312-$D312)/365.25))</f>
        <v/>
      </c>
      <c r="G312" s="25"/>
      <c r="H312" s="25"/>
      <c r="I312" s="12"/>
      <c r="J312" s="14" t="str">
        <f aca="false">IF(OR($C312="",$D312="",$B312="",$G312=""),"",IF(COUNTIFS($C$5:$C$804,$C312,$D$5:$D$804,$D312,$B$5:$B$804,$B312,$G$5:$G$804,$G312)&gt;1,"Takror",""))</f>
        <v/>
      </c>
    </row>
    <row r="313" customFormat="false" ht="15" hidden="false" customHeight="false" outlineLevel="0" collapsed="false">
      <c r="A313" s="8" t="n">
        <v>309</v>
      </c>
      <c r="B313" s="13"/>
      <c r="C313" s="12"/>
      <c r="D313" s="13"/>
      <c r="E313" s="24"/>
      <c r="F313" s="14" t="str">
        <f aca="false">IF(OR($D313="",$B313=""),"",INT(($B313-$D313)/365.25))</f>
        <v/>
      </c>
      <c r="G313" s="25"/>
      <c r="H313" s="25"/>
      <c r="I313" s="12"/>
      <c r="J313" s="14" t="str">
        <f aca="false">IF(OR($C313="",$D313="",$B313="",$G313=""),"",IF(COUNTIFS($C$5:$C$804,$C313,$D$5:$D$804,$D313,$B$5:$B$804,$B313,$G$5:$G$804,$G313)&gt;1,"Takror",""))</f>
        <v/>
      </c>
    </row>
    <row r="314" customFormat="false" ht="15" hidden="false" customHeight="false" outlineLevel="0" collapsed="false">
      <c r="A314" s="8" t="n">
        <v>310</v>
      </c>
      <c r="B314" s="13"/>
      <c r="C314" s="12"/>
      <c r="D314" s="13"/>
      <c r="E314" s="24"/>
      <c r="F314" s="14" t="str">
        <f aca="false">IF(OR($D314="",$B314=""),"",INT(($B314-$D314)/365.25))</f>
        <v/>
      </c>
      <c r="G314" s="25"/>
      <c r="H314" s="25"/>
      <c r="I314" s="12"/>
      <c r="J314" s="14" t="str">
        <f aca="false">IF(OR($C314="",$D314="",$B314="",$G314=""),"",IF(COUNTIFS($C$5:$C$804,$C314,$D$5:$D$804,$D314,$B$5:$B$804,$B314,$G$5:$G$804,$G314)&gt;1,"Takror",""))</f>
        <v/>
      </c>
    </row>
    <row r="315" customFormat="false" ht="15" hidden="false" customHeight="false" outlineLevel="0" collapsed="false">
      <c r="A315" s="8" t="n">
        <v>311</v>
      </c>
      <c r="B315" s="13"/>
      <c r="C315" s="12"/>
      <c r="D315" s="13"/>
      <c r="E315" s="24"/>
      <c r="F315" s="14" t="str">
        <f aca="false">IF(OR($D315="",$B315=""),"",INT(($B315-$D315)/365.25))</f>
        <v/>
      </c>
      <c r="G315" s="25"/>
      <c r="H315" s="25"/>
      <c r="I315" s="12"/>
      <c r="J315" s="14" t="str">
        <f aca="false">IF(OR($C315="",$D315="",$B315="",$G315=""),"",IF(COUNTIFS($C$5:$C$804,$C315,$D$5:$D$804,$D315,$B$5:$B$804,$B315,$G$5:$G$804,$G315)&gt;1,"Takror",""))</f>
        <v/>
      </c>
    </row>
    <row r="316" customFormat="false" ht="15" hidden="false" customHeight="false" outlineLevel="0" collapsed="false">
      <c r="A316" s="8" t="n">
        <v>312</v>
      </c>
      <c r="B316" s="13"/>
      <c r="C316" s="12"/>
      <c r="D316" s="13"/>
      <c r="E316" s="24"/>
      <c r="F316" s="14" t="str">
        <f aca="false">IF(OR($D316="",$B316=""),"",INT(($B316-$D316)/365.25))</f>
        <v/>
      </c>
      <c r="G316" s="25"/>
      <c r="H316" s="25"/>
      <c r="I316" s="12"/>
      <c r="J316" s="14" t="str">
        <f aca="false">IF(OR($C316="",$D316="",$B316="",$G316=""),"",IF(COUNTIFS($C$5:$C$804,$C316,$D$5:$D$804,$D316,$B$5:$B$804,$B316,$G$5:$G$804,$G316)&gt;1,"Takror",""))</f>
        <v/>
      </c>
    </row>
    <row r="317" customFormat="false" ht="15" hidden="false" customHeight="false" outlineLevel="0" collapsed="false">
      <c r="A317" s="8" t="n">
        <v>313</v>
      </c>
      <c r="B317" s="13"/>
      <c r="C317" s="12"/>
      <c r="D317" s="13"/>
      <c r="E317" s="24"/>
      <c r="F317" s="14" t="str">
        <f aca="false">IF(OR($D317="",$B317=""),"",INT(($B317-$D317)/365.25))</f>
        <v/>
      </c>
      <c r="G317" s="25"/>
      <c r="H317" s="25"/>
      <c r="I317" s="12"/>
      <c r="J317" s="14" t="str">
        <f aca="false">IF(OR($C317="",$D317="",$B317="",$G317=""),"",IF(COUNTIFS($C$5:$C$804,$C317,$D$5:$D$804,$D317,$B$5:$B$804,$B317,$G$5:$G$804,$G317)&gt;1,"Takror",""))</f>
        <v/>
      </c>
    </row>
    <row r="318" customFormat="false" ht="15" hidden="false" customHeight="false" outlineLevel="0" collapsed="false">
      <c r="A318" s="8" t="n">
        <v>314</v>
      </c>
      <c r="B318" s="13"/>
      <c r="C318" s="12"/>
      <c r="D318" s="13"/>
      <c r="E318" s="24"/>
      <c r="F318" s="14" t="str">
        <f aca="false">IF(OR($D318="",$B318=""),"",INT(($B318-$D318)/365.25))</f>
        <v/>
      </c>
      <c r="G318" s="25"/>
      <c r="H318" s="25"/>
      <c r="I318" s="12"/>
      <c r="J318" s="14" t="str">
        <f aca="false">IF(OR($C318="",$D318="",$B318="",$G318=""),"",IF(COUNTIFS($C$5:$C$804,$C318,$D$5:$D$804,$D318,$B$5:$B$804,$B318,$G$5:$G$804,$G318)&gt;1,"Takror",""))</f>
        <v/>
      </c>
    </row>
    <row r="319" customFormat="false" ht="15" hidden="false" customHeight="false" outlineLevel="0" collapsed="false">
      <c r="A319" s="8" t="n">
        <v>315</v>
      </c>
      <c r="B319" s="13"/>
      <c r="C319" s="12"/>
      <c r="D319" s="13"/>
      <c r="E319" s="24"/>
      <c r="F319" s="14" t="str">
        <f aca="false">IF(OR($D319="",$B319=""),"",INT(($B319-$D319)/365.25))</f>
        <v/>
      </c>
      <c r="G319" s="25"/>
      <c r="H319" s="25"/>
      <c r="I319" s="12"/>
      <c r="J319" s="14" t="str">
        <f aca="false">IF(OR($C319="",$D319="",$B319="",$G319=""),"",IF(COUNTIFS($C$5:$C$804,$C319,$D$5:$D$804,$D319,$B$5:$B$804,$B319,$G$5:$G$804,$G319)&gt;1,"Takror",""))</f>
        <v/>
      </c>
    </row>
    <row r="320" customFormat="false" ht="15" hidden="false" customHeight="false" outlineLevel="0" collapsed="false">
      <c r="A320" s="8" t="n">
        <v>316</v>
      </c>
      <c r="B320" s="13"/>
      <c r="C320" s="12"/>
      <c r="D320" s="13"/>
      <c r="E320" s="24"/>
      <c r="F320" s="14" t="str">
        <f aca="false">IF(OR($D320="",$B320=""),"",INT(($B320-$D320)/365.25))</f>
        <v/>
      </c>
      <c r="G320" s="25"/>
      <c r="H320" s="25"/>
      <c r="I320" s="12"/>
      <c r="J320" s="14" t="str">
        <f aca="false">IF(OR($C320="",$D320="",$B320="",$G320=""),"",IF(COUNTIFS($C$5:$C$804,$C320,$D$5:$D$804,$D320,$B$5:$B$804,$B320,$G$5:$G$804,$G320)&gt;1,"Takror",""))</f>
        <v/>
      </c>
    </row>
    <row r="321" customFormat="false" ht="15" hidden="false" customHeight="false" outlineLevel="0" collapsed="false">
      <c r="A321" s="8" t="n">
        <v>317</v>
      </c>
      <c r="B321" s="13"/>
      <c r="C321" s="12"/>
      <c r="D321" s="13"/>
      <c r="E321" s="24"/>
      <c r="F321" s="14" t="str">
        <f aca="false">IF(OR($D321="",$B321=""),"",INT(($B321-$D321)/365.25))</f>
        <v/>
      </c>
      <c r="G321" s="25"/>
      <c r="H321" s="25"/>
      <c r="I321" s="12"/>
      <c r="J321" s="14" t="str">
        <f aca="false">IF(OR($C321="",$D321="",$B321="",$G321=""),"",IF(COUNTIFS($C$5:$C$804,$C321,$D$5:$D$804,$D321,$B$5:$B$804,$B321,$G$5:$G$804,$G321)&gt;1,"Takror",""))</f>
        <v/>
      </c>
    </row>
    <row r="322" customFormat="false" ht="15" hidden="false" customHeight="false" outlineLevel="0" collapsed="false">
      <c r="A322" s="8" t="n">
        <v>318</v>
      </c>
      <c r="B322" s="13"/>
      <c r="C322" s="12"/>
      <c r="D322" s="13"/>
      <c r="E322" s="24"/>
      <c r="F322" s="14" t="str">
        <f aca="false">IF(OR($D322="",$B322=""),"",INT(($B322-$D322)/365.25))</f>
        <v/>
      </c>
      <c r="G322" s="25"/>
      <c r="H322" s="25"/>
      <c r="I322" s="12"/>
      <c r="J322" s="14" t="str">
        <f aca="false">IF(OR($C322="",$D322="",$B322="",$G322=""),"",IF(COUNTIFS($C$5:$C$804,$C322,$D$5:$D$804,$D322,$B$5:$B$804,$B322,$G$5:$G$804,$G322)&gt;1,"Takror",""))</f>
        <v/>
      </c>
    </row>
    <row r="323" customFormat="false" ht="15" hidden="false" customHeight="false" outlineLevel="0" collapsed="false">
      <c r="A323" s="8" t="n">
        <v>319</v>
      </c>
      <c r="B323" s="13"/>
      <c r="C323" s="12"/>
      <c r="D323" s="13"/>
      <c r="E323" s="24"/>
      <c r="F323" s="14" t="str">
        <f aca="false">IF(OR($D323="",$B323=""),"",INT(($B323-$D323)/365.25))</f>
        <v/>
      </c>
      <c r="G323" s="25"/>
      <c r="H323" s="25"/>
      <c r="I323" s="12"/>
      <c r="J323" s="14" t="str">
        <f aca="false">IF(OR($C323="",$D323="",$B323="",$G323=""),"",IF(COUNTIFS($C$5:$C$804,$C323,$D$5:$D$804,$D323,$B$5:$B$804,$B323,$G$5:$G$804,$G323)&gt;1,"Takror",""))</f>
        <v/>
      </c>
    </row>
    <row r="324" customFormat="false" ht="15" hidden="false" customHeight="false" outlineLevel="0" collapsed="false">
      <c r="A324" s="8" t="n">
        <v>320</v>
      </c>
      <c r="B324" s="13"/>
      <c r="C324" s="12"/>
      <c r="D324" s="13"/>
      <c r="E324" s="24"/>
      <c r="F324" s="14" t="str">
        <f aca="false">IF(OR($D324="",$B324=""),"",INT(($B324-$D324)/365.25))</f>
        <v/>
      </c>
      <c r="G324" s="25"/>
      <c r="H324" s="25"/>
      <c r="I324" s="12"/>
      <c r="J324" s="14" t="str">
        <f aca="false">IF(OR($C324="",$D324="",$B324="",$G324=""),"",IF(COUNTIFS($C$5:$C$804,$C324,$D$5:$D$804,$D324,$B$5:$B$804,$B324,$G$5:$G$804,$G324)&gt;1,"Takror",""))</f>
        <v/>
      </c>
    </row>
    <row r="325" customFormat="false" ht="15" hidden="false" customHeight="false" outlineLevel="0" collapsed="false">
      <c r="A325" s="8" t="n">
        <v>321</v>
      </c>
      <c r="B325" s="13"/>
      <c r="C325" s="12"/>
      <c r="D325" s="13"/>
      <c r="E325" s="24"/>
      <c r="F325" s="14" t="str">
        <f aca="false">IF(OR($D325="",$B325=""),"",INT(($B325-$D325)/365.25))</f>
        <v/>
      </c>
      <c r="G325" s="25"/>
      <c r="H325" s="25"/>
      <c r="I325" s="12"/>
      <c r="J325" s="14" t="str">
        <f aca="false">IF(OR($C325="",$D325="",$B325="",$G325=""),"",IF(COUNTIFS($C$5:$C$804,$C325,$D$5:$D$804,$D325,$B$5:$B$804,$B325,$G$5:$G$804,$G325)&gt;1,"Takror",""))</f>
        <v/>
      </c>
    </row>
    <row r="326" customFormat="false" ht="15" hidden="false" customHeight="false" outlineLevel="0" collapsed="false">
      <c r="A326" s="8" t="n">
        <v>322</v>
      </c>
      <c r="B326" s="13"/>
      <c r="C326" s="12"/>
      <c r="D326" s="13"/>
      <c r="E326" s="24"/>
      <c r="F326" s="14" t="str">
        <f aca="false">IF(OR($D326="",$B326=""),"",INT(($B326-$D326)/365.25))</f>
        <v/>
      </c>
      <c r="G326" s="25"/>
      <c r="H326" s="25"/>
      <c r="I326" s="12"/>
      <c r="J326" s="14" t="str">
        <f aca="false">IF(OR($C326="",$D326="",$B326="",$G326=""),"",IF(COUNTIFS($C$5:$C$804,$C326,$D$5:$D$804,$D326,$B$5:$B$804,$B326,$G$5:$G$804,$G326)&gt;1,"Takror",""))</f>
        <v/>
      </c>
    </row>
    <row r="327" customFormat="false" ht="15" hidden="false" customHeight="false" outlineLevel="0" collapsed="false">
      <c r="A327" s="8" t="n">
        <v>323</v>
      </c>
      <c r="B327" s="13"/>
      <c r="C327" s="12"/>
      <c r="D327" s="13"/>
      <c r="E327" s="24"/>
      <c r="F327" s="14" t="str">
        <f aca="false">IF(OR($D327="",$B327=""),"",INT(($B327-$D327)/365.25))</f>
        <v/>
      </c>
      <c r="G327" s="25"/>
      <c r="H327" s="25"/>
      <c r="I327" s="12"/>
      <c r="J327" s="14" t="str">
        <f aca="false">IF(OR($C327="",$D327="",$B327="",$G327=""),"",IF(COUNTIFS($C$5:$C$804,$C327,$D$5:$D$804,$D327,$B$5:$B$804,$B327,$G$5:$G$804,$G327)&gt;1,"Takror",""))</f>
        <v/>
      </c>
    </row>
    <row r="328" customFormat="false" ht="15" hidden="false" customHeight="false" outlineLevel="0" collapsed="false">
      <c r="A328" s="8" t="n">
        <v>324</v>
      </c>
      <c r="B328" s="13"/>
      <c r="C328" s="12"/>
      <c r="D328" s="13"/>
      <c r="E328" s="24"/>
      <c r="F328" s="14" t="str">
        <f aca="false">IF(OR($D328="",$B328=""),"",INT(($B328-$D328)/365.25))</f>
        <v/>
      </c>
      <c r="G328" s="25"/>
      <c r="H328" s="25"/>
      <c r="I328" s="12"/>
      <c r="J328" s="14" t="str">
        <f aca="false">IF(OR($C328="",$D328="",$B328="",$G328=""),"",IF(COUNTIFS($C$5:$C$804,$C328,$D$5:$D$804,$D328,$B$5:$B$804,$B328,$G$5:$G$804,$G328)&gt;1,"Takror",""))</f>
        <v/>
      </c>
    </row>
    <row r="329" customFormat="false" ht="15" hidden="false" customHeight="false" outlineLevel="0" collapsed="false">
      <c r="A329" s="8" t="n">
        <v>325</v>
      </c>
      <c r="B329" s="13"/>
      <c r="C329" s="12"/>
      <c r="D329" s="13"/>
      <c r="E329" s="24"/>
      <c r="F329" s="14" t="str">
        <f aca="false">IF(OR($D329="",$B329=""),"",INT(($B329-$D329)/365.25))</f>
        <v/>
      </c>
      <c r="G329" s="25"/>
      <c r="H329" s="25"/>
      <c r="I329" s="12"/>
      <c r="J329" s="14" t="str">
        <f aca="false">IF(OR($C329="",$D329="",$B329="",$G329=""),"",IF(COUNTIFS($C$5:$C$804,$C329,$D$5:$D$804,$D329,$B$5:$B$804,$B329,$G$5:$G$804,$G329)&gt;1,"Takror",""))</f>
        <v/>
      </c>
    </row>
    <row r="330" customFormat="false" ht="15" hidden="false" customHeight="false" outlineLevel="0" collapsed="false">
      <c r="A330" s="8" t="n">
        <v>326</v>
      </c>
      <c r="B330" s="13"/>
      <c r="C330" s="12"/>
      <c r="D330" s="13"/>
      <c r="E330" s="24"/>
      <c r="F330" s="14" t="str">
        <f aca="false">IF(OR($D330="",$B330=""),"",INT(($B330-$D330)/365.25))</f>
        <v/>
      </c>
      <c r="G330" s="25"/>
      <c r="H330" s="25"/>
      <c r="I330" s="12"/>
      <c r="J330" s="14" t="str">
        <f aca="false">IF(OR($C330="",$D330="",$B330="",$G330=""),"",IF(COUNTIFS($C$5:$C$804,$C330,$D$5:$D$804,$D330,$B$5:$B$804,$B330,$G$5:$G$804,$G330)&gt;1,"Takror",""))</f>
        <v/>
      </c>
    </row>
    <row r="331" customFormat="false" ht="15" hidden="false" customHeight="false" outlineLevel="0" collapsed="false">
      <c r="A331" s="8" t="n">
        <v>327</v>
      </c>
      <c r="B331" s="13"/>
      <c r="C331" s="12"/>
      <c r="D331" s="13"/>
      <c r="E331" s="24"/>
      <c r="F331" s="14" t="str">
        <f aca="false">IF(OR($D331="",$B331=""),"",INT(($B331-$D331)/365.25))</f>
        <v/>
      </c>
      <c r="G331" s="25"/>
      <c r="H331" s="25"/>
      <c r="I331" s="12"/>
      <c r="J331" s="14" t="str">
        <f aca="false">IF(OR($C331="",$D331="",$B331="",$G331=""),"",IF(COUNTIFS($C$5:$C$804,$C331,$D$5:$D$804,$D331,$B$5:$B$804,$B331,$G$5:$G$804,$G331)&gt;1,"Takror",""))</f>
        <v/>
      </c>
    </row>
    <row r="332" customFormat="false" ht="15" hidden="false" customHeight="false" outlineLevel="0" collapsed="false">
      <c r="A332" s="8" t="n">
        <v>328</v>
      </c>
      <c r="B332" s="13"/>
      <c r="C332" s="12"/>
      <c r="D332" s="13"/>
      <c r="E332" s="24"/>
      <c r="F332" s="14" t="str">
        <f aca="false">IF(OR($D332="",$B332=""),"",INT(($B332-$D332)/365.25))</f>
        <v/>
      </c>
      <c r="G332" s="25"/>
      <c r="H332" s="25"/>
      <c r="I332" s="12"/>
      <c r="J332" s="14" t="str">
        <f aca="false">IF(OR($C332="",$D332="",$B332="",$G332=""),"",IF(COUNTIFS($C$5:$C$804,$C332,$D$5:$D$804,$D332,$B$5:$B$804,$B332,$G$5:$G$804,$G332)&gt;1,"Takror",""))</f>
        <v/>
      </c>
    </row>
    <row r="333" customFormat="false" ht="15" hidden="false" customHeight="false" outlineLevel="0" collapsed="false">
      <c r="A333" s="8" t="n">
        <v>329</v>
      </c>
      <c r="B333" s="13"/>
      <c r="C333" s="12"/>
      <c r="D333" s="13"/>
      <c r="E333" s="24"/>
      <c r="F333" s="14" t="str">
        <f aca="false">IF(OR($D333="",$B333=""),"",INT(($B333-$D333)/365.25))</f>
        <v/>
      </c>
      <c r="G333" s="25"/>
      <c r="H333" s="25"/>
      <c r="I333" s="12"/>
      <c r="J333" s="14" t="str">
        <f aca="false">IF(OR($C333="",$D333="",$B333="",$G333=""),"",IF(COUNTIFS($C$5:$C$804,$C333,$D$5:$D$804,$D333,$B$5:$B$804,$B333,$G$5:$G$804,$G333)&gt;1,"Takror",""))</f>
        <v/>
      </c>
    </row>
    <row r="334" customFormat="false" ht="15" hidden="false" customHeight="false" outlineLevel="0" collapsed="false">
      <c r="A334" s="8" t="n">
        <v>330</v>
      </c>
      <c r="B334" s="13"/>
      <c r="C334" s="12"/>
      <c r="D334" s="13"/>
      <c r="E334" s="24"/>
      <c r="F334" s="14" t="str">
        <f aca="false">IF(OR($D334="",$B334=""),"",INT(($B334-$D334)/365.25))</f>
        <v/>
      </c>
      <c r="G334" s="25"/>
      <c r="H334" s="25"/>
      <c r="I334" s="12"/>
      <c r="J334" s="14" t="str">
        <f aca="false">IF(OR($C334="",$D334="",$B334="",$G334=""),"",IF(COUNTIFS($C$5:$C$804,$C334,$D$5:$D$804,$D334,$B$5:$B$804,$B334,$G$5:$G$804,$G334)&gt;1,"Takror",""))</f>
        <v/>
      </c>
    </row>
    <row r="335" customFormat="false" ht="15" hidden="false" customHeight="false" outlineLevel="0" collapsed="false">
      <c r="A335" s="8" t="n">
        <v>331</v>
      </c>
      <c r="B335" s="13"/>
      <c r="C335" s="12"/>
      <c r="D335" s="13"/>
      <c r="E335" s="24"/>
      <c r="F335" s="14" t="str">
        <f aca="false">IF(OR($D335="",$B335=""),"",INT(($B335-$D335)/365.25))</f>
        <v/>
      </c>
      <c r="G335" s="25"/>
      <c r="H335" s="25"/>
      <c r="I335" s="12"/>
      <c r="J335" s="14" t="str">
        <f aca="false">IF(OR($C335="",$D335="",$B335="",$G335=""),"",IF(COUNTIFS($C$5:$C$804,$C335,$D$5:$D$804,$D335,$B$5:$B$804,$B335,$G$5:$G$804,$G335)&gt;1,"Takror",""))</f>
        <v/>
      </c>
    </row>
    <row r="336" customFormat="false" ht="15" hidden="false" customHeight="false" outlineLevel="0" collapsed="false">
      <c r="A336" s="8" t="n">
        <v>332</v>
      </c>
      <c r="B336" s="13"/>
      <c r="C336" s="12"/>
      <c r="D336" s="13"/>
      <c r="E336" s="24"/>
      <c r="F336" s="14" t="str">
        <f aca="false">IF(OR($D336="",$B336=""),"",INT(($B336-$D336)/365.25))</f>
        <v/>
      </c>
      <c r="G336" s="25"/>
      <c r="H336" s="25"/>
      <c r="I336" s="12"/>
      <c r="J336" s="14" t="str">
        <f aca="false">IF(OR($C336="",$D336="",$B336="",$G336=""),"",IF(COUNTIFS($C$5:$C$804,$C336,$D$5:$D$804,$D336,$B$5:$B$804,$B336,$G$5:$G$804,$G336)&gt;1,"Takror",""))</f>
        <v/>
      </c>
    </row>
    <row r="337" customFormat="false" ht="15" hidden="false" customHeight="false" outlineLevel="0" collapsed="false">
      <c r="A337" s="8" t="n">
        <v>333</v>
      </c>
      <c r="B337" s="13"/>
      <c r="C337" s="12"/>
      <c r="D337" s="13"/>
      <c r="E337" s="24"/>
      <c r="F337" s="14" t="str">
        <f aca="false">IF(OR($D337="",$B337=""),"",INT(($B337-$D337)/365.25))</f>
        <v/>
      </c>
      <c r="G337" s="25"/>
      <c r="H337" s="25"/>
      <c r="I337" s="12"/>
      <c r="J337" s="14" t="str">
        <f aca="false">IF(OR($C337="",$D337="",$B337="",$G337=""),"",IF(COUNTIFS($C$5:$C$804,$C337,$D$5:$D$804,$D337,$B$5:$B$804,$B337,$G$5:$G$804,$G337)&gt;1,"Takror",""))</f>
        <v/>
      </c>
    </row>
    <row r="338" customFormat="false" ht="15" hidden="false" customHeight="false" outlineLevel="0" collapsed="false">
      <c r="A338" s="8" t="n">
        <v>334</v>
      </c>
      <c r="B338" s="13"/>
      <c r="C338" s="12"/>
      <c r="D338" s="13"/>
      <c r="E338" s="24"/>
      <c r="F338" s="14" t="str">
        <f aca="false">IF(OR($D338="",$B338=""),"",INT(($B338-$D338)/365.25))</f>
        <v/>
      </c>
      <c r="G338" s="25"/>
      <c r="H338" s="25"/>
      <c r="I338" s="12"/>
      <c r="J338" s="14" t="str">
        <f aca="false">IF(OR($C338="",$D338="",$B338="",$G338=""),"",IF(COUNTIFS($C$5:$C$804,$C338,$D$5:$D$804,$D338,$B$5:$B$804,$B338,$G$5:$G$804,$G338)&gt;1,"Takror",""))</f>
        <v/>
      </c>
    </row>
    <row r="339" customFormat="false" ht="15" hidden="false" customHeight="false" outlineLevel="0" collapsed="false">
      <c r="A339" s="8" t="n">
        <v>335</v>
      </c>
      <c r="B339" s="13"/>
      <c r="C339" s="12"/>
      <c r="D339" s="13"/>
      <c r="E339" s="24"/>
      <c r="F339" s="14" t="str">
        <f aca="false">IF(OR($D339="",$B339=""),"",INT(($B339-$D339)/365.25))</f>
        <v/>
      </c>
      <c r="G339" s="25"/>
      <c r="H339" s="25"/>
      <c r="I339" s="12"/>
      <c r="J339" s="14" t="str">
        <f aca="false">IF(OR($C339="",$D339="",$B339="",$G339=""),"",IF(COUNTIFS($C$5:$C$804,$C339,$D$5:$D$804,$D339,$B$5:$B$804,$B339,$G$5:$G$804,$G339)&gt;1,"Takror",""))</f>
        <v/>
      </c>
    </row>
    <row r="340" customFormat="false" ht="15" hidden="false" customHeight="false" outlineLevel="0" collapsed="false">
      <c r="A340" s="8" t="n">
        <v>336</v>
      </c>
      <c r="B340" s="13"/>
      <c r="C340" s="12"/>
      <c r="D340" s="13"/>
      <c r="E340" s="24"/>
      <c r="F340" s="14" t="str">
        <f aca="false">IF(OR($D340="",$B340=""),"",INT(($B340-$D340)/365.25))</f>
        <v/>
      </c>
      <c r="G340" s="25"/>
      <c r="H340" s="25"/>
      <c r="I340" s="12"/>
      <c r="J340" s="14" t="str">
        <f aca="false">IF(OR($C340="",$D340="",$B340="",$G340=""),"",IF(COUNTIFS($C$5:$C$804,$C340,$D$5:$D$804,$D340,$B$5:$B$804,$B340,$G$5:$G$804,$G340)&gt;1,"Takror",""))</f>
        <v/>
      </c>
    </row>
    <row r="341" customFormat="false" ht="15" hidden="false" customHeight="false" outlineLevel="0" collapsed="false">
      <c r="A341" s="8" t="n">
        <v>337</v>
      </c>
      <c r="B341" s="13"/>
      <c r="C341" s="12"/>
      <c r="D341" s="13"/>
      <c r="E341" s="24"/>
      <c r="F341" s="14" t="str">
        <f aca="false">IF(OR($D341="",$B341=""),"",INT(($B341-$D341)/365.25))</f>
        <v/>
      </c>
      <c r="G341" s="25"/>
      <c r="H341" s="25"/>
      <c r="I341" s="12"/>
      <c r="J341" s="14" t="str">
        <f aca="false">IF(OR($C341="",$D341="",$B341="",$G341=""),"",IF(COUNTIFS($C$5:$C$804,$C341,$D$5:$D$804,$D341,$B$5:$B$804,$B341,$G$5:$G$804,$G341)&gt;1,"Takror",""))</f>
        <v/>
      </c>
    </row>
    <row r="342" customFormat="false" ht="15" hidden="false" customHeight="false" outlineLevel="0" collapsed="false">
      <c r="A342" s="8" t="n">
        <v>338</v>
      </c>
      <c r="B342" s="13"/>
      <c r="C342" s="12"/>
      <c r="D342" s="13"/>
      <c r="E342" s="24"/>
      <c r="F342" s="14" t="str">
        <f aca="false">IF(OR($D342="",$B342=""),"",INT(($B342-$D342)/365.25))</f>
        <v/>
      </c>
      <c r="G342" s="25"/>
      <c r="H342" s="25"/>
      <c r="I342" s="12"/>
      <c r="J342" s="14" t="str">
        <f aca="false">IF(OR($C342="",$D342="",$B342="",$G342=""),"",IF(COUNTIFS($C$5:$C$804,$C342,$D$5:$D$804,$D342,$B$5:$B$804,$B342,$G$5:$G$804,$G342)&gt;1,"Takror",""))</f>
        <v/>
      </c>
    </row>
    <row r="343" customFormat="false" ht="15" hidden="false" customHeight="false" outlineLevel="0" collapsed="false">
      <c r="A343" s="8" t="n">
        <v>339</v>
      </c>
      <c r="B343" s="13"/>
      <c r="C343" s="12"/>
      <c r="D343" s="13"/>
      <c r="E343" s="24"/>
      <c r="F343" s="14" t="str">
        <f aca="false">IF(OR($D343="",$B343=""),"",INT(($B343-$D343)/365.25))</f>
        <v/>
      </c>
      <c r="G343" s="25"/>
      <c r="H343" s="25"/>
      <c r="I343" s="12"/>
      <c r="J343" s="14" t="str">
        <f aca="false">IF(OR($C343="",$D343="",$B343="",$G343=""),"",IF(COUNTIFS($C$5:$C$804,$C343,$D$5:$D$804,$D343,$B$5:$B$804,$B343,$G$5:$G$804,$G343)&gt;1,"Takror",""))</f>
        <v/>
      </c>
    </row>
    <row r="344" customFormat="false" ht="15" hidden="false" customHeight="false" outlineLevel="0" collapsed="false">
      <c r="A344" s="8" t="n">
        <v>340</v>
      </c>
      <c r="B344" s="13"/>
      <c r="C344" s="12"/>
      <c r="D344" s="13"/>
      <c r="E344" s="24"/>
      <c r="F344" s="14" t="str">
        <f aca="false">IF(OR($D344="",$B344=""),"",INT(($B344-$D344)/365.25))</f>
        <v/>
      </c>
      <c r="G344" s="25"/>
      <c r="H344" s="25"/>
      <c r="I344" s="12"/>
      <c r="J344" s="14" t="str">
        <f aca="false">IF(OR($C344="",$D344="",$B344="",$G344=""),"",IF(COUNTIFS($C$5:$C$804,$C344,$D$5:$D$804,$D344,$B$5:$B$804,$B344,$G$5:$G$804,$G344)&gt;1,"Takror",""))</f>
        <v/>
      </c>
    </row>
    <row r="345" customFormat="false" ht="15" hidden="false" customHeight="false" outlineLevel="0" collapsed="false">
      <c r="A345" s="8" t="n">
        <v>341</v>
      </c>
      <c r="B345" s="13"/>
      <c r="C345" s="12"/>
      <c r="D345" s="13"/>
      <c r="E345" s="24"/>
      <c r="F345" s="14" t="str">
        <f aca="false">IF(OR($D345="",$B345=""),"",INT(($B345-$D345)/365.25))</f>
        <v/>
      </c>
      <c r="G345" s="25"/>
      <c r="H345" s="25"/>
      <c r="I345" s="12"/>
      <c r="J345" s="14" t="str">
        <f aca="false">IF(OR($C345="",$D345="",$B345="",$G345=""),"",IF(COUNTIFS($C$5:$C$804,$C345,$D$5:$D$804,$D345,$B$5:$B$804,$B345,$G$5:$G$804,$G345)&gt;1,"Takror",""))</f>
        <v/>
      </c>
    </row>
    <row r="346" customFormat="false" ht="15" hidden="false" customHeight="false" outlineLevel="0" collapsed="false">
      <c r="A346" s="8" t="n">
        <v>342</v>
      </c>
      <c r="B346" s="13"/>
      <c r="C346" s="12"/>
      <c r="D346" s="13"/>
      <c r="E346" s="24"/>
      <c r="F346" s="14" t="str">
        <f aca="false">IF(OR($D346="",$B346=""),"",INT(($B346-$D346)/365.25))</f>
        <v/>
      </c>
      <c r="G346" s="25"/>
      <c r="H346" s="25"/>
      <c r="I346" s="12"/>
      <c r="J346" s="14" t="str">
        <f aca="false">IF(OR($C346="",$D346="",$B346="",$G346=""),"",IF(COUNTIFS($C$5:$C$804,$C346,$D$5:$D$804,$D346,$B$5:$B$804,$B346,$G$5:$G$804,$G346)&gt;1,"Takror",""))</f>
        <v/>
      </c>
    </row>
    <row r="347" customFormat="false" ht="15" hidden="false" customHeight="false" outlineLevel="0" collapsed="false">
      <c r="A347" s="8" t="n">
        <v>343</v>
      </c>
      <c r="B347" s="13"/>
      <c r="C347" s="12"/>
      <c r="D347" s="13"/>
      <c r="E347" s="24"/>
      <c r="F347" s="14" t="str">
        <f aca="false">IF(OR($D347="",$B347=""),"",INT(($B347-$D347)/365.25))</f>
        <v/>
      </c>
      <c r="G347" s="25"/>
      <c r="H347" s="25"/>
      <c r="I347" s="12"/>
      <c r="J347" s="14" t="str">
        <f aca="false">IF(OR($C347="",$D347="",$B347="",$G347=""),"",IF(COUNTIFS($C$5:$C$804,$C347,$D$5:$D$804,$D347,$B$5:$B$804,$B347,$G$5:$G$804,$G347)&gt;1,"Takror",""))</f>
        <v/>
      </c>
    </row>
    <row r="348" customFormat="false" ht="15" hidden="false" customHeight="false" outlineLevel="0" collapsed="false">
      <c r="A348" s="8" t="n">
        <v>344</v>
      </c>
      <c r="B348" s="13"/>
      <c r="C348" s="12"/>
      <c r="D348" s="13"/>
      <c r="E348" s="24"/>
      <c r="F348" s="14" t="str">
        <f aca="false">IF(OR($D348="",$B348=""),"",INT(($B348-$D348)/365.25))</f>
        <v/>
      </c>
      <c r="G348" s="25"/>
      <c r="H348" s="25"/>
      <c r="I348" s="12"/>
      <c r="J348" s="14" t="str">
        <f aca="false">IF(OR($C348="",$D348="",$B348="",$G348=""),"",IF(COUNTIFS($C$5:$C$804,$C348,$D$5:$D$804,$D348,$B$5:$B$804,$B348,$G$5:$G$804,$G348)&gt;1,"Takror",""))</f>
        <v/>
      </c>
    </row>
    <row r="349" customFormat="false" ht="15" hidden="false" customHeight="false" outlineLevel="0" collapsed="false">
      <c r="A349" s="8" t="n">
        <v>345</v>
      </c>
      <c r="B349" s="13"/>
      <c r="C349" s="12"/>
      <c r="D349" s="13"/>
      <c r="E349" s="24"/>
      <c r="F349" s="14" t="str">
        <f aca="false">IF(OR($D349="",$B349=""),"",INT(($B349-$D349)/365.25))</f>
        <v/>
      </c>
      <c r="G349" s="25"/>
      <c r="H349" s="25"/>
      <c r="I349" s="12"/>
      <c r="J349" s="14" t="str">
        <f aca="false">IF(OR($C349="",$D349="",$B349="",$G349=""),"",IF(COUNTIFS($C$5:$C$804,$C349,$D$5:$D$804,$D349,$B$5:$B$804,$B349,$G$5:$G$804,$G349)&gt;1,"Takror",""))</f>
        <v/>
      </c>
    </row>
    <row r="350" customFormat="false" ht="15" hidden="false" customHeight="false" outlineLevel="0" collapsed="false">
      <c r="A350" s="8" t="n">
        <v>346</v>
      </c>
      <c r="B350" s="13"/>
      <c r="C350" s="12"/>
      <c r="D350" s="13"/>
      <c r="E350" s="24"/>
      <c r="F350" s="14" t="str">
        <f aca="false">IF(OR($D350="",$B350=""),"",INT(($B350-$D350)/365.25))</f>
        <v/>
      </c>
      <c r="G350" s="25"/>
      <c r="H350" s="25"/>
      <c r="I350" s="12"/>
      <c r="J350" s="14" t="str">
        <f aca="false">IF(OR($C350="",$D350="",$B350="",$G350=""),"",IF(COUNTIFS($C$5:$C$804,$C350,$D$5:$D$804,$D350,$B$5:$B$804,$B350,$G$5:$G$804,$G350)&gt;1,"Takror",""))</f>
        <v/>
      </c>
    </row>
    <row r="351" customFormat="false" ht="15" hidden="false" customHeight="false" outlineLevel="0" collapsed="false">
      <c r="A351" s="8" t="n">
        <v>347</v>
      </c>
      <c r="B351" s="13"/>
      <c r="C351" s="12"/>
      <c r="D351" s="13"/>
      <c r="E351" s="24"/>
      <c r="F351" s="14" t="str">
        <f aca="false">IF(OR($D351="",$B351=""),"",INT(($B351-$D351)/365.25))</f>
        <v/>
      </c>
      <c r="G351" s="25"/>
      <c r="H351" s="25"/>
      <c r="I351" s="12"/>
      <c r="J351" s="14" t="str">
        <f aca="false">IF(OR($C351="",$D351="",$B351="",$G351=""),"",IF(COUNTIFS($C$5:$C$804,$C351,$D$5:$D$804,$D351,$B$5:$B$804,$B351,$G$5:$G$804,$G351)&gt;1,"Takror",""))</f>
        <v/>
      </c>
    </row>
    <row r="352" customFormat="false" ht="15" hidden="false" customHeight="false" outlineLevel="0" collapsed="false">
      <c r="A352" s="8" t="n">
        <v>348</v>
      </c>
      <c r="B352" s="13"/>
      <c r="C352" s="12"/>
      <c r="D352" s="13"/>
      <c r="E352" s="24"/>
      <c r="F352" s="14" t="str">
        <f aca="false">IF(OR($D352="",$B352=""),"",INT(($B352-$D352)/365.25))</f>
        <v/>
      </c>
      <c r="G352" s="25"/>
      <c r="H352" s="25"/>
      <c r="I352" s="12"/>
      <c r="J352" s="14" t="str">
        <f aca="false">IF(OR($C352="",$D352="",$B352="",$G352=""),"",IF(COUNTIFS($C$5:$C$804,$C352,$D$5:$D$804,$D352,$B$5:$B$804,$B352,$G$5:$G$804,$G352)&gt;1,"Takror",""))</f>
        <v/>
      </c>
    </row>
    <row r="353" customFormat="false" ht="15" hidden="false" customHeight="false" outlineLevel="0" collapsed="false">
      <c r="A353" s="8" t="n">
        <v>349</v>
      </c>
      <c r="B353" s="13"/>
      <c r="C353" s="12"/>
      <c r="D353" s="13"/>
      <c r="E353" s="24"/>
      <c r="F353" s="14" t="str">
        <f aca="false">IF(OR($D353="",$B353=""),"",INT(($B353-$D353)/365.25))</f>
        <v/>
      </c>
      <c r="G353" s="25"/>
      <c r="H353" s="25"/>
      <c r="I353" s="12"/>
      <c r="J353" s="14" t="str">
        <f aca="false">IF(OR($C353="",$D353="",$B353="",$G353=""),"",IF(COUNTIFS($C$5:$C$804,$C353,$D$5:$D$804,$D353,$B$5:$B$804,$B353,$G$5:$G$804,$G353)&gt;1,"Takror",""))</f>
        <v/>
      </c>
    </row>
    <row r="354" customFormat="false" ht="15" hidden="false" customHeight="false" outlineLevel="0" collapsed="false">
      <c r="A354" s="8" t="n">
        <v>350</v>
      </c>
      <c r="B354" s="13"/>
      <c r="C354" s="12"/>
      <c r="D354" s="13"/>
      <c r="E354" s="24"/>
      <c r="F354" s="14" t="str">
        <f aca="false">IF(OR($D354="",$B354=""),"",INT(($B354-$D354)/365.25))</f>
        <v/>
      </c>
      <c r="G354" s="25"/>
      <c r="H354" s="25"/>
      <c r="I354" s="12"/>
      <c r="J354" s="14" t="str">
        <f aca="false">IF(OR($C354="",$D354="",$B354="",$G354=""),"",IF(COUNTIFS($C$5:$C$804,$C354,$D$5:$D$804,$D354,$B$5:$B$804,$B354,$G$5:$G$804,$G354)&gt;1,"Takror",""))</f>
        <v/>
      </c>
    </row>
    <row r="355" customFormat="false" ht="15" hidden="false" customHeight="false" outlineLevel="0" collapsed="false">
      <c r="A355" s="8" t="n">
        <v>351</v>
      </c>
      <c r="B355" s="13"/>
      <c r="C355" s="12"/>
      <c r="D355" s="13"/>
      <c r="E355" s="24"/>
      <c r="F355" s="14" t="str">
        <f aca="false">IF(OR($D355="",$B355=""),"",INT(($B355-$D355)/365.25))</f>
        <v/>
      </c>
      <c r="G355" s="25"/>
      <c r="H355" s="25"/>
      <c r="I355" s="12"/>
      <c r="J355" s="14" t="str">
        <f aca="false">IF(OR($C355="",$D355="",$B355="",$G355=""),"",IF(COUNTIFS($C$5:$C$804,$C355,$D$5:$D$804,$D355,$B$5:$B$804,$B355,$G$5:$G$804,$G355)&gt;1,"Takror",""))</f>
        <v/>
      </c>
    </row>
    <row r="356" customFormat="false" ht="15" hidden="false" customHeight="false" outlineLevel="0" collapsed="false">
      <c r="A356" s="8" t="n">
        <v>352</v>
      </c>
      <c r="B356" s="13"/>
      <c r="C356" s="12"/>
      <c r="D356" s="13"/>
      <c r="E356" s="24"/>
      <c r="F356" s="14" t="str">
        <f aca="false">IF(OR($D356="",$B356=""),"",INT(($B356-$D356)/365.25))</f>
        <v/>
      </c>
      <c r="G356" s="25"/>
      <c r="H356" s="25"/>
      <c r="I356" s="12"/>
      <c r="J356" s="14" t="str">
        <f aca="false">IF(OR($C356="",$D356="",$B356="",$G356=""),"",IF(COUNTIFS($C$5:$C$804,$C356,$D$5:$D$804,$D356,$B$5:$B$804,$B356,$G$5:$G$804,$G356)&gt;1,"Takror",""))</f>
        <v/>
      </c>
    </row>
    <row r="357" customFormat="false" ht="15" hidden="false" customHeight="false" outlineLevel="0" collapsed="false">
      <c r="A357" s="8" t="n">
        <v>353</v>
      </c>
      <c r="B357" s="13"/>
      <c r="C357" s="12"/>
      <c r="D357" s="13"/>
      <c r="E357" s="24"/>
      <c r="F357" s="14" t="str">
        <f aca="false">IF(OR($D357="",$B357=""),"",INT(($B357-$D357)/365.25))</f>
        <v/>
      </c>
      <c r="G357" s="25"/>
      <c r="H357" s="25"/>
      <c r="I357" s="12"/>
      <c r="J357" s="14" t="str">
        <f aca="false">IF(OR($C357="",$D357="",$B357="",$G357=""),"",IF(COUNTIFS($C$5:$C$804,$C357,$D$5:$D$804,$D357,$B$5:$B$804,$B357,$G$5:$G$804,$G357)&gt;1,"Takror",""))</f>
        <v/>
      </c>
    </row>
    <row r="358" customFormat="false" ht="15" hidden="false" customHeight="false" outlineLevel="0" collapsed="false">
      <c r="A358" s="8" t="n">
        <v>354</v>
      </c>
      <c r="B358" s="13"/>
      <c r="C358" s="12"/>
      <c r="D358" s="13"/>
      <c r="E358" s="24"/>
      <c r="F358" s="14" t="str">
        <f aca="false">IF(OR($D358="",$B358=""),"",INT(($B358-$D358)/365.25))</f>
        <v/>
      </c>
      <c r="G358" s="25"/>
      <c r="H358" s="25"/>
      <c r="I358" s="12"/>
      <c r="J358" s="14" t="str">
        <f aca="false">IF(OR($C358="",$D358="",$B358="",$G358=""),"",IF(COUNTIFS($C$5:$C$804,$C358,$D$5:$D$804,$D358,$B$5:$B$804,$B358,$G$5:$G$804,$G358)&gt;1,"Takror",""))</f>
        <v/>
      </c>
    </row>
    <row r="359" customFormat="false" ht="15" hidden="false" customHeight="false" outlineLevel="0" collapsed="false">
      <c r="A359" s="8" t="n">
        <v>355</v>
      </c>
      <c r="B359" s="13"/>
      <c r="C359" s="12"/>
      <c r="D359" s="13"/>
      <c r="E359" s="24"/>
      <c r="F359" s="14" t="str">
        <f aca="false">IF(OR($D359="",$B359=""),"",INT(($B359-$D359)/365.25))</f>
        <v/>
      </c>
      <c r="G359" s="25"/>
      <c r="H359" s="25"/>
      <c r="I359" s="12"/>
      <c r="J359" s="14" t="str">
        <f aca="false">IF(OR($C359="",$D359="",$B359="",$G359=""),"",IF(COUNTIFS($C$5:$C$804,$C359,$D$5:$D$804,$D359,$B$5:$B$804,$B359,$G$5:$G$804,$G359)&gt;1,"Takror",""))</f>
        <v/>
      </c>
    </row>
    <row r="360" customFormat="false" ht="15" hidden="false" customHeight="false" outlineLevel="0" collapsed="false">
      <c r="A360" s="8" t="n">
        <v>356</v>
      </c>
      <c r="B360" s="13"/>
      <c r="C360" s="12"/>
      <c r="D360" s="13"/>
      <c r="E360" s="24"/>
      <c r="F360" s="14" t="str">
        <f aca="false">IF(OR($D360="",$B360=""),"",INT(($B360-$D360)/365.25))</f>
        <v/>
      </c>
      <c r="G360" s="25"/>
      <c r="H360" s="25"/>
      <c r="I360" s="12"/>
      <c r="J360" s="14" t="str">
        <f aca="false">IF(OR($C360="",$D360="",$B360="",$G360=""),"",IF(COUNTIFS($C$5:$C$804,$C360,$D$5:$D$804,$D360,$B$5:$B$804,$B360,$G$5:$G$804,$G360)&gt;1,"Takror",""))</f>
        <v/>
      </c>
    </row>
    <row r="361" customFormat="false" ht="15" hidden="false" customHeight="false" outlineLevel="0" collapsed="false">
      <c r="A361" s="8" t="n">
        <v>357</v>
      </c>
      <c r="B361" s="13"/>
      <c r="C361" s="12"/>
      <c r="D361" s="13"/>
      <c r="E361" s="24"/>
      <c r="F361" s="14" t="str">
        <f aca="false">IF(OR($D361="",$B361=""),"",INT(($B361-$D361)/365.25))</f>
        <v/>
      </c>
      <c r="G361" s="25"/>
      <c r="H361" s="25"/>
      <c r="I361" s="12"/>
      <c r="J361" s="14" t="str">
        <f aca="false">IF(OR($C361="",$D361="",$B361="",$G361=""),"",IF(COUNTIFS($C$5:$C$804,$C361,$D$5:$D$804,$D361,$B$5:$B$804,$B361,$G$5:$G$804,$G361)&gt;1,"Takror",""))</f>
        <v/>
      </c>
    </row>
    <row r="362" customFormat="false" ht="15" hidden="false" customHeight="false" outlineLevel="0" collapsed="false">
      <c r="A362" s="8" t="n">
        <v>358</v>
      </c>
      <c r="B362" s="13"/>
      <c r="C362" s="12"/>
      <c r="D362" s="13"/>
      <c r="E362" s="24"/>
      <c r="F362" s="14" t="str">
        <f aca="false">IF(OR($D362="",$B362=""),"",INT(($B362-$D362)/365.25))</f>
        <v/>
      </c>
      <c r="G362" s="25"/>
      <c r="H362" s="25"/>
      <c r="I362" s="12"/>
      <c r="J362" s="14" t="str">
        <f aca="false">IF(OR($C362="",$D362="",$B362="",$G362=""),"",IF(COUNTIFS($C$5:$C$804,$C362,$D$5:$D$804,$D362,$B$5:$B$804,$B362,$G$5:$G$804,$G362)&gt;1,"Takror",""))</f>
        <v/>
      </c>
    </row>
    <row r="363" customFormat="false" ht="15" hidden="false" customHeight="false" outlineLevel="0" collapsed="false">
      <c r="A363" s="8" t="n">
        <v>359</v>
      </c>
      <c r="B363" s="13"/>
      <c r="C363" s="12"/>
      <c r="D363" s="13"/>
      <c r="E363" s="24"/>
      <c r="F363" s="14" t="str">
        <f aca="false">IF(OR($D363="",$B363=""),"",INT(($B363-$D363)/365.25))</f>
        <v/>
      </c>
      <c r="G363" s="25"/>
      <c r="H363" s="25"/>
      <c r="I363" s="12"/>
      <c r="J363" s="14" t="str">
        <f aca="false">IF(OR($C363="",$D363="",$B363="",$G363=""),"",IF(COUNTIFS($C$5:$C$804,$C363,$D$5:$D$804,$D363,$B$5:$B$804,$B363,$G$5:$G$804,$G363)&gt;1,"Takror",""))</f>
        <v/>
      </c>
    </row>
    <row r="364" customFormat="false" ht="15" hidden="false" customHeight="false" outlineLevel="0" collapsed="false">
      <c r="A364" s="8" t="n">
        <v>360</v>
      </c>
      <c r="B364" s="13"/>
      <c r="C364" s="12"/>
      <c r="D364" s="13"/>
      <c r="E364" s="24"/>
      <c r="F364" s="14" t="str">
        <f aca="false">IF(OR($D364="",$B364=""),"",INT(($B364-$D364)/365.25))</f>
        <v/>
      </c>
      <c r="G364" s="25"/>
      <c r="H364" s="25"/>
      <c r="I364" s="12"/>
      <c r="J364" s="14" t="str">
        <f aca="false">IF(OR($C364="",$D364="",$B364="",$G364=""),"",IF(COUNTIFS($C$5:$C$804,$C364,$D$5:$D$804,$D364,$B$5:$B$804,$B364,$G$5:$G$804,$G364)&gt;1,"Takror",""))</f>
        <v/>
      </c>
    </row>
    <row r="365" customFormat="false" ht="15" hidden="false" customHeight="false" outlineLevel="0" collapsed="false">
      <c r="A365" s="8" t="n">
        <v>361</v>
      </c>
      <c r="B365" s="13"/>
      <c r="C365" s="12"/>
      <c r="D365" s="13"/>
      <c r="E365" s="24"/>
      <c r="F365" s="14" t="str">
        <f aca="false">IF(OR($D365="",$B365=""),"",INT(($B365-$D365)/365.25))</f>
        <v/>
      </c>
      <c r="G365" s="25"/>
      <c r="H365" s="25"/>
      <c r="I365" s="12"/>
      <c r="J365" s="14" t="str">
        <f aca="false">IF(OR($C365="",$D365="",$B365="",$G365=""),"",IF(COUNTIFS($C$5:$C$804,$C365,$D$5:$D$804,$D365,$B$5:$B$804,$B365,$G$5:$G$804,$G365)&gt;1,"Takror",""))</f>
        <v/>
      </c>
    </row>
    <row r="366" customFormat="false" ht="15" hidden="false" customHeight="false" outlineLevel="0" collapsed="false">
      <c r="A366" s="8" t="n">
        <v>362</v>
      </c>
      <c r="B366" s="13"/>
      <c r="C366" s="12"/>
      <c r="D366" s="13"/>
      <c r="E366" s="24"/>
      <c r="F366" s="14" t="str">
        <f aca="false">IF(OR($D366="",$B366=""),"",INT(($B366-$D366)/365.25))</f>
        <v/>
      </c>
      <c r="G366" s="25"/>
      <c r="H366" s="25"/>
      <c r="I366" s="12"/>
      <c r="J366" s="14" t="str">
        <f aca="false">IF(OR($C366="",$D366="",$B366="",$G366=""),"",IF(COUNTIFS($C$5:$C$804,$C366,$D$5:$D$804,$D366,$B$5:$B$804,$B366,$G$5:$G$804,$G366)&gt;1,"Takror",""))</f>
        <v/>
      </c>
    </row>
    <row r="367" customFormat="false" ht="15" hidden="false" customHeight="false" outlineLevel="0" collapsed="false">
      <c r="A367" s="8" t="n">
        <v>363</v>
      </c>
      <c r="B367" s="13"/>
      <c r="C367" s="12"/>
      <c r="D367" s="13"/>
      <c r="E367" s="24"/>
      <c r="F367" s="14" t="str">
        <f aca="false">IF(OR($D367="",$B367=""),"",INT(($B367-$D367)/365.25))</f>
        <v/>
      </c>
      <c r="G367" s="25"/>
      <c r="H367" s="25"/>
      <c r="I367" s="12"/>
      <c r="J367" s="14" t="str">
        <f aca="false">IF(OR($C367="",$D367="",$B367="",$G367=""),"",IF(COUNTIFS($C$5:$C$804,$C367,$D$5:$D$804,$D367,$B$5:$B$804,$B367,$G$5:$G$804,$G367)&gt;1,"Takror",""))</f>
        <v/>
      </c>
    </row>
    <row r="368" customFormat="false" ht="15" hidden="false" customHeight="false" outlineLevel="0" collapsed="false">
      <c r="A368" s="8" t="n">
        <v>364</v>
      </c>
      <c r="B368" s="13"/>
      <c r="C368" s="12"/>
      <c r="D368" s="13"/>
      <c r="E368" s="24"/>
      <c r="F368" s="14" t="str">
        <f aca="false">IF(OR($D368="",$B368=""),"",INT(($B368-$D368)/365.25))</f>
        <v/>
      </c>
      <c r="G368" s="25"/>
      <c r="H368" s="25"/>
      <c r="I368" s="12"/>
      <c r="J368" s="14" t="str">
        <f aca="false">IF(OR($C368="",$D368="",$B368="",$G368=""),"",IF(COUNTIFS($C$5:$C$804,$C368,$D$5:$D$804,$D368,$B$5:$B$804,$B368,$G$5:$G$804,$G368)&gt;1,"Takror",""))</f>
        <v/>
      </c>
    </row>
    <row r="369" customFormat="false" ht="15" hidden="false" customHeight="false" outlineLevel="0" collapsed="false">
      <c r="A369" s="8" t="n">
        <v>365</v>
      </c>
      <c r="B369" s="13"/>
      <c r="C369" s="12"/>
      <c r="D369" s="13"/>
      <c r="E369" s="24"/>
      <c r="F369" s="14" t="str">
        <f aca="false">IF(OR($D369="",$B369=""),"",INT(($B369-$D369)/365.25))</f>
        <v/>
      </c>
      <c r="G369" s="25"/>
      <c r="H369" s="25"/>
      <c r="I369" s="12"/>
      <c r="J369" s="14" t="str">
        <f aca="false">IF(OR($C369="",$D369="",$B369="",$G369=""),"",IF(COUNTIFS($C$5:$C$804,$C369,$D$5:$D$804,$D369,$B$5:$B$804,$B369,$G$5:$G$804,$G369)&gt;1,"Takror",""))</f>
        <v/>
      </c>
    </row>
    <row r="370" customFormat="false" ht="15" hidden="false" customHeight="false" outlineLevel="0" collapsed="false">
      <c r="A370" s="8" t="n">
        <v>366</v>
      </c>
      <c r="B370" s="13"/>
      <c r="C370" s="12"/>
      <c r="D370" s="13"/>
      <c r="E370" s="24"/>
      <c r="F370" s="14" t="str">
        <f aca="false">IF(OR($D370="",$B370=""),"",INT(($B370-$D370)/365.25))</f>
        <v/>
      </c>
      <c r="G370" s="25"/>
      <c r="H370" s="25"/>
      <c r="I370" s="12"/>
      <c r="J370" s="14" t="str">
        <f aca="false">IF(OR($C370="",$D370="",$B370="",$G370=""),"",IF(COUNTIFS($C$5:$C$804,$C370,$D$5:$D$804,$D370,$B$5:$B$804,$B370,$G$5:$G$804,$G370)&gt;1,"Takror",""))</f>
        <v/>
      </c>
    </row>
    <row r="371" customFormat="false" ht="15" hidden="false" customHeight="false" outlineLevel="0" collapsed="false">
      <c r="A371" s="8" t="n">
        <v>367</v>
      </c>
      <c r="B371" s="13"/>
      <c r="C371" s="12"/>
      <c r="D371" s="13"/>
      <c r="E371" s="24"/>
      <c r="F371" s="14" t="str">
        <f aca="false">IF(OR($D371="",$B371=""),"",INT(($B371-$D371)/365.25))</f>
        <v/>
      </c>
      <c r="G371" s="25"/>
      <c r="H371" s="25"/>
      <c r="I371" s="12"/>
      <c r="J371" s="14" t="str">
        <f aca="false">IF(OR($C371="",$D371="",$B371="",$G371=""),"",IF(COUNTIFS($C$5:$C$804,$C371,$D$5:$D$804,$D371,$B$5:$B$804,$B371,$G$5:$G$804,$G371)&gt;1,"Takror",""))</f>
        <v/>
      </c>
    </row>
    <row r="372" customFormat="false" ht="15" hidden="false" customHeight="false" outlineLevel="0" collapsed="false">
      <c r="A372" s="8" t="n">
        <v>368</v>
      </c>
      <c r="B372" s="13"/>
      <c r="C372" s="12"/>
      <c r="D372" s="13"/>
      <c r="E372" s="24"/>
      <c r="F372" s="14" t="str">
        <f aca="false">IF(OR($D372="",$B372=""),"",INT(($B372-$D372)/365.25))</f>
        <v/>
      </c>
      <c r="G372" s="25"/>
      <c r="H372" s="25"/>
      <c r="I372" s="12"/>
      <c r="J372" s="14" t="str">
        <f aca="false">IF(OR($C372="",$D372="",$B372="",$G372=""),"",IF(COUNTIFS($C$5:$C$804,$C372,$D$5:$D$804,$D372,$B$5:$B$804,$B372,$G$5:$G$804,$G372)&gt;1,"Takror",""))</f>
        <v/>
      </c>
    </row>
    <row r="373" customFormat="false" ht="15" hidden="false" customHeight="false" outlineLevel="0" collapsed="false">
      <c r="A373" s="8" t="n">
        <v>369</v>
      </c>
      <c r="B373" s="13"/>
      <c r="C373" s="12"/>
      <c r="D373" s="13"/>
      <c r="E373" s="24"/>
      <c r="F373" s="14" t="str">
        <f aca="false">IF(OR($D373="",$B373=""),"",INT(($B373-$D373)/365.25))</f>
        <v/>
      </c>
      <c r="G373" s="25"/>
      <c r="H373" s="25"/>
      <c r="I373" s="12"/>
      <c r="J373" s="14" t="str">
        <f aca="false">IF(OR($C373="",$D373="",$B373="",$G373=""),"",IF(COUNTIFS($C$5:$C$804,$C373,$D$5:$D$804,$D373,$B$5:$B$804,$B373,$G$5:$G$804,$G373)&gt;1,"Takror",""))</f>
        <v/>
      </c>
    </row>
    <row r="374" customFormat="false" ht="15" hidden="false" customHeight="false" outlineLevel="0" collapsed="false">
      <c r="A374" s="8" t="n">
        <v>370</v>
      </c>
      <c r="B374" s="13"/>
      <c r="C374" s="12"/>
      <c r="D374" s="13"/>
      <c r="E374" s="24"/>
      <c r="F374" s="14" t="str">
        <f aca="false">IF(OR($D374="",$B374=""),"",INT(($B374-$D374)/365.25))</f>
        <v/>
      </c>
      <c r="G374" s="25"/>
      <c r="H374" s="25"/>
      <c r="I374" s="12"/>
      <c r="J374" s="14" t="str">
        <f aca="false">IF(OR($C374="",$D374="",$B374="",$G374=""),"",IF(COUNTIFS($C$5:$C$804,$C374,$D$5:$D$804,$D374,$B$5:$B$804,$B374,$G$5:$G$804,$G374)&gt;1,"Takror",""))</f>
        <v/>
      </c>
    </row>
    <row r="375" customFormat="false" ht="15" hidden="false" customHeight="false" outlineLevel="0" collapsed="false">
      <c r="A375" s="8" t="n">
        <v>371</v>
      </c>
      <c r="B375" s="13"/>
      <c r="C375" s="12"/>
      <c r="D375" s="13"/>
      <c r="E375" s="24"/>
      <c r="F375" s="14" t="str">
        <f aca="false">IF(OR($D375="",$B375=""),"",INT(($B375-$D375)/365.25))</f>
        <v/>
      </c>
      <c r="G375" s="25"/>
      <c r="H375" s="25"/>
      <c r="I375" s="12"/>
      <c r="J375" s="14" t="str">
        <f aca="false">IF(OR($C375="",$D375="",$B375="",$G375=""),"",IF(COUNTIFS($C$5:$C$804,$C375,$D$5:$D$804,$D375,$B$5:$B$804,$B375,$G$5:$G$804,$G375)&gt;1,"Takror",""))</f>
        <v/>
      </c>
    </row>
    <row r="376" customFormat="false" ht="15" hidden="false" customHeight="false" outlineLevel="0" collapsed="false">
      <c r="A376" s="8" t="n">
        <v>372</v>
      </c>
      <c r="B376" s="13"/>
      <c r="C376" s="12"/>
      <c r="D376" s="13"/>
      <c r="E376" s="24"/>
      <c r="F376" s="14" t="str">
        <f aca="false">IF(OR($D376="",$B376=""),"",INT(($B376-$D376)/365.25))</f>
        <v/>
      </c>
      <c r="G376" s="25"/>
      <c r="H376" s="25"/>
      <c r="I376" s="12"/>
      <c r="J376" s="14" t="str">
        <f aca="false">IF(OR($C376="",$D376="",$B376="",$G376=""),"",IF(COUNTIFS($C$5:$C$804,$C376,$D$5:$D$804,$D376,$B$5:$B$804,$B376,$G$5:$G$804,$G376)&gt;1,"Takror",""))</f>
        <v/>
      </c>
    </row>
    <row r="377" customFormat="false" ht="15" hidden="false" customHeight="false" outlineLevel="0" collapsed="false">
      <c r="A377" s="8" t="n">
        <v>373</v>
      </c>
      <c r="B377" s="13"/>
      <c r="C377" s="12"/>
      <c r="D377" s="13"/>
      <c r="E377" s="24"/>
      <c r="F377" s="14" t="str">
        <f aca="false">IF(OR($D377="",$B377=""),"",INT(($B377-$D377)/365.25))</f>
        <v/>
      </c>
      <c r="G377" s="25"/>
      <c r="H377" s="25"/>
      <c r="I377" s="12"/>
      <c r="J377" s="14" t="str">
        <f aca="false">IF(OR($C377="",$D377="",$B377="",$G377=""),"",IF(COUNTIFS($C$5:$C$804,$C377,$D$5:$D$804,$D377,$B$5:$B$804,$B377,$G$5:$G$804,$G377)&gt;1,"Takror",""))</f>
        <v/>
      </c>
    </row>
    <row r="378" customFormat="false" ht="15" hidden="false" customHeight="false" outlineLevel="0" collapsed="false">
      <c r="A378" s="8" t="n">
        <v>374</v>
      </c>
      <c r="B378" s="13"/>
      <c r="C378" s="12"/>
      <c r="D378" s="13"/>
      <c r="E378" s="24"/>
      <c r="F378" s="14" t="str">
        <f aca="false">IF(OR($D378="",$B378=""),"",INT(($B378-$D378)/365.25))</f>
        <v/>
      </c>
      <c r="G378" s="25"/>
      <c r="H378" s="25"/>
      <c r="I378" s="12"/>
      <c r="J378" s="14" t="str">
        <f aca="false">IF(OR($C378="",$D378="",$B378="",$G378=""),"",IF(COUNTIFS($C$5:$C$804,$C378,$D$5:$D$804,$D378,$B$5:$B$804,$B378,$G$5:$G$804,$G378)&gt;1,"Takror",""))</f>
        <v/>
      </c>
    </row>
    <row r="379" customFormat="false" ht="15" hidden="false" customHeight="false" outlineLevel="0" collapsed="false">
      <c r="A379" s="8" t="n">
        <v>375</v>
      </c>
      <c r="B379" s="13"/>
      <c r="C379" s="12"/>
      <c r="D379" s="13"/>
      <c r="E379" s="24"/>
      <c r="F379" s="14" t="str">
        <f aca="false">IF(OR($D379="",$B379=""),"",INT(($B379-$D379)/365.25))</f>
        <v/>
      </c>
      <c r="G379" s="25"/>
      <c r="H379" s="25"/>
      <c r="I379" s="12"/>
      <c r="J379" s="14" t="str">
        <f aca="false">IF(OR($C379="",$D379="",$B379="",$G379=""),"",IF(COUNTIFS($C$5:$C$804,$C379,$D$5:$D$804,$D379,$B$5:$B$804,$B379,$G$5:$G$804,$G379)&gt;1,"Takror",""))</f>
        <v/>
      </c>
    </row>
    <row r="380" customFormat="false" ht="15" hidden="false" customHeight="false" outlineLevel="0" collapsed="false">
      <c r="A380" s="8" t="n">
        <v>376</v>
      </c>
      <c r="B380" s="13"/>
      <c r="C380" s="12"/>
      <c r="D380" s="13"/>
      <c r="E380" s="24"/>
      <c r="F380" s="14" t="str">
        <f aca="false">IF(OR($D380="",$B380=""),"",INT(($B380-$D380)/365.25))</f>
        <v/>
      </c>
      <c r="G380" s="25"/>
      <c r="H380" s="25"/>
      <c r="I380" s="12"/>
      <c r="J380" s="14" t="str">
        <f aca="false">IF(OR($C380="",$D380="",$B380="",$G380=""),"",IF(COUNTIFS($C$5:$C$804,$C380,$D$5:$D$804,$D380,$B$5:$B$804,$B380,$G$5:$G$804,$G380)&gt;1,"Takror",""))</f>
        <v/>
      </c>
    </row>
    <row r="381" customFormat="false" ht="15" hidden="false" customHeight="false" outlineLevel="0" collapsed="false">
      <c r="A381" s="8" t="n">
        <v>377</v>
      </c>
      <c r="B381" s="13"/>
      <c r="C381" s="12"/>
      <c r="D381" s="13"/>
      <c r="E381" s="24"/>
      <c r="F381" s="14" t="str">
        <f aca="false">IF(OR($D381="",$B381=""),"",INT(($B381-$D381)/365.25))</f>
        <v/>
      </c>
      <c r="G381" s="25"/>
      <c r="H381" s="25"/>
      <c r="I381" s="12"/>
      <c r="J381" s="14" t="str">
        <f aca="false">IF(OR($C381="",$D381="",$B381="",$G381=""),"",IF(COUNTIFS($C$5:$C$804,$C381,$D$5:$D$804,$D381,$B$5:$B$804,$B381,$G$5:$G$804,$G381)&gt;1,"Takror",""))</f>
        <v/>
      </c>
    </row>
    <row r="382" customFormat="false" ht="15" hidden="false" customHeight="false" outlineLevel="0" collapsed="false">
      <c r="A382" s="8" t="n">
        <v>378</v>
      </c>
      <c r="B382" s="13"/>
      <c r="C382" s="12"/>
      <c r="D382" s="13"/>
      <c r="E382" s="24"/>
      <c r="F382" s="14" t="str">
        <f aca="false">IF(OR($D382="",$B382=""),"",INT(($B382-$D382)/365.25))</f>
        <v/>
      </c>
      <c r="G382" s="25"/>
      <c r="H382" s="25"/>
      <c r="I382" s="12"/>
      <c r="J382" s="14" t="str">
        <f aca="false">IF(OR($C382="",$D382="",$B382="",$G382=""),"",IF(COUNTIFS($C$5:$C$804,$C382,$D$5:$D$804,$D382,$B$5:$B$804,$B382,$G$5:$G$804,$G382)&gt;1,"Takror",""))</f>
        <v/>
      </c>
    </row>
    <row r="383" customFormat="false" ht="15" hidden="false" customHeight="false" outlineLevel="0" collapsed="false">
      <c r="A383" s="8" t="n">
        <v>379</v>
      </c>
      <c r="B383" s="13"/>
      <c r="C383" s="12"/>
      <c r="D383" s="13"/>
      <c r="E383" s="24"/>
      <c r="F383" s="14" t="str">
        <f aca="false">IF(OR($D383="",$B383=""),"",INT(($B383-$D383)/365.25))</f>
        <v/>
      </c>
      <c r="G383" s="25"/>
      <c r="H383" s="25"/>
      <c r="I383" s="12"/>
      <c r="J383" s="14" t="str">
        <f aca="false">IF(OR($C383="",$D383="",$B383="",$G383=""),"",IF(COUNTIFS($C$5:$C$804,$C383,$D$5:$D$804,$D383,$B$5:$B$804,$B383,$G$5:$G$804,$G383)&gt;1,"Takror",""))</f>
        <v/>
      </c>
    </row>
    <row r="384" customFormat="false" ht="15" hidden="false" customHeight="false" outlineLevel="0" collapsed="false">
      <c r="A384" s="8" t="n">
        <v>380</v>
      </c>
      <c r="B384" s="13"/>
      <c r="C384" s="12"/>
      <c r="D384" s="13"/>
      <c r="E384" s="24"/>
      <c r="F384" s="14" t="str">
        <f aca="false">IF(OR($D384="",$B384=""),"",INT(($B384-$D384)/365.25))</f>
        <v/>
      </c>
      <c r="G384" s="25"/>
      <c r="H384" s="25"/>
      <c r="I384" s="12"/>
      <c r="J384" s="14" t="str">
        <f aca="false">IF(OR($C384="",$D384="",$B384="",$G384=""),"",IF(COUNTIFS($C$5:$C$804,$C384,$D$5:$D$804,$D384,$B$5:$B$804,$B384,$G$5:$G$804,$G384)&gt;1,"Takror",""))</f>
        <v/>
      </c>
    </row>
    <row r="385" customFormat="false" ht="15" hidden="false" customHeight="false" outlineLevel="0" collapsed="false">
      <c r="A385" s="8" t="n">
        <v>381</v>
      </c>
      <c r="B385" s="13"/>
      <c r="C385" s="12"/>
      <c r="D385" s="13"/>
      <c r="E385" s="24"/>
      <c r="F385" s="14" t="str">
        <f aca="false">IF(OR($D385="",$B385=""),"",INT(($B385-$D385)/365.25))</f>
        <v/>
      </c>
      <c r="G385" s="25"/>
      <c r="H385" s="25"/>
      <c r="I385" s="12"/>
      <c r="J385" s="14" t="str">
        <f aca="false">IF(OR($C385="",$D385="",$B385="",$G385=""),"",IF(COUNTIFS($C$5:$C$804,$C385,$D$5:$D$804,$D385,$B$5:$B$804,$B385,$G$5:$G$804,$G385)&gt;1,"Takror",""))</f>
        <v/>
      </c>
    </row>
    <row r="386" customFormat="false" ht="15" hidden="false" customHeight="false" outlineLevel="0" collapsed="false">
      <c r="A386" s="8" t="n">
        <v>382</v>
      </c>
      <c r="B386" s="13"/>
      <c r="C386" s="12"/>
      <c r="D386" s="13"/>
      <c r="E386" s="24"/>
      <c r="F386" s="14" t="str">
        <f aca="false">IF(OR($D386="",$B386=""),"",INT(($B386-$D386)/365.25))</f>
        <v/>
      </c>
      <c r="G386" s="25"/>
      <c r="H386" s="25"/>
      <c r="I386" s="12"/>
      <c r="J386" s="14" t="str">
        <f aca="false">IF(OR($C386="",$D386="",$B386="",$G386=""),"",IF(COUNTIFS($C$5:$C$804,$C386,$D$5:$D$804,$D386,$B$5:$B$804,$B386,$G$5:$G$804,$G386)&gt;1,"Takror",""))</f>
        <v/>
      </c>
    </row>
    <row r="387" customFormat="false" ht="15" hidden="false" customHeight="false" outlineLevel="0" collapsed="false">
      <c r="A387" s="8" t="n">
        <v>383</v>
      </c>
      <c r="B387" s="13"/>
      <c r="C387" s="12"/>
      <c r="D387" s="13"/>
      <c r="E387" s="24"/>
      <c r="F387" s="14" t="str">
        <f aca="false">IF(OR($D387="",$B387=""),"",INT(($B387-$D387)/365.25))</f>
        <v/>
      </c>
      <c r="G387" s="25"/>
      <c r="H387" s="25"/>
      <c r="I387" s="12"/>
      <c r="J387" s="14" t="str">
        <f aca="false">IF(OR($C387="",$D387="",$B387="",$G387=""),"",IF(COUNTIFS($C$5:$C$804,$C387,$D$5:$D$804,$D387,$B$5:$B$804,$B387,$G$5:$G$804,$G387)&gt;1,"Takror",""))</f>
        <v/>
      </c>
    </row>
    <row r="388" customFormat="false" ht="15" hidden="false" customHeight="false" outlineLevel="0" collapsed="false">
      <c r="A388" s="8" t="n">
        <v>384</v>
      </c>
      <c r="B388" s="13"/>
      <c r="C388" s="12"/>
      <c r="D388" s="13"/>
      <c r="E388" s="24"/>
      <c r="F388" s="14" t="str">
        <f aca="false">IF(OR($D388="",$B388=""),"",INT(($B388-$D388)/365.25))</f>
        <v/>
      </c>
      <c r="G388" s="25"/>
      <c r="H388" s="25"/>
      <c r="I388" s="12"/>
      <c r="J388" s="14" t="str">
        <f aca="false">IF(OR($C388="",$D388="",$B388="",$G388=""),"",IF(COUNTIFS($C$5:$C$804,$C388,$D$5:$D$804,$D388,$B$5:$B$804,$B388,$G$5:$G$804,$G388)&gt;1,"Takror",""))</f>
        <v/>
      </c>
    </row>
    <row r="389" customFormat="false" ht="15" hidden="false" customHeight="false" outlineLevel="0" collapsed="false">
      <c r="A389" s="8" t="n">
        <v>385</v>
      </c>
      <c r="B389" s="13"/>
      <c r="C389" s="12"/>
      <c r="D389" s="13"/>
      <c r="E389" s="24"/>
      <c r="F389" s="14" t="str">
        <f aca="false">IF(OR($D389="",$B389=""),"",INT(($B389-$D389)/365.25))</f>
        <v/>
      </c>
      <c r="G389" s="25"/>
      <c r="H389" s="25"/>
      <c r="I389" s="12"/>
      <c r="J389" s="14" t="str">
        <f aca="false">IF(OR($C389="",$D389="",$B389="",$G389=""),"",IF(COUNTIFS($C$5:$C$804,$C389,$D$5:$D$804,$D389,$B$5:$B$804,$B389,$G$5:$G$804,$G389)&gt;1,"Takror",""))</f>
        <v/>
      </c>
    </row>
    <row r="390" customFormat="false" ht="15" hidden="false" customHeight="false" outlineLevel="0" collapsed="false">
      <c r="A390" s="8" t="n">
        <v>386</v>
      </c>
      <c r="B390" s="13"/>
      <c r="C390" s="12"/>
      <c r="D390" s="13"/>
      <c r="E390" s="24"/>
      <c r="F390" s="14" t="str">
        <f aca="false">IF(OR($D390="",$B390=""),"",INT(($B390-$D390)/365.25))</f>
        <v/>
      </c>
      <c r="G390" s="25"/>
      <c r="H390" s="25"/>
      <c r="I390" s="12"/>
      <c r="J390" s="14" t="str">
        <f aca="false">IF(OR($C390="",$D390="",$B390="",$G390=""),"",IF(COUNTIFS($C$5:$C$804,$C390,$D$5:$D$804,$D390,$B$5:$B$804,$B390,$G$5:$G$804,$G390)&gt;1,"Takror",""))</f>
        <v/>
      </c>
    </row>
    <row r="391" customFormat="false" ht="15" hidden="false" customHeight="false" outlineLevel="0" collapsed="false">
      <c r="A391" s="8" t="n">
        <v>387</v>
      </c>
      <c r="B391" s="13"/>
      <c r="C391" s="12"/>
      <c r="D391" s="13"/>
      <c r="E391" s="24"/>
      <c r="F391" s="14" t="str">
        <f aca="false">IF(OR($D391="",$B391=""),"",INT(($B391-$D391)/365.25))</f>
        <v/>
      </c>
      <c r="G391" s="25"/>
      <c r="H391" s="25"/>
      <c r="I391" s="12"/>
      <c r="J391" s="14" t="str">
        <f aca="false">IF(OR($C391="",$D391="",$B391="",$G391=""),"",IF(COUNTIFS($C$5:$C$804,$C391,$D$5:$D$804,$D391,$B$5:$B$804,$B391,$G$5:$G$804,$G391)&gt;1,"Takror",""))</f>
        <v/>
      </c>
    </row>
    <row r="392" customFormat="false" ht="15" hidden="false" customHeight="false" outlineLevel="0" collapsed="false">
      <c r="A392" s="8" t="n">
        <v>388</v>
      </c>
      <c r="B392" s="13"/>
      <c r="C392" s="12"/>
      <c r="D392" s="13"/>
      <c r="E392" s="24"/>
      <c r="F392" s="14" t="str">
        <f aca="false">IF(OR($D392="",$B392=""),"",INT(($B392-$D392)/365.25))</f>
        <v/>
      </c>
      <c r="G392" s="25"/>
      <c r="H392" s="25"/>
      <c r="I392" s="12"/>
      <c r="J392" s="14" t="str">
        <f aca="false">IF(OR($C392="",$D392="",$B392="",$G392=""),"",IF(COUNTIFS($C$5:$C$804,$C392,$D$5:$D$804,$D392,$B$5:$B$804,$B392,$G$5:$G$804,$G392)&gt;1,"Takror",""))</f>
        <v/>
      </c>
    </row>
    <row r="393" customFormat="false" ht="15" hidden="false" customHeight="false" outlineLevel="0" collapsed="false">
      <c r="A393" s="8" t="n">
        <v>389</v>
      </c>
      <c r="B393" s="13"/>
      <c r="C393" s="12"/>
      <c r="D393" s="13"/>
      <c r="E393" s="24"/>
      <c r="F393" s="14" t="str">
        <f aca="false">IF(OR($D393="",$B393=""),"",INT(($B393-$D393)/365.25))</f>
        <v/>
      </c>
      <c r="G393" s="25"/>
      <c r="H393" s="25"/>
      <c r="I393" s="12"/>
      <c r="J393" s="14" t="str">
        <f aca="false">IF(OR($C393="",$D393="",$B393="",$G393=""),"",IF(COUNTIFS($C$5:$C$804,$C393,$D$5:$D$804,$D393,$B$5:$B$804,$B393,$G$5:$G$804,$G393)&gt;1,"Takror",""))</f>
        <v/>
      </c>
    </row>
    <row r="394" customFormat="false" ht="15" hidden="false" customHeight="false" outlineLevel="0" collapsed="false">
      <c r="A394" s="8" t="n">
        <v>390</v>
      </c>
      <c r="B394" s="13"/>
      <c r="C394" s="12"/>
      <c r="D394" s="13"/>
      <c r="E394" s="24"/>
      <c r="F394" s="14" t="str">
        <f aca="false">IF(OR($D394="",$B394=""),"",INT(($B394-$D394)/365.25))</f>
        <v/>
      </c>
      <c r="G394" s="25"/>
      <c r="H394" s="25"/>
      <c r="I394" s="12"/>
      <c r="J394" s="14" t="str">
        <f aca="false">IF(OR($C394="",$D394="",$B394="",$G394=""),"",IF(COUNTIFS($C$5:$C$804,$C394,$D$5:$D$804,$D394,$B$5:$B$804,$B394,$G$5:$G$804,$G394)&gt;1,"Takror",""))</f>
        <v/>
      </c>
    </row>
    <row r="395" customFormat="false" ht="15" hidden="false" customHeight="false" outlineLevel="0" collapsed="false">
      <c r="A395" s="8" t="n">
        <v>391</v>
      </c>
      <c r="B395" s="13"/>
      <c r="C395" s="12"/>
      <c r="D395" s="13"/>
      <c r="E395" s="24"/>
      <c r="F395" s="14" t="str">
        <f aca="false">IF(OR($D395="",$B395=""),"",INT(($B395-$D395)/365.25))</f>
        <v/>
      </c>
      <c r="G395" s="25"/>
      <c r="H395" s="25"/>
      <c r="I395" s="12"/>
      <c r="J395" s="14" t="str">
        <f aca="false">IF(OR($C395="",$D395="",$B395="",$G395=""),"",IF(COUNTIFS($C$5:$C$804,$C395,$D$5:$D$804,$D395,$B$5:$B$804,$B395,$G$5:$G$804,$G395)&gt;1,"Takror",""))</f>
        <v/>
      </c>
    </row>
    <row r="396" customFormat="false" ht="15" hidden="false" customHeight="false" outlineLevel="0" collapsed="false">
      <c r="A396" s="8" t="n">
        <v>392</v>
      </c>
      <c r="B396" s="13"/>
      <c r="C396" s="12"/>
      <c r="D396" s="13"/>
      <c r="E396" s="24"/>
      <c r="F396" s="14" t="str">
        <f aca="false">IF(OR($D396="",$B396=""),"",INT(($B396-$D396)/365.25))</f>
        <v/>
      </c>
      <c r="G396" s="25"/>
      <c r="H396" s="25"/>
      <c r="I396" s="12"/>
      <c r="J396" s="14" t="str">
        <f aca="false">IF(OR($C396="",$D396="",$B396="",$G396=""),"",IF(COUNTIFS($C$5:$C$804,$C396,$D$5:$D$804,$D396,$B$5:$B$804,$B396,$G$5:$G$804,$G396)&gt;1,"Takror",""))</f>
        <v/>
      </c>
    </row>
    <row r="397" customFormat="false" ht="15" hidden="false" customHeight="false" outlineLevel="0" collapsed="false">
      <c r="A397" s="8" t="n">
        <v>393</v>
      </c>
      <c r="B397" s="13"/>
      <c r="C397" s="12"/>
      <c r="D397" s="13"/>
      <c r="E397" s="24"/>
      <c r="F397" s="14" t="str">
        <f aca="false">IF(OR($D397="",$B397=""),"",INT(($B397-$D397)/365.25))</f>
        <v/>
      </c>
      <c r="G397" s="25"/>
      <c r="H397" s="25"/>
      <c r="I397" s="12"/>
      <c r="J397" s="14" t="str">
        <f aca="false">IF(OR($C397="",$D397="",$B397="",$G397=""),"",IF(COUNTIFS($C$5:$C$804,$C397,$D$5:$D$804,$D397,$B$5:$B$804,$B397,$G$5:$G$804,$G397)&gt;1,"Takror",""))</f>
        <v/>
      </c>
    </row>
    <row r="398" customFormat="false" ht="15" hidden="false" customHeight="false" outlineLevel="0" collapsed="false">
      <c r="A398" s="8" t="n">
        <v>394</v>
      </c>
      <c r="B398" s="13"/>
      <c r="C398" s="12"/>
      <c r="D398" s="13"/>
      <c r="E398" s="24"/>
      <c r="F398" s="14" t="str">
        <f aca="false">IF(OR($D398="",$B398=""),"",INT(($B398-$D398)/365.25))</f>
        <v/>
      </c>
      <c r="G398" s="25"/>
      <c r="H398" s="25"/>
      <c r="I398" s="12"/>
      <c r="J398" s="14" t="str">
        <f aca="false">IF(OR($C398="",$D398="",$B398="",$G398=""),"",IF(COUNTIFS($C$5:$C$804,$C398,$D$5:$D$804,$D398,$B$5:$B$804,$B398,$G$5:$G$804,$G398)&gt;1,"Takror",""))</f>
        <v/>
      </c>
    </row>
    <row r="399" customFormat="false" ht="15" hidden="false" customHeight="false" outlineLevel="0" collapsed="false">
      <c r="A399" s="8" t="n">
        <v>395</v>
      </c>
      <c r="B399" s="13"/>
      <c r="C399" s="12"/>
      <c r="D399" s="13"/>
      <c r="E399" s="24"/>
      <c r="F399" s="14" t="str">
        <f aca="false">IF(OR($D399="",$B399=""),"",INT(($B399-$D399)/365.25))</f>
        <v/>
      </c>
      <c r="G399" s="25"/>
      <c r="H399" s="25"/>
      <c r="I399" s="12"/>
      <c r="J399" s="14" t="str">
        <f aca="false">IF(OR($C399="",$D399="",$B399="",$G399=""),"",IF(COUNTIFS($C$5:$C$804,$C399,$D$5:$D$804,$D399,$B$5:$B$804,$B399,$G$5:$G$804,$G399)&gt;1,"Takror",""))</f>
        <v/>
      </c>
    </row>
    <row r="400" customFormat="false" ht="15" hidden="false" customHeight="false" outlineLevel="0" collapsed="false">
      <c r="A400" s="8" t="n">
        <v>396</v>
      </c>
      <c r="B400" s="13"/>
      <c r="C400" s="12"/>
      <c r="D400" s="13"/>
      <c r="E400" s="24"/>
      <c r="F400" s="14" t="str">
        <f aca="false">IF(OR($D400="",$B400=""),"",INT(($B400-$D400)/365.25))</f>
        <v/>
      </c>
      <c r="G400" s="25"/>
      <c r="H400" s="25"/>
      <c r="I400" s="12"/>
      <c r="J400" s="14" t="str">
        <f aca="false">IF(OR($C400="",$D400="",$B400="",$G400=""),"",IF(COUNTIFS($C$5:$C$804,$C400,$D$5:$D$804,$D400,$B$5:$B$804,$B400,$G$5:$G$804,$G400)&gt;1,"Takror",""))</f>
        <v/>
      </c>
    </row>
    <row r="401" customFormat="false" ht="15" hidden="false" customHeight="false" outlineLevel="0" collapsed="false">
      <c r="A401" s="8" t="n">
        <v>397</v>
      </c>
      <c r="B401" s="13"/>
      <c r="C401" s="12"/>
      <c r="D401" s="13"/>
      <c r="E401" s="24"/>
      <c r="F401" s="14" t="str">
        <f aca="false">IF(OR($D401="",$B401=""),"",INT(($B401-$D401)/365.25))</f>
        <v/>
      </c>
      <c r="G401" s="25"/>
      <c r="H401" s="25"/>
      <c r="I401" s="12"/>
      <c r="J401" s="14" t="str">
        <f aca="false">IF(OR($C401="",$D401="",$B401="",$G401=""),"",IF(COUNTIFS($C$5:$C$804,$C401,$D$5:$D$804,$D401,$B$5:$B$804,$B401,$G$5:$G$804,$G401)&gt;1,"Takror",""))</f>
        <v/>
      </c>
    </row>
    <row r="402" customFormat="false" ht="15" hidden="false" customHeight="false" outlineLevel="0" collapsed="false">
      <c r="A402" s="8" t="n">
        <v>398</v>
      </c>
      <c r="B402" s="13"/>
      <c r="C402" s="12"/>
      <c r="D402" s="13"/>
      <c r="E402" s="24"/>
      <c r="F402" s="14" t="str">
        <f aca="false">IF(OR($D402="",$B402=""),"",INT(($B402-$D402)/365.25))</f>
        <v/>
      </c>
      <c r="G402" s="25"/>
      <c r="H402" s="25"/>
      <c r="I402" s="12"/>
      <c r="J402" s="14" t="str">
        <f aca="false">IF(OR($C402="",$D402="",$B402="",$G402=""),"",IF(COUNTIFS($C$5:$C$804,$C402,$D$5:$D$804,$D402,$B$5:$B$804,$B402,$G$5:$G$804,$G402)&gt;1,"Takror",""))</f>
        <v/>
      </c>
    </row>
    <row r="403" customFormat="false" ht="15" hidden="false" customHeight="false" outlineLevel="0" collapsed="false">
      <c r="A403" s="8" t="n">
        <v>399</v>
      </c>
      <c r="B403" s="13"/>
      <c r="C403" s="12"/>
      <c r="D403" s="13"/>
      <c r="E403" s="24"/>
      <c r="F403" s="14" t="str">
        <f aca="false">IF(OR($D403="",$B403=""),"",INT(($B403-$D403)/365.25))</f>
        <v/>
      </c>
      <c r="G403" s="25"/>
      <c r="H403" s="25"/>
      <c r="I403" s="12"/>
      <c r="J403" s="14" t="str">
        <f aca="false">IF(OR($C403="",$D403="",$B403="",$G403=""),"",IF(COUNTIFS($C$5:$C$804,$C403,$D$5:$D$804,$D403,$B$5:$B$804,$B403,$G$5:$G$804,$G403)&gt;1,"Takror",""))</f>
        <v/>
      </c>
    </row>
    <row r="404" customFormat="false" ht="15" hidden="false" customHeight="false" outlineLevel="0" collapsed="false">
      <c r="A404" s="8" t="n">
        <v>400</v>
      </c>
      <c r="B404" s="13"/>
      <c r="C404" s="12"/>
      <c r="D404" s="13"/>
      <c r="E404" s="24"/>
      <c r="F404" s="14" t="str">
        <f aca="false">IF(OR($D404="",$B404=""),"",INT(($B404-$D404)/365.25))</f>
        <v/>
      </c>
      <c r="G404" s="25"/>
      <c r="H404" s="25"/>
      <c r="I404" s="12"/>
      <c r="J404" s="14" t="str">
        <f aca="false">IF(OR($C404="",$D404="",$B404="",$G404=""),"",IF(COUNTIFS($C$5:$C$804,$C404,$D$5:$D$804,$D404,$B$5:$B$804,$B404,$G$5:$G$804,$G404)&gt;1,"Takror",""))</f>
        <v/>
      </c>
    </row>
    <row r="405" customFormat="false" ht="15" hidden="false" customHeight="false" outlineLevel="0" collapsed="false">
      <c r="A405" s="8" t="n">
        <v>401</v>
      </c>
      <c r="B405" s="13"/>
      <c r="C405" s="12"/>
      <c r="D405" s="13"/>
      <c r="E405" s="24"/>
      <c r="F405" s="14" t="str">
        <f aca="false">IF(OR($D405="",$B405=""),"",INT(($B405-$D405)/365.25))</f>
        <v/>
      </c>
      <c r="G405" s="25"/>
      <c r="H405" s="25"/>
      <c r="I405" s="12"/>
      <c r="J405" s="14" t="str">
        <f aca="false">IF(OR($C405="",$D405="",$B405="",$G405=""),"",IF(COUNTIFS($C$5:$C$804,$C405,$D$5:$D$804,$D405,$B$5:$B$804,$B405,$G$5:$G$804,$G405)&gt;1,"Takror",""))</f>
        <v/>
      </c>
    </row>
    <row r="406" customFormat="false" ht="15" hidden="false" customHeight="false" outlineLevel="0" collapsed="false">
      <c r="A406" s="8" t="n">
        <v>402</v>
      </c>
      <c r="B406" s="13"/>
      <c r="C406" s="12"/>
      <c r="D406" s="13"/>
      <c r="E406" s="24"/>
      <c r="F406" s="14" t="str">
        <f aca="false">IF(OR($D406="",$B406=""),"",INT(($B406-$D406)/365.25))</f>
        <v/>
      </c>
      <c r="G406" s="25"/>
      <c r="H406" s="25"/>
      <c r="I406" s="12"/>
      <c r="J406" s="14" t="str">
        <f aca="false">IF(OR($C406="",$D406="",$B406="",$G406=""),"",IF(COUNTIFS($C$5:$C$804,$C406,$D$5:$D$804,$D406,$B$5:$B$804,$B406,$G$5:$G$804,$G406)&gt;1,"Takror",""))</f>
        <v/>
      </c>
    </row>
    <row r="407" customFormat="false" ht="15" hidden="false" customHeight="false" outlineLevel="0" collapsed="false">
      <c r="A407" s="8" t="n">
        <v>403</v>
      </c>
      <c r="B407" s="13"/>
      <c r="C407" s="12"/>
      <c r="D407" s="13"/>
      <c r="E407" s="24"/>
      <c r="F407" s="14" t="str">
        <f aca="false">IF(OR($D407="",$B407=""),"",INT(($B407-$D407)/365.25))</f>
        <v/>
      </c>
      <c r="G407" s="25"/>
      <c r="H407" s="25"/>
      <c r="I407" s="12"/>
      <c r="J407" s="14" t="str">
        <f aca="false">IF(OR($C407="",$D407="",$B407="",$G407=""),"",IF(COUNTIFS($C$5:$C$804,$C407,$D$5:$D$804,$D407,$B$5:$B$804,$B407,$G$5:$G$804,$G407)&gt;1,"Takror",""))</f>
        <v/>
      </c>
    </row>
    <row r="408" customFormat="false" ht="15" hidden="false" customHeight="false" outlineLevel="0" collapsed="false">
      <c r="A408" s="8" t="n">
        <v>404</v>
      </c>
      <c r="B408" s="13"/>
      <c r="C408" s="12"/>
      <c r="D408" s="13"/>
      <c r="E408" s="24"/>
      <c r="F408" s="14" t="str">
        <f aca="false">IF(OR($D408="",$B408=""),"",INT(($B408-$D408)/365.25))</f>
        <v/>
      </c>
      <c r="G408" s="25"/>
      <c r="H408" s="25"/>
      <c r="I408" s="12"/>
      <c r="J408" s="14" t="str">
        <f aca="false">IF(OR($C408="",$D408="",$B408="",$G408=""),"",IF(COUNTIFS($C$5:$C$804,$C408,$D$5:$D$804,$D408,$B$5:$B$804,$B408,$G$5:$G$804,$G408)&gt;1,"Takror",""))</f>
        <v/>
      </c>
    </row>
    <row r="409" customFormat="false" ht="15" hidden="false" customHeight="false" outlineLevel="0" collapsed="false">
      <c r="A409" s="8" t="n">
        <v>405</v>
      </c>
      <c r="B409" s="13"/>
      <c r="C409" s="12"/>
      <c r="D409" s="13"/>
      <c r="E409" s="24"/>
      <c r="F409" s="14" t="str">
        <f aca="false">IF(OR($D409="",$B409=""),"",INT(($B409-$D409)/365.25))</f>
        <v/>
      </c>
      <c r="G409" s="25"/>
      <c r="H409" s="25"/>
      <c r="I409" s="12"/>
      <c r="J409" s="14" t="str">
        <f aca="false">IF(OR($C409="",$D409="",$B409="",$G409=""),"",IF(COUNTIFS($C$5:$C$804,$C409,$D$5:$D$804,$D409,$B$5:$B$804,$B409,$G$5:$G$804,$G409)&gt;1,"Takror",""))</f>
        <v/>
      </c>
    </row>
    <row r="410" customFormat="false" ht="15" hidden="false" customHeight="false" outlineLevel="0" collapsed="false">
      <c r="A410" s="8" t="n">
        <v>406</v>
      </c>
      <c r="B410" s="13"/>
      <c r="C410" s="12"/>
      <c r="D410" s="13"/>
      <c r="E410" s="24"/>
      <c r="F410" s="14" t="str">
        <f aca="false">IF(OR($D410="",$B410=""),"",INT(($B410-$D410)/365.25))</f>
        <v/>
      </c>
      <c r="G410" s="25"/>
      <c r="H410" s="25"/>
      <c r="I410" s="12"/>
      <c r="J410" s="14" t="str">
        <f aca="false">IF(OR($C410="",$D410="",$B410="",$G410=""),"",IF(COUNTIFS($C$5:$C$804,$C410,$D$5:$D$804,$D410,$B$5:$B$804,$B410,$G$5:$G$804,$G410)&gt;1,"Takror",""))</f>
        <v/>
      </c>
    </row>
    <row r="411" customFormat="false" ht="15" hidden="false" customHeight="false" outlineLevel="0" collapsed="false">
      <c r="A411" s="8" t="n">
        <v>407</v>
      </c>
      <c r="B411" s="13"/>
      <c r="C411" s="12"/>
      <c r="D411" s="13"/>
      <c r="E411" s="24"/>
      <c r="F411" s="14" t="str">
        <f aca="false">IF(OR($D411="",$B411=""),"",INT(($B411-$D411)/365.25))</f>
        <v/>
      </c>
      <c r="G411" s="25"/>
      <c r="H411" s="25"/>
      <c r="I411" s="12"/>
      <c r="J411" s="14" t="str">
        <f aca="false">IF(OR($C411="",$D411="",$B411="",$G411=""),"",IF(COUNTIFS($C$5:$C$804,$C411,$D$5:$D$804,$D411,$B$5:$B$804,$B411,$G$5:$G$804,$G411)&gt;1,"Takror",""))</f>
        <v/>
      </c>
    </row>
    <row r="412" customFormat="false" ht="15" hidden="false" customHeight="false" outlineLevel="0" collapsed="false">
      <c r="A412" s="8" t="n">
        <v>408</v>
      </c>
      <c r="B412" s="13"/>
      <c r="C412" s="12"/>
      <c r="D412" s="13"/>
      <c r="E412" s="24"/>
      <c r="F412" s="14" t="str">
        <f aca="false">IF(OR($D412="",$B412=""),"",INT(($B412-$D412)/365.25))</f>
        <v/>
      </c>
      <c r="G412" s="25"/>
      <c r="H412" s="25"/>
      <c r="I412" s="12"/>
      <c r="J412" s="14" t="str">
        <f aca="false">IF(OR($C412="",$D412="",$B412="",$G412=""),"",IF(COUNTIFS($C$5:$C$804,$C412,$D$5:$D$804,$D412,$B$5:$B$804,$B412,$G$5:$G$804,$G412)&gt;1,"Takror",""))</f>
        <v/>
      </c>
    </row>
    <row r="413" customFormat="false" ht="15" hidden="false" customHeight="false" outlineLevel="0" collapsed="false">
      <c r="A413" s="8" t="n">
        <v>409</v>
      </c>
      <c r="B413" s="13"/>
      <c r="C413" s="12"/>
      <c r="D413" s="13"/>
      <c r="E413" s="24"/>
      <c r="F413" s="14" t="str">
        <f aca="false">IF(OR($D413="",$B413=""),"",INT(($B413-$D413)/365.25))</f>
        <v/>
      </c>
      <c r="G413" s="25"/>
      <c r="H413" s="25"/>
      <c r="I413" s="12"/>
      <c r="J413" s="14" t="str">
        <f aca="false">IF(OR($C413="",$D413="",$B413="",$G413=""),"",IF(COUNTIFS($C$5:$C$804,$C413,$D$5:$D$804,$D413,$B$5:$B$804,$B413,$G$5:$G$804,$G413)&gt;1,"Takror",""))</f>
        <v/>
      </c>
    </row>
    <row r="414" customFormat="false" ht="15" hidden="false" customHeight="false" outlineLevel="0" collapsed="false">
      <c r="A414" s="8" t="n">
        <v>410</v>
      </c>
      <c r="B414" s="13"/>
      <c r="C414" s="12"/>
      <c r="D414" s="13"/>
      <c r="E414" s="24"/>
      <c r="F414" s="14" t="str">
        <f aca="false">IF(OR($D414="",$B414=""),"",INT(($B414-$D414)/365.25))</f>
        <v/>
      </c>
      <c r="G414" s="25"/>
      <c r="H414" s="25"/>
      <c r="I414" s="12"/>
      <c r="J414" s="14" t="str">
        <f aca="false">IF(OR($C414="",$D414="",$B414="",$G414=""),"",IF(COUNTIFS($C$5:$C$804,$C414,$D$5:$D$804,$D414,$B$5:$B$804,$B414,$G$5:$G$804,$G414)&gt;1,"Takror",""))</f>
        <v/>
      </c>
    </row>
    <row r="415" customFormat="false" ht="15" hidden="false" customHeight="false" outlineLevel="0" collapsed="false">
      <c r="A415" s="8" t="n">
        <v>411</v>
      </c>
      <c r="B415" s="13"/>
      <c r="C415" s="12"/>
      <c r="D415" s="13"/>
      <c r="E415" s="24"/>
      <c r="F415" s="14" t="str">
        <f aca="false">IF(OR($D415="",$B415=""),"",INT(($B415-$D415)/365.25))</f>
        <v/>
      </c>
      <c r="G415" s="25"/>
      <c r="H415" s="25"/>
      <c r="I415" s="12"/>
      <c r="J415" s="14" t="str">
        <f aca="false">IF(OR($C415="",$D415="",$B415="",$G415=""),"",IF(COUNTIFS($C$5:$C$804,$C415,$D$5:$D$804,$D415,$B$5:$B$804,$B415,$G$5:$G$804,$G415)&gt;1,"Takror",""))</f>
        <v/>
      </c>
    </row>
    <row r="416" customFormat="false" ht="15" hidden="false" customHeight="false" outlineLevel="0" collapsed="false">
      <c r="A416" s="8" t="n">
        <v>412</v>
      </c>
      <c r="B416" s="13"/>
      <c r="C416" s="12"/>
      <c r="D416" s="13"/>
      <c r="E416" s="24"/>
      <c r="F416" s="14" t="str">
        <f aca="false">IF(OR($D416="",$B416=""),"",INT(($B416-$D416)/365.25))</f>
        <v/>
      </c>
      <c r="G416" s="25"/>
      <c r="H416" s="25"/>
      <c r="I416" s="12"/>
      <c r="J416" s="14" t="str">
        <f aca="false">IF(OR($C416="",$D416="",$B416="",$G416=""),"",IF(COUNTIFS($C$5:$C$804,$C416,$D$5:$D$804,$D416,$B$5:$B$804,$B416,$G$5:$G$804,$G416)&gt;1,"Takror",""))</f>
        <v/>
      </c>
    </row>
    <row r="417" customFormat="false" ht="15" hidden="false" customHeight="false" outlineLevel="0" collapsed="false">
      <c r="A417" s="8" t="n">
        <v>413</v>
      </c>
      <c r="B417" s="13"/>
      <c r="C417" s="12"/>
      <c r="D417" s="13"/>
      <c r="E417" s="24"/>
      <c r="F417" s="14" t="str">
        <f aca="false">IF(OR($D417="",$B417=""),"",INT(($B417-$D417)/365.25))</f>
        <v/>
      </c>
      <c r="G417" s="25"/>
      <c r="H417" s="25"/>
      <c r="I417" s="12"/>
      <c r="J417" s="14" t="str">
        <f aca="false">IF(OR($C417="",$D417="",$B417="",$G417=""),"",IF(COUNTIFS($C$5:$C$804,$C417,$D$5:$D$804,$D417,$B$5:$B$804,$B417,$G$5:$G$804,$G417)&gt;1,"Takror",""))</f>
        <v/>
      </c>
    </row>
    <row r="418" customFormat="false" ht="15" hidden="false" customHeight="false" outlineLevel="0" collapsed="false">
      <c r="A418" s="8" t="n">
        <v>414</v>
      </c>
      <c r="B418" s="13"/>
      <c r="C418" s="12"/>
      <c r="D418" s="13"/>
      <c r="E418" s="24"/>
      <c r="F418" s="14" t="str">
        <f aca="false">IF(OR($D418="",$B418=""),"",INT(($B418-$D418)/365.25))</f>
        <v/>
      </c>
      <c r="G418" s="25"/>
      <c r="H418" s="25"/>
      <c r="I418" s="12"/>
      <c r="J418" s="14" t="str">
        <f aca="false">IF(OR($C418="",$D418="",$B418="",$G418=""),"",IF(COUNTIFS($C$5:$C$804,$C418,$D$5:$D$804,$D418,$B$5:$B$804,$B418,$G$5:$G$804,$G418)&gt;1,"Takror",""))</f>
        <v/>
      </c>
    </row>
    <row r="419" customFormat="false" ht="15" hidden="false" customHeight="false" outlineLevel="0" collapsed="false">
      <c r="A419" s="8" t="n">
        <v>415</v>
      </c>
      <c r="B419" s="13"/>
      <c r="C419" s="12"/>
      <c r="D419" s="13"/>
      <c r="E419" s="24"/>
      <c r="F419" s="14" t="str">
        <f aca="false">IF(OR($D419="",$B419=""),"",INT(($B419-$D419)/365.25))</f>
        <v/>
      </c>
      <c r="G419" s="25"/>
      <c r="H419" s="25"/>
      <c r="I419" s="12"/>
      <c r="J419" s="14" t="str">
        <f aca="false">IF(OR($C419="",$D419="",$B419="",$G419=""),"",IF(COUNTIFS($C$5:$C$804,$C419,$D$5:$D$804,$D419,$B$5:$B$804,$B419,$G$5:$G$804,$G419)&gt;1,"Takror",""))</f>
        <v/>
      </c>
    </row>
    <row r="420" customFormat="false" ht="15" hidden="false" customHeight="false" outlineLevel="0" collapsed="false">
      <c r="A420" s="8" t="n">
        <v>416</v>
      </c>
      <c r="B420" s="13"/>
      <c r="C420" s="12"/>
      <c r="D420" s="13"/>
      <c r="E420" s="24"/>
      <c r="F420" s="14" t="str">
        <f aca="false">IF(OR($D420="",$B420=""),"",INT(($B420-$D420)/365.25))</f>
        <v/>
      </c>
      <c r="G420" s="25"/>
      <c r="H420" s="25"/>
      <c r="I420" s="12"/>
      <c r="J420" s="14" t="str">
        <f aca="false">IF(OR($C420="",$D420="",$B420="",$G420=""),"",IF(COUNTIFS($C$5:$C$804,$C420,$D$5:$D$804,$D420,$B$5:$B$804,$B420,$G$5:$G$804,$G420)&gt;1,"Takror",""))</f>
        <v/>
      </c>
    </row>
    <row r="421" customFormat="false" ht="15" hidden="false" customHeight="false" outlineLevel="0" collapsed="false">
      <c r="A421" s="8" t="n">
        <v>417</v>
      </c>
      <c r="B421" s="13"/>
      <c r="C421" s="12"/>
      <c r="D421" s="13"/>
      <c r="E421" s="24"/>
      <c r="F421" s="14" t="str">
        <f aca="false">IF(OR($D421="",$B421=""),"",INT(($B421-$D421)/365.25))</f>
        <v/>
      </c>
      <c r="G421" s="25"/>
      <c r="H421" s="25"/>
      <c r="I421" s="12"/>
      <c r="J421" s="14" t="str">
        <f aca="false">IF(OR($C421="",$D421="",$B421="",$G421=""),"",IF(COUNTIFS($C$5:$C$804,$C421,$D$5:$D$804,$D421,$B$5:$B$804,$B421,$G$5:$G$804,$G421)&gt;1,"Takror",""))</f>
        <v/>
      </c>
    </row>
    <row r="422" customFormat="false" ht="15" hidden="false" customHeight="false" outlineLevel="0" collapsed="false">
      <c r="A422" s="8" t="n">
        <v>418</v>
      </c>
      <c r="B422" s="13"/>
      <c r="C422" s="12"/>
      <c r="D422" s="13"/>
      <c r="E422" s="24"/>
      <c r="F422" s="14" t="str">
        <f aca="false">IF(OR($D422="",$B422=""),"",INT(($B422-$D422)/365.25))</f>
        <v/>
      </c>
      <c r="G422" s="25"/>
      <c r="H422" s="25"/>
      <c r="I422" s="12"/>
      <c r="J422" s="14" t="str">
        <f aca="false">IF(OR($C422="",$D422="",$B422="",$G422=""),"",IF(COUNTIFS($C$5:$C$804,$C422,$D$5:$D$804,$D422,$B$5:$B$804,$B422,$G$5:$G$804,$G422)&gt;1,"Takror",""))</f>
        <v/>
      </c>
    </row>
    <row r="423" customFormat="false" ht="15" hidden="false" customHeight="false" outlineLevel="0" collapsed="false">
      <c r="A423" s="8" t="n">
        <v>419</v>
      </c>
      <c r="B423" s="13"/>
      <c r="C423" s="12"/>
      <c r="D423" s="13"/>
      <c r="E423" s="24"/>
      <c r="F423" s="14" t="str">
        <f aca="false">IF(OR($D423="",$B423=""),"",INT(($B423-$D423)/365.25))</f>
        <v/>
      </c>
      <c r="G423" s="25"/>
      <c r="H423" s="25"/>
      <c r="I423" s="12"/>
      <c r="J423" s="14" t="str">
        <f aca="false">IF(OR($C423="",$D423="",$B423="",$G423=""),"",IF(COUNTIFS($C$5:$C$804,$C423,$D$5:$D$804,$D423,$B$5:$B$804,$B423,$G$5:$G$804,$G423)&gt;1,"Takror",""))</f>
        <v/>
      </c>
    </row>
    <row r="424" customFormat="false" ht="15" hidden="false" customHeight="false" outlineLevel="0" collapsed="false">
      <c r="A424" s="8" t="n">
        <v>420</v>
      </c>
      <c r="B424" s="13"/>
      <c r="C424" s="12"/>
      <c r="D424" s="13"/>
      <c r="E424" s="24"/>
      <c r="F424" s="14" t="str">
        <f aca="false">IF(OR($D424="",$B424=""),"",INT(($B424-$D424)/365.25))</f>
        <v/>
      </c>
      <c r="G424" s="25"/>
      <c r="H424" s="25"/>
      <c r="I424" s="12"/>
      <c r="J424" s="14" t="str">
        <f aca="false">IF(OR($C424="",$D424="",$B424="",$G424=""),"",IF(COUNTIFS($C$5:$C$804,$C424,$D$5:$D$804,$D424,$B$5:$B$804,$B424,$G$5:$G$804,$G424)&gt;1,"Takror",""))</f>
        <v/>
      </c>
    </row>
    <row r="425" customFormat="false" ht="15" hidden="false" customHeight="false" outlineLevel="0" collapsed="false">
      <c r="A425" s="8" t="n">
        <v>421</v>
      </c>
      <c r="B425" s="13"/>
      <c r="C425" s="12"/>
      <c r="D425" s="13"/>
      <c r="E425" s="24"/>
      <c r="F425" s="14" t="str">
        <f aca="false">IF(OR($D425="",$B425=""),"",INT(($B425-$D425)/365.25))</f>
        <v/>
      </c>
      <c r="G425" s="25"/>
      <c r="H425" s="25"/>
      <c r="I425" s="12"/>
      <c r="J425" s="14" t="str">
        <f aca="false">IF(OR($C425="",$D425="",$B425="",$G425=""),"",IF(COUNTIFS($C$5:$C$804,$C425,$D$5:$D$804,$D425,$B$5:$B$804,$B425,$G$5:$G$804,$G425)&gt;1,"Takror",""))</f>
        <v/>
      </c>
    </row>
    <row r="426" customFormat="false" ht="15" hidden="false" customHeight="false" outlineLevel="0" collapsed="false">
      <c r="A426" s="8" t="n">
        <v>422</v>
      </c>
      <c r="B426" s="13"/>
      <c r="C426" s="12"/>
      <c r="D426" s="13"/>
      <c r="E426" s="24"/>
      <c r="F426" s="14" t="str">
        <f aca="false">IF(OR($D426="",$B426=""),"",INT(($B426-$D426)/365.25))</f>
        <v/>
      </c>
      <c r="G426" s="25"/>
      <c r="H426" s="25"/>
      <c r="I426" s="12"/>
      <c r="J426" s="14" t="str">
        <f aca="false">IF(OR($C426="",$D426="",$B426="",$G426=""),"",IF(COUNTIFS($C$5:$C$804,$C426,$D$5:$D$804,$D426,$B$5:$B$804,$B426,$G$5:$G$804,$G426)&gt;1,"Takror",""))</f>
        <v/>
      </c>
    </row>
    <row r="427" customFormat="false" ht="15" hidden="false" customHeight="false" outlineLevel="0" collapsed="false">
      <c r="A427" s="8" t="n">
        <v>423</v>
      </c>
      <c r="B427" s="13"/>
      <c r="C427" s="12"/>
      <c r="D427" s="13"/>
      <c r="E427" s="24"/>
      <c r="F427" s="14" t="str">
        <f aca="false">IF(OR($D427="",$B427=""),"",INT(($B427-$D427)/365.25))</f>
        <v/>
      </c>
      <c r="G427" s="25"/>
      <c r="H427" s="25"/>
      <c r="I427" s="12"/>
      <c r="J427" s="14" t="str">
        <f aca="false">IF(OR($C427="",$D427="",$B427="",$G427=""),"",IF(COUNTIFS($C$5:$C$804,$C427,$D$5:$D$804,$D427,$B$5:$B$804,$B427,$G$5:$G$804,$G427)&gt;1,"Takror",""))</f>
        <v/>
      </c>
    </row>
    <row r="428" customFormat="false" ht="15" hidden="false" customHeight="false" outlineLevel="0" collapsed="false">
      <c r="A428" s="8" t="n">
        <v>424</v>
      </c>
      <c r="B428" s="13"/>
      <c r="C428" s="12"/>
      <c r="D428" s="13"/>
      <c r="E428" s="24"/>
      <c r="F428" s="14" t="str">
        <f aca="false">IF(OR($D428="",$B428=""),"",INT(($B428-$D428)/365.25))</f>
        <v/>
      </c>
      <c r="G428" s="25"/>
      <c r="H428" s="25"/>
      <c r="I428" s="12"/>
      <c r="J428" s="14" t="str">
        <f aca="false">IF(OR($C428="",$D428="",$B428="",$G428=""),"",IF(COUNTIFS($C$5:$C$804,$C428,$D$5:$D$804,$D428,$B$5:$B$804,$B428,$G$5:$G$804,$G428)&gt;1,"Takror",""))</f>
        <v/>
      </c>
    </row>
    <row r="429" customFormat="false" ht="15" hidden="false" customHeight="false" outlineLevel="0" collapsed="false">
      <c r="A429" s="8" t="n">
        <v>425</v>
      </c>
      <c r="B429" s="13"/>
      <c r="C429" s="12"/>
      <c r="D429" s="13"/>
      <c r="E429" s="24"/>
      <c r="F429" s="14" t="str">
        <f aca="false">IF(OR($D429="",$B429=""),"",INT(($B429-$D429)/365.25))</f>
        <v/>
      </c>
      <c r="G429" s="25"/>
      <c r="H429" s="25"/>
      <c r="I429" s="12"/>
      <c r="J429" s="14" t="str">
        <f aca="false">IF(OR($C429="",$D429="",$B429="",$G429=""),"",IF(COUNTIFS($C$5:$C$804,$C429,$D$5:$D$804,$D429,$B$5:$B$804,$B429,$G$5:$G$804,$G429)&gt;1,"Takror",""))</f>
        <v/>
      </c>
    </row>
    <row r="430" customFormat="false" ht="15" hidden="false" customHeight="false" outlineLevel="0" collapsed="false">
      <c r="A430" s="8" t="n">
        <v>426</v>
      </c>
      <c r="B430" s="13"/>
      <c r="C430" s="12"/>
      <c r="D430" s="13"/>
      <c r="E430" s="24"/>
      <c r="F430" s="14" t="str">
        <f aca="false">IF(OR($D430="",$B430=""),"",INT(($B430-$D430)/365.25))</f>
        <v/>
      </c>
      <c r="G430" s="25"/>
      <c r="H430" s="25"/>
      <c r="I430" s="12"/>
      <c r="J430" s="14" t="str">
        <f aca="false">IF(OR($C430="",$D430="",$B430="",$G430=""),"",IF(COUNTIFS($C$5:$C$804,$C430,$D$5:$D$804,$D430,$B$5:$B$804,$B430,$G$5:$G$804,$G430)&gt;1,"Takror",""))</f>
        <v/>
      </c>
    </row>
    <row r="431" customFormat="false" ht="15" hidden="false" customHeight="false" outlineLevel="0" collapsed="false">
      <c r="A431" s="8" t="n">
        <v>427</v>
      </c>
      <c r="B431" s="13"/>
      <c r="C431" s="12"/>
      <c r="D431" s="13"/>
      <c r="E431" s="24"/>
      <c r="F431" s="14" t="str">
        <f aca="false">IF(OR($D431="",$B431=""),"",INT(($B431-$D431)/365.25))</f>
        <v/>
      </c>
      <c r="G431" s="25"/>
      <c r="H431" s="25"/>
      <c r="I431" s="12"/>
      <c r="J431" s="14" t="str">
        <f aca="false">IF(OR($C431="",$D431="",$B431="",$G431=""),"",IF(COUNTIFS($C$5:$C$804,$C431,$D$5:$D$804,$D431,$B$5:$B$804,$B431,$G$5:$G$804,$G431)&gt;1,"Takror",""))</f>
        <v/>
      </c>
    </row>
    <row r="432" customFormat="false" ht="15" hidden="false" customHeight="false" outlineLevel="0" collapsed="false">
      <c r="A432" s="8" t="n">
        <v>428</v>
      </c>
      <c r="B432" s="13"/>
      <c r="C432" s="12"/>
      <c r="D432" s="13"/>
      <c r="E432" s="24"/>
      <c r="F432" s="14" t="str">
        <f aca="false">IF(OR($D432="",$B432=""),"",INT(($B432-$D432)/365.25))</f>
        <v/>
      </c>
      <c r="G432" s="25"/>
      <c r="H432" s="25"/>
      <c r="I432" s="12"/>
      <c r="J432" s="14" t="str">
        <f aca="false">IF(OR($C432="",$D432="",$B432="",$G432=""),"",IF(COUNTIFS($C$5:$C$804,$C432,$D$5:$D$804,$D432,$B$5:$B$804,$B432,$G$5:$G$804,$G432)&gt;1,"Takror",""))</f>
        <v/>
      </c>
    </row>
    <row r="433" customFormat="false" ht="15" hidden="false" customHeight="false" outlineLevel="0" collapsed="false">
      <c r="A433" s="8" t="n">
        <v>429</v>
      </c>
      <c r="B433" s="13"/>
      <c r="C433" s="12"/>
      <c r="D433" s="13"/>
      <c r="E433" s="24"/>
      <c r="F433" s="14" t="str">
        <f aca="false">IF(OR($D433="",$B433=""),"",INT(($B433-$D433)/365.25))</f>
        <v/>
      </c>
      <c r="G433" s="25"/>
      <c r="H433" s="25"/>
      <c r="I433" s="12"/>
      <c r="J433" s="14" t="str">
        <f aca="false">IF(OR($C433="",$D433="",$B433="",$G433=""),"",IF(COUNTIFS($C$5:$C$804,$C433,$D$5:$D$804,$D433,$B$5:$B$804,$B433,$G$5:$G$804,$G433)&gt;1,"Takror",""))</f>
        <v/>
      </c>
    </row>
    <row r="434" customFormat="false" ht="15" hidden="false" customHeight="false" outlineLevel="0" collapsed="false">
      <c r="A434" s="8" t="n">
        <v>430</v>
      </c>
      <c r="B434" s="13"/>
      <c r="C434" s="12"/>
      <c r="D434" s="13"/>
      <c r="E434" s="24"/>
      <c r="F434" s="14" t="str">
        <f aca="false">IF(OR($D434="",$B434=""),"",INT(($B434-$D434)/365.25))</f>
        <v/>
      </c>
      <c r="G434" s="25"/>
      <c r="H434" s="25"/>
      <c r="I434" s="12"/>
      <c r="J434" s="14" t="str">
        <f aca="false">IF(OR($C434="",$D434="",$B434="",$G434=""),"",IF(COUNTIFS($C$5:$C$804,$C434,$D$5:$D$804,$D434,$B$5:$B$804,$B434,$G$5:$G$804,$G434)&gt;1,"Takror",""))</f>
        <v/>
      </c>
    </row>
    <row r="435" customFormat="false" ht="15" hidden="false" customHeight="false" outlineLevel="0" collapsed="false">
      <c r="A435" s="8" t="n">
        <v>431</v>
      </c>
      <c r="B435" s="13"/>
      <c r="C435" s="12"/>
      <c r="D435" s="13"/>
      <c r="E435" s="24"/>
      <c r="F435" s="14" t="str">
        <f aca="false">IF(OR($D435="",$B435=""),"",INT(($B435-$D435)/365.25))</f>
        <v/>
      </c>
      <c r="G435" s="25"/>
      <c r="H435" s="25"/>
      <c r="I435" s="12"/>
      <c r="J435" s="14" t="str">
        <f aca="false">IF(OR($C435="",$D435="",$B435="",$G435=""),"",IF(COUNTIFS($C$5:$C$804,$C435,$D$5:$D$804,$D435,$B$5:$B$804,$B435,$G$5:$G$804,$G435)&gt;1,"Takror",""))</f>
        <v/>
      </c>
    </row>
    <row r="436" customFormat="false" ht="15" hidden="false" customHeight="false" outlineLevel="0" collapsed="false">
      <c r="A436" s="8" t="n">
        <v>432</v>
      </c>
      <c r="B436" s="13"/>
      <c r="C436" s="12"/>
      <c r="D436" s="13"/>
      <c r="E436" s="24"/>
      <c r="F436" s="14" t="str">
        <f aca="false">IF(OR($D436="",$B436=""),"",INT(($B436-$D436)/365.25))</f>
        <v/>
      </c>
      <c r="G436" s="25"/>
      <c r="H436" s="25"/>
      <c r="I436" s="12"/>
      <c r="J436" s="14" t="str">
        <f aca="false">IF(OR($C436="",$D436="",$B436="",$G436=""),"",IF(COUNTIFS($C$5:$C$804,$C436,$D$5:$D$804,$D436,$B$5:$B$804,$B436,$G$5:$G$804,$G436)&gt;1,"Takror",""))</f>
        <v/>
      </c>
    </row>
    <row r="437" customFormat="false" ht="15" hidden="false" customHeight="false" outlineLevel="0" collapsed="false">
      <c r="A437" s="8" t="n">
        <v>433</v>
      </c>
      <c r="B437" s="13"/>
      <c r="C437" s="12"/>
      <c r="D437" s="13"/>
      <c r="E437" s="24"/>
      <c r="F437" s="14" t="str">
        <f aca="false">IF(OR($D437="",$B437=""),"",INT(($B437-$D437)/365.25))</f>
        <v/>
      </c>
      <c r="G437" s="25"/>
      <c r="H437" s="25"/>
      <c r="I437" s="12"/>
      <c r="J437" s="14" t="str">
        <f aca="false">IF(OR($C437="",$D437="",$B437="",$G437=""),"",IF(COUNTIFS($C$5:$C$804,$C437,$D$5:$D$804,$D437,$B$5:$B$804,$B437,$G$5:$G$804,$G437)&gt;1,"Takror",""))</f>
        <v/>
      </c>
    </row>
    <row r="438" customFormat="false" ht="15" hidden="false" customHeight="false" outlineLevel="0" collapsed="false">
      <c r="A438" s="8" t="n">
        <v>434</v>
      </c>
      <c r="B438" s="13"/>
      <c r="C438" s="12"/>
      <c r="D438" s="13"/>
      <c r="E438" s="24"/>
      <c r="F438" s="14" t="str">
        <f aca="false">IF(OR($D438="",$B438=""),"",INT(($B438-$D438)/365.25))</f>
        <v/>
      </c>
      <c r="G438" s="25"/>
      <c r="H438" s="25"/>
      <c r="I438" s="12"/>
      <c r="J438" s="14" t="str">
        <f aca="false">IF(OR($C438="",$D438="",$B438="",$G438=""),"",IF(COUNTIFS($C$5:$C$804,$C438,$D$5:$D$804,$D438,$B$5:$B$804,$B438,$G$5:$G$804,$G438)&gt;1,"Takror",""))</f>
        <v/>
      </c>
    </row>
    <row r="439" customFormat="false" ht="15" hidden="false" customHeight="false" outlineLevel="0" collapsed="false">
      <c r="A439" s="8" t="n">
        <v>435</v>
      </c>
      <c r="B439" s="13"/>
      <c r="C439" s="12"/>
      <c r="D439" s="13"/>
      <c r="E439" s="24"/>
      <c r="F439" s="14" t="str">
        <f aca="false">IF(OR($D439="",$B439=""),"",INT(($B439-$D439)/365.25))</f>
        <v/>
      </c>
      <c r="G439" s="25"/>
      <c r="H439" s="25"/>
      <c r="I439" s="12"/>
      <c r="J439" s="14" t="str">
        <f aca="false">IF(OR($C439="",$D439="",$B439="",$G439=""),"",IF(COUNTIFS($C$5:$C$804,$C439,$D$5:$D$804,$D439,$B$5:$B$804,$B439,$G$5:$G$804,$G439)&gt;1,"Takror",""))</f>
        <v/>
      </c>
    </row>
    <row r="440" customFormat="false" ht="15" hidden="false" customHeight="false" outlineLevel="0" collapsed="false">
      <c r="A440" s="8" t="n">
        <v>436</v>
      </c>
      <c r="B440" s="13"/>
      <c r="C440" s="12"/>
      <c r="D440" s="13"/>
      <c r="E440" s="24"/>
      <c r="F440" s="14" t="str">
        <f aca="false">IF(OR($D440="",$B440=""),"",INT(($B440-$D440)/365.25))</f>
        <v/>
      </c>
      <c r="G440" s="25"/>
      <c r="H440" s="25"/>
      <c r="I440" s="12"/>
      <c r="J440" s="14" t="str">
        <f aca="false">IF(OR($C440="",$D440="",$B440="",$G440=""),"",IF(COUNTIFS($C$5:$C$804,$C440,$D$5:$D$804,$D440,$B$5:$B$804,$B440,$G$5:$G$804,$G440)&gt;1,"Takror",""))</f>
        <v/>
      </c>
    </row>
    <row r="441" customFormat="false" ht="15" hidden="false" customHeight="false" outlineLevel="0" collapsed="false">
      <c r="A441" s="8" t="n">
        <v>437</v>
      </c>
      <c r="B441" s="13"/>
      <c r="C441" s="12"/>
      <c r="D441" s="13"/>
      <c r="E441" s="24"/>
      <c r="F441" s="14" t="str">
        <f aca="false">IF(OR($D441="",$B441=""),"",INT(($B441-$D441)/365.25))</f>
        <v/>
      </c>
      <c r="G441" s="25"/>
      <c r="H441" s="25"/>
      <c r="I441" s="12"/>
      <c r="J441" s="14" t="str">
        <f aca="false">IF(OR($C441="",$D441="",$B441="",$G441=""),"",IF(COUNTIFS($C$5:$C$804,$C441,$D$5:$D$804,$D441,$B$5:$B$804,$B441,$G$5:$G$804,$G441)&gt;1,"Takror",""))</f>
        <v/>
      </c>
    </row>
    <row r="442" customFormat="false" ht="15" hidden="false" customHeight="false" outlineLevel="0" collapsed="false">
      <c r="A442" s="8" t="n">
        <v>438</v>
      </c>
      <c r="B442" s="13"/>
      <c r="C442" s="12"/>
      <c r="D442" s="13"/>
      <c r="E442" s="24"/>
      <c r="F442" s="14" t="str">
        <f aca="false">IF(OR($D442="",$B442=""),"",INT(($B442-$D442)/365.25))</f>
        <v/>
      </c>
      <c r="G442" s="25"/>
      <c r="H442" s="25"/>
      <c r="I442" s="12"/>
      <c r="J442" s="14" t="str">
        <f aca="false">IF(OR($C442="",$D442="",$B442="",$G442=""),"",IF(COUNTIFS($C$5:$C$804,$C442,$D$5:$D$804,$D442,$B$5:$B$804,$B442,$G$5:$G$804,$G442)&gt;1,"Takror",""))</f>
        <v/>
      </c>
    </row>
    <row r="443" customFormat="false" ht="15" hidden="false" customHeight="false" outlineLevel="0" collapsed="false">
      <c r="A443" s="8" t="n">
        <v>439</v>
      </c>
      <c r="B443" s="13"/>
      <c r="C443" s="12"/>
      <c r="D443" s="13"/>
      <c r="E443" s="24"/>
      <c r="F443" s="14" t="str">
        <f aca="false">IF(OR($D443="",$B443=""),"",INT(($B443-$D443)/365.25))</f>
        <v/>
      </c>
      <c r="G443" s="25"/>
      <c r="H443" s="25"/>
      <c r="I443" s="12"/>
      <c r="J443" s="14" t="str">
        <f aca="false">IF(OR($C443="",$D443="",$B443="",$G443=""),"",IF(COUNTIFS($C$5:$C$804,$C443,$D$5:$D$804,$D443,$B$5:$B$804,$B443,$G$5:$G$804,$G443)&gt;1,"Takror",""))</f>
        <v/>
      </c>
    </row>
    <row r="444" customFormat="false" ht="15" hidden="false" customHeight="false" outlineLevel="0" collapsed="false">
      <c r="A444" s="8" t="n">
        <v>440</v>
      </c>
      <c r="B444" s="13"/>
      <c r="C444" s="12"/>
      <c r="D444" s="13"/>
      <c r="E444" s="24"/>
      <c r="F444" s="14" t="str">
        <f aca="false">IF(OR($D444="",$B444=""),"",INT(($B444-$D444)/365.25))</f>
        <v/>
      </c>
      <c r="G444" s="25"/>
      <c r="H444" s="25"/>
      <c r="I444" s="12"/>
      <c r="J444" s="14" t="str">
        <f aca="false">IF(OR($C444="",$D444="",$B444="",$G444=""),"",IF(COUNTIFS($C$5:$C$804,$C444,$D$5:$D$804,$D444,$B$5:$B$804,$B444,$G$5:$G$804,$G444)&gt;1,"Takror",""))</f>
        <v/>
      </c>
    </row>
    <row r="445" customFormat="false" ht="15" hidden="false" customHeight="false" outlineLevel="0" collapsed="false">
      <c r="A445" s="8" t="n">
        <v>441</v>
      </c>
      <c r="B445" s="13"/>
      <c r="C445" s="12"/>
      <c r="D445" s="13"/>
      <c r="E445" s="24"/>
      <c r="F445" s="14" t="str">
        <f aca="false">IF(OR($D445="",$B445=""),"",INT(($B445-$D445)/365.25))</f>
        <v/>
      </c>
      <c r="G445" s="25"/>
      <c r="H445" s="25"/>
      <c r="I445" s="12"/>
      <c r="J445" s="14" t="str">
        <f aca="false">IF(OR($C445="",$D445="",$B445="",$G445=""),"",IF(COUNTIFS($C$5:$C$804,$C445,$D$5:$D$804,$D445,$B$5:$B$804,$B445,$G$5:$G$804,$G445)&gt;1,"Takror",""))</f>
        <v/>
      </c>
    </row>
    <row r="446" customFormat="false" ht="15" hidden="false" customHeight="false" outlineLevel="0" collapsed="false">
      <c r="A446" s="8" t="n">
        <v>442</v>
      </c>
      <c r="B446" s="13"/>
      <c r="C446" s="12"/>
      <c r="D446" s="13"/>
      <c r="E446" s="24"/>
      <c r="F446" s="14" t="str">
        <f aca="false">IF(OR($D446="",$B446=""),"",INT(($B446-$D446)/365.25))</f>
        <v/>
      </c>
      <c r="G446" s="25"/>
      <c r="H446" s="25"/>
      <c r="I446" s="12"/>
      <c r="J446" s="14" t="str">
        <f aca="false">IF(OR($C446="",$D446="",$B446="",$G446=""),"",IF(COUNTIFS($C$5:$C$804,$C446,$D$5:$D$804,$D446,$B$5:$B$804,$B446,$G$5:$G$804,$G446)&gt;1,"Takror",""))</f>
        <v/>
      </c>
    </row>
    <row r="447" customFormat="false" ht="15" hidden="false" customHeight="false" outlineLevel="0" collapsed="false">
      <c r="A447" s="8" t="n">
        <v>443</v>
      </c>
      <c r="B447" s="13"/>
      <c r="C447" s="12"/>
      <c r="D447" s="13"/>
      <c r="E447" s="24"/>
      <c r="F447" s="14" t="str">
        <f aca="false">IF(OR($D447="",$B447=""),"",INT(($B447-$D447)/365.25))</f>
        <v/>
      </c>
      <c r="G447" s="25"/>
      <c r="H447" s="25"/>
      <c r="I447" s="12"/>
      <c r="J447" s="14" t="str">
        <f aca="false">IF(OR($C447="",$D447="",$B447="",$G447=""),"",IF(COUNTIFS($C$5:$C$804,$C447,$D$5:$D$804,$D447,$B$5:$B$804,$B447,$G$5:$G$804,$G447)&gt;1,"Takror",""))</f>
        <v/>
      </c>
    </row>
    <row r="448" customFormat="false" ht="15" hidden="false" customHeight="false" outlineLevel="0" collapsed="false">
      <c r="A448" s="8" t="n">
        <v>444</v>
      </c>
      <c r="B448" s="13"/>
      <c r="C448" s="12"/>
      <c r="D448" s="13"/>
      <c r="E448" s="24"/>
      <c r="F448" s="14" t="str">
        <f aca="false">IF(OR($D448="",$B448=""),"",INT(($B448-$D448)/365.25))</f>
        <v/>
      </c>
      <c r="G448" s="25"/>
      <c r="H448" s="25"/>
      <c r="I448" s="12"/>
      <c r="J448" s="14" t="str">
        <f aca="false">IF(OR($C448="",$D448="",$B448="",$G448=""),"",IF(COUNTIFS($C$5:$C$804,$C448,$D$5:$D$804,$D448,$B$5:$B$804,$B448,$G$5:$G$804,$G448)&gt;1,"Takror",""))</f>
        <v/>
      </c>
    </row>
    <row r="449" customFormat="false" ht="15" hidden="false" customHeight="false" outlineLevel="0" collapsed="false">
      <c r="A449" s="8" t="n">
        <v>445</v>
      </c>
      <c r="B449" s="13"/>
      <c r="C449" s="12"/>
      <c r="D449" s="13"/>
      <c r="E449" s="24"/>
      <c r="F449" s="14" t="str">
        <f aca="false">IF(OR($D449="",$B449=""),"",INT(($B449-$D449)/365.25))</f>
        <v/>
      </c>
      <c r="G449" s="25"/>
      <c r="H449" s="25"/>
      <c r="I449" s="12"/>
      <c r="J449" s="14" t="str">
        <f aca="false">IF(OR($C449="",$D449="",$B449="",$G449=""),"",IF(COUNTIFS($C$5:$C$804,$C449,$D$5:$D$804,$D449,$B$5:$B$804,$B449,$G$5:$G$804,$G449)&gt;1,"Takror",""))</f>
        <v/>
      </c>
    </row>
    <row r="450" customFormat="false" ht="15" hidden="false" customHeight="false" outlineLevel="0" collapsed="false">
      <c r="A450" s="8" t="n">
        <v>446</v>
      </c>
      <c r="B450" s="13"/>
      <c r="C450" s="12"/>
      <c r="D450" s="13"/>
      <c r="E450" s="24"/>
      <c r="F450" s="14" t="str">
        <f aca="false">IF(OR($D450="",$B450=""),"",INT(($B450-$D450)/365.25))</f>
        <v/>
      </c>
      <c r="G450" s="25"/>
      <c r="H450" s="25"/>
      <c r="I450" s="12"/>
      <c r="J450" s="14" t="str">
        <f aca="false">IF(OR($C450="",$D450="",$B450="",$G450=""),"",IF(COUNTIFS($C$5:$C$804,$C450,$D$5:$D$804,$D450,$B$5:$B$804,$B450,$G$5:$G$804,$G450)&gt;1,"Takror",""))</f>
        <v/>
      </c>
    </row>
    <row r="451" customFormat="false" ht="15" hidden="false" customHeight="false" outlineLevel="0" collapsed="false">
      <c r="A451" s="8" t="n">
        <v>447</v>
      </c>
      <c r="B451" s="13"/>
      <c r="C451" s="12"/>
      <c r="D451" s="13"/>
      <c r="E451" s="24"/>
      <c r="F451" s="14" t="str">
        <f aca="false">IF(OR($D451="",$B451=""),"",INT(($B451-$D451)/365.25))</f>
        <v/>
      </c>
      <c r="G451" s="25"/>
      <c r="H451" s="25"/>
      <c r="I451" s="12"/>
      <c r="J451" s="14" t="str">
        <f aca="false">IF(OR($C451="",$D451="",$B451="",$G451=""),"",IF(COUNTIFS($C$5:$C$804,$C451,$D$5:$D$804,$D451,$B$5:$B$804,$B451,$G$5:$G$804,$G451)&gt;1,"Takror",""))</f>
        <v/>
      </c>
    </row>
    <row r="452" customFormat="false" ht="15" hidden="false" customHeight="false" outlineLevel="0" collapsed="false">
      <c r="A452" s="8" t="n">
        <v>448</v>
      </c>
      <c r="B452" s="13"/>
      <c r="C452" s="12"/>
      <c r="D452" s="13"/>
      <c r="E452" s="24"/>
      <c r="F452" s="14" t="str">
        <f aca="false">IF(OR($D452="",$B452=""),"",INT(($B452-$D452)/365.25))</f>
        <v/>
      </c>
      <c r="G452" s="25"/>
      <c r="H452" s="25"/>
      <c r="I452" s="12"/>
      <c r="J452" s="14" t="str">
        <f aca="false">IF(OR($C452="",$D452="",$B452="",$G452=""),"",IF(COUNTIFS($C$5:$C$804,$C452,$D$5:$D$804,$D452,$B$5:$B$804,$B452,$G$5:$G$804,$G452)&gt;1,"Takror",""))</f>
        <v/>
      </c>
    </row>
    <row r="453" customFormat="false" ht="15" hidden="false" customHeight="false" outlineLevel="0" collapsed="false">
      <c r="A453" s="8" t="n">
        <v>449</v>
      </c>
      <c r="B453" s="13"/>
      <c r="C453" s="12"/>
      <c r="D453" s="13"/>
      <c r="E453" s="24"/>
      <c r="F453" s="14" t="str">
        <f aca="false">IF(OR($D453="",$B453=""),"",INT(($B453-$D453)/365.25))</f>
        <v/>
      </c>
      <c r="G453" s="25"/>
      <c r="H453" s="25"/>
      <c r="I453" s="12"/>
      <c r="J453" s="14" t="str">
        <f aca="false">IF(OR($C453="",$D453="",$B453="",$G453=""),"",IF(COUNTIFS($C$5:$C$804,$C453,$D$5:$D$804,$D453,$B$5:$B$804,$B453,$G$5:$G$804,$G453)&gt;1,"Takror",""))</f>
        <v/>
      </c>
    </row>
    <row r="454" customFormat="false" ht="15" hidden="false" customHeight="false" outlineLevel="0" collapsed="false">
      <c r="A454" s="8" t="n">
        <v>450</v>
      </c>
      <c r="B454" s="13"/>
      <c r="C454" s="12"/>
      <c r="D454" s="13"/>
      <c r="E454" s="24"/>
      <c r="F454" s="14" t="str">
        <f aca="false">IF(OR($D454="",$B454=""),"",INT(($B454-$D454)/365.25))</f>
        <v/>
      </c>
      <c r="G454" s="25"/>
      <c r="H454" s="25"/>
      <c r="I454" s="12"/>
      <c r="J454" s="14" t="str">
        <f aca="false">IF(OR($C454="",$D454="",$B454="",$G454=""),"",IF(COUNTIFS($C$5:$C$804,$C454,$D$5:$D$804,$D454,$B$5:$B$804,$B454,$G$5:$G$804,$G454)&gt;1,"Takror",""))</f>
        <v/>
      </c>
    </row>
    <row r="455" customFormat="false" ht="15" hidden="false" customHeight="false" outlineLevel="0" collapsed="false">
      <c r="A455" s="8" t="n">
        <v>451</v>
      </c>
      <c r="B455" s="13"/>
      <c r="C455" s="12"/>
      <c r="D455" s="13"/>
      <c r="E455" s="24"/>
      <c r="F455" s="14" t="str">
        <f aca="false">IF(OR($D455="",$B455=""),"",INT(($B455-$D455)/365.25))</f>
        <v/>
      </c>
      <c r="G455" s="25"/>
      <c r="H455" s="25"/>
      <c r="I455" s="12"/>
      <c r="J455" s="14" t="str">
        <f aca="false">IF(OR($C455="",$D455="",$B455="",$G455=""),"",IF(COUNTIFS($C$5:$C$804,$C455,$D$5:$D$804,$D455,$B$5:$B$804,$B455,$G$5:$G$804,$G455)&gt;1,"Takror",""))</f>
        <v/>
      </c>
    </row>
    <row r="456" customFormat="false" ht="15" hidden="false" customHeight="false" outlineLevel="0" collapsed="false">
      <c r="A456" s="8" t="n">
        <v>452</v>
      </c>
      <c r="B456" s="13"/>
      <c r="C456" s="12"/>
      <c r="D456" s="13"/>
      <c r="E456" s="24"/>
      <c r="F456" s="14" t="str">
        <f aca="false">IF(OR($D456="",$B456=""),"",INT(($B456-$D456)/365.25))</f>
        <v/>
      </c>
      <c r="G456" s="25"/>
      <c r="H456" s="25"/>
      <c r="I456" s="12"/>
      <c r="J456" s="14" t="str">
        <f aca="false">IF(OR($C456="",$D456="",$B456="",$G456=""),"",IF(COUNTIFS($C$5:$C$804,$C456,$D$5:$D$804,$D456,$B$5:$B$804,$B456,$G$5:$G$804,$G456)&gt;1,"Takror",""))</f>
        <v/>
      </c>
    </row>
    <row r="457" customFormat="false" ht="15" hidden="false" customHeight="false" outlineLevel="0" collapsed="false">
      <c r="A457" s="8" t="n">
        <v>453</v>
      </c>
      <c r="B457" s="13"/>
      <c r="C457" s="12"/>
      <c r="D457" s="13"/>
      <c r="E457" s="24"/>
      <c r="F457" s="14" t="str">
        <f aca="false">IF(OR($D457="",$B457=""),"",INT(($B457-$D457)/365.25))</f>
        <v/>
      </c>
      <c r="G457" s="25"/>
      <c r="H457" s="25"/>
      <c r="I457" s="12"/>
      <c r="J457" s="14" t="str">
        <f aca="false">IF(OR($C457="",$D457="",$B457="",$G457=""),"",IF(COUNTIFS($C$5:$C$804,$C457,$D$5:$D$804,$D457,$B$5:$B$804,$B457,$G$5:$G$804,$G457)&gt;1,"Takror",""))</f>
        <v/>
      </c>
    </row>
    <row r="458" customFormat="false" ht="15" hidden="false" customHeight="false" outlineLevel="0" collapsed="false">
      <c r="A458" s="8" t="n">
        <v>454</v>
      </c>
      <c r="B458" s="13"/>
      <c r="C458" s="12"/>
      <c r="D458" s="13"/>
      <c r="E458" s="24"/>
      <c r="F458" s="14" t="str">
        <f aca="false">IF(OR($D458="",$B458=""),"",INT(($B458-$D458)/365.25))</f>
        <v/>
      </c>
      <c r="G458" s="25"/>
      <c r="H458" s="25"/>
      <c r="I458" s="12"/>
      <c r="J458" s="14" t="str">
        <f aca="false">IF(OR($C458="",$D458="",$B458="",$G458=""),"",IF(COUNTIFS($C$5:$C$804,$C458,$D$5:$D$804,$D458,$B$5:$B$804,$B458,$G$5:$G$804,$G458)&gt;1,"Takror",""))</f>
        <v/>
      </c>
    </row>
    <row r="459" customFormat="false" ht="15" hidden="false" customHeight="false" outlineLevel="0" collapsed="false">
      <c r="A459" s="8" t="n">
        <v>455</v>
      </c>
      <c r="B459" s="13"/>
      <c r="C459" s="12"/>
      <c r="D459" s="13"/>
      <c r="E459" s="24"/>
      <c r="F459" s="14" t="str">
        <f aca="false">IF(OR($D459="",$B459=""),"",INT(($B459-$D459)/365.25))</f>
        <v/>
      </c>
      <c r="G459" s="25"/>
      <c r="H459" s="25"/>
      <c r="I459" s="12"/>
      <c r="J459" s="14" t="str">
        <f aca="false">IF(OR($C459="",$D459="",$B459="",$G459=""),"",IF(COUNTIFS($C$5:$C$804,$C459,$D$5:$D$804,$D459,$B$5:$B$804,$B459,$G$5:$G$804,$G459)&gt;1,"Takror",""))</f>
        <v/>
      </c>
    </row>
    <row r="460" customFormat="false" ht="15" hidden="false" customHeight="false" outlineLevel="0" collapsed="false">
      <c r="A460" s="8" t="n">
        <v>456</v>
      </c>
      <c r="B460" s="13"/>
      <c r="C460" s="12"/>
      <c r="D460" s="13"/>
      <c r="E460" s="24"/>
      <c r="F460" s="14" t="str">
        <f aca="false">IF(OR($D460="",$B460=""),"",INT(($B460-$D460)/365.25))</f>
        <v/>
      </c>
      <c r="G460" s="25"/>
      <c r="H460" s="25"/>
      <c r="I460" s="12"/>
      <c r="J460" s="14" t="str">
        <f aca="false">IF(OR($C460="",$D460="",$B460="",$G460=""),"",IF(COUNTIFS($C$5:$C$804,$C460,$D$5:$D$804,$D460,$B$5:$B$804,$B460,$G$5:$G$804,$G460)&gt;1,"Takror",""))</f>
        <v/>
      </c>
    </row>
    <row r="461" customFormat="false" ht="15" hidden="false" customHeight="false" outlineLevel="0" collapsed="false">
      <c r="A461" s="8" t="n">
        <v>457</v>
      </c>
      <c r="B461" s="13"/>
      <c r="C461" s="12"/>
      <c r="D461" s="13"/>
      <c r="E461" s="24"/>
      <c r="F461" s="14" t="str">
        <f aca="false">IF(OR($D461="",$B461=""),"",INT(($B461-$D461)/365.25))</f>
        <v/>
      </c>
      <c r="G461" s="25"/>
      <c r="H461" s="25"/>
      <c r="I461" s="12"/>
      <c r="J461" s="14" t="str">
        <f aca="false">IF(OR($C461="",$D461="",$B461="",$G461=""),"",IF(COUNTIFS($C$5:$C$804,$C461,$D$5:$D$804,$D461,$B$5:$B$804,$B461,$G$5:$G$804,$G461)&gt;1,"Takror",""))</f>
        <v/>
      </c>
    </row>
    <row r="462" customFormat="false" ht="15" hidden="false" customHeight="false" outlineLevel="0" collapsed="false">
      <c r="A462" s="8" t="n">
        <v>458</v>
      </c>
      <c r="B462" s="13"/>
      <c r="C462" s="12"/>
      <c r="D462" s="13"/>
      <c r="E462" s="24"/>
      <c r="F462" s="14" t="str">
        <f aca="false">IF(OR($D462="",$B462=""),"",INT(($B462-$D462)/365.25))</f>
        <v/>
      </c>
      <c r="G462" s="25"/>
      <c r="H462" s="25"/>
      <c r="I462" s="12"/>
      <c r="J462" s="14" t="str">
        <f aca="false">IF(OR($C462="",$D462="",$B462="",$G462=""),"",IF(COUNTIFS($C$5:$C$804,$C462,$D$5:$D$804,$D462,$B$5:$B$804,$B462,$G$5:$G$804,$G462)&gt;1,"Takror",""))</f>
        <v/>
      </c>
    </row>
    <row r="463" customFormat="false" ht="15" hidden="false" customHeight="false" outlineLevel="0" collapsed="false">
      <c r="A463" s="8" t="n">
        <v>459</v>
      </c>
      <c r="B463" s="13"/>
      <c r="C463" s="12"/>
      <c r="D463" s="13"/>
      <c r="E463" s="24"/>
      <c r="F463" s="14" t="str">
        <f aca="false">IF(OR($D463="",$B463=""),"",INT(($B463-$D463)/365.25))</f>
        <v/>
      </c>
      <c r="G463" s="25"/>
      <c r="H463" s="25"/>
      <c r="I463" s="12"/>
      <c r="J463" s="14" t="str">
        <f aca="false">IF(OR($C463="",$D463="",$B463="",$G463=""),"",IF(COUNTIFS($C$5:$C$804,$C463,$D$5:$D$804,$D463,$B$5:$B$804,$B463,$G$5:$G$804,$G463)&gt;1,"Takror",""))</f>
        <v/>
      </c>
    </row>
    <row r="464" customFormat="false" ht="15" hidden="false" customHeight="false" outlineLevel="0" collapsed="false">
      <c r="A464" s="8" t="n">
        <v>460</v>
      </c>
      <c r="B464" s="13"/>
      <c r="C464" s="12"/>
      <c r="D464" s="13"/>
      <c r="E464" s="24"/>
      <c r="F464" s="14" t="str">
        <f aca="false">IF(OR($D464="",$B464=""),"",INT(($B464-$D464)/365.25))</f>
        <v/>
      </c>
      <c r="G464" s="25"/>
      <c r="H464" s="25"/>
      <c r="I464" s="12"/>
      <c r="J464" s="14" t="str">
        <f aca="false">IF(OR($C464="",$D464="",$B464="",$G464=""),"",IF(COUNTIFS($C$5:$C$804,$C464,$D$5:$D$804,$D464,$B$5:$B$804,$B464,$G$5:$G$804,$G464)&gt;1,"Takror",""))</f>
        <v/>
      </c>
    </row>
    <row r="465" customFormat="false" ht="15" hidden="false" customHeight="false" outlineLevel="0" collapsed="false">
      <c r="A465" s="8" t="n">
        <v>461</v>
      </c>
      <c r="B465" s="13"/>
      <c r="C465" s="12"/>
      <c r="D465" s="13"/>
      <c r="E465" s="24"/>
      <c r="F465" s="14" t="str">
        <f aca="false">IF(OR($D465="",$B465=""),"",INT(($B465-$D465)/365.25))</f>
        <v/>
      </c>
      <c r="G465" s="25"/>
      <c r="H465" s="25"/>
      <c r="I465" s="12"/>
      <c r="J465" s="14" t="str">
        <f aca="false">IF(OR($C465="",$D465="",$B465="",$G465=""),"",IF(COUNTIFS($C$5:$C$804,$C465,$D$5:$D$804,$D465,$B$5:$B$804,$B465,$G$5:$G$804,$G465)&gt;1,"Takror",""))</f>
        <v/>
      </c>
    </row>
    <row r="466" customFormat="false" ht="15" hidden="false" customHeight="false" outlineLevel="0" collapsed="false">
      <c r="A466" s="8" t="n">
        <v>462</v>
      </c>
      <c r="B466" s="13"/>
      <c r="C466" s="12"/>
      <c r="D466" s="13"/>
      <c r="E466" s="24"/>
      <c r="F466" s="14" t="str">
        <f aca="false">IF(OR($D466="",$B466=""),"",INT(($B466-$D466)/365.25))</f>
        <v/>
      </c>
      <c r="G466" s="25"/>
      <c r="H466" s="25"/>
      <c r="I466" s="12"/>
      <c r="J466" s="14" t="str">
        <f aca="false">IF(OR($C466="",$D466="",$B466="",$G466=""),"",IF(COUNTIFS($C$5:$C$804,$C466,$D$5:$D$804,$D466,$B$5:$B$804,$B466,$G$5:$G$804,$G466)&gt;1,"Takror",""))</f>
        <v/>
      </c>
    </row>
    <row r="467" customFormat="false" ht="15" hidden="false" customHeight="false" outlineLevel="0" collapsed="false">
      <c r="A467" s="8" t="n">
        <v>463</v>
      </c>
      <c r="B467" s="13"/>
      <c r="C467" s="12"/>
      <c r="D467" s="13"/>
      <c r="E467" s="24"/>
      <c r="F467" s="14" t="str">
        <f aca="false">IF(OR($D467="",$B467=""),"",INT(($B467-$D467)/365.25))</f>
        <v/>
      </c>
      <c r="G467" s="25"/>
      <c r="H467" s="25"/>
      <c r="I467" s="12"/>
      <c r="J467" s="14" t="str">
        <f aca="false">IF(OR($C467="",$D467="",$B467="",$G467=""),"",IF(COUNTIFS($C$5:$C$804,$C467,$D$5:$D$804,$D467,$B$5:$B$804,$B467,$G$5:$G$804,$G467)&gt;1,"Takror",""))</f>
        <v/>
      </c>
    </row>
    <row r="468" customFormat="false" ht="15" hidden="false" customHeight="false" outlineLevel="0" collapsed="false">
      <c r="A468" s="8" t="n">
        <v>464</v>
      </c>
      <c r="B468" s="13"/>
      <c r="C468" s="12"/>
      <c r="D468" s="13"/>
      <c r="E468" s="24"/>
      <c r="F468" s="14" t="str">
        <f aca="false">IF(OR($D468="",$B468=""),"",INT(($B468-$D468)/365.25))</f>
        <v/>
      </c>
      <c r="G468" s="25"/>
      <c r="H468" s="25"/>
      <c r="I468" s="12"/>
      <c r="J468" s="14" t="str">
        <f aca="false">IF(OR($C468="",$D468="",$B468="",$G468=""),"",IF(COUNTIFS($C$5:$C$804,$C468,$D$5:$D$804,$D468,$B$5:$B$804,$B468,$G$5:$G$804,$G468)&gt;1,"Takror",""))</f>
        <v/>
      </c>
    </row>
    <row r="469" customFormat="false" ht="15" hidden="false" customHeight="false" outlineLevel="0" collapsed="false">
      <c r="A469" s="8" t="n">
        <v>465</v>
      </c>
      <c r="B469" s="13"/>
      <c r="C469" s="12"/>
      <c r="D469" s="13"/>
      <c r="E469" s="24"/>
      <c r="F469" s="14" t="str">
        <f aca="false">IF(OR($D469="",$B469=""),"",INT(($B469-$D469)/365.25))</f>
        <v/>
      </c>
      <c r="G469" s="25"/>
      <c r="H469" s="25"/>
      <c r="I469" s="12"/>
      <c r="J469" s="14" t="str">
        <f aca="false">IF(OR($C469="",$D469="",$B469="",$G469=""),"",IF(COUNTIFS($C$5:$C$804,$C469,$D$5:$D$804,$D469,$B$5:$B$804,$B469,$G$5:$G$804,$G469)&gt;1,"Takror",""))</f>
        <v/>
      </c>
    </row>
    <row r="470" customFormat="false" ht="15" hidden="false" customHeight="false" outlineLevel="0" collapsed="false">
      <c r="A470" s="8" t="n">
        <v>466</v>
      </c>
      <c r="B470" s="13"/>
      <c r="C470" s="12"/>
      <c r="D470" s="13"/>
      <c r="E470" s="24"/>
      <c r="F470" s="14" t="str">
        <f aca="false">IF(OR($D470="",$B470=""),"",INT(($B470-$D470)/365.25))</f>
        <v/>
      </c>
      <c r="G470" s="25"/>
      <c r="H470" s="25"/>
      <c r="I470" s="12"/>
      <c r="J470" s="14" t="str">
        <f aca="false">IF(OR($C470="",$D470="",$B470="",$G470=""),"",IF(COUNTIFS($C$5:$C$804,$C470,$D$5:$D$804,$D470,$B$5:$B$804,$B470,$G$5:$G$804,$G470)&gt;1,"Takror",""))</f>
        <v/>
      </c>
    </row>
    <row r="471" customFormat="false" ht="15" hidden="false" customHeight="false" outlineLevel="0" collapsed="false">
      <c r="A471" s="8" t="n">
        <v>467</v>
      </c>
      <c r="B471" s="13"/>
      <c r="C471" s="12"/>
      <c r="D471" s="13"/>
      <c r="E471" s="24"/>
      <c r="F471" s="14" t="str">
        <f aca="false">IF(OR($D471="",$B471=""),"",INT(($B471-$D471)/365.25))</f>
        <v/>
      </c>
      <c r="G471" s="25"/>
      <c r="H471" s="25"/>
      <c r="I471" s="12"/>
      <c r="J471" s="14" t="str">
        <f aca="false">IF(OR($C471="",$D471="",$B471="",$G471=""),"",IF(COUNTIFS($C$5:$C$804,$C471,$D$5:$D$804,$D471,$B$5:$B$804,$B471,$G$5:$G$804,$G471)&gt;1,"Takror",""))</f>
        <v/>
      </c>
    </row>
    <row r="472" customFormat="false" ht="15" hidden="false" customHeight="false" outlineLevel="0" collapsed="false">
      <c r="A472" s="8" t="n">
        <v>468</v>
      </c>
      <c r="B472" s="13"/>
      <c r="C472" s="12"/>
      <c r="D472" s="13"/>
      <c r="E472" s="24"/>
      <c r="F472" s="14" t="str">
        <f aca="false">IF(OR($D472="",$B472=""),"",INT(($B472-$D472)/365.25))</f>
        <v/>
      </c>
      <c r="G472" s="25"/>
      <c r="H472" s="25"/>
      <c r="I472" s="12"/>
      <c r="J472" s="14" t="str">
        <f aca="false">IF(OR($C472="",$D472="",$B472="",$G472=""),"",IF(COUNTIFS($C$5:$C$804,$C472,$D$5:$D$804,$D472,$B$5:$B$804,$B472,$G$5:$G$804,$G472)&gt;1,"Takror",""))</f>
        <v/>
      </c>
    </row>
    <row r="473" customFormat="false" ht="15" hidden="false" customHeight="false" outlineLevel="0" collapsed="false">
      <c r="A473" s="8" t="n">
        <v>469</v>
      </c>
      <c r="B473" s="13"/>
      <c r="C473" s="12"/>
      <c r="D473" s="13"/>
      <c r="E473" s="24"/>
      <c r="F473" s="14" t="str">
        <f aca="false">IF(OR($D473="",$B473=""),"",INT(($B473-$D473)/365.25))</f>
        <v/>
      </c>
      <c r="G473" s="25"/>
      <c r="H473" s="25"/>
      <c r="I473" s="12"/>
      <c r="J473" s="14" t="str">
        <f aca="false">IF(OR($C473="",$D473="",$B473="",$G473=""),"",IF(COUNTIFS($C$5:$C$804,$C473,$D$5:$D$804,$D473,$B$5:$B$804,$B473,$G$5:$G$804,$G473)&gt;1,"Takror",""))</f>
        <v/>
      </c>
    </row>
    <row r="474" customFormat="false" ht="15" hidden="false" customHeight="false" outlineLevel="0" collapsed="false">
      <c r="A474" s="8" t="n">
        <v>470</v>
      </c>
      <c r="B474" s="13"/>
      <c r="C474" s="12"/>
      <c r="D474" s="13"/>
      <c r="E474" s="24"/>
      <c r="F474" s="14" t="str">
        <f aca="false">IF(OR($D474="",$B474=""),"",INT(($B474-$D474)/365.25))</f>
        <v/>
      </c>
      <c r="G474" s="25"/>
      <c r="H474" s="25"/>
      <c r="I474" s="12"/>
      <c r="J474" s="14" t="str">
        <f aca="false">IF(OR($C474="",$D474="",$B474="",$G474=""),"",IF(COUNTIFS($C$5:$C$804,$C474,$D$5:$D$804,$D474,$B$5:$B$804,$B474,$G$5:$G$804,$G474)&gt;1,"Takror",""))</f>
        <v/>
      </c>
    </row>
    <row r="475" customFormat="false" ht="15" hidden="false" customHeight="false" outlineLevel="0" collapsed="false">
      <c r="A475" s="8" t="n">
        <v>471</v>
      </c>
      <c r="B475" s="13"/>
      <c r="C475" s="12"/>
      <c r="D475" s="13"/>
      <c r="E475" s="24"/>
      <c r="F475" s="14" t="str">
        <f aca="false">IF(OR($D475="",$B475=""),"",INT(($B475-$D475)/365.25))</f>
        <v/>
      </c>
      <c r="G475" s="25"/>
      <c r="H475" s="25"/>
      <c r="I475" s="12"/>
      <c r="J475" s="14" t="str">
        <f aca="false">IF(OR($C475="",$D475="",$B475="",$G475=""),"",IF(COUNTIFS($C$5:$C$804,$C475,$D$5:$D$804,$D475,$B$5:$B$804,$B475,$G$5:$G$804,$G475)&gt;1,"Takror",""))</f>
        <v/>
      </c>
    </row>
    <row r="476" customFormat="false" ht="15" hidden="false" customHeight="false" outlineLevel="0" collapsed="false">
      <c r="A476" s="8" t="n">
        <v>472</v>
      </c>
      <c r="B476" s="13"/>
      <c r="C476" s="12"/>
      <c r="D476" s="13"/>
      <c r="E476" s="24"/>
      <c r="F476" s="14" t="str">
        <f aca="false">IF(OR($D476="",$B476=""),"",INT(($B476-$D476)/365.25))</f>
        <v/>
      </c>
      <c r="G476" s="25"/>
      <c r="H476" s="25"/>
      <c r="I476" s="12"/>
      <c r="J476" s="14" t="str">
        <f aca="false">IF(OR($C476="",$D476="",$B476="",$G476=""),"",IF(COUNTIFS($C$5:$C$804,$C476,$D$5:$D$804,$D476,$B$5:$B$804,$B476,$G$5:$G$804,$G476)&gt;1,"Takror",""))</f>
        <v/>
      </c>
    </row>
    <row r="477" customFormat="false" ht="15" hidden="false" customHeight="false" outlineLevel="0" collapsed="false">
      <c r="A477" s="8" t="n">
        <v>473</v>
      </c>
      <c r="B477" s="13"/>
      <c r="C477" s="12"/>
      <c r="D477" s="13"/>
      <c r="E477" s="24"/>
      <c r="F477" s="14" t="str">
        <f aca="false">IF(OR($D477="",$B477=""),"",INT(($B477-$D477)/365.25))</f>
        <v/>
      </c>
      <c r="G477" s="25"/>
      <c r="H477" s="25"/>
      <c r="I477" s="12"/>
      <c r="J477" s="14" t="str">
        <f aca="false">IF(OR($C477="",$D477="",$B477="",$G477=""),"",IF(COUNTIFS($C$5:$C$804,$C477,$D$5:$D$804,$D477,$B$5:$B$804,$B477,$G$5:$G$804,$G477)&gt;1,"Takror",""))</f>
        <v/>
      </c>
    </row>
    <row r="478" customFormat="false" ht="15" hidden="false" customHeight="false" outlineLevel="0" collapsed="false">
      <c r="A478" s="8" t="n">
        <v>474</v>
      </c>
      <c r="B478" s="13"/>
      <c r="C478" s="12"/>
      <c r="D478" s="13"/>
      <c r="E478" s="24"/>
      <c r="F478" s="14" t="str">
        <f aca="false">IF(OR($D478="",$B478=""),"",INT(($B478-$D478)/365.25))</f>
        <v/>
      </c>
      <c r="G478" s="25"/>
      <c r="H478" s="25"/>
      <c r="I478" s="12"/>
      <c r="J478" s="14" t="str">
        <f aca="false">IF(OR($C478="",$D478="",$B478="",$G478=""),"",IF(COUNTIFS($C$5:$C$804,$C478,$D$5:$D$804,$D478,$B$5:$B$804,$B478,$G$5:$G$804,$G478)&gt;1,"Takror",""))</f>
        <v/>
      </c>
    </row>
    <row r="479" customFormat="false" ht="15" hidden="false" customHeight="false" outlineLevel="0" collapsed="false">
      <c r="A479" s="8" t="n">
        <v>475</v>
      </c>
      <c r="B479" s="13"/>
      <c r="C479" s="12"/>
      <c r="D479" s="13"/>
      <c r="E479" s="24"/>
      <c r="F479" s="14" t="str">
        <f aca="false">IF(OR($D479="",$B479=""),"",INT(($B479-$D479)/365.25))</f>
        <v/>
      </c>
      <c r="G479" s="25"/>
      <c r="H479" s="25"/>
      <c r="I479" s="12"/>
      <c r="J479" s="14" t="str">
        <f aca="false">IF(OR($C479="",$D479="",$B479="",$G479=""),"",IF(COUNTIFS($C$5:$C$804,$C479,$D$5:$D$804,$D479,$B$5:$B$804,$B479,$G$5:$G$804,$G479)&gt;1,"Takror",""))</f>
        <v/>
      </c>
    </row>
    <row r="480" customFormat="false" ht="15" hidden="false" customHeight="false" outlineLevel="0" collapsed="false">
      <c r="A480" s="8" t="n">
        <v>476</v>
      </c>
      <c r="B480" s="13"/>
      <c r="C480" s="12"/>
      <c r="D480" s="13"/>
      <c r="E480" s="24"/>
      <c r="F480" s="14" t="str">
        <f aca="false">IF(OR($D480="",$B480=""),"",INT(($B480-$D480)/365.25))</f>
        <v/>
      </c>
      <c r="G480" s="25"/>
      <c r="H480" s="25"/>
      <c r="I480" s="12"/>
      <c r="J480" s="14" t="str">
        <f aca="false">IF(OR($C480="",$D480="",$B480="",$G480=""),"",IF(COUNTIFS($C$5:$C$804,$C480,$D$5:$D$804,$D480,$B$5:$B$804,$B480,$G$5:$G$804,$G480)&gt;1,"Takror",""))</f>
        <v/>
      </c>
    </row>
    <row r="481" customFormat="false" ht="15" hidden="false" customHeight="false" outlineLevel="0" collapsed="false">
      <c r="A481" s="8" t="n">
        <v>477</v>
      </c>
      <c r="B481" s="13"/>
      <c r="C481" s="12"/>
      <c r="D481" s="13"/>
      <c r="E481" s="24"/>
      <c r="F481" s="14" t="str">
        <f aca="false">IF(OR($D481="",$B481=""),"",INT(($B481-$D481)/365.25))</f>
        <v/>
      </c>
      <c r="G481" s="25"/>
      <c r="H481" s="25"/>
      <c r="I481" s="12"/>
      <c r="J481" s="14" t="str">
        <f aca="false">IF(OR($C481="",$D481="",$B481="",$G481=""),"",IF(COUNTIFS($C$5:$C$804,$C481,$D$5:$D$804,$D481,$B$5:$B$804,$B481,$G$5:$G$804,$G481)&gt;1,"Takror",""))</f>
        <v/>
      </c>
    </row>
    <row r="482" customFormat="false" ht="15" hidden="false" customHeight="false" outlineLevel="0" collapsed="false">
      <c r="A482" s="8" t="n">
        <v>478</v>
      </c>
      <c r="B482" s="13"/>
      <c r="C482" s="12"/>
      <c r="D482" s="13"/>
      <c r="E482" s="24"/>
      <c r="F482" s="14" t="str">
        <f aca="false">IF(OR($D482="",$B482=""),"",INT(($B482-$D482)/365.25))</f>
        <v/>
      </c>
      <c r="G482" s="25"/>
      <c r="H482" s="25"/>
      <c r="I482" s="12"/>
      <c r="J482" s="14" t="str">
        <f aca="false">IF(OR($C482="",$D482="",$B482="",$G482=""),"",IF(COUNTIFS($C$5:$C$804,$C482,$D$5:$D$804,$D482,$B$5:$B$804,$B482,$G$5:$G$804,$G482)&gt;1,"Takror",""))</f>
        <v/>
      </c>
    </row>
    <row r="483" customFormat="false" ht="15" hidden="false" customHeight="false" outlineLevel="0" collapsed="false">
      <c r="A483" s="8" t="n">
        <v>479</v>
      </c>
      <c r="B483" s="13"/>
      <c r="C483" s="12"/>
      <c r="D483" s="13"/>
      <c r="E483" s="24"/>
      <c r="F483" s="14" t="str">
        <f aca="false">IF(OR($D483="",$B483=""),"",INT(($B483-$D483)/365.25))</f>
        <v/>
      </c>
      <c r="G483" s="25"/>
      <c r="H483" s="25"/>
      <c r="I483" s="12"/>
      <c r="J483" s="14" t="str">
        <f aca="false">IF(OR($C483="",$D483="",$B483="",$G483=""),"",IF(COUNTIFS($C$5:$C$804,$C483,$D$5:$D$804,$D483,$B$5:$B$804,$B483,$G$5:$G$804,$G483)&gt;1,"Takror",""))</f>
        <v/>
      </c>
    </row>
    <row r="484" customFormat="false" ht="15" hidden="false" customHeight="false" outlineLevel="0" collapsed="false">
      <c r="A484" s="8" t="n">
        <v>480</v>
      </c>
      <c r="B484" s="13"/>
      <c r="C484" s="12"/>
      <c r="D484" s="13"/>
      <c r="E484" s="24"/>
      <c r="F484" s="14" t="str">
        <f aca="false">IF(OR($D484="",$B484=""),"",INT(($B484-$D484)/365.25))</f>
        <v/>
      </c>
      <c r="G484" s="25"/>
      <c r="H484" s="25"/>
      <c r="I484" s="12"/>
      <c r="J484" s="14" t="str">
        <f aca="false">IF(OR($C484="",$D484="",$B484="",$G484=""),"",IF(COUNTIFS($C$5:$C$804,$C484,$D$5:$D$804,$D484,$B$5:$B$804,$B484,$G$5:$G$804,$G484)&gt;1,"Takror",""))</f>
        <v/>
      </c>
    </row>
    <row r="485" customFormat="false" ht="15" hidden="false" customHeight="false" outlineLevel="0" collapsed="false">
      <c r="A485" s="8" t="n">
        <v>481</v>
      </c>
      <c r="B485" s="13"/>
      <c r="C485" s="12"/>
      <c r="D485" s="13"/>
      <c r="E485" s="24"/>
      <c r="F485" s="14" t="str">
        <f aca="false">IF(OR($D485="",$B485=""),"",INT(($B485-$D485)/365.25))</f>
        <v/>
      </c>
      <c r="G485" s="25"/>
      <c r="H485" s="25"/>
      <c r="I485" s="12"/>
      <c r="J485" s="14" t="str">
        <f aca="false">IF(OR($C485="",$D485="",$B485="",$G485=""),"",IF(COUNTIFS($C$5:$C$804,$C485,$D$5:$D$804,$D485,$B$5:$B$804,$B485,$G$5:$G$804,$G485)&gt;1,"Takror",""))</f>
        <v/>
      </c>
    </row>
    <row r="486" customFormat="false" ht="15" hidden="false" customHeight="false" outlineLevel="0" collapsed="false">
      <c r="A486" s="8" t="n">
        <v>482</v>
      </c>
      <c r="B486" s="13"/>
      <c r="C486" s="12"/>
      <c r="D486" s="13"/>
      <c r="E486" s="24"/>
      <c r="F486" s="14" t="str">
        <f aca="false">IF(OR($D486="",$B486=""),"",INT(($B486-$D486)/365.25))</f>
        <v/>
      </c>
      <c r="G486" s="25"/>
      <c r="H486" s="25"/>
      <c r="I486" s="12"/>
      <c r="J486" s="14" t="str">
        <f aca="false">IF(OR($C486="",$D486="",$B486="",$G486=""),"",IF(COUNTIFS($C$5:$C$804,$C486,$D$5:$D$804,$D486,$B$5:$B$804,$B486,$G$5:$G$804,$G486)&gt;1,"Takror",""))</f>
        <v/>
      </c>
    </row>
    <row r="487" customFormat="false" ht="15" hidden="false" customHeight="false" outlineLevel="0" collapsed="false">
      <c r="A487" s="8" t="n">
        <v>483</v>
      </c>
      <c r="B487" s="13"/>
      <c r="C487" s="12"/>
      <c r="D487" s="13"/>
      <c r="E487" s="24"/>
      <c r="F487" s="14" t="str">
        <f aca="false">IF(OR($D487="",$B487=""),"",INT(($B487-$D487)/365.25))</f>
        <v/>
      </c>
      <c r="G487" s="25"/>
      <c r="H487" s="25"/>
      <c r="I487" s="12"/>
      <c r="J487" s="14" t="str">
        <f aca="false">IF(OR($C487="",$D487="",$B487="",$G487=""),"",IF(COUNTIFS($C$5:$C$804,$C487,$D$5:$D$804,$D487,$B$5:$B$804,$B487,$G$5:$G$804,$G487)&gt;1,"Takror",""))</f>
        <v/>
      </c>
    </row>
    <row r="488" customFormat="false" ht="15" hidden="false" customHeight="false" outlineLevel="0" collapsed="false">
      <c r="A488" s="8" t="n">
        <v>484</v>
      </c>
      <c r="B488" s="13"/>
      <c r="C488" s="12"/>
      <c r="D488" s="13"/>
      <c r="E488" s="24"/>
      <c r="F488" s="14" t="str">
        <f aca="false">IF(OR($D488="",$B488=""),"",INT(($B488-$D488)/365.25))</f>
        <v/>
      </c>
      <c r="G488" s="25"/>
      <c r="H488" s="25"/>
      <c r="I488" s="12"/>
      <c r="J488" s="14" t="str">
        <f aca="false">IF(OR($C488="",$D488="",$B488="",$G488=""),"",IF(COUNTIFS($C$5:$C$804,$C488,$D$5:$D$804,$D488,$B$5:$B$804,$B488,$G$5:$G$804,$G488)&gt;1,"Takror",""))</f>
        <v/>
      </c>
    </row>
    <row r="489" customFormat="false" ht="15" hidden="false" customHeight="false" outlineLevel="0" collapsed="false">
      <c r="A489" s="8" t="n">
        <v>485</v>
      </c>
      <c r="B489" s="13"/>
      <c r="C489" s="12"/>
      <c r="D489" s="13"/>
      <c r="E489" s="24"/>
      <c r="F489" s="14" t="str">
        <f aca="false">IF(OR($D489="",$B489=""),"",INT(($B489-$D489)/365.25))</f>
        <v/>
      </c>
      <c r="G489" s="25"/>
      <c r="H489" s="25"/>
      <c r="I489" s="12"/>
      <c r="J489" s="14" t="str">
        <f aca="false">IF(OR($C489="",$D489="",$B489="",$G489=""),"",IF(COUNTIFS($C$5:$C$804,$C489,$D$5:$D$804,$D489,$B$5:$B$804,$B489,$G$5:$G$804,$G489)&gt;1,"Takror",""))</f>
        <v/>
      </c>
    </row>
    <row r="490" customFormat="false" ht="15" hidden="false" customHeight="false" outlineLevel="0" collapsed="false">
      <c r="A490" s="8" t="n">
        <v>486</v>
      </c>
      <c r="B490" s="13"/>
      <c r="C490" s="12"/>
      <c r="D490" s="13"/>
      <c r="E490" s="24"/>
      <c r="F490" s="14" t="str">
        <f aca="false">IF(OR($D490="",$B490=""),"",INT(($B490-$D490)/365.25))</f>
        <v/>
      </c>
      <c r="G490" s="25"/>
      <c r="H490" s="25"/>
      <c r="I490" s="12"/>
      <c r="J490" s="14" t="str">
        <f aca="false">IF(OR($C490="",$D490="",$B490="",$G490=""),"",IF(COUNTIFS($C$5:$C$804,$C490,$D$5:$D$804,$D490,$B$5:$B$804,$B490,$G$5:$G$804,$G490)&gt;1,"Takror",""))</f>
        <v/>
      </c>
    </row>
    <row r="491" customFormat="false" ht="15" hidden="false" customHeight="false" outlineLevel="0" collapsed="false">
      <c r="A491" s="8" t="n">
        <v>487</v>
      </c>
      <c r="B491" s="13"/>
      <c r="C491" s="12"/>
      <c r="D491" s="13"/>
      <c r="E491" s="24"/>
      <c r="F491" s="14" t="str">
        <f aca="false">IF(OR($D491="",$B491=""),"",INT(($B491-$D491)/365.25))</f>
        <v/>
      </c>
      <c r="G491" s="25"/>
      <c r="H491" s="25"/>
      <c r="I491" s="12"/>
      <c r="J491" s="14" t="str">
        <f aca="false">IF(OR($C491="",$D491="",$B491="",$G491=""),"",IF(COUNTIFS($C$5:$C$804,$C491,$D$5:$D$804,$D491,$B$5:$B$804,$B491,$G$5:$G$804,$G491)&gt;1,"Takror",""))</f>
        <v/>
      </c>
    </row>
    <row r="492" customFormat="false" ht="15" hidden="false" customHeight="false" outlineLevel="0" collapsed="false">
      <c r="A492" s="8" t="n">
        <v>488</v>
      </c>
      <c r="B492" s="13"/>
      <c r="C492" s="12"/>
      <c r="D492" s="13"/>
      <c r="E492" s="24"/>
      <c r="F492" s="14" t="str">
        <f aca="false">IF(OR($D492="",$B492=""),"",INT(($B492-$D492)/365.25))</f>
        <v/>
      </c>
      <c r="G492" s="25"/>
      <c r="H492" s="25"/>
      <c r="I492" s="12"/>
      <c r="J492" s="14" t="str">
        <f aca="false">IF(OR($C492="",$D492="",$B492="",$G492=""),"",IF(COUNTIFS($C$5:$C$804,$C492,$D$5:$D$804,$D492,$B$5:$B$804,$B492,$G$5:$G$804,$G492)&gt;1,"Takror",""))</f>
        <v/>
      </c>
    </row>
    <row r="493" customFormat="false" ht="15" hidden="false" customHeight="false" outlineLevel="0" collapsed="false">
      <c r="A493" s="8" t="n">
        <v>489</v>
      </c>
      <c r="B493" s="13"/>
      <c r="C493" s="12"/>
      <c r="D493" s="13"/>
      <c r="E493" s="24"/>
      <c r="F493" s="14" t="str">
        <f aca="false">IF(OR($D493="",$B493=""),"",INT(($B493-$D493)/365.25))</f>
        <v/>
      </c>
      <c r="G493" s="25"/>
      <c r="H493" s="25"/>
      <c r="I493" s="12"/>
      <c r="J493" s="14" t="str">
        <f aca="false">IF(OR($C493="",$D493="",$B493="",$G493=""),"",IF(COUNTIFS($C$5:$C$804,$C493,$D$5:$D$804,$D493,$B$5:$B$804,$B493,$G$5:$G$804,$G493)&gt;1,"Takror",""))</f>
        <v/>
      </c>
    </row>
    <row r="494" customFormat="false" ht="15" hidden="false" customHeight="false" outlineLevel="0" collapsed="false">
      <c r="A494" s="8" t="n">
        <v>490</v>
      </c>
      <c r="B494" s="13"/>
      <c r="C494" s="12"/>
      <c r="D494" s="13"/>
      <c r="E494" s="24"/>
      <c r="F494" s="14" t="str">
        <f aca="false">IF(OR($D494="",$B494=""),"",INT(($B494-$D494)/365.25))</f>
        <v/>
      </c>
      <c r="G494" s="25"/>
      <c r="H494" s="25"/>
      <c r="I494" s="12"/>
      <c r="J494" s="14" t="str">
        <f aca="false">IF(OR($C494="",$D494="",$B494="",$G494=""),"",IF(COUNTIFS($C$5:$C$804,$C494,$D$5:$D$804,$D494,$B$5:$B$804,$B494,$G$5:$G$804,$G494)&gt;1,"Takror",""))</f>
        <v/>
      </c>
    </row>
    <row r="495" customFormat="false" ht="15" hidden="false" customHeight="false" outlineLevel="0" collapsed="false">
      <c r="A495" s="8" t="n">
        <v>491</v>
      </c>
      <c r="B495" s="13"/>
      <c r="C495" s="12"/>
      <c r="D495" s="13"/>
      <c r="E495" s="24"/>
      <c r="F495" s="14" t="str">
        <f aca="false">IF(OR($D495="",$B495=""),"",INT(($B495-$D495)/365.25))</f>
        <v/>
      </c>
      <c r="G495" s="25"/>
      <c r="H495" s="25"/>
      <c r="I495" s="12"/>
      <c r="J495" s="14" t="str">
        <f aca="false">IF(OR($C495="",$D495="",$B495="",$G495=""),"",IF(COUNTIFS($C$5:$C$804,$C495,$D$5:$D$804,$D495,$B$5:$B$804,$B495,$G$5:$G$804,$G495)&gt;1,"Takror",""))</f>
        <v/>
      </c>
    </row>
    <row r="496" customFormat="false" ht="15" hidden="false" customHeight="false" outlineLevel="0" collapsed="false">
      <c r="A496" s="8" t="n">
        <v>492</v>
      </c>
      <c r="B496" s="13"/>
      <c r="C496" s="12"/>
      <c r="D496" s="13"/>
      <c r="E496" s="24"/>
      <c r="F496" s="14" t="str">
        <f aca="false">IF(OR($D496="",$B496=""),"",INT(($B496-$D496)/365.25))</f>
        <v/>
      </c>
      <c r="G496" s="25"/>
      <c r="H496" s="25"/>
      <c r="I496" s="12"/>
      <c r="J496" s="14" t="str">
        <f aca="false">IF(OR($C496="",$D496="",$B496="",$G496=""),"",IF(COUNTIFS($C$5:$C$804,$C496,$D$5:$D$804,$D496,$B$5:$B$804,$B496,$G$5:$G$804,$G496)&gt;1,"Takror",""))</f>
        <v/>
      </c>
    </row>
    <row r="497" customFormat="false" ht="15" hidden="false" customHeight="false" outlineLevel="0" collapsed="false">
      <c r="A497" s="8" t="n">
        <v>493</v>
      </c>
      <c r="B497" s="13"/>
      <c r="C497" s="12"/>
      <c r="D497" s="13"/>
      <c r="E497" s="24"/>
      <c r="F497" s="14" t="str">
        <f aca="false">IF(OR($D497="",$B497=""),"",INT(($B497-$D497)/365.25))</f>
        <v/>
      </c>
      <c r="G497" s="25"/>
      <c r="H497" s="25"/>
      <c r="I497" s="12"/>
      <c r="J497" s="14" t="str">
        <f aca="false">IF(OR($C497="",$D497="",$B497="",$G497=""),"",IF(COUNTIFS($C$5:$C$804,$C497,$D$5:$D$804,$D497,$B$5:$B$804,$B497,$G$5:$G$804,$G497)&gt;1,"Takror",""))</f>
        <v/>
      </c>
    </row>
    <row r="498" customFormat="false" ht="15" hidden="false" customHeight="false" outlineLevel="0" collapsed="false">
      <c r="A498" s="8" t="n">
        <v>494</v>
      </c>
      <c r="B498" s="13"/>
      <c r="C498" s="12"/>
      <c r="D498" s="13"/>
      <c r="E498" s="24"/>
      <c r="F498" s="14" t="str">
        <f aca="false">IF(OR($D498="",$B498=""),"",INT(($B498-$D498)/365.25))</f>
        <v/>
      </c>
      <c r="G498" s="25"/>
      <c r="H498" s="25"/>
      <c r="I498" s="12"/>
      <c r="J498" s="14" t="str">
        <f aca="false">IF(OR($C498="",$D498="",$B498="",$G498=""),"",IF(COUNTIFS($C$5:$C$804,$C498,$D$5:$D$804,$D498,$B$5:$B$804,$B498,$G$5:$G$804,$G498)&gt;1,"Takror",""))</f>
        <v/>
      </c>
    </row>
    <row r="499" customFormat="false" ht="15" hidden="false" customHeight="false" outlineLevel="0" collapsed="false">
      <c r="A499" s="8" t="n">
        <v>495</v>
      </c>
      <c r="B499" s="13"/>
      <c r="C499" s="12"/>
      <c r="D499" s="13"/>
      <c r="E499" s="24"/>
      <c r="F499" s="14" t="str">
        <f aca="false">IF(OR($D499="",$B499=""),"",INT(($B499-$D499)/365.25))</f>
        <v/>
      </c>
      <c r="G499" s="25"/>
      <c r="H499" s="25"/>
      <c r="I499" s="12"/>
      <c r="J499" s="14" t="str">
        <f aca="false">IF(OR($C499="",$D499="",$B499="",$G499=""),"",IF(COUNTIFS($C$5:$C$804,$C499,$D$5:$D$804,$D499,$B$5:$B$804,$B499,$G$5:$G$804,$G499)&gt;1,"Takror",""))</f>
        <v/>
      </c>
    </row>
    <row r="500" customFormat="false" ht="15" hidden="false" customHeight="false" outlineLevel="0" collapsed="false">
      <c r="A500" s="8" t="n">
        <v>496</v>
      </c>
      <c r="B500" s="13"/>
      <c r="C500" s="12"/>
      <c r="D500" s="13"/>
      <c r="E500" s="24"/>
      <c r="F500" s="14" t="str">
        <f aca="false">IF(OR($D500="",$B500=""),"",INT(($B500-$D500)/365.25))</f>
        <v/>
      </c>
      <c r="G500" s="25"/>
      <c r="H500" s="25"/>
      <c r="I500" s="12"/>
      <c r="J500" s="14" t="str">
        <f aca="false">IF(OR($C500="",$D500="",$B500="",$G500=""),"",IF(COUNTIFS($C$5:$C$804,$C500,$D$5:$D$804,$D500,$B$5:$B$804,$B500,$G$5:$G$804,$G500)&gt;1,"Takror",""))</f>
        <v/>
      </c>
    </row>
    <row r="501" customFormat="false" ht="15" hidden="false" customHeight="false" outlineLevel="0" collapsed="false">
      <c r="A501" s="8" t="n">
        <v>497</v>
      </c>
      <c r="B501" s="13"/>
      <c r="C501" s="12"/>
      <c r="D501" s="13"/>
      <c r="E501" s="24"/>
      <c r="F501" s="14" t="str">
        <f aca="false">IF(OR($D501="",$B501=""),"",INT(($B501-$D501)/365.25))</f>
        <v/>
      </c>
      <c r="G501" s="25"/>
      <c r="H501" s="25"/>
      <c r="I501" s="12"/>
      <c r="J501" s="14" t="str">
        <f aca="false">IF(OR($C501="",$D501="",$B501="",$G501=""),"",IF(COUNTIFS($C$5:$C$804,$C501,$D$5:$D$804,$D501,$B$5:$B$804,$B501,$G$5:$G$804,$G501)&gt;1,"Takror",""))</f>
        <v/>
      </c>
    </row>
    <row r="502" customFormat="false" ht="15" hidden="false" customHeight="false" outlineLevel="0" collapsed="false">
      <c r="A502" s="8" t="n">
        <v>498</v>
      </c>
      <c r="B502" s="13"/>
      <c r="C502" s="12"/>
      <c r="D502" s="13"/>
      <c r="E502" s="24"/>
      <c r="F502" s="14" t="str">
        <f aca="false">IF(OR($D502="",$B502=""),"",INT(($B502-$D502)/365.25))</f>
        <v/>
      </c>
      <c r="G502" s="25"/>
      <c r="H502" s="25"/>
      <c r="I502" s="12"/>
      <c r="J502" s="14" t="str">
        <f aca="false">IF(OR($C502="",$D502="",$B502="",$G502=""),"",IF(COUNTIFS($C$5:$C$804,$C502,$D$5:$D$804,$D502,$B$5:$B$804,$B502,$G$5:$G$804,$G502)&gt;1,"Takror",""))</f>
        <v/>
      </c>
    </row>
    <row r="503" customFormat="false" ht="15" hidden="false" customHeight="false" outlineLevel="0" collapsed="false">
      <c r="A503" s="8" t="n">
        <v>499</v>
      </c>
      <c r="B503" s="13"/>
      <c r="C503" s="12"/>
      <c r="D503" s="13"/>
      <c r="E503" s="24"/>
      <c r="F503" s="14" t="str">
        <f aca="false">IF(OR($D503="",$B503=""),"",INT(($B503-$D503)/365.25))</f>
        <v/>
      </c>
      <c r="G503" s="25"/>
      <c r="H503" s="25"/>
      <c r="I503" s="12"/>
      <c r="J503" s="14" t="str">
        <f aca="false">IF(OR($C503="",$D503="",$B503="",$G503=""),"",IF(COUNTIFS($C$5:$C$804,$C503,$D$5:$D$804,$D503,$B$5:$B$804,$B503,$G$5:$G$804,$G503)&gt;1,"Takror",""))</f>
        <v/>
      </c>
    </row>
    <row r="504" customFormat="false" ht="15" hidden="false" customHeight="false" outlineLevel="0" collapsed="false">
      <c r="A504" s="8" t="n">
        <v>500</v>
      </c>
      <c r="B504" s="13"/>
      <c r="C504" s="12"/>
      <c r="D504" s="13"/>
      <c r="E504" s="24"/>
      <c r="F504" s="14" t="str">
        <f aca="false">IF(OR($D504="",$B504=""),"",INT(($B504-$D504)/365.25))</f>
        <v/>
      </c>
      <c r="G504" s="25"/>
      <c r="H504" s="25"/>
      <c r="I504" s="12"/>
      <c r="J504" s="14" t="str">
        <f aca="false">IF(OR($C504="",$D504="",$B504="",$G504=""),"",IF(COUNTIFS($C$5:$C$804,$C504,$D$5:$D$804,$D504,$B$5:$B$804,$B504,$G$5:$G$804,$G504)&gt;1,"Takror",""))</f>
        <v/>
      </c>
    </row>
    <row r="505" customFormat="false" ht="15" hidden="false" customHeight="false" outlineLevel="0" collapsed="false">
      <c r="A505" s="8" t="n">
        <v>501</v>
      </c>
      <c r="B505" s="13"/>
      <c r="C505" s="12"/>
      <c r="D505" s="13"/>
      <c r="E505" s="24"/>
      <c r="F505" s="14" t="str">
        <f aca="false">IF(OR($D505="",$B505=""),"",INT(($B505-$D505)/365.25))</f>
        <v/>
      </c>
      <c r="G505" s="25"/>
      <c r="H505" s="25"/>
      <c r="I505" s="12"/>
      <c r="J505" s="14" t="str">
        <f aca="false">IF(OR($C505="",$D505="",$B505="",$G505=""),"",IF(COUNTIFS($C$5:$C$804,$C505,$D$5:$D$804,$D505,$B$5:$B$804,$B505,$G$5:$G$804,$G505)&gt;1,"Takror",""))</f>
        <v/>
      </c>
    </row>
    <row r="506" customFormat="false" ht="15" hidden="false" customHeight="false" outlineLevel="0" collapsed="false">
      <c r="A506" s="8" t="n">
        <v>502</v>
      </c>
      <c r="B506" s="13"/>
      <c r="C506" s="12"/>
      <c r="D506" s="13"/>
      <c r="E506" s="24"/>
      <c r="F506" s="14" t="str">
        <f aca="false">IF(OR($D506="",$B506=""),"",INT(($B506-$D506)/365.25))</f>
        <v/>
      </c>
      <c r="G506" s="25"/>
      <c r="H506" s="25"/>
      <c r="I506" s="12"/>
      <c r="J506" s="14" t="str">
        <f aca="false">IF(OR($C506="",$D506="",$B506="",$G506=""),"",IF(COUNTIFS($C$5:$C$804,$C506,$D$5:$D$804,$D506,$B$5:$B$804,$B506,$G$5:$G$804,$G506)&gt;1,"Takror",""))</f>
        <v/>
      </c>
    </row>
    <row r="507" customFormat="false" ht="15" hidden="false" customHeight="false" outlineLevel="0" collapsed="false">
      <c r="A507" s="8" t="n">
        <v>503</v>
      </c>
      <c r="B507" s="13"/>
      <c r="C507" s="12"/>
      <c r="D507" s="13"/>
      <c r="E507" s="24"/>
      <c r="F507" s="14" t="str">
        <f aca="false">IF(OR($D507="",$B507=""),"",INT(($B507-$D507)/365.25))</f>
        <v/>
      </c>
      <c r="G507" s="25"/>
      <c r="H507" s="25"/>
      <c r="I507" s="12"/>
      <c r="J507" s="14" t="str">
        <f aca="false">IF(OR($C507="",$D507="",$B507="",$G507=""),"",IF(COUNTIFS($C$5:$C$804,$C507,$D$5:$D$804,$D507,$B$5:$B$804,$B507,$G$5:$G$804,$G507)&gt;1,"Takror",""))</f>
        <v/>
      </c>
    </row>
    <row r="508" customFormat="false" ht="15" hidden="false" customHeight="false" outlineLevel="0" collapsed="false">
      <c r="A508" s="8" t="n">
        <v>504</v>
      </c>
      <c r="B508" s="13"/>
      <c r="C508" s="12"/>
      <c r="D508" s="13"/>
      <c r="E508" s="24"/>
      <c r="F508" s="14" t="str">
        <f aca="false">IF(OR($D508="",$B508=""),"",INT(($B508-$D508)/365.25))</f>
        <v/>
      </c>
      <c r="G508" s="25"/>
      <c r="H508" s="25"/>
      <c r="I508" s="12"/>
      <c r="J508" s="14" t="str">
        <f aca="false">IF(OR($C508="",$D508="",$B508="",$G508=""),"",IF(COUNTIFS($C$5:$C$804,$C508,$D$5:$D$804,$D508,$B$5:$B$804,$B508,$G$5:$G$804,$G508)&gt;1,"Takror",""))</f>
        <v/>
      </c>
    </row>
    <row r="509" customFormat="false" ht="15" hidden="false" customHeight="false" outlineLevel="0" collapsed="false">
      <c r="A509" s="8" t="n">
        <v>505</v>
      </c>
      <c r="B509" s="13"/>
      <c r="C509" s="12"/>
      <c r="D509" s="13"/>
      <c r="E509" s="24"/>
      <c r="F509" s="14" t="str">
        <f aca="false">IF(OR($D509="",$B509=""),"",INT(($B509-$D509)/365.25))</f>
        <v/>
      </c>
      <c r="G509" s="25"/>
      <c r="H509" s="25"/>
      <c r="I509" s="12"/>
      <c r="J509" s="14" t="str">
        <f aca="false">IF(OR($C509="",$D509="",$B509="",$G509=""),"",IF(COUNTIFS($C$5:$C$804,$C509,$D$5:$D$804,$D509,$B$5:$B$804,$B509,$G$5:$G$804,$G509)&gt;1,"Takror",""))</f>
        <v/>
      </c>
    </row>
    <row r="510" customFormat="false" ht="15" hidden="false" customHeight="false" outlineLevel="0" collapsed="false">
      <c r="A510" s="8" t="n">
        <v>506</v>
      </c>
      <c r="B510" s="13"/>
      <c r="C510" s="12"/>
      <c r="D510" s="13"/>
      <c r="E510" s="24"/>
      <c r="F510" s="14" t="str">
        <f aca="false">IF(OR($D510="",$B510=""),"",INT(($B510-$D510)/365.25))</f>
        <v/>
      </c>
      <c r="G510" s="25"/>
      <c r="H510" s="25"/>
      <c r="I510" s="12"/>
      <c r="J510" s="14" t="str">
        <f aca="false">IF(OR($C510="",$D510="",$B510="",$G510=""),"",IF(COUNTIFS($C$5:$C$804,$C510,$D$5:$D$804,$D510,$B$5:$B$804,$B510,$G$5:$G$804,$G510)&gt;1,"Takror",""))</f>
        <v/>
      </c>
    </row>
    <row r="511" customFormat="false" ht="15" hidden="false" customHeight="false" outlineLevel="0" collapsed="false">
      <c r="A511" s="8" t="n">
        <v>507</v>
      </c>
      <c r="B511" s="13"/>
      <c r="C511" s="12"/>
      <c r="D511" s="13"/>
      <c r="E511" s="24"/>
      <c r="F511" s="14" t="str">
        <f aca="false">IF(OR($D511="",$B511=""),"",INT(($B511-$D511)/365.25))</f>
        <v/>
      </c>
      <c r="G511" s="25"/>
      <c r="H511" s="25"/>
      <c r="I511" s="12"/>
      <c r="J511" s="14" t="str">
        <f aca="false">IF(OR($C511="",$D511="",$B511="",$G511=""),"",IF(COUNTIFS($C$5:$C$804,$C511,$D$5:$D$804,$D511,$B$5:$B$804,$B511,$G$5:$G$804,$G511)&gt;1,"Takror",""))</f>
        <v/>
      </c>
    </row>
    <row r="512" customFormat="false" ht="15" hidden="false" customHeight="false" outlineLevel="0" collapsed="false">
      <c r="A512" s="8" t="n">
        <v>508</v>
      </c>
      <c r="B512" s="13"/>
      <c r="C512" s="12"/>
      <c r="D512" s="13"/>
      <c r="E512" s="24"/>
      <c r="F512" s="14" t="str">
        <f aca="false">IF(OR($D512="",$B512=""),"",INT(($B512-$D512)/365.25))</f>
        <v/>
      </c>
      <c r="G512" s="25"/>
      <c r="H512" s="25"/>
      <c r="I512" s="12"/>
      <c r="J512" s="14" t="str">
        <f aca="false">IF(OR($C512="",$D512="",$B512="",$G512=""),"",IF(COUNTIFS($C$5:$C$804,$C512,$D$5:$D$804,$D512,$B$5:$B$804,$B512,$G$5:$G$804,$G512)&gt;1,"Takror",""))</f>
        <v/>
      </c>
    </row>
    <row r="513" customFormat="false" ht="15" hidden="false" customHeight="false" outlineLevel="0" collapsed="false">
      <c r="A513" s="8" t="n">
        <v>509</v>
      </c>
      <c r="B513" s="13"/>
      <c r="C513" s="12"/>
      <c r="D513" s="13"/>
      <c r="E513" s="24"/>
      <c r="F513" s="14" t="str">
        <f aca="false">IF(OR($D513="",$B513=""),"",INT(($B513-$D513)/365.25))</f>
        <v/>
      </c>
      <c r="G513" s="25"/>
      <c r="H513" s="25"/>
      <c r="I513" s="12"/>
      <c r="J513" s="14" t="str">
        <f aca="false">IF(OR($C513="",$D513="",$B513="",$G513=""),"",IF(COUNTIFS($C$5:$C$804,$C513,$D$5:$D$804,$D513,$B$5:$B$804,$B513,$G$5:$G$804,$G513)&gt;1,"Takror",""))</f>
        <v/>
      </c>
    </row>
    <row r="514" customFormat="false" ht="15" hidden="false" customHeight="false" outlineLevel="0" collapsed="false">
      <c r="A514" s="8" t="n">
        <v>510</v>
      </c>
      <c r="B514" s="13"/>
      <c r="C514" s="12"/>
      <c r="D514" s="13"/>
      <c r="E514" s="24"/>
      <c r="F514" s="14" t="str">
        <f aca="false">IF(OR($D514="",$B514=""),"",INT(($B514-$D514)/365.25))</f>
        <v/>
      </c>
      <c r="G514" s="25"/>
      <c r="H514" s="25"/>
      <c r="I514" s="12"/>
      <c r="J514" s="14" t="str">
        <f aca="false">IF(OR($C514="",$D514="",$B514="",$G514=""),"",IF(COUNTIFS($C$5:$C$804,$C514,$D$5:$D$804,$D514,$B$5:$B$804,$B514,$G$5:$G$804,$G514)&gt;1,"Takror",""))</f>
        <v/>
      </c>
    </row>
    <row r="515" customFormat="false" ht="15" hidden="false" customHeight="false" outlineLevel="0" collapsed="false">
      <c r="A515" s="8" t="n">
        <v>511</v>
      </c>
      <c r="B515" s="13"/>
      <c r="C515" s="12"/>
      <c r="D515" s="13"/>
      <c r="E515" s="24"/>
      <c r="F515" s="14" t="str">
        <f aca="false">IF(OR($D515="",$B515=""),"",INT(($B515-$D515)/365.25))</f>
        <v/>
      </c>
      <c r="G515" s="25"/>
      <c r="H515" s="25"/>
      <c r="I515" s="12"/>
      <c r="J515" s="14" t="str">
        <f aca="false">IF(OR($C515="",$D515="",$B515="",$G515=""),"",IF(COUNTIFS($C$5:$C$804,$C515,$D$5:$D$804,$D515,$B$5:$B$804,$B515,$G$5:$G$804,$G515)&gt;1,"Takror",""))</f>
        <v/>
      </c>
    </row>
    <row r="516" customFormat="false" ht="15" hidden="false" customHeight="false" outlineLevel="0" collapsed="false">
      <c r="A516" s="8" t="n">
        <v>512</v>
      </c>
      <c r="B516" s="13"/>
      <c r="C516" s="12"/>
      <c r="D516" s="13"/>
      <c r="E516" s="24"/>
      <c r="F516" s="14" t="str">
        <f aca="false">IF(OR($D516="",$B516=""),"",INT(($B516-$D516)/365.25))</f>
        <v/>
      </c>
      <c r="G516" s="25"/>
      <c r="H516" s="25"/>
      <c r="I516" s="12"/>
      <c r="J516" s="14" t="str">
        <f aca="false">IF(OR($C516="",$D516="",$B516="",$G516=""),"",IF(COUNTIFS($C$5:$C$804,$C516,$D$5:$D$804,$D516,$B$5:$B$804,$B516,$G$5:$G$804,$G516)&gt;1,"Takror",""))</f>
        <v/>
      </c>
    </row>
    <row r="517" customFormat="false" ht="15" hidden="false" customHeight="false" outlineLevel="0" collapsed="false">
      <c r="A517" s="8" t="n">
        <v>513</v>
      </c>
      <c r="B517" s="13"/>
      <c r="C517" s="12"/>
      <c r="D517" s="13"/>
      <c r="E517" s="24"/>
      <c r="F517" s="14" t="str">
        <f aca="false">IF(OR($D517="",$B517=""),"",INT(($B517-$D517)/365.25))</f>
        <v/>
      </c>
      <c r="G517" s="25"/>
      <c r="H517" s="25"/>
      <c r="I517" s="12"/>
      <c r="J517" s="14" t="str">
        <f aca="false">IF(OR($C517="",$D517="",$B517="",$G517=""),"",IF(COUNTIFS($C$5:$C$804,$C517,$D$5:$D$804,$D517,$B$5:$B$804,$B517,$G$5:$G$804,$G517)&gt;1,"Takror",""))</f>
        <v/>
      </c>
    </row>
    <row r="518" customFormat="false" ht="15" hidden="false" customHeight="false" outlineLevel="0" collapsed="false">
      <c r="A518" s="8" t="n">
        <v>514</v>
      </c>
      <c r="B518" s="13"/>
      <c r="C518" s="12"/>
      <c r="D518" s="13"/>
      <c r="E518" s="24"/>
      <c r="F518" s="14" t="str">
        <f aca="false">IF(OR($D518="",$B518=""),"",INT(($B518-$D518)/365.25))</f>
        <v/>
      </c>
      <c r="G518" s="25"/>
      <c r="H518" s="25"/>
      <c r="I518" s="12"/>
      <c r="J518" s="14" t="str">
        <f aca="false">IF(OR($C518="",$D518="",$B518="",$G518=""),"",IF(COUNTIFS($C$5:$C$804,$C518,$D$5:$D$804,$D518,$B$5:$B$804,$B518,$G$5:$G$804,$G518)&gt;1,"Takror",""))</f>
        <v/>
      </c>
    </row>
    <row r="519" customFormat="false" ht="15" hidden="false" customHeight="false" outlineLevel="0" collapsed="false">
      <c r="A519" s="8" t="n">
        <v>515</v>
      </c>
      <c r="B519" s="13"/>
      <c r="C519" s="12"/>
      <c r="D519" s="13"/>
      <c r="E519" s="24"/>
      <c r="F519" s="14" t="str">
        <f aca="false">IF(OR($D519="",$B519=""),"",INT(($B519-$D519)/365.25))</f>
        <v/>
      </c>
      <c r="G519" s="25"/>
      <c r="H519" s="25"/>
      <c r="I519" s="12"/>
      <c r="J519" s="14" t="str">
        <f aca="false">IF(OR($C519="",$D519="",$B519="",$G519=""),"",IF(COUNTIFS($C$5:$C$804,$C519,$D$5:$D$804,$D519,$B$5:$B$804,$B519,$G$5:$G$804,$G519)&gt;1,"Takror",""))</f>
        <v/>
      </c>
    </row>
    <row r="520" customFormat="false" ht="15" hidden="false" customHeight="false" outlineLevel="0" collapsed="false">
      <c r="A520" s="8" t="n">
        <v>516</v>
      </c>
      <c r="B520" s="13"/>
      <c r="C520" s="12"/>
      <c r="D520" s="13"/>
      <c r="E520" s="24"/>
      <c r="F520" s="14" t="str">
        <f aca="false">IF(OR($D520="",$B520=""),"",INT(($B520-$D520)/365.25))</f>
        <v/>
      </c>
      <c r="G520" s="25"/>
      <c r="H520" s="25"/>
      <c r="I520" s="12"/>
      <c r="J520" s="14" t="str">
        <f aca="false">IF(OR($C520="",$D520="",$B520="",$G520=""),"",IF(COUNTIFS($C$5:$C$804,$C520,$D$5:$D$804,$D520,$B$5:$B$804,$B520,$G$5:$G$804,$G520)&gt;1,"Takror",""))</f>
        <v/>
      </c>
    </row>
    <row r="521" customFormat="false" ht="15" hidden="false" customHeight="false" outlineLevel="0" collapsed="false">
      <c r="A521" s="8" t="n">
        <v>517</v>
      </c>
      <c r="B521" s="13"/>
      <c r="C521" s="12"/>
      <c r="D521" s="13"/>
      <c r="E521" s="24"/>
      <c r="F521" s="14" t="str">
        <f aca="false">IF(OR($D521="",$B521=""),"",INT(($B521-$D521)/365.25))</f>
        <v/>
      </c>
      <c r="G521" s="25"/>
      <c r="H521" s="25"/>
      <c r="I521" s="12"/>
      <c r="J521" s="14" t="str">
        <f aca="false">IF(OR($C521="",$D521="",$B521="",$G521=""),"",IF(COUNTIFS($C$5:$C$804,$C521,$D$5:$D$804,$D521,$B$5:$B$804,$B521,$G$5:$G$804,$G521)&gt;1,"Takror",""))</f>
        <v/>
      </c>
    </row>
    <row r="522" customFormat="false" ht="15" hidden="false" customHeight="false" outlineLevel="0" collapsed="false">
      <c r="A522" s="8" t="n">
        <v>518</v>
      </c>
      <c r="B522" s="13"/>
      <c r="C522" s="12"/>
      <c r="D522" s="13"/>
      <c r="E522" s="24"/>
      <c r="F522" s="14" t="str">
        <f aca="false">IF(OR($D522="",$B522=""),"",INT(($B522-$D522)/365.25))</f>
        <v/>
      </c>
      <c r="G522" s="25"/>
      <c r="H522" s="25"/>
      <c r="I522" s="12"/>
      <c r="J522" s="14" t="str">
        <f aca="false">IF(OR($C522="",$D522="",$B522="",$G522=""),"",IF(COUNTIFS($C$5:$C$804,$C522,$D$5:$D$804,$D522,$B$5:$B$804,$B522,$G$5:$G$804,$G522)&gt;1,"Takror",""))</f>
        <v/>
      </c>
    </row>
    <row r="523" customFormat="false" ht="15" hidden="false" customHeight="false" outlineLevel="0" collapsed="false">
      <c r="A523" s="8" t="n">
        <v>519</v>
      </c>
      <c r="B523" s="13"/>
      <c r="C523" s="12"/>
      <c r="D523" s="13"/>
      <c r="E523" s="24"/>
      <c r="F523" s="14" t="str">
        <f aca="false">IF(OR($D523="",$B523=""),"",INT(($B523-$D523)/365.25))</f>
        <v/>
      </c>
      <c r="G523" s="25"/>
      <c r="H523" s="25"/>
      <c r="I523" s="12"/>
      <c r="J523" s="14" t="str">
        <f aca="false">IF(OR($C523="",$D523="",$B523="",$G523=""),"",IF(COUNTIFS($C$5:$C$804,$C523,$D$5:$D$804,$D523,$B$5:$B$804,$B523,$G$5:$G$804,$G523)&gt;1,"Takror",""))</f>
        <v/>
      </c>
    </row>
    <row r="524" customFormat="false" ht="15" hidden="false" customHeight="false" outlineLevel="0" collapsed="false">
      <c r="A524" s="8" t="n">
        <v>520</v>
      </c>
      <c r="B524" s="13"/>
      <c r="C524" s="12"/>
      <c r="D524" s="13"/>
      <c r="E524" s="24"/>
      <c r="F524" s="14" t="str">
        <f aca="false">IF(OR($D524="",$B524=""),"",INT(($B524-$D524)/365.25))</f>
        <v/>
      </c>
      <c r="G524" s="25"/>
      <c r="H524" s="25"/>
      <c r="I524" s="12"/>
      <c r="J524" s="14" t="str">
        <f aca="false">IF(OR($C524="",$D524="",$B524="",$G524=""),"",IF(COUNTIFS($C$5:$C$804,$C524,$D$5:$D$804,$D524,$B$5:$B$804,$B524,$G$5:$G$804,$G524)&gt;1,"Takror",""))</f>
        <v/>
      </c>
    </row>
    <row r="525" customFormat="false" ht="15" hidden="false" customHeight="false" outlineLevel="0" collapsed="false">
      <c r="A525" s="8" t="n">
        <v>521</v>
      </c>
      <c r="B525" s="13"/>
      <c r="C525" s="12"/>
      <c r="D525" s="13"/>
      <c r="E525" s="24"/>
      <c r="F525" s="14" t="str">
        <f aca="false">IF(OR($D525="",$B525=""),"",INT(($B525-$D525)/365.25))</f>
        <v/>
      </c>
      <c r="G525" s="25"/>
      <c r="H525" s="25"/>
      <c r="I525" s="12"/>
      <c r="J525" s="14" t="str">
        <f aca="false">IF(OR($C525="",$D525="",$B525="",$G525=""),"",IF(COUNTIFS($C$5:$C$804,$C525,$D$5:$D$804,$D525,$B$5:$B$804,$B525,$G$5:$G$804,$G525)&gt;1,"Takror",""))</f>
        <v/>
      </c>
    </row>
    <row r="526" customFormat="false" ht="15" hidden="false" customHeight="false" outlineLevel="0" collapsed="false">
      <c r="A526" s="8" t="n">
        <v>522</v>
      </c>
      <c r="B526" s="13"/>
      <c r="C526" s="12"/>
      <c r="D526" s="13"/>
      <c r="E526" s="24"/>
      <c r="F526" s="14" t="str">
        <f aca="false">IF(OR($D526="",$B526=""),"",INT(($B526-$D526)/365.25))</f>
        <v/>
      </c>
      <c r="G526" s="25"/>
      <c r="H526" s="25"/>
      <c r="I526" s="12"/>
      <c r="J526" s="14" t="str">
        <f aca="false">IF(OR($C526="",$D526="",$B526="",$G526=""),"",IF(COUNTIFS($C$5:$C$804,$C526,$D$5:$D$804,$D526,$B$5:$B$804,$B526,$G$5:$G$804,$G526)&gt;1,"Takror",""))</f>
        <v/>
      </c>
    </row>
    <row r="527" customFormat="false" ht="15" hidden="false" customHeight="false" outlineLevel="0" collapsed="false">
      <c r="A527" s="8" t="n">
        <v>523</v>
      </c>
      <c r="B527" s="13"/>
      <c r="C527" s="12"/>
      <c r="D527" s="13"/>
      <c r="E527" s="24"/>
      <c r="F527" s="14" t="str">
        <f aca="false">IF(OR($D527="",$B527=""),"",INT(($B527-$D527)/365.25))</f>
        <v/>
      </c>
      <c r="G527" s="25"/>
      <c r="H527" s="25"/>
      <c r="I527" s="12"/>
      <c r="J527" s="14" t="str">
        <f aca="false">IF(OR($C527="",$D527="",$B527="",$G527=""),"",IF(COUNTIFS($C$5:$C$804,$C527,$D$5:$D$804,$D527,$B$5:$B$804,$B527,$G$5:$G$804,$G527)&gt;1,"Takror",""))</f>
        <v/>
      </c>
    </row>
    <row r="528" customFormat="false" ht="15" hidden="false" customHeight="false" outlineLevel="0" collapsed="false">
      <c r="A528" s="8" t="n">
        <v>524</v>
      </c>
      <c r="B528" s="13"/>
      <c r="C528" s="12"/>
      <c r="D528" s="13"/>
      <c r="E528" s="24"/>
      <c r="F528" s="14" t="str">
        <f aca="false">IF(OR($D528="",$B528=""),"",INT(($B528-$D528)/365.25))</f>
        <v/>
      </c>
      <c r="G528" s="25"/>
      <c r="H528" s="25"/>
      <c r="I528" s="12"/>
      <c r="J528" s="14" t="str">
        <f aca="false">IF(OR($C528="",$D528="",$B528="",$G528=""),"",IF(COUNTIFS($C$5:$C$804,$C528,$D$5:$D$804,$D528,$B$5:$B$804,$B528,$G$5:$G$804,$G528)&gt;1,"Takror",""))</f>
        <v/>
      </c>
    </row>
    <row r="529" customFormat="false" ht="15" hidden="false" customHeight="false" outlineLevel="0" collapsed="false">
      <c r="A529" s="8" t="n">
        <v>525</v>
      </c>
      <c r="B529" s="13"/>
      <c r="C529" s="12"/>
      <c r="D529" s="13"/>
      <c r="E529" s="24"/>
      <c r="F529" s="14" t="str">
        <f aca="false">IF(OR($D529="",$B529=""),"",INT(($B529-$D529)/365.25))</f>
        <v/>
      </c>
      <c r="G529" s="25"/>
      <c r="H529" s="25"/>
      <c r="I529" s="12"/>
      <c r="J529" s="14" t="str">
        <f aca="false">IF(OR($C529="",$D529="",$B529="",$G529=""),"",IF(COUNTIFS($C$5:$C$804,$C529,$D$5:$D$804,$D529,$B$5:$B$804,$B529,$G$5:$G$804,$G529)&gt;1,"Takror",""))</f>
        <v/>
      </c>
    </row>
    <row r="530" customFormat="false" ht="15" hidden="false" customHeight="false" outlineLevel="0" collapsed="false">
      <c r="A530" s="8" t="n">
        <v>526</v>
      </c>
      <c r="B530" s="13"/>
      <c r="C530" s="12"/>
      <c r="D530" s="13"/>
      <c r="E530" s="24"/>
      <c r="F530" s="14" t="str">
        <f aca="false">IF(OR($D530="",$B530=""),"",INT(($B530-$D530)/365.25))</f>
        <v/>
      </c>
      <c r="G530" s="25"/>
      <c r="H530" s="25"/>
      <c r="I530" s="12"/>
      <c r="J530" s="14" t="str">
        <f aca="false">IF(OR($C530="",$D530="",$B530="",$G530=""),"",IF(COUNTIFS($C$5:$C$804,$C530,$D$5:$D$804,$D530,$B$5:$B$804,$B530,$G$5:$G$804,$G530)&gt;1,"Takror",""))</f>
        <v/>
      </c>
    </row>
    <row r="531" customFormat="false" ht="15" hidden="false" customHeight="false" outlineLevel="0" collapsed="false">
      <c r="A531" s="8" t="n">
        <v>527</v>
      </c>
      <c r="B531" s="13"/>
      <c r="C531" s="12"/>
      <c r="D531" s="13"/>
      <c r="E531" s="24"/>
      <c r="F531" s="14" t="str">
        <f aca="false">IF(OR($D531="",$B531=""),"",INT(($B531-$D531)/365.25))</f>
        <v/>
      </c>
      <c r="G531" s="25"/>
      <c r="H531" s="25"/>
      <c r="I531" s="12"/>
      <c r="J531" s="14" t="str">
        <f aca="false">IF(OR($C531="",$D531="",$B531="",$G531=""),"",IF(COUNTIFS($C$5:$C$804,$C531,$D$5:$D$804,$D531,$B$5:$B$804,$B531,$G$5:$G$804,$G531)&gt;1,"Takror",""))</f>
        <v/>
      </c>
    </row>
    <row r="532" customFormat="false" ht="15" hidden="false" customHeight="false" outlineLevel="0" collapsed="false">
      <c r="A532" s="8" t="n">
        <v>528</v>
      </c>
      <c r="B532" s="13"/>
      <c r="C532" s="12"/>
      <c r="D532" s="13"/>
      <c r="E532" s="24"/>
      <c r="F532" s="14" t="str">
        <f aca="false">IF(OR($D532="",$B532=""),"",INT(($B532-$D532)/365.25))</f>
        <v/>
      </c>
      <c r="G532" s="25"/>
      <c r="H532" s="25"/>
      <c r="I532" s="12"/>
      <c r="J532" s="14" t="str">
        <f aca="false">IF(OR($C532="",$D532="",$B532="",$G532=""),"",IF(COUNTIFS($C$5:$C$804,$C532,$D$5:$D$804,$D532,$B$5:$B$804,$B532,$G$5:$G$804,$G532)&gt;1,"Takror",""))</f>
        <v/>
      </c>
    </row>
    <row r="533" customFormat="false" ht="15" hidden="false" customHeight="false" outlineLevel="0" collapsed="false">
      <c r="A533" s="8" t="n">
        <v>529</v>
      </c>
      <c r="B533" s="13"/>
      <c r="C533" s="12"/>
      <c r="D533" s="13"/>
      <c r="E533" s="24"/>
      <c r="F533" s="14" t="str">
        <f aca="false">IF(OR($D533="",$B533=""),"",INT(($B533-$D533)/365.25))</f>
        <v/>
      </c>
      <c r="G533" s="25"/>
      <c r="H533" s="25"/>
      <c r="I533" s="12"/>
      <c r="J533" s="14" t="str">
        <f aca="false">IF(OR($C533="",$D533="",$B533="",$G533=""),"",IF(COUNTIFS($C$5:$C$804,$C533,$D$5:$D$804,$D533,$B$5:$B$804,$B533,$G$5:$G$804,$G533)&gt;1,"Takror",""))</f>
        <v/>
      </c>
    </row>
    <row r="534" customFormat="false" ht="15" hidden="false" customHeight="false" outlineLevel="0" collapsed="false">
      <c r="A534" s="8" t="n">
        <v>530</v>
      </c>
      <c r="B534" s="13"/>
      <c r="C534" s="12"/>
      <c r="D534" s="13"/>
      <c r="E534" s="24"/>
      <c r="F534" s="14" t="str">
        <f aca="false">IF(OR($D534="",$B534=""),"",INT(($B534-$D534)/365.25))</f>
        <v/>
      </c>
      <c r="G534" s="25"/>
      <c r="H534" s="25"/>
      <c r="I534" s="12"/>
      <c r="J534" s="14" t="str">
        <f aca="false">IF(OR($C534="",$D534="",$B534="",$G534=""),"",IF(COUNTIFS($C$5:$C$804,$C534,$D$5:$D$804,$D534,$B$5:$B$804,$B534,$G$5:$G$804,$G534)&gt;1,"Takror",""))</f>
        <v/>
      </c>
    </row>
    <row r="535" customFormat="false" ht="15" hidden="false" customHeight="false" outlineLevel="0" collapsed="false">
      <c r="A535" s="8" t="n">
        <v>531</v>
      </c>
      <c r="B535" s="13"/>
      <c r="C535" s="12"/>
      <c r="D535" s="13"/>
      <c r="E535" s="24"/>
      <c r="F535" s="14" t="str">
        <f aca="false">IF(OR($D535="",$B535=""),"",INT(($B535-$D535)/365.25))</f>
        <v/>
      </c>
      <c r="G535" s="25"/>
      <c r="H535" s="25"/>
      <c r="I535" s="12"/>
      <c r="J535" s="14" t="str">
        <f aca="false">IF(OR($C535="",$D535="",$B535="",$G535=""),"",IF(COUNTIFS($C$5:$C$804,$C535,$D$5:$D$804,$D535,$B$5:$B$804,$B535,$G$5:$G$804,$G535)&gt;1,"Takror",""))</f>
        <v/>
      </c>
    </row>
    <row r="536" customFormat="false" ht="15" hidden="false" customHeight="false" outlineLevel="0" collapsed="false">
      <c r="A536" s="8" t="n">
        <v>532</v>
      </c>
      <c r="B536" s="13"/>
      <c r="C536" s="12"/>
      <c r="D536" s="13"/>
      <c r="E536" s="24"/>
      <c r="F536" s="14" t="str">
        <f aca="false">IF(OR($D536="",$B536=""),"",INT(($B536-$D536)/365.25))</f>
        <v/>
      </c>
      <c r="G536" s="25"/>
      <c r="H536" s="25"/>
      <c r="I536" s="12"/>
      <c r="J536" s="14" t="str">
        <f aca="false">IF(OR($C536="",$D536="",$B536="",$G536=""),"",IF(COUNTIFS($C$5:$C$804,$C536,$D$5:$D$804,$D536,$B$5:$B$804,$B536,$G$5:$G$804,$G536)&gt;1,"Takror",""))</f>
        <v/>
      </c>
    </row>
    <row r="537" customFormat="false" ht="15" hidden="false" customHeight="false" outlineLevel="0" collapsed="false">
      <c r="A537" s="8" t="n">
        <v>533</v>
      </c>
      <c r="B537" s="13"/>
      <c r="C537" s="12"/>
      <c r="D537" s="13"/>
      <c r="E537" s="24"/>
      <c r="F537" s="14" t="str">
        <f aca="false">IF(OR($D537="",$B537=""),"",INT(($B537-$D537)/365.25))</f>
        <v/>
      </c>
      <c r="G537" s="25"/>
      <c r="H537" s="25"/>
      <c r="I537" s="12"/>
      <c r="J537" s="14" t="str">
        <f aca="false">IF(OR($C537="",$D537="",$B537="",$G537=""),"",IF(COUNTIFS($C$5:$C$804,$C537,$D$5:$D$804,$D537,$B$5:$B$804,$B537,$G$5:$G$804,$G537)&gt;1,"Takror",""))</f>
        <v/>
      </c>
    </row>
    <row r="538" customFormat="false" ht="15" hidden="false" customHeight="false" outlineLevel="0" collapsed="false">
      <c r="A538" s="8" t="n">
        <v>534</v>
      </c>
      <c r="B538" s="13"/>
      <c r="C538" s="12"/>
      <c r="D538" s="13"/>
      <c r="E538" s="24"/>
      <c r="F538" s="14" t="str">
        <f aca="false">IF(OR($D538="",$B538=""),"",INT(($B538-$D538)/365.25))</f>
        <v/>
      </c>
      <c r="G538" s="25"/>
      <c r="H538" s="25"/>
      <c r="I538" s="12"/>
      <c r="J538" s="14" t="str">
        <f aca="false">IF(OR($C538="",$D538="",$B538="",$G538=""),"",IF(COUNTIFS($C$5:$C$804,$C538,$D$5:$D$804,$D538,$B$5:$B$804,$B538,$G$5:$G$804,$G538)&gt;1,"Takror",""))</f>
        <v/>
      </c>
    </row>
    <row r="539" customFormat="false" ht="15" hidden="false" customHeight="false" outlineLevel="0" collapsed="false">
      <c r="A539" s="8" t="n">
        <v>535</v>
      </c>
      <c r="B539" s="13"/>
      <c r="C539" s="12"/>
      <c r="D539" s="13"/>
      <c r="E539" s="24"/>
      <c r="F539" s="14" t="str">
        <f aca="false">IF(OR($D539="",$B539=""),"",INT(($B539-$D539)/365.25))</f>
        <v/>
      </c>
      <c r="G539" s="25"/>
      <c r="H539" s="25"/>
      <c r="I539" s="12"/>
      <c r="J539" s="14" t="str">
        <f aca="false">IF(OR($C539="",$D539="",$B539="",$G539=""),"",IF(COUNTIFS($C$5:$C$804,$C539,$D$5:$D$804,$D539,$B$5:$B$804,$B539,$G$5:$G$804,$G539)&gt;1,"Takror",""))</f>
        <v/>
      </c>
    </row>
    <row r="540" customFormat="false" ht="15" hidden="false" customHeight="false" outlineLevel="0" collapsed="false">
      <c r="A540" s="8" t="n">
        <v>536</v>
      </c>
      <c r="B540" s="13"/>
      <c r="C540" s="12"/>
      <c r="D540" s="13"/>
      <c r="E540" s="24"/>
      <c r="F540" s="14" t="str">
        <f aca="false">IF(OR($D540="",$B540=""),"",INT(($B540-$D540)/365.25))</f>
        <v/>
      </c>
      <c r="G540" s="25"/>
      <c r="H540" s="25"/>
      <c r="I540" s="12"/>
      <c r="J540" s="14" t="str">
        <f aca="false">IF(OR($C540="",$D540="",$B540="",$G540=""),"",IF(COUNTIFS($C$5:$C$804,$C540,$D$5:$D$804,$D540,$B$5:$B$804,$B540,$G$5:$G$804,$G540)&gt;1,"Takror",""))</f>
        <v/>
      </c>
    </row>
    <row r="541" customFormat="false" ht="15" hidden="false" customHeight="false" outlineLevel="0" collapsed="false">
      <c r="A541" s="8" t="n">
        <v>537</v>
      </c>
      <c r="B541" s="13"/>
      <c r="C541" s="12"/>
      <c r="D541" s="13"/>
      <c r="E541" s="24"/>
      <c r="F541" s="14" t="str">
        <f aca="false">IF(OR($D541="",$B541=""),"",INT(($B541-$D541)/365.25))</f>
        <v/>
      </c>
      <c r="G541" s="25"/>
      <c r="H541" s="25"/>
      <c r="I541" s="12"/>
      <c r="J541" s="14" t="str">
        <f aca="false">IF(OR($C541="",$D541="",$B541="",$G541=""),"",IF(COUNTIFS($C$5:$C$804,$C541,$D$5:$D$804,$D541,$B$5:$B$804,$B541,$G$5:$G$804,$G541)&gt;1,"Takror",""))</f>
        <v/>
      </c>
    </row>
    <row r="542" customFormat="false" ht="15" hidden="false" customHeight="false" outlineLevel="0" collapsed="false">
      <c r="A542" s="8" t="n">
        <v>538</v>
      </c>
      <c r="B542" s="13"/>
      <c r="C542" s="12"/>
      <c r="D542" s="13"/>
      <c r="E542" s="24"/>
      <c r="F542" s="14" t="str">
        <f aca="false">IF(OR($D542="",$B542=""),"",INT(($B542-$D542)/365.25))</f>
        <v/>
      </c>
      <c r="G542" s="25"/>
      <c r="H542" s="25"/>
      <c r="I542" s="12"/>
      <c r="J542" s="14" t="str">
        <f aca="false">IF(OR($C542="",$D542="",$B542="",$G542=""),"",IF(COUNTIFS($C$5:$C$804,$C542,$D$5:$D$804,$D542,$B$5:$B$804,$B542,$G$5:$G$804,$G542)&gt;1,"Takror",""))</f>
        <v/>
      </c>
    </row>
    <row r="543" customFormat="false" ht="15" hidden="false" customHeight="false" outlineLevel="0" collapsed="false">
      <c r="A543" s="8" t="n">
        <v>539</v>
      </c>
      <c r="B543" s="13"/>
      <c r="C543" s="12"/>
      <c r="D543" s="13"/>
      <c r="E543" s="24"/>
      <c r="F543" s="14" t="str">
        <f aca="false">IF(OR($D543="",$B543=""),"",INT(($B543-$D543)/365.25))</f>
        <v/>
      </c>
      <c r="G543" s="25"/>
      <c r="H543" s="25"/>
      <c r="I543" s="12"/>
      <c r="J543" s="14" t="str">
        <f aca="false">IF(OR($C543="",$D543="",$B543="",$G543=""),"",IF(COUNTIFS($C$5:$C$804,$C543,$D$5:$D$804,$D543,$B$5:$B$804,$B543,$G$5:$G$804,$G543)&gt;1,"Takror",""))</f>
        <v/>
      </c>
    </row>
    <row r="544" customFormat="false" ht="15" hidden="false" customHeight="false" outlineLevel="0" collapsed="false">
      <c r="A544" s="8" t="n">
        <v>540</v>
      </c>
      <c r="B544" s="13"/>
      <c r="C544" s="12"/>
      <c r="D544" s="13"/>
      <c r="E544" s="24"/>
      <c r="F544" s="14" t="str">
        <f aca="false">IF(OR($D544="",$B544=""),"",INT(($B544-$D544)/365.25))</f>
        <v/>
      </c>
      <c r="G544" s="25"/>
      <c r="H544" s="25"/>
      <c r="I544" s="12"/>
      <c r="J544" s="14" t="str">
        <f aca="false">IF(OR($C544="",$D544="",$B544="",$G544=""),"",IF(COUNTIFS($C$5:$C$804,$C544,$D$5:$D$804,$D544,$B$5:$B$804,$B544,$G$5:$G$804,$G544)&gt;1,"Takror",""))</f>
        <v/>
      </c>
    </row>
    <row r="545" customFormat="false" ht="15" hidden="false" customHeight="false" outlineLevel="0" collapsed="false">
      <c r="A545" s="8" t="n">
        <v>541</v>
      </c>
      <c r="B545" s="13"/>
      <c r="C545" s="12"/>
      <c r="D545" s="13"/>
      <c r="E545" s="24"/>
      <c r="F545" s="14" t="str">
        <f aca="false">IF(OR($D545="",$B545=""),"",INT(($B545-$D545)/365.25))</f>
        <v/>
      </c>
      <c r="G545" s="25"/>
      <c r="H545" s="25"/>
      <c r="I545" s="12"/>
      <c r="J545" s="14" t="str">
        <f aca="false">IF(OR($C545="",$D545="",$B545="",$G545=""),"",IF(COUNTIFS($C$5:$C$804,$C545,$D$5:$D$804,$D545,$B$5:$B$804,$B545,$G$5:$G$804,$G545)&gt;1,"Takror",""))</f>
        <v/>
      </c>
    </row>
    <row r="546" customFormat="false" ht="15" hidden="false" customHeight="false" outlineLevel="0" collapsed="false">
      <c r="A546" s="8" t="n">
        <v>542</v>
      </c>
      <c r="B546" s="13"/>
      <c r="C546" s="12"/>
      <c r="D546" s="13"/>
      <c r="E546" s="24"/>
      <c r="F546" s="14" t="str">
        <f aca="false">IF(OR($D546="",$B546=""),"",INT(($B546-$D546)/365.25))</f>
        <v/>
      </c>
      <c r="G546" s="25"/>
      <c r="H546" s="25"/>
      <c r="I546" s="12"/>
      <c r="J546" s="14" t="str">
        <f aca="false">IF(OR($C546="",$D546="",$B546="",$G546=""),"",IF(COUNTIFS($C$5:$C$804,$C546,$D$5:$D$804,$D546,$B$5:$B$804,$B546,$G$5:$G$804,$G546)&gt;1,"Takror",""))</f>
        <v/>
      </c>
    </row>
    <row r="547" customFormat="false" ht="15" hidden="false" customHeight="false" outlineLevel="0" collapsed="false">
      <c r="A547" s="8" t="n">
        <v>543</v>
      </c>
      <c r="B547" s="13"/>
      <c r="C547" s="12"/>
      <c r="D547" s="13"/>
      <c r="E547" s="24"/>
      <c r="F547" s="14" t="str">
        <f aca="false">IF(OR($D547="",$B547=""),"",INT(($B547-$D547)/365.25))</f>
        <v/>
      </c>
      <c r="G547" s="25"/>
      <c r="H547" s="25"/>
      <c r="I547" s="12"/>
      <c r="J547" s="14" t="str">
        <f aca="false">IF(OR($C547="",$D547="",$B547="",$G547=""),"",IF(COUNTIFS($C$5:$C$804,$C547,$D$5:$D$804,$D547,$B$5:$B$804,$B547,$G$5:$G$804,$G547)&gt;1,"Takror",""))</f>
        <v/>
      </c>
    </row>
    <row r="548" customFormat="false" ht="15" hidden="false" customHeight="false" outlineLevel="0" collapsed="false">
      <c r="A548" s="8" t="n">
        <v>544</v>
      </c>
      <c r="B548" s="13"/>
      <c r="C548" s="12"/>
      <c r="D548" s="13"/>
      <c r="E548" s="24"/>
      <c r="F548" s="14" t="str">
        <f aca="false">IF(OR($D548="",$B548=""),"",INT(($B548-$D548)/365.25))</f>
        <v/>
      </c>
      <c r="G548" s="25"/>
      <c r="H548" s="25"/>
      <c r="I548" s="12"/>
      <c r="J548" s="14" t="str">
        <f aca="false">IF(OR($C548="",$D548="",$B548="",$G548=""),"",IF(COUNTIFS($C$5:$C$804,$C548,$D$5:$D$804,$D548,$B$5:$B$804,$B548,$G$5:$G$804,$G548)&gt;1,"Takror",""))</f>
        <v/>
      </c>
    </row>
    <row r="549" customFormat="false" ht="15" hidden="false" customHeight="false" outlineLevel="0" collapsed="false">
      <c r="A549" s="8" t="n">
        <v>545</v>
      </c>
      <c r="B549" s="13"/>
      <c r="C549" s="12"/>
      <c r="D549" s="13"/>
      <c r="E549" s="24"/>
      <c r="F549" s="14" t="str">
        <f aca="false">IF(OR($D549="",$B549=""),"",INT(($B549-$D549)/365.25))</f>
        <v/>
      </c>
      <c r="G549" s="25"/>
      <c r="H549" s="25"/>
      <c r="I549" s="12"/>
      <c r="J549" s="14" t="str">
        <f aca="false">IF(OR($C549="",$D549="",$B549="",$G549=""),"",IF(COUNTIFS($C$5:$C$804,$C549,$D$5:$D$804,$D549,$B$5:$B$804,$B549,$G$5:$G$804,$G549)&gt;1,"Takror",""))</f>
        <v/>
      </c>
    </row>
    <row r="550" customFormat="false" ht="15" hidden="false" customHeight="false" outlineLevel="0" collapsed="false">
      <c r="A550" s="8" t="n">
        <v>546</v>
      </c>
      <c r="B550" s="13"/>
      <c r="C550" s="12"/>
      <c r="D550" s="13"/>
      <c r="E550" s="24"/>
      <c r="F550" s="14" t="str">
        <f aca="false">IF(OR($D550="",$B550=""),"",INT(($B550-$D550)/365.25))</f>
        <v/>
      </c>
      <c r="G550" s="25"/>
      <c r="H550" s="25"/>
      <c r="I550" s="12"/>
      <c r="J550" s="14" t="str">
        <f aca="false">IF(OR($C550="",$D550="",$B550="",$G550=""),"",IF(COUNTIFS($C$5:$C$804,$C550,$D$5:$D$804,$D550,$B$5:$B$804,$B550,$G$5:$G$804,$G550)&gt;1,"Takror",""))</f>
        <v/>
      </c>
    </row>
    <row r="551" customFormat="false" ht="15" hidden="false" customHeight="false" outlineLevel="0" collapsed="false">
      <c r="A551" s="8" t="n">
        <v>547</v>
      </c>
      <c r="B551" s="13"/>
      <c r="C551" s="12"/>
      <c r="D551" s="13"/>
      <c r="E551" s="24"/>
      <c r="F551" s="14" t="str">
        <f aca="false">IF(OR($D551="",$B551=""),"",INT(($B551-$D551)/365.25))</f>
        <v/>
      </c>
      <c r="G551" s="25"/>
      <c r="H551" s="25"/>
      <c r="I551" s="12"/>
      <c r="J551" s="14" t="str">
        <f aca="false">IF(OR($C551="",$D551="",$B551="",$G551=""),"",IF(COUNTIFS($C$5:$C$804,$C551,$D$5:$D$804,$D551,$B$5:$B$804,$B551,$G$5:$G$804,$G551)&gt;1,"Takror",""))</f>
        <v/>
      </c>
    </row>
    <row r="552" customFormat="false" ht="15" hidden="false" customHeight="false" outlineLevel="0" collapsed="false">
      <c r="A552" s="8" t="n">
        <v>548</v>
      </c>
      <c r="B552" s="13"/>
      <c r="C552" s="12"/>
      <c r="D552" s="13"/>
      <c r="E552" s="24"/>
      <c r="F552" s="14" t="str">
        <f aca="false">IF(OR($D552="",$B552=""),"",INT(($B552-$D552)/365.25))</f>
        <v/>
      </c>
      <c r="G552" s="25"/>
      <c r="H552" s="25"/>
      <c r="I552" s="12"/>
      <c r="J552" s="14" t="str">
        <f aca="false">IF(OR($C552="",$D552="",$B552="",$G552=""),"",IF(COUNTIFS($C$5:$C$804,$C552,$D$5:$D$804,$D552,$B$5:$B$804,$B552,$G$5:$G$804,$G552)&gt;1,"Takror",""))</f>
        <v/>
      </c>
    </row>
    <row r="553" customFormat="false" ht="15" hidden="false" customHeight="false" outlineLevel="0" collapsed="false">
      <c r="A553" s="8" t="n">
        <v>549</v>
      </c>
      <c r="B553" s="13"/>
      <c r="C553" s="12"/>
      <c r="D553" s="13"/>
      <c r="E553" s="24"/>
      <c r="F553" s="14" t="str">
        <f aca="false">IF(OR($D553="",$B553=""),"",INT(($B553-$D553)/365.25))</f>
        <v/>
      </c>
      <c r="G553" s="25"/>
      <c r="H553" s="25"/>
      <c r="I553" s="12"/>
      <c r="J553" s="14" t="str">
        <f aca="false">IF(OR($C553="",$D553="",$B553="",$G553=""),"",IF(COUNTIFS($C$5:$C$804,$C553,$D$5:$D$804,$D553,$B$5:$B$804,$B553,$G$5:$G$804,$G553)&gt;1,"Takror",""))</f>
        <v/>
      </c>
    </row>
    <row r="554" customFormat="false" ht="15" hidden="false" customHeight="false" outlineLevel="0" collapsed="false">
      <c r="A554" s="8" t="n">
        <v>550</v>
      </c>
      <c r="B554" s="13"/>
      <c r="C554" s="12"/>
      <c r="D554" s="13"/>
      <c r="E554" s="24"/>
      <c r="F554" s="14" t="str">
        <f aca="false">IF(OR($D554="",$B554=""),"",INT(($B554-$D554)/365.25))</f>
        <v/>
      </c>
      <c r="G554" s="25"/>
      <c r="H554" s="25"/>
      <c r="I554" s="12"/>
      <c r="J554" s="14" t="str">
        <f aca="false">IF(OR($C554="",$D554="",$B554="",$G554=""),"",IF(COUNTIFS($C$5:$C$804,$C554,$D$5:$D$804,$D554,$B$5:$B$804,$B554,$G$5:$G$804,$G554)&gt;1,"Takror",""))</f>
        <v/>
      </c>
    </row>
    <row r="555" customFormat="false" ht="15" hidden="false" customHeight="false" outlineLevel="0" collapsed="false">
      <c r="A555" s="8" t="n">
        <v>551</v>
      </c>
      <c r="B555" s="13"/>
      <c r="C555" s="12"/>
      <c r="D555" s="13"/>
      <c r="E555" s="24"/>
      <c r="F555" s="14" t="str">
        <f aca="false">IF(OR($D555="",$B555=""),"",INT(($B555-$D555)/365.25))</f>
        <v/>
      </c>
      <c r="G555" s="25"/>
      <c r="H555" s="25"/>
      <c r="I555" s="12"/>
      <c r="J555" s="14" t="str">
        <f aca="false">IF(OR($C555="",$D555="",$B555="",$G555=""),"",IF(COUNTIFS($C$5:$C$804,$C555,$D$5:$D$804,$D555,$B$5:$B$804,$B555,$G$5:$G$804,$G555)&gt;1,"Takror",""))</f>
        <v/>
      </c>
    </row>
    <row r="556" customFormat="false" ht="15" hidden="false" customHeight="false" outlineLevel="0" collapsed="false">
      <c r="A556" s="8" t="n">
        <v>552</v>
      </c>
      <c r="B556" s="13"/>
      <c r="C556" s="12"/>
      <c r="D556" s="13"/>
      <c r="E556" s="24"/>
      <c r="F556" s="14" t="str">
        <f aca="false">IF(OR($D556="",$B556=""),"",INT(($B556-$D556)/365.25))</f>
        <v/>
      </c>
      <c r="G556" s="25"/>
      <c r="H556" s="25"/>
      <c r="I556" s="12"/>
      <c r="J556" s="14" t="str">
        <f aca="false">IF(OR($C556="",$D556="",$B556="",$G556=""),"",IF(COUNTIFS($C$5:$C$804,$C556,$D$5:$D$804,$D556,$B$5:$B$804,$B556,$G$5:$G$804,$G556)&gt;1,"Takror",""))</f>
        <v/>
      </c>
    </row>
    <row r="557" customFormat="false" ht="15" hidden="false" customHeight="false" outlineLevel="0" collapsed="false">
      <c r="A557" s="8" t="n">
        <v>553</v>
      </c>
      <c r="B557" s="13"/>
      <c r="C557" s="12"/>
      <c r="D557" s="13"/>
      <c r="E557" s="24"/>
      <c r="F557" s="14" t="str">
        <f aca="false">IF(OR($D557="",$B557=""),"",INT(($B557-$D557)/365.25))</f>
        <v/>
      </c>
      <c r="G557" s="25"/>
      <c r="H557" s="25"/>
      <c r="I557" s="12"/>
      <c r="J557" s="14" t="str">
        <f aca="false">IF(OR($C557="",$D557="",$B557="",$G557=""),"",IF(COUNTIFS($C$5:$C$804,$C557,$D$5:$D$804,$D557,$B$5:$B$804,$B557,$G$5:$G$804,$G557)&gt;1,"Takror",""))</f>
        <v/>
      </c>
    </row>
    <row r="558" customFormat="false" ht="15" hidden="false" customHeight="false" outlineLevel="0" collapsed="false">
      <c r="A558" s="8" t="n">
        <v>554</v>
      </c>
      <c r="B558" s="13"/>
      <c r="C558" s="12"/>
      <c r="D558" s="13"/>
      <c r="E558" s="24"/>
      <c r="F558" s="14" t="str">
        <f aca="false">IF(OR($D558="",$B558=""),"",INT(($B558-$D558)/365.25))</f>
        <v/>
      </c>
      <c r="G558" s="25"/>
      <c r="H558" s="25"/>
      <c r="I558" s="12"/>
      <c r="J558" s="14" t="str">
        <f aca="false">IF(OR($C558="",$D558="",$B558="",$G558=""),"",IF(COUNTIFS($C$5:$C$804,$C558,$D$5:$D$804,$D558,$B$5:$B$804,$B558,$G$5:$G$804,$G558)&gt;1,"Takror",""))</f>
        <v/>
      </c>
    </row>
    <row r="559" customFormat="false" ht="15" hidden="false" customHeight="false" outlineLevel="0" collapsed="false">
      <c r="A559" s="8" t="n">
        <v>555</v>
      </c>
      <c r="B559" s="13"/>
      <c r="C559" s="12"/>
      <c r="D559" s="13"/>
      <c r="E559" s="24"/>
      <c r="F559" s="14" t="str">
        <f aca="false">IF(OR($D559="",$B559=""),"",INT(($B559-$D559)/365.25))</f>
        <v/>
      </c>
      <c r="G559" s="25"/>
      <c r="H559" s="25"/>
      <c r="I559" s="12"/>
      <c r="J559" s="14" t="str">
        <f aca="false">IF(OR($C559="",$D559="",$B559="",$G559=""),"",IF(COUNTIFS($C$5:$C$804,$C559,$D$5:$D$804,$D559,$B$5:$B$804,$B559,$G$5:$G$804,$G559)&gt;1,"Takror",""))</f>
        <v/>
      </c>
    </row>
    <row r="560" customFormat="false" ht="15" hidden="false" customHeight="false" outlineLevel="0" collapsed="false">
      <c r="A560" s="8" t="n">
        <v>556</v>
      </c>
      <c r="B560" s="13"/>
      <c r="C560" s="12"/>
      <c r="D560" s="13"/>
      <c r="E560" s="24"/>
      <c r="F560" s="14" t="str">
        <f aca="false">IF(OR($D560="",$B560=""),"",INT(($B560-$D560)/365.25))</f>
        <v/>
      </c>
      <c r="G560" s="25"/>
      <c r="H560" s="25"/>
      <c r="I560" s="12"/>
      <c r="J560" s="14" t="str">
        <f aca="false">IF(OR($C560="",$D560="",$B560="",$G560=""),"",IF(COUNTIFS($C$5:$C$804,$C560,$D$5:$D$804,$D560,$B$5:$B$804,$B560,$G$5:$G$804,$G560)&gt;1,"Takror",""))</f>
        <v/>
      </c>
    </row>
    <row r="561" customFormat="false" ht="15" hidden="false" customHeight="false" outlineLevel="0" collapsed="false">
      <c r="A561" s="8" t="n">
        <v>557</v>
      </c>
      <c r="B561" s="13"/>
      <c r="C561" s="12"/>
      <c r="D561" s="13"/>
      <c r="E561" s="24"/>
      <c r="F561" s="14" t="str">
        <f aca="false">IF(OR($D561="",$B561=""),"",INT(($B561-$D561)/365.25))</f>
        <v/>
      </c>
      <c r="G561" s="25"/>
      <c r="H561" s="25"/>
      <c r="I561" s="12"/>
      <c r="J561" s="14" t="str">
        <f aca="false">IF(OR($C561="",$D561="",$B561="",$G561=""),"",IF(COUNTIFS($C$5:$C$804,$C561,$D$5:$D$804,$D561,$B$5:$B$804,$B561,$G$5:$G$804,$G561)&gt;1,"Takror",""))</f>
        <v/>
      </c>
    </row>
    <row r="562" customFormat="false" ht="15" hidden="false" customHeight="false" outlineLevel="0" collapsed="false">
      <c r="A562" s="8" t="n">
        <v>558</v>
      </c>
      <c r="B562" s="13"/>
      <c r="C562" s="12"/>
      <c r="D562" s="13"/>
      <c r="E562" s="24"/>
      <c r="F562" s="14" t="str">
        <f aca="false">IF(OR($D562="",$B562=""),"",INT(($B562-$D562)/365.25))</f>
        <v/>
      </c>
      <c r="G562" s="25"/>
      <c r="H562" s="25"/>
      <c r="I562" s="12"/>
      <c r="J562" s="14" t="str">
        <f aca="false">IF(OR($C562="",$D562="",$B562="",$G562=""),"",IF(COUNTIFS($C$5:$C$804,$C562,$D$5:$D$804,$D562,$B$5:$B$804,$B562,$G$5:$G$804,$G562)&gt;1,"Takror",""))</f>
        <v/>
      </c>
    </row>
    <row r="563" customFormat="false" ht="15" hidden="false" customHeight="false" outlineLevel="0" collapsed="false">
      <c r="A563" s="8" t="n">
        <v>559</v>
      </c>
      <c r="B563" s="13"/>
      <c r="C563" s="12"/>
      <c r="D563" s="13"/>
      <c r="E563" s="24"/>
      <c r="F563" s="14" t="str">
        <f aca="false">IF(OR($D563="",$B563=""),"",INT(($B563-$D563)/365.25))</f>
        <v/>
      </c>
      <c r="G563" s="25"/>
      <c r="H563" s="25"/>
      <c r="I563" s="12"/>
      <c r="J563" s="14" t="str">
        <f aca="false">IF(OR($C563="",$D563="",$B563="",$G563=""),"",IF(COUNTIFS($C$5:$C$804,$C563,$D$5:$D$804,$D563,$B$5:$B$804,$B563,$G$5:$G$804,$G563)&gt;1,"Takror",""))</f>
        <v/>
      </c>
    </row>
    <row r="564" customFormat="false" ht="15" hidden="false" customHeight="false" outlineLevel="0" collapsed="false">
      <c r="A564" s="8" t="n">
        <v>560</v>
      </c>
      <c r="B564" s="13"/>
      <c r="C564" s="12"/>
      <c r="D564" s="13"/>
      <c r="E564" s="24"/>
      <c r="F564" s="14" t="str">
        <f aca="false">IF(OR($D564="",$B564=""),"",INT(($B564-$D564)/365.25))</f>
        <v/>
      </c>
      <c r="G564" s="25"/>
      <c r="H564" s="25"/>
      <c r="I564" s="12"/>
      <c r="J564" s="14" t="str">
        <f aca="false">IF(OR($C564="",$D564="",$B564="",$G564=""),"",IF(COUNTIFS($C$5:$C$804,$C564,$D$5:$D$804,$D564,$B$5:$B$804,$B564,$G$5:$G$804,$G564)&gt;1,"Takror",""))</f>
        <v/>
      </c>
    </row>
    <row r="565" customFormat="false" ht="15" hidden="false" customHeight="false" outlineLevel="0" collapsed="false">
      <c r="A565" s="8" t="n">
        <v>561</v>
      </c>
      <c r="B565" s="13"/>
      <c r="C565" s="12"/>
      <c r="D565" s="13"/>
      <c r="E565" s="24"/>
      <c r="F565" s="14" t="str">
        <f aca="false">IF(OR($D565="",$B565=""),"",INT(($B565-$D565)/365.25))</f>
        <v/>
      </c>
      <c r="G565" s="25"/>
      <c r="H565" s="25"/>
      <c r="I565" s="12"/>
      <c r="J565" s="14" t="str">
        <f aca="false">IF(OR($C565="",$D565="",$B565="",$G565=""),"",IF(COUNTIFS($C$5:$C$804,$C565,$D$5:$D$804,$D565,$B$5:$B$804,$B565,$G$5:$G$804,$G565)&gt;1,"Takror",""))</f>
        <v/>
      </c>
    </row>
    <row r="566" customFormat="false" ht="15" hidden="false" customHeight="false" outlineLevel="0" collapsed="false">
      <c r="A566" s="8" t="n">
        <v>562</v>
      </c>
      <c r="B566" s="13"/>
      <c r="C566" s="12"/>
      <c r="D566" s="13"/>
      <c r="E566" s="24"/>
      <c r="F566" s="14" t="str">
        <f aca="false">IF(OR($D566="",$B566=""),"",INT(($B566-$D566)/365.25))</f>
        <v/>
      </c>
      <c r="G566" s="25"/>
      <c r="H566" s="25"/>
      <c r="I566" s="12"/>
      <c r="J566" s="14" t="str">
        <f aca="false">IF(OR($C566="",$D566="",$B566="",$G566=""),"",IF(COUNTIFS($C$5:$C$804,$C566,$D$5:$D$804,$D566,$B$5:$B$804,$B566,$G$5:$G$804,$G566)&gt;1,"Takror",""))</f>
        <v/>
      </c>
    </row>
    <row r="567" customFormat="false" ht="15" hidden="false" customHeight="false" outlineLevel="0" collapsed="false">
      <c r="A567" s="8" t="n">
        <v>563</v>
      </c>
      <c r="B567" s="13"/>
      <c r="C567" s="12"/>
      <c r="D567" s="13"/>
      <c r="E567" s="24"/>
      <c r="F567" s="14" t="str">
        <f aca="false">IF(OR($D567="",$B567=""),"",INT(($B567-$D567)/365.25))</f>
        <v/>
      </c>
      <c r="G567" s="25"/>
      <c r="H567" s="25"/>
      <c r="I567" s="12"/>
      <c r="J567" s="14" t="str">
        <f aca="false">IF(OR($C567="",$D567="",$B567="",$G567=""),"",IF(COUNTIFS($C$5:$C$804,$C567,$D$5:$D$804,$D567,$B$5:$B$804,$B567,$G$5:$G$804,$G567)&gt;1,"Takror",""))</f>
        <v/>
      </c>
    </row>
    <row r="568" customFormat="false" ht="15" hidden="false" customHeight="false" outlineLevel="0" collapsed="false">
      <c r="A568" s="8" t="n">
        <v>564</v>
      </c>
      <c r="B568" s="13"/>
      <c r="C568" s="12"/>
      <c r="D568" s="13"/>
      <c r="E568" s="24"/>
      <c r="F568" s="14" t="str">
        <f aca="false">IF(OR($D568="",$B568=""),"",INT(($B568-$D568)/365.25))</f>
        <v/>
      </c>
      <c r="G568" s="25"/>
      <c r="H568" s="25"/>
      <c r="I568" s="12"/>
      <c r="J568" s="14" t="str">
        <f aca="false">IF(OR($C568="",$D568="",$B568="",$G568=""),"",IF(COUNTIFS($C$5:$C$804,$C568,$D$5:$D$804,$D568,$B$5:$B$804,$B568,$G$5:$G$804,$G568)&gt;1,"Takror",""))</f>
        <v/>
      </c>
    </row>
    <row r="569" customFormat="false" ht="15" hidden="false" customHeight="false" outlineLevel="0" collapsed="false">
      <c r="A569" s="8" t="n">
        <v>565</v>
      </c>
      <c r="B569" s="13"/>
      <c r="C569" s="12"/>
      <c r="D569" s="13"/>
      <c r="E569" s="24"/>
      <c r="F569" s="14" t="str">
        <f aca="false">IF(OR($D569="",$B569=""),"",INT(($B569-$D569)/365.25))</f>
        <v/>
      </c>
      <c r="G569" s="25"/>
      <c r="H569" s="25"/>
      <c r="I569" s="12"/>
      <c r="J569" s="14" t="str">
        <f aca="false">IF(OR($C569="",$D569="",$B569="",$G569=""),"",IF(COUNTIFS($C$5:$C$804,$C569,$D$5:$D$804,$D569,$B$5:$B$804,$B569,$G$5:$G$804,$G569)&gt;1,"Takror",""))</f>
        <v/>
      </c>
    </row>
    <row r="570" customFormat="false" ht="15" hidden="false" customHeight="false" outlineLevel="0" collapsed="false">
      <c r="A570" s="8" t="n">
        <v>566</v>
      </c>
      <c r="B570" s="13"/>
      <c r="C570" s="12"/>
      <c r="D570" s="13"/>
      <c r="E570" s="24"/>
      <c r="F570" s="14" t="str">
        <f aca="false">IF(OR($D570="",$B570=""),"",INT(($B570-$D570)/365.25))</f>
        <v/>
      </c>
      <c r="G570" s="25"/>
      <c r="H570" s="25"/>
      <c r="I570" s="12"/>
      <c r="J570" s="14" t="str">
        <f aca="false">IF(OR($C570="",$D570="",$B570="",$G570=""),"",IF(COUNTIFS($C$5:$C$804,$C570,$D$5:$D$804,$D570,$B$5:$B$804,$B570,$G$5:$G$804,$G570)&gt;1,"Takror",""))</f>
        <v/>
      </c>
    </row>
    <row r="571" customFormat="false" ht="15" hidden="false" customHeight="false" outlineLevel="0" collapsed="false">
      <c r="A571" s="8" t="n">
        <v>567</v>
      </c>
      <c r="B571" s="13"/>
      <c r="C571" s="12"/>
      <c r="D571" s="13"/>
      <c r="E571" s="24"/>
      <c r="F571" s="14" t="str">
        <f aca="false">IF(OR($D571="",$B571=""),"",INT(($B571-$D571)/365.25))</f>
        <v/>
      </c>
      <c r="G571" s="25"/>
      <c r="H571" s="25"/>
      <c r="I571" s="12"/>
      <c r="J571" s="14" t="str">
        <f aca="false">IF(OR($C571="",$D571="",$B571="",$G571=""),"",IF(COUNTIFS($C$5:$C$804,$C571,$D$5:$D$804,$D571,$B$5:$B$804,$B571,$G$5:$G$804,$G571)&gt;1,"Takror",""))</f>
        <v/>
      </c>
    </row>
    <row r="572" customFormat="false" ht="15" hidden="false" customHeight="false" outlineLevel="0" collapsed="false">
      <c r="A572" s="8" t="n">
        <v>568</v>
      </c>
      <c r="B572" s="13"/>
      <c r="C572" s="12"/>
      <c r="D572" s="13"/>
      <c r="E572" s="24"/>
      <c r="F572" s="14" t="str">
        <f aca="false">IF(OR($D572="",$B572=""),"",INT(($B572-$D572)/365.25))</f>
        <v/>
      </c>
      <c r="G572" s="25"/>
      <c r="H572" s="25"/>
      <c r="I572" s="12"/>
      <c r="J572" s="14" t="str">
        <f aca="false">IF(OR($C572="",$D572="",$B572="",$G572=""),"",IF(COUNTIFS($C$5:$C$804,$C572,$D$5:$D$804,$D572,$B$5:$B$804,$B572,$G$5:$G$804,$G572)&gt;1,"Takror",""))</f>
        <v/>
      </c>
    </row>
    <row r="573" customFormat="false" ht="15" hidden="false" customHeight="false" outlineLevel="0" collapsed="false">
      <c r="A573" s="8" t="n">
        <v>569</v>
      </c>
      <c r="B573" s="13"/>
      <c r="C573" s="12"/>
      <c r="D573" s="13"/>
      <c r="E573" s="24"/>
      <c r="F573" s="14" t="str">
        <f aca="false">IF(OR($D573="",$B573=""),"",INT(($B573-$D573)/365.25))</f>
        <v/>
      </c>
      <c r="G573" s="25"/>
      <c r="H573" s="25"/>
      <c r="I573" s="12"/>
      <c r="J573" s="14" t="str">
        <f aca="false">IF(OR($C573="",$D573="",$B573="",$G573=""),"",IF(COUNTIFS($C$5:$C$804,$C573,$D$5:$D$804,$D573,$B$5:$B$804,$B573,$G$5:$G$804,$G573)&gt;1,"Takror",""))</f>
        <v/>
      </c>
    </row>
    <row r="574" customFormat="false" ht="15" hidden="false" customHeight="false" outlineLevel="0" collapsed="false">
      <c r="A574" s="8" t="n">
        <v>570</v>
      </c>
      <c r="B574" s="13"/>
      <c r="C574" s="12"/>
      <c r="D574" s="13"/>
      <c r="E574" s="24"/>
      <c r="F574" s="14" t="str">
        <f aca="false">IF(OR($D574="",$B574=""),"",INT(($B574-$D574)/365.25))</f>
        <v/>
      </c>
      <c r="G574" s="25"/>
      <c r="H574" s="25"/>
      <c r="I574" s="12"/>
      <c r="J574" s="14" t="str">
        <f aca="false">IF(OR($C574="",$D574="",$B574="",$G574=""),"",IF(COUNTIFS($C$5:$C$804,$C574,$D$5:$D$804,$D574,$B$5:$B$804,$B574,$G$5:$G$804,$G574)&gt;1,"Takror",""))</f>
        <v/>
      </c>
    </row>
    <row r="575" customFormat="false" ht="15" hidden="false" customHeight="false" outlineLevel="0" collapsed="false">
      <c r="A575" s="8" t="n">
        <v>571</v>
      </c>
      <c r="B575" s="13"/>
      <c r="C575" s="12"/>
      <c r="D575" s="13"/>
      <c r="E575" s="24"/>
      <c r="F575" s="14" t="str">
        <f aca="false">IF(OR($D575="",$B575=""),"",INT(($B575-$D575)/365.25))</f>
        <v/>
      </c>
      <c r="G575" s="25"/>
      <c r="H575" s="25"/>
      <c r="I575" s="12"/>
      <c r="J575" s="14" t="str">
        <f aca="false">IF(OR($C575="",$D575="",$B575="",$G575=""),"",IF(COUNTIFS($C$5:$C$804,$C575,$D$5:$D$804,$D575,$B$5:$B$804,$B575,$G$5:$G$804,$G575)&gt;1,"Takror",""))</f>
        <v/>
      </c>
    </row>
    <row r="576" customFormat="false" ht="15" hidden="false" customHeight="false" outlineLevel="0" collapsed="false">
      <c r="A576" s="8" t="n">
        <v>572</v>
      </c>
      <c r="B576" s="13"/>
      <c r="C576" s="12"/>
      <c r="D576" s="13"/>
      <c r="E576" s="24"/>
      <c r="F576" s="14" t="str">
        <f aca="false">IF(OR($D576="",$B576=""),"",INT(($B576-$D576)/365.25))</f>
        <v/>
      </c>
      <c r="G576" s="25"/>
      <c r="H576" s="25"/>
      <c r="I576" s="12"/>
      <c r="J576" s="14" t="str">
        <f aca="false">IF(OR($C576="",$D576="",$B576="",$G576=""),"",IF(COUNTIFS($C$5:$C$804,$C576,$D$5:$D$804,$D576,$B$5:$B$804,$B576,$G$5:$G$804,$G576)&gt;1,"Takror",""))</f>
        <v/>
      </c>
    </row>
    <row r="577" customFormat="false" ht="15" hidden="false" customHeight="false" outlineLevel="0" collapsed="false">
      <c r="A577" s="8" t="n">
        <v>573</v>
      </c>
      <c r="B577" s="13"/>
      <c r="C577" s="12"/>
      <c r="D577" s="13"/>
      <c r="E577" s="24"/>
      <c r="F577" s="14" t="str">
        <f aca="false">IF(OR($D577="",$B577=""),"",INT(($B577-$D577)/365.25))</f>
        <v/>
      </c>
      <c r="G577" s="25"/>
      <c r="H577" s="25"/>
      <c r="I577" s="12"/>
      <c r="J577" s="14" t="str">
        <f aca="false">IF(OR($C577="",$D577="",$B577="",$G577=""),"",IF(COUNTIFS($C$5:$C$804,$C577,$D$5:$D$804,$D577,$B$5:$B$804,$B577,$G$5:$G$804,$G577)&gt;1,"Takror",""))</f>
        <v/>
      </c>
    </row>
    <row r="578" customFormat="false" ht="15" hidden="false" customHeight="false" outlineLevel="0" collapsed="false">
      <c r="A578" s="8" t="n">
        <v>574</v>
      </c>
      <c r="B578" s="13"/>
      <c r="C578" s="12"/>
      <c r="D578" s="13"/>
      <c r="E578" s="24"/>
      <c r="F578" s="14" t="str">
        <f aca="false">IF(OR($D578="",$B578=""),"",INT(($B578-$D578)/365.25))</f>
        <v/>
      </c>
      <c r="G578" s="25"/>
      <c r="H578" s="25"/>
      <c r="I578" s="12"/>
      <c r="J578" s="14" t="str">
        <f aca="false">IF(OR($C578="",$D578="",$B578="",$G578=""),"",IF(COUNTIFS($C$5:$C$804,$C578,$D$5:$D$804,$D578,$B$5:$B$804,$B578,$G$5:$G$804,$G578)&gt;1,"Takror",""))</f>
        <v/>
      </c>
    </row>
    <row r="579" customFormat="false" ht="15" hidden="false" customHeight="false" outlineLevel="0" collapsed="false">
      <c r="A579" s="8" t="n">
        <v>575</v>
      </c>
      <c r="B579" s="13"/>
      <c r="C579" s="12"/>
      <c r="D579" s="13"/>
      <c r="E579" s="24"/>
      <c r="F579" s="14" t="str">
        <f aca="false">IF(OR($D579="",$B579=""),"",INT(($B579-$D579)/365.25))</f>
        <v/>
      </c>
      <c r="G579" s="25"/>
      <c r="H579" s="25"/>
      <c r="I579" s="12"/>
      <c r="J579" s="14" t="str">
        <f aca="false">IF(OR($C579="",$D579="",$B579="",$G579=""),"",IF(COUNTIFS($C$5:$C$804,$C579,$D$5:$D$804,$D579,$B$5:$B$804,$B579,$G$5:$G$804,$G579)&gt;1,"Takror",""))</f>
        <v/>
      </c>
    </row>
    <row r="580" customFormat="false" ht="15" hidden="false" customHeight="false" outlineLevel="0" collapsed="false">
      <c r="A580" s="8" t="n">
        <v>576</v>
      </c>
      <c r="B580" s="13"/>
      <c r="C580" s="12"/>
      <c r="D580" s="13"/>
      <c r="E580" s="24"/>
      <c r="F580" s="14" t="str">
        <f aca="false">IF(OR($D580="",$B580=""),"",INT(($B580-$D580)/365.25))</f>
        <v/>
      </c>
      <c r="G580" s="25"/>
      <c r="H580" s="25"/>
      <c r="I580" s="12"/>
      <c r="J580" s="14" t="str">
        <f aca="false">IF(OR($C580="",$D580="",$B580="",$G580=""),"",IF(COUNTIFS($C$5:$C$804,$C580,$D$5:$D$804,$D580,$B$5:$B$804,$B580,$G$5:$G$804,$G580)&gt;1,"Takror",""))</f>
        <v/>
      </c>
    </row>
    <row r="581" customFormat="false" ht="15" hidden="false" customHeight="false" outlineLevel="0" collapsed="false">
      <c r="A581" s="8" t="n">
        <v>577</v>
      </c>
      <c r="B581" s="13"/>
      <c r="C581" s="12"/>
      <c r="D581" s="13"/>
      <c r="E581" s="24"/>
      <c r="F581" s="14" t="str">
        <f aca="false">IF(OR($D581="",$B581=""),"",INT(($B581-$D581)/365.25))</f>
        <v/>
      </c>
      <c r="G581" s="25"/>
      <c r="H581" s="25"/>
      <c r="I581" s="12"/>
      <c r="J581" s="14" t="str">
        <f aca="false">IF(OR($C581="",$D581="",$B581="",$G581=""),"",IF(COUNTIFS($C$5:$C$804,$C581,$D$5:$D$804,$D581,$B$5:$B$804,$B581,$G$5:$G$804,$G581)&gt;1,"Takror",""))</f>
        <v/>
      </c>
    </row>
    <row r="582" customFormat="false" ht="15" hidden="false" customHeight="false" outlineLevel="0" collapsed="false">
      <c r="A582" s="8" t="n">
        <v>578</v>
      </c>
      <c r="B582" s="13"/>
      <c r="C582" s="12"/>
      <c r="D582" s="13"/>
      <c r="E582" s="24"/>
      <c r="F582" s="14" t="str">
        <f aca="false">IF(OR($D582="",$B582=""),"",INT(($B582-$D582)/365.25))</f>
        <v/>
      </c>
      <c r="G582" s="25"/>
      <c r="H582" s="25"/>
      <c r="I582" s="12"/>
      <c r="J582" s="14" t="str">
        <f aca="false">IF(OR($C582="",$D582="",$B582="",$G582=""),"",IF(COUNTIFS($C$5:$C$804,$C582,$D$5:$D$804,$D582,$B$5:$B$804,$B582,$G$5:$G$804,$G582)&gt;1,"Takror",""))</f>
        <v/>
      </c>
    </row>
    <row r="583" customFormat="false" ht="15" hidden="false" customHeight="false" outlineLevel="0" collapsed="false">
      <c r="A583" s="8" t="n">
        <v>579</v>
      </c>
      <c r="B583" s="13"/>
      <c r="C583" s="12"/>
      <c r="D583" s="13"/>
      <c r="E583" s="24"/>
      <c r="F583" s="14" t="str">
        <f aca="false">IF(OR($D583="",$B583=""),"",INT(($B583-$D583)/365.25))</f>
        <v/>
      </c>
      <c r="G583" s="25"/>
      <c r="H583" s="25"/>
      <c r="I583" s="12"/>
      <c r="J583" s="14" t="str">
        <f aca="false">IF(OR($C583="",$D583="",$B583="",$G583=""),"",IF(COUNTIFS($C$5:$C$804,$C583,$D$5:$D$804,$D583,$B$5:$B$804,$B583,$G$5:$G$804,$G583)&gt;1,"Takror",""))</f>
        <v/>
      </c>
    </row>
    <row r="584" customFormat="false" ht="15" hidden="false" customHeight="false" outlineLevel="0" collapsed="false">
      <c r="A584" s="8" t="n">
        <v>580</v>
      </c>
      <c r="B584" s="13"/>
      <c r="C584" s="12"/>
      <c r="D584" s="13"/>
      <c r="E584" s="24"/>
      <c r="F584" s="14" t="str">
        <f aca="false">IF(OR($D584="",$B584=""),"",INT(($B584-$D584)/365.25))</f>
        <v/>
      </c>
      <c r="G584" s="25"/>
      <c r="H584" s="25"/>
      <c r="I584" s="12"/>
      <c r="J584" s="14" t="str">
        <f aca="false">IF(OR($C584="",$D584="",$B584="",$G584=""),"",IF(COUNTIFS($C$5:$C$804,$C584,$D$5:$D$804,$D584,$B$5:$B$804,$B584,$G$5:$G$804,$G584)&gt;1,"Takror",""))</f>
        <v/>
      </c>
    </row>
    <row r="585" customFormat="false" ht="15" hidden="false" customHeight="false" outlineLevel="0" collapsed="false">
      <c r="A585" s="8" t="n">
        <v>581</v>
      </c>
      <c r="B585" s="13"/>
      <c r="C585" s="12"/>
      <c r="D585" s="13"/>
      <c r="E585" s="24"/>
      <c r="F585" s="14" t="str">
        <f aca="false">IF(OR($D585="",$B585=""),"",INT(($B585-$D585)/365.25))</f>
        <v/>
      </c>
      <c r="G585" s="25"/>
      <c r="H585" s="25"/>
      <c r="I585" s="12"/>
      <c r="J585" s="14" t="str">
        <f aca="false">IF(OR($C585="",$D585="",$B585="",$G585=""),"",IF(COUNTIFS($C$5:$C$804,$C585,$D$5:$D$804,$D585,$B$5:$B$804,$B585,$G$5:$G$804,$G585)&gt;1,"Takror",""))</f>
        <v/>
      </c>
    </row>
    <row r="586" customFormat="false" ht="15" hidden="false" customHeight="false" outlineLevel="0" collapsed="false">
      <c r="A586" s="8" t="n">
        <v>582</v>
      </c>
      <c r="B586" s="13"/>
      <c r="C586" s="12"/>
      <c r="D586" s="13"/>
      <c r="E586" s="24"/>
      <c r="F586" s="14" t="str">
        <f aca="false">IF(OR($D586="",$B586=""),"",INT(($B586-$D586)/365.25))</f>
        <v/>
      </c>
      <c r="G586" s="25"/>
      <c r="H586" s="25"/>
      <c r="I586" s="12"/>
      <c r="J586" s="14" t="str">
        <f aca="false">IF(OR($C586="",$D586="",$B586="",$G586=""),"",IF(COUNTIFS($C$5:$C$804,$C586,$D$5:$D$804,$D586,$B$5:$B$804,$B586,$G$5:$G$804,$G586)&gt;1,"Takror",""))</f>
        <v/>
      </c>
    </row>
    <row r="587" customFormat="false" ht="15" hidden="false" customHeight="false" outlineLevel="0" collapsed="false">
      <c r="A587" s="8" t="n">
        <v>583</v>
      </c>
      <c r="B587" s="13"/>
      <c r="C587" s="12"/>
      <c r="D587" s="13"/>
      <c r="E587" s="24"/>
      <c r="F587" s="14" t="str">
        <f aca="false">IF(OR($D587="",$B587=""),"",INT(($B587-$D587)/365.25))</f>
        <v/>
      </c>
      <c r="G587" s="25"/>
      <c r="H587" s="25"/>
      <c r="I587" s="12"/>
      <c r="J587" s="14" t="str">
        <f aca="false">IF(OR($C587="",$D587="",$B587="",$G587=""),"",IF(COUNTIFS($C$5:$C$804,$C587,$D$5:$D$804,$D587,$B$5:$B$804,$B587,$G$5:$G$804,$G587)&gt;1,"Takror",""))</f>
        <v/>
      </c>
    </row>
    <row r="588" customFormat="false" ht="15" hidden="false" customHeight="false" outlineLevel="0" collapsed="false">
      <c r="A588" s="8" t="n">
        <v>584</v>
      </c>
      <c r="B588" s="13"/>
      <c r="C588" s="12"/>
      <c r="D588" s="13"/>
      <c r="E588" s="24"/>
      <c r="F588" s="14" t="str">
        <f aca="false">IF(OR($D588="",$B588=""),"",INT(($B588-$D588)/365.25))</f>
        <v/>
      </c>
      <c r="G588" s="25"/>
      <c r="H588" s="25"/>
      <c r="I588" s="12"/>
      <c r="J588" s="14" t="str">
        <f aca="false">IF(OR($C588="",$D588="",$B588="",$G588=""),"",IF(COUNTIFS($C$5:$C$804,$C588,$D$5:$D$804,$D588,$B$5:$B$804,$B588,$G$5:$G$804,$G588)&gt;1,"Takror",""))</f>
        <v/>
      </c>
    </row>
    <row r="589" customFormat="false" ht="15" hidden="false" customHeight="false" outlineLevel="0" collapsed="false">
      <c r="A589" s="8" t="n">
        <v>585</v>
      </c>
      <c r="B589" s="13"/>
      <c r="C589" s="12"/>
      <c r="D589" s="13"/>
      <c r="E589" s="24"/>
      <c r="F589" s="14" t="str">
        <f aca="false">IF(OR($D589="",$B589=""),"",INT(($B589-$D589)/365.25))</f>
        <v/>
      </c>
      <c r="G589" s="25"/>
      <c r="H589" s="25"/>
      <c r="I589" s="12"/>
      <c r="J589" s="14" t="str">
        <f aca="false">IF(OR($C589="",$D589="",$B589="",$G589=""),"",IF(COUNTIFS($C$5:$C$804,$C589,$D$5:$D$804,$D589,$B$5:$B$804,$B589,$G$5:$G$804,$G589)&gt;1,"Takror",""))</f>
        <v/>
      </c>
    </row>
    <row r="590" customFormat="false" ht="15" hidden="false" customHeight="false" outlineLevel="0" collapsed="false">
      <c r="A590" s="8" t="n">
        <v>586</v>
      </c>
      <c r="B590" s="13"/>
      <c r="C590" s="12"/>
      <c r="D590" s="13"/>
      <c r="E590" s="24"/>
      <c r="F590" s="14" t="str">
        <f aca="false">IF(OR($D590="",$B590=""),"",INT(($B590-$D590)/365.25))</f>
        <v/>
      </c>
      <c r="G590" s="25"/>
      <c r="H590" s="25"/>
      <c r="I590" s="12"/>
      <c r="J590" s="14" t="str">
        <f aca="false">IF(OR($C590="",$D590="",$B590="",$G590=""),"",IF(COUNTIFS($C$5:$C$804,$C590,$D$5:$D$804,$D590,$B$5:$B$804,$B590,$G$5:$G$804,$G590)&gt;1,"Takror",""))</f>
        <v/>
      </c>
    </row>
    <row r="591" customFormat="false" ht="15" hidden="false" customHeight="false" outlineLevel="0" collapsed="false">
      <c r="A591" s="8" t="n">
        <v>587</v>
      </c>
      <c r="B591" s="13"/>
      <c r="C591" s="12"/>
      <c r="D591" s="13"/>
      <c r="E591" s="24"/>
      <c r="F591" s="14" t="str">
        <f aca="false">IF(OR($D591="",$B591=""),"",INT(($B591-$D591)/365.25))</f>
        <v/>
      </c>
      <c r="G591" s="25"/>
      <c r="H591" s="25"/>
      <c r="I591" s="12"/>
      <c r="J591" s="14" t="str">
        <f aca="false">IF(OR($C591="",$D591="",$B591="",$G591=""),"",IF(COUNTIFS($C$5:$C$804,$C591,$D$5:$D$804,$D591,$B$5:$B$804,$B591,$G$5:$G$804,$G591)&gt;1,"Takror",""))</f>
        <v/>
      </c>
    </row>
    <row r="592" customFormat="false" ht="15" hidden="false" customHeight="false" outlineLevel="0" collapsed="false">
      <c r="A592" s="8" t="n">
        <v>588</v>
      </c>
      <c r="B592" s="13"/>
      <c r="C592" s="12"/>
      <c r="D592" s="13"/>
      <c r="E592" s="24"/>
      <c r="F592" s="14" t="str">
        <f aca="false">IF(OR($D592="",$B592=""),"",INT(($B592-$D592)/365.25))</f>
        <v/>
      </c>
      <c r="G592" s="25"/>
      <c r="H592" s="25"/>
      <c r="I592" s="12"/>
      <c r="J592" s="14" t="str">
        <f aca="false">IF(OR($C592="",$D592="",$B592="",$G592=""),"",IF(COUNTIFS($C$5:$C$804,$C592,$D$5:$D$804,$D592,$B$5:$B$804,$B592,$G$5:$G$804,$G592)&gt;1,"Takror",""))</f>
        <v/>
      </c>
    </row>
    <row r="593" customFormat="false" ht="15" hidden="false" customHeight="false" outlineLevel="0" collapsed="false">
      <c r="A593" s="8" t="n">
        <v>589</v>
      </c>
      <c r="B593" s="13"/>
      <c r="C593" s="12"/>
      <c r="D593" s="13"/>
      <c r="E593" s="24"/>
      <c r="F593" s="14" t="str">
        <f aca="false">IF(OR($D593="",$B593=""),"",INT(($B593-$D593)/365.25))</f>
        <v/>
      </c>
      <c r="G593" s="25"/>
      <c r="H593" s="25"/>
      <c r="I593" s="12"/>
      <c r="J593" s="14" t="str">
        <f aca="false">IF(OR($C593="",$D593="",$B593="",$G593=""),"",IF(COUNTIFS($C$5:$C$804,$C593,$D$5:$D$804,$D593,$B$5:$B$804,$B593,$G$5:$G$804,$G593)&gt;1,"Takror",""))</f>
        <v/>
      </c>
    </row>
    <row r="594" customFormat="false" ht="15" hidden="false" customHeight="false" outlineLevel="0" collapsed="false">
      <c r="A594" s="8" t="n">
        <v>590</v>
      </c>
      <c r="B594" s="13"/>
      <c r="C594" s="12"/>
      <c r="D594" s="13"/>
      <c r="E594" s="24"/>
      <c r="F594" s="14" t="str">
        <f aca="false">IF(OR($D594="",$B594=""),"",INT(($B594-$D594)/365.25))</f>
        <v/>
      </c>
      <c r="G594" s="25"/>
      <c r="H594" s="25"/>
      <c r="I594" s="12"/>
      <c r="J594" s="14" t="str">
        <f aca="false">IF(OR($C594="",$D594="",$B594="",$G594=""),"",IF(COUNTIFS($C$5:$C$804,$C594,$D$5:$D$804,$D594,$B$5:$B$804,$B594,$G$5:$G$804,$G594)&gt;1,"Takror",""))</f>
        <v/>
      </c>
    </row>
    <row r="595" customFormat="false" ht="15" hidden="false" customHeight="false" outlineLevel="0" collapsed="false">
      <c r="A595" s="8" t="n">
        <v>591</v>
      </c>
      <c r="B595" s="13"/>
      <c r="C595" s="12"/>
      <c r="D595" s="13"/>
      <c r="E595" s="24"/>
      <c r="F595" s="14" t="str">
        <f aca="false">IF(OR($D595="",$B595=""),"",INT(($B595-$D595)/365.25))</f>
        <v/>
      </c>
      <c r="G595" s="25"/>
      <c r="H595" s="25"/>
      <c r="I595" s="12"/>
      <c r="J595" s="14" t="str">
        <f aca="false">IF(OR($C595="",$D595="",$B595="",$G595=""),"",IF(COUNTIFS($C$5:$C$804,$C595,$D$5:$D$804,$D595,$B$5:$B$804,$B595,$G$5:$G$804,$G595)&gt;1,"Takror",""))</f>
        <v/>
      </c>
    </row>
    <row r="596" customFormat="false" ht="15" hidden="false" customHeight="false" outlineLevel="0" collapsed="false">
      <c r="A596" s="8" t="n">
        <v>592</v>
      </c>
      <c r="B596" s="13"/>
      <c r="C596" s="12"/>
      <c r="D596" s="13"/>
      <c r="E596" s="24"/>
      <c r="F596" s="14" t="str">
        <f aca="false">IF(OR($D596="",$B596=""),"",INT(($B596-$D596)/365.25))</f>
        <v/>
      </c>
      <c r="G596" s="25"/>
      <c r="H596" s="25"/>
      <c r="I596" s="12"/>
      <c r="J596" s="14" t="str">
        <f aca="false">IF(OR($C596="",$D596="",$B596="",$G596=""),"",IF(COUNTIFS($C$5:$C$804,$C596,$D$5:$D$804,$D596,$B$5:$B$804,$B596,$G$5:$G$804,$G596)&gt;1,"Takror",""))</f>
        <v/>
      </c>
    </row>
    <row r="597" customFormat="false" ht="15" hidden="false" customHeight="false" outlineLevel="0" collapsed="false">
      <c r="A597" s="8" t="n">
        <v>593</v>
      </c>
      <c r="B597" s="13"/>
      <c r="C597" s="12"/>
      <c r="D597" s="13"/>
      <c r="E597" s="24"/>
      <c r="F597" s="14" t="str">
        <f aca="false">IF(OR($D597="",$B597=""),"",INT(($B597-$D597)/365.25))</f>
        <v/>
      </c>
      <c r="G597" s="25"/>
      <c r="H597" s="25"/>
      <c r="I597" s="12"/>
      <c r="J597" s="14" t="str">
        <f aca="false">IF(OR($C597="",$D597="",$B597="",$G597=""),"",IF(COUNTIFS($C$5:$C$804,$C597,$D$5:$D$804,$D597,$B$5:$B$804,$B597,$G$5:$G$804,$G597)&gt;1,"Takror",""))</f>
        <v/>
      </c>
    </row>
    <row r="598" customFormat="false" ht="15" hidden="false" customHeight="false" outlineLevel="0" collapsed="false">
      <c r="A598" s="8" t="n">
        <v>594</v>
      </c>
      <c r="B598" s="13"/>
      <c r="C598" s="12"/>
      <c r="D598" s="13"/>
      <c r="E598" s="24"/>
      <c r="F598" s="14" t="str">
        <f aca="false">IF(OR($D598="",$B598=""),"",INT(($B598-$D598)/365.25))</f>
        <v/>
      </c>
      <c r="G598" s="25"/>
      <c r="H598" s="25"/>
      <c r="I598" s="12"/>
      <c r="J598" s="14" t="str">
        <f aca="false">IF(OR($C598="",$D598="",$B598="",$G598=""),"",IF(COUNTIFS($C$5:$C$804,$C598,$D$5:$D$804,$D598,$B$5:$B$804,$B598,$G$5:$G$804,$G598)&gt;1,"Takror",""))</f>
        <v/>
      </c>
    </row>
    <row r="599" customFormat="false" ht="15" hidden="false" customHeight="false" outlineLevel="0" collapsed="false">
      <c r="A599" s="8" t="n">
        <v>595</v>
      </c>
      <c r="B599" s="13"/>
      <c r="C599" s="12"/>
      <c r="D599" s="13"/>
      <c r="E599" s="24"/>
      <c r="F599" s="14" t="str">
        <f aca="false">IF(OR($D599="",$B599=""),"",INT(($B599-$D599)/365.25))</f>
        <v/>
      </c>
      <c r="G599" s="25"/>
      <c r="H599" s="25"/>
      <c r="I599" s="12"/>
      <c r="J599" s="14" t="str">
        <f aca="false">IF(OR($C599="",$D599="",$B599="",$G599=""),"",IF(COUNTIFS($C$5:$C$804,$C599,$D$5:$D$804,$D599,$B$5:$B$804,$B599,$G$5:$G$804,$G599)&gt;1,"Takror",""))</f>
        <v/>
      </c>
    </row>
    <row r="600" customFormat="false" ht="15" hidden="false" customHeight="false" outlineLevel="0" collapsed="false">
      <c r="A600" s="8" t="n">
        <v>596</v>
      </c>
      <c r="B600" s="13"/>
      <c r="C600" s="12"/>
      <c r="D600" s="13"/>
      <c r="E600" s="24"/>
      <c r="F600" s="14" t="str">
        <f aca="false">IF(OR($D600="",$B600=""),"",INT(($B600-$D600)/365.25))</f>
        <v/>
      </c>
      <c r="G600" s="25"/>
      <c r="H600" s="25"/>
      <c r="I600" s="12"/>
      <c r="J600" s="14" t="str">
        <f aca="false">IF(OR($C600="",$D600="",$B600="",$G600=""),"",IF(COUNTIFS($C$5:$C$804,$C600,$D$5:$D$804,$D600,$B$5:$B$804,$B600,$G$5:$G$804,$G600)&gt;1,"Takror",""))</f>
        <v/>
      </c>
    </row>
    <row r="601" customFormat="false" ht="15" hidden="false" customHeight="false" outlineLevel="0" collapsed="false">
      <c r="A601" s="8" t="n">
        <v>597</v>
      </c>
      <c r="B601" s="13"/>
      <c r="C601" s="12"/>
      <c r="D601" s="13"/>
      <c r="E601" s="24"/>
      <c r="F601" s="14" t="str">
        <f aca="false">IF(OR($D601="",$B601=""),"",INT(($B601-$D601)/365.25))</f>
        <v/>
      </c>
      <c r="G601" s="25"/>
      <c r="H601" s="25"/>
      <c r="I601" s="12"/>
      <c r="J601" s="14" t="str">
        <f aca="false">IF(OR($C601="",$D601="",$B601="",$G601=""),"",IF(COUNTIFS($C$5:$C$804,$C601,$D$5:$D$804,$D601,$B$5:$B$804,$B601,$G$5:$G$804,$G601)&gt;1,"Takror",""))</f>
        <v/>
      </c>
    </row>
    <row r="602" customFormat="false" ht="15" hidden="false" customHeight="false" outlineLevel="0" collapsed="false">
      <c r="A602" s="8" t="n">
        <v>598</v>
      </c>
      <c r="B602" s="13"/>
      <c r="C602" s="12"/>
      <c r="D602" s="13"/>
      <c r="E602" s="24"/>
      <c r="F602" s="14" t="str">
        <f aca="false">IF(OR($D602="",$B602=""),"",INT(($B602-$D602)/365.25))</f>
        <v/>
      </c>
      <c r="G602" s="25"/>
      <c r="H602" s="25"/>
      <c r="I602" s="12"/>
      <c r="J602" s="14" t="str">
        <f aca="false">IF(OR($C602="",$D602="",$B602="",$G602=""),"",IF(COUNTIFS($C$5:$C$804,$C602,$D$5:$D$804,$D602,$B$5:$B$804,$B602,$G$5:$G$804,$G602)&gt;1,"Takror",""))</f>
        <v/>
      </c>
    </row>
    <row r="603" customFormat="false" ht="15" hidden="false" customHeight="false" outlineLevel="0" collapsed="false">
      <c r="A603" s="8" t="n">
        <v>599</v>
      </c>
      <c r="B603" s="13"/>
      <c r="C603" s="12"/>
      <c r="D603" s="13"/>
      <c r="E603" s="24"/>
      <c r="F603" s="14" t="str">
        <f aca="false">IF(OR($D603="",$B603=""),"",INT(($B603-$D603)/365.25))</f>
        <v/>
      </c>
      <c r="G603" s="25"/>
      <c r="H603" s="25"/>
      <c r="I603" s="12"/>
      <c r="J603" s="14" t="str">
        <f aca="false">IF(OR($C603="",$D603="",$B603="",$G603=""),"",IF(COUNTIFS($C$5:$C$804,$C603,$D$5:$D$804,$D603,$B$5:$B$804,$B603,$G$5:$G$804,$G603)&gt;1,"Takror",""))</f>
        <v/>
      </c>
    </row>
    <row r="604" customFormat="false" ht="15" hidden="false" customHeight="false" outlineLevel="0" collapsed="false">
      <c r="A604" s="8" t="n">
        <v>600</v>
      </c>
      <c r="B604" s="13"/>
      <c r="C604" s="12"/>
      <c r="D604" s="13"/>
      <c r="E604" s="24"/>
      <c r="F604" s="14" t="str">
        <f aca="false">IF(OR($D604="",$B604=""),"",INT(($B604-$D604)/365.25))</f>
        <v/>
      </c>
      <c r="G604" s="25"/>
      <c r="H604" s="25"/>
      <c r="I604" s="12"/>
      <c r="J604" s="14" t="str">
        <f aca="false">IF(OR($C604="",$D604="",$B604="",$G604=""),"",IF(COUNTIFS($C$5:$C$804,$C604,$D$5:$D$804,$D604,$B$5:$B$804,$B604,$G$5:$G$804,$G604)&gt;1,"Takror",""))</f>
        <v/>
      </c>
    </row>
    <row r="605" customFormat="false" ht="15" hidden="false" customHeight="false" outlineLevel="0" collapsed="false">
      <c r="A605" s="8" t="n">
        <v>601</v>
      </c>
      <c r="B605" s="13"/>
      <c r="C605" s="12"/>
      <c r="D605" s="13"/>
      <c r="E605" s="24"/>
      <c r="F605" s="14" t="str">
        <f aca="false">IF(OR($D605="",$B605=""),"",INT(($B605-$D605)/365.25))</f>
        <v/>
      </c>
      <c r="G605" s="25"/>
      <c r="H605" s="25"/>
      <c r="I605" s="12"/>
      <c r="J605" s="14" t="str">
        <f aca="false">IF(OR($C605="",$D605="",$B605="",$G605=""),"",IF(COUNTIFS($C$5:$C$804,$C605,$D$5:$D$804,$D605,$B$5:$B$804,$B605,$G$5:$G$804,$G605)&gt;1,"Takror",""))</f>
        <v/>
      </c>
    </row>
    <row r="606" customFormat="false" ht="15" hidden="false" customHeight="false" outlineLevel="0" collapsed="false">
      <c r="A606" s="8" t="n">
        <v>602</v>
      </c>
      <c r="B606" s="13"/>
      <c r="C606" s="12"/>
      <c r="D606" s="13"/>
      <c r="E606" s="24"/>
      <c r="F606" s="14" t="str">
        <f aca="false">IF(OR($D606="",$B606=""),"",INT(($B606-$D606)/365.25))</f>
        <v/>
      </c>
      <c r="G606" s="25"/>
      <c r="H606" s="25"/>
      <c r="I606" s="12"/>
      <c r="J606" s="14" t="str">
        <f aca="false">IF(OR($C606="",$D606="",$B606="",$G606=""),"",IF(COUNTIFS($C$5:$C$804,$C606,$D$5:$D$804,$D606,$B$5:$B$804,$B606,$G$5:$G$804,$G606)&gt;1,"Takror",""))</f>
        <v/>
      </c>
    </row>
    <row r="607" customFormat="false" ht="15" hidden="false" customHeight="false" outlineLevel="0" collapsed="false">
      <c r="A607" s="8" t="n">
        <v>603</v>
      </c>
      <c r="B607" s="13"/>
      <c r="C607" s="12"/>
      <c r="D607" s="13"/>
      <c r="E607" s="24"/>
      <c r="F607" s="14" t="str">
        <f aca="false">IF(OR($D607="",$B607=""),"",INT(($B607-$D607)/365.25))</f>
        <v/>
      </c>
      <c r="G607" s="25"/>
      <c r="H607" s="25"/>
      <c r="I607" s="12"/>
      <c r="J607" s="14" t="str">
        <f aca="false">IF(OR($C607="",$D607="",$B607="",$G607=""),"",IF(COUNTIFS($C$5:$C$804,$C607,$D$5:$D$804,$D607,$B$5:$B$804,$B607,$G$5:$G$804,$G607)&gt;1,"Takror",""))</f>
        <v/>
      </c>
    </row>
    <row r="608" customFormat="false" ht="15" hidden="false" customHeight="false" outlineLevel="0" collapsed="false">
      <c r="A608" s="8" t="n">
        <v>604</v>
      </c>
      <c r="B608" s="13"/>
      <c r="C608" s="12"/>
      <c r="D608" s="13"/>
      <c r="E608" s="24"/>
      <c r="F608" s="14" t="str">
        <f aca="false">IF(OR($D608="",$B608=""),"",INT(($B608-$D608)/365.25))</f>
        <v/>
      </c>
      <c r="G608" s="25"/>
      <c r="H608" s="25"/>
      <c r="I608" s="12"/>
      <c r="J608" s="14" t="str">
        <f aca="false">IF(OR($C608="",$D608="",$B608="",$G608=""),"",IF(COUNTIFS($C$5:$C$804,$C608,$D$5:$D$804,$D608,$B$5:$B$804,$B608,$G$5:$G$804,$G608)&gt;1,"Takror",""))</f>
        <v/>
      </c>
    </row>
    <row r="609" customFormat="false" ht="15" hidden="false" customHeight="false" outlineLevel="0" collapsed="false">
      <c r="A609" s="8" t="n">
        <v>605</v>
      </c>
      <c r="B609" s="13"/>
      <c r="C609" s="12"/>
      <c r="D609" s="13"/>
      <c r="E609" s="24"/>
      <c r="F609" s="14" t="str">
        <f aca="false">IF(OR($D609="",$B609=""),"",INT(($B609-$D609)/365.25))</f>
        <v/>
      </c>
      <c r="G609" s="25"/>
      <c r="H609" s="25"/>
      <c r="I609" s="12"/>
      <c r="J609" s="14" t="str">
        <f aca="false">IF(OR($C609="",$D609="",$B609="",$G609=""),"",IF(COUNTIFS($C$5:$C$804,$C609,$D$5:$D$804,$D609,$B$5:$B$804,$B609,$G$5:$G$804,$G609)&gt;1,"Takror",""))</f>
        <v/>
      </c>
    </row>
    <row r="610" customFormat="false" ht="15" hidden="false" customHeight="false" outlineLevel="0" collapsed="false">
      <c r="A610" s="8" t="n">
        <v>606</v>
      </c>
      <c r="B610" s="13"/>
      <c r="C610" s="12"/>
      <c r="D610" s="13"/>
      <c r="E610" s="24"/>
      <c r="F610" s="14" t="str">
        <f aca="false">IF(OR($D610="",$B610=""),"",INT(($B610-$D610)/365.25))</f>
        <v/>
      </c>
      <c r="G610" s="25"/>
      <c r="H610" s="25"/>
      <c r="I610" s="12"/>
      <c r="J610" s="14" t="str">
        <f aca="false">IF(OR($C610="",$D610="",$B610="",$G610=""),"",IF(COUNTIFS($C$5:$C$804,$C610,$D$5:$D$804,$D610,$B$5:$B$804,$B610,$G$5:$G$804,$G610)&gt;1,"Takror",""))</f>
        <v/>
      </c>
    </row>
    <row r="611" customFormat="false" ht="15" hidden="false" customHeight="false" outlineLevel="0" collapsed="false">
      <c r="A611" s="8" t="n">
        <v>607</v>
      </c>
      <c r="B611" s="13"/>
      <c r="C611" s="12"/>
      <c r="D611" s="13"/>
      <c r="E611" s="24"/>
      <c r="F611" s="14" t="str">
        <f aca="false">IF(OR($D611="",$B611=""),"",INT(($B611-$D611)/365.25))</f>
        <v/>
      </c>
      <c r="G611" s="25"/>
      <c r="H611" s="25"/>
      <c r="I611" s="12"/>
      <c r="J611" s="14" t="str">
        <f aca="false">IF(OR($C611="",$D611="",$B611="",$G611=""),"",IF(COUNTIFS($C$5:$C$804,$C611,$D$5:$D$804,$D611,$B$5:$B$804,$B611,$G$5:$G$804,$G611)&gt;1,"Takror",""))</f>
        <v/>
      </c>
    </row>
    <row r="612" customFormat="false" ht="15" hidden="false" customHeight="false" outlineLevel="0" collapsed="false">
      <c r="A612" s="8" t="n">
        <v>608</v>
      </c>
      <c r="B612" s="13"/>
      <c r="C612" s="12"/>
      <c r="D612" s="13"/>
      <c r="E612" s="24"/>
      <c r="F612" s="14" t="str">
        <f aca="false">IF(OR($D612="",$B612=""),"",INT(($B612-$D612)/365.25))</f>
        <v/>
      </c>
      <c r="G612" s="25"/>
      <c r="H612" s="25"/>
      <c r="I612" s="12"/>
      <c r="J612" s="14" t="str">
        <f aca="false">IF(OR($C612="",$D612="",$B612="",$G612=""),"",IF(COUNTIFS($C$5:$C$804,$C612,$D$5:$D$804,$D612,$B$5:$B$804,$B612,$G$5:$G$804,$G612)&gt;1,"Takror",""))</f>
        <v/>
      </c>
    </row>
    <row r="613" customFormat="false" ht="15" hidden="false" customHeight="false" outlineLevel="0" collapsed="false">
      <c r="A613" s="8" t="n">
        <v>609</v>
      </c>
      <c r="B613" s="13"/>
      <c r="C613" s="12"/>
      <c r="D613" s="13"/>
      <c r="E613" s="24"/>
      <c r="F613" s="14" t="str">
        <f aca="false">IF(OR($D613="",$B613=""),"",INT(($B613-$D613)/365.25))</f>
        <v/>
      </c>
      <c r="G613" s="25"/>
      <c r="H613" s="25"/>
      <c r="I613" s="12"/>
      <c r="J613" s="14" t="str">
        <f aca="false">IF(OR($C613="",$D613="",$B613="",$G613=""),"",IF(COUNTIFS($C$5:$C$804,$C613,$D$5:$D$804,$D613,$B$5:$B$804,$B613,$G$5:$G$804,$G613)&gt;1,"Takror",""))</f>
        <v/>
      </c>
    </row>
    <row r="614" customFormat="false" ht="15" hidden="false" customHeight="false" outlineLevel="0" collapsed="false">
      <c r="A614" s="8" t="n">
        <v>610</v>
      </c>
      <c r="B614" s="13"/>
      <c r="C614" s="12"/>
      <c r="D614" s="13"/>
      <c r="E614" s="24"/>
      <c r="F614" s="14" t="str">
        <f aca="false">IF(OR($D614="",$B614=""),"",INT(($B614-$D614)/365.25))</f>
        <v/>
      </c>
      <c r="G614" s="25"/>
      <c r="H614" s="25"/>
      <c r="I614" s="12"/>
      <c r="J614" s="14" t="str">
        <f aca="false">IF(OR($C614="",$D614="",$B614="",$G614=""),"",IF(COUNTIFS($C$5:$C$804,$C614,$D$5:$D$804,$D614,$B$5:$B$804,$B614,$G$5:$G$804,$G614)&gt;1,"Takror",""))</f>
        <v/>
      </c>
    </row>
    <row r="615" customFormat="false" ht="15" hidden="false" customHeight="false" outlineLevel="0" collapsed="false">
      <c r="A615" s="8" t="n">
        <v>611</v>
      </c>
      <c r="B615" s="13"/>
      <c r="C615" s="12"/>
      <c r="D615" s="13"/>
      <c r="E615" s="24"/>
      <c r="F615" s="14" t="str">
        <f aca="false">IF(OR($D615="",$B615=""),"",INT(($B615-$D615)/365.25))</f>
        <v/>
      </c>
      <c r="G615" s="25"/>
      <c r="H615" s="25"/>
      <c r="I615" s="12"/>
      <c r="J615" s="14" t="str">
        <f aca="false">IF(OR($C615="",$D615="",$B615="",$G615=""),"",IF(COUNTIFS($C$5:$C$804,$C615,$D$5:$D$804,$D615,$B$5:$B$804,$B615,$G$5:$G$804,$G615)&gt;1,"Takror",""))</f>
        <v/>
      </c>
    </row>
    <row r="616" customFormat="false" ht="15" hidden="false" customHeight="false" outlineLevel="0" collapsed="false">
      <c r="A616" s="8" t="n">
        <v>612</v>
      </c>
      <c r="B616" s="13"/>
      <c r="C616" s="12"/>
      <c r="D616" s="13"/>
      <c r="E616" s="24"/>
      <c r="F616" s="14" t="str">
        <f aca="false">IF(OR($D616="",$B616=""),"",INT(($B616-$D616)/365.25))</f>
        <v/>
      </c>
      <c r="G616" s="25"/>
      <c r="H616" s="25"/>
      <c r="I616" s="12"/>
      <c r="J616" s="14" t="str">
        <f aca="false">IF(OR($C616="",$D616="",$B616="",$G616=""),"",IF(COUNTIFS($C$5:$C$804,$C616,$D$5:$D$804,$D616,$B$5:$B$804,$B616,$G$5:$G$804,$G616)&gt;1,"Takror",""))</f>
        <v/>
      </c>
    </row>
    <row r="617" customFormat="false" ht="15" hidden="false" customHeight="false" outlineLevel="0" collapsed="false">
      <c r="A617" s="8" t="n">
        <v>613</v>
      </c>
      <c r="B617" s="13"/>
      <c r="C617" s="12"/>
      <c r="D617" s="13"/>
      <c r="E617" s="24"/>
      <c r="F617" s="14" t="str">
        <f aca="false">IF(OR($D617="",$B617=""),"",INT(($B617-$D617)/365.25))</f>
        <v/>
      </c>
      <c r="G617" s="25"/>
      <c r="H617" s="25"/>
      <c r="I617" s="12"/>
      <c r="J617" s="14" t="str">
        <f aca="false">IF(OR($C617="",$D617="",$B617="",$G617=""),"",IF(COUNTIFS($C$5:$C$804,$C617,$D$5:$D$804,$D617,$B$5:$B$804,$B617,$G$5:$G$804,$G617)&gt;1,"Takror",""))</f>
        <v/>
      </c>
    </row>
    <row r="618" customFormat="false" ht="15" hidden="false" customHeight="false" outlineLevel="0" collapsed="false">
      <c r="A618" s="8" t="n">
        <v>614</v>
      </c>
      <c r="B618" s="13"/>
      <c r="C618" s="12"/>
      <c r="D618" s="13"/>
      <c r="E618" s="24"/>
      <c r="F618" s="14" t="str">
        <f aca="false">IF(OR($D618="",$B618=""),"",INT(($B618-$D618)/365.25))</f>
        <v/>
      </c>
      <c r="G618" s="25"/>
      <c r="H618" s="25"/>
      <c r="I618" s="12"/>
      <c r="J618" s="14" t="str">
        <f aca="false">IF(OR($C618="",$D618="",$B618="",$G618=""),"",IF(COUNTIFS($C$5:$C$804,$C618,$D$5:$D$804,$D618,$B$5:$B$804,$B618,$G$5:$G$804,$G618)&gt;1,"Takror",""))</f>
        <v/>
      </c>
    </row>
    <row r="619" customFormat="false" ht="15" hidden="false" customHeight="false" outlineLevel="0" collapsed="false">
      <c r="A619" s="8" t="n">
        <v>615</v>
      </c>
      <c r="B619" s="13"/>
      <c r="C619" s="12"/>
      <c r="D619" s="13"/>
      <c r="E619" s="24"/>
      <c r="F619" s="14" t="str">
        <f aca="false">IF(OR($D619="",$B619=""),"",INT(($B619-$D619)/365.25))</f>
        <v/>
      </c>
      <c r="G619" s="25"/>
      <c r="H619" s="25"/>
      <c r="I619" s="12"/>
      <c r="J619" s="14" t="str">
        <f aca="false">IF(OR($C619="",$D619="",$B619="",$G619=""),"",IF(COUNTIFS($C$5:$C$804,$C619,$D$5:$D$804,$D619,$B$5:$B$804,$B619,$G$5:$G$804,$G619)&gt;1,"Takror",""))</f>
        <v/>
      </c>
    </row>
    <row r="620" customFormat="false" ht="15" hidden="false" customHeight="false" outlineLevel="0" collapsed="false">
      <c r="A620" s="8" t="n">
        <v>616</v>
      </c>
      <c r="B620" s="13"/>
      <c r="C620" s="12"/>
      <c r="D620" s="13"/>
      <c r="E620" s="24"/>
      <c r="F620" s="14" t="str">
        <f aca="false">IF(OR($D620="",$B620=""),"",INT(($B620-$D620)/365.25))</f>
        <v/>
      </c>
      <c r="G620" s="25"/>
      <c r="H620" s="25"/>
      <c r="I620" s="12"/>
      <c r="J620" s="14" t="str">
        <f aca="false">IF(OR($C620="",$D620="",$B620="",$G620=""),"",IF(COUNTIFS($C$5:$C$804,$C620,$D$5:$D$804,$D620,$B$5:$B$804,$B620,$G$5:$G$804,$G620)&gt;1,"Takror",""))</f>
        <v/>
      </c>
    </row>
    <row r="621" customFormat="false" ht="15" hidden="false" customHeight="false" outlineLevel="0" collapsed="false">
      <c r="A621" s="8" t="n">
        <v>617</v>
      </c>
      <c r="B621" s="13"/>
      <c r="C621" s="12"/>
      <c r="D621" s="13"/>
      <c r="E621" s="24"/>
      <c r="F621" s="14" t="str">
        <f aca="false">IF(OR($D621="",$B621=""),"",INT(($B621-$D621)/365.25))</f>
        <v/>
      </c>
      <c r="G621" s="25"/>
      <c r="H621" s="25"/>
      <c r="I621" s="12"/>
      <c r="J621" s="14" t="str">
        <f aca="false">IF(OR($C621="",$D621="",$B621="",$G621=""),"",IF(COUNTIFS($C$5:$C$804,$C621,$D$5:$D$804,$D621,$B$5:$B$804,$B621,$G$5:$G$804,$G621)&gt;1,"Takror",""))</f>
        <v/>
      </c>
    </row>
    <row r="622" customFormat="false" ht="15" hidden="false" customHeight="false" outlineLevel="0" collapsed="false">
      <c r="A622" s="8" t="n">
        <v>618</v>
      </c>
      <c r="B622" s="13"/>
      <c r="C622" s="12"/>
      <c r="D622" s="13"/>
      <c r="E622" s="24"/>
      <c r="F622" s="14" t="str">
        <f aca="false">IF(OR($D622="",$B622=""),"",INT(($B622-$D622)/365.25))</f>
        <v/>
      </c>
      <c r="G622" s="25"/>
      <c r="H622" s="25"/>
      <c r="I622" s="12"/>
      <c r="J622" s="14" t="str">
        <f aca="false">IF(OR($C622="",$D622="",$B622="",$G622=""),"",IF(COUNTIFS($C$5:$C$804,$C622,$D$5:$D$804,$D622,$B$5:$B$804,$B622,$G$5:$G$804,$G622)&gt;1,"Takror",""))</f>
        <v/>
      </c>
    </row>
    <row r="623" customFormat="false" ht="15" hidden="false" customHeight="false" outlineLevel="0" collapsed="false">
      <c r="A623" s="8" t="n">
        <v>619</v>
      </c>
      <c r="B623" s="13"/>
      <c r="C623" s="12"/>
      <c r="D623" s="13"/>
      <c r="E623" s="24"/>
      <c r="F623" s="14" t="str">
        <f aca="false">IF(OR($D623="",$B623=""),"",INT(($B623-$D623)/365.25))</f>
        <v/>
      </c>
      <c r="G623" s="25"/>
      <c r="H623" s="25"/>
      <c r="I623" s="12"/>
      <c r="J623" s="14" t="str">
        <f aca="false">IF(OR($C623="",$D623="",$B623="",$G623=""),"",IF(COUNTIFS($C$5:$C$804,$C623,$D$5:$D$804,$D623,$B$5:$B$804,$B623,$G$5:$G$804,$G623)&gt;1,"Takror",""))</f>
        <v/>
      </c>
    </row>
    <row r="624" customFormat="false" ht="15" hidden="false" customHeight="false" outlineLevel="0" collapsed="false">
      <c r="A624" s="8" t="n">
        <v>620</v>
      </c>
      <c r="B624" s="13"/>
      <c r="C624" s="12"/>
      <c r="D624" s="13"/>
      <c r="E624" s="24"/>
      <c r="F624" s="14" t="str">
        <f aca="false">IF(OR($D624="",$B624=""),"",INT(($B624-$D624)/365.25))</f>
        <v/>
      </c>
      <c r="G624" s="25"/>
      <c r="H624" s="25"/>
      <c r="I624" s="12"/>
      <c r="J624" s="14" t="str">
        <f aca="false">IF(OR($C624="",$D624="",$B624="",$G624=""),"",IF(COUNTIFS($C$5:$C$804,$C624,$D$5:$D$804,$D624,$B$5:$B$804,$B624,$G$5:$G$804,$G624)&gt;1,"Takror",""))</f>
        <v/>
      </c>
    </row>
    <row r="625" customFormat="false" ht="15" hidden="false" customHeight="false" outlineLevel="0" collapsed="false">
      <c r="A625" s="8" t="n">
        <v>621</v>
      </c>
      <c r="B625" s="13"/>
      <c r="C625" s="12"/>
      <c r="D625" s="13"/>
      <c r="E625" s="24"/>
      <c r="F625" s="14" t="str">
        <f aca="false">IF(OR($D625="",$B625=""),"",INT(($B625-$D625)/365.25))</f>
        <v/>
      </c>
      <c r="G625" s="25"/>
      <c r="H625" s="25"/>
      <c r="I625" s="12"/>
      <c r="J625" s="14" t="str">
        <f aca="false">IF(OR($C625="",$D625="",$B625="",$G625=""),"",IF(COUNTIFS($C$5:$C$804,$C625,$D$5:$D$804,$D625,$B$5:$B$804,$B625,$G$5:$G$804,$G625)&gt;1,"Takror",""))</f>
        <v/>
      </c>
    </row>
    <row r="626" customFormat="false" ht="15" hidden="false" customHeight="false" outlineLevel="0" collapsed="false">
      <c r="A626" s="8" t="n">
        <v>622</v>
      </c>
      <c r="B626" s="13"/>
      <c r="C626" s="12"/>
      <c r="D626" s="13"/>
      <c r="E626" s="24"/>
      <c r="F626" s="14" t="str">
        <f aca="false">IF(OR($D626="",$B626=""),"",INT(($B626-$D626)/365.25))</f>
        <v/>
      </c>
      <c r="G626" s="25"/>
      <c r="H626" s="25"/>
      <c r="I626" s="12"/>
      <c r="J626" s="14" t="str">
        <f aca="false">IF(OR($C626="",$D626="",$B626="",$G626=""),"",IF(COUNTIFS($C$5:$C$804,$C626,$D$5:$D$804,$D626,$B$5:$B$804,$B626,$G$5:$G$804,$G626)&gt;1,"Takror",""))</f>
        <v/>
      </c>
    </row>
    <row r="627" customFormat="false" ht="15" hidden="false" customHeight="false" outlineLevel="0" collapsed="false">
      <c r="A627" s="8" t="n">
        <v>623</v>
      </c>
      <c r="B627" s="13"/>
      <c r="C627" s="12"/>
      <c r="D627" s="13"/>
      <c r="E627" s="24"/>
      <c r="F627" s="14" t="str">
        <f aca="false">IF(OR($D627="",$B627=""),"",INT(($B627-$D627)/365.25))</f>
        <v/>
      </c>
      <c r="G627" s="25"/>
      <c r="H627" s="25"/>
      <c r="I627" s="12"/>
      <c r="J627" s="14" t="str">
        <f aca="false">IF(OR($C627="",$D627="",$B627="",$G627=""),"",IF(COUNTIFS($C$5:$C$804,$C627,$D$5:$D$804,$D627,$B$5:$B$804,$B627,$G$5:$G$804,$G627)&gt;1,"Takror",""))</f>
        <v/>
      </c>
    </row>
    <row r="628" customFormat="false" ht="15" hidden="false" customHeight="false" outlineLevel="0" collapsed="false">
      <c r="A628" s="8" t="n">
        <v>624</v>
      </c>
      <c r="B628" s="13"/>
      <c r="C628" s="12"/>
      <c r="D628" s="13"/>
      <c r="E628" s="24"/>
      <c r="F628" s="14" t="str">
        <f aca="false">IF(OR($D628="",$B628=""),"",INT(($B628-$D628)/365.25))</f>
        <v/>
      </c>
      <c r="G628" s="25"/>
      <c r="H628" s="25"/>
      <c r="I628" s="12"/>
      <c r="J628" s="14" t="str">
        <f aca="false">IF(OR($C628="",$D628="",$B628="",$G628=""),"",IF(COUNTIFS($C$5:$C$804,$C628,$D$5:$D$804,$D628,$B$5:$B$804,$B628,$G$5:$G$804,$G628)&gt;1,"Takror",""))</f>
        <v/>
      </c>
    </row>
    <row r="629" customFormat="false" ht="15" hidden="false" customHeight="false" outlineLevel="0" collapsed="false">
      <c r="A629" s="8" t="n">
        <v>625</v>
      </c>
      <c r="B629" s="13"/>
      <c r="C629" s="12"/>
      <c r="D629" s="13"/>
      <c r="E629" s="24"/>
      <c r="F629" s="14" t="str">
        <f aca="false">IF(OR($D629="",$B629=""),"",INT(($B629-$D629)/365.25))</f>
        <v/>
      </c>
      <c r="G629" s="25"/>
      <c r="H629" s="25"/>
      <c r="I629" s="12"/>
      <c r="J629" s="14" t="str">
        <f aca="false">IF(OR($C629="",$D629="",$B629="",$G629=""),"",IF(COUNTIFS($C$5:$C$804,$C629,$D$5:$D$804,$D629,$B$5:$B$804,$B629,$G$5:$G$804,$G629)&gt;1,"Takror",""))</f>
        <v/>
      </c>
    </row>
    <row r="630" customFormat="false" ht="15" hidden="false" customHeight="false" outlineLevel="0" collapsed="false">
      <c r="A630" s="8" t="n">
        <v>626</v>
      </c>
      <c r="B630" s="13"/>
      <c r="C630" s="12"/>
      <c r="D630" s="13"/>
      <c r="E630" s="24"/>
      <c r="F630" s="14" t="str">
        <f aca="false">IF(OR($D630="",$B630=""),"",INT(($B630-$D630)/365.25))</f>
        <v/>
      </c>
      <c r="G630" s="25"/>
      <c r="H630" s="25"/>
      <c r="I630" s="12"/>
      <c r="J630" s="14" t="str">
        <f aca="false">IF(OR($C630="",$D630="",$B630="",$G630=""),"",IF(COUNTIFS($C$5:$C$804,$C630,$D$5:$D$804,$D630,$B$5:$B$804,$B630,$G$5:$G$804,$G630)&gt;1,"Takror",""))</f>
        <v/>
      </c>
    </row>
    <row r="631" customFormat="false" ht="15" hidden="false" customHeight="false" outlineLevel="0" collapsed="false">
      <c r="A631" s="8" t="n">
        <v>627</v>
      </c>
      <c r="B631" s="13"/>
      <c r="C631" s="12"/>
      <c r="D631" s="13"/>
      <c r="E631" s="24"/>
      <c r="F631" s="14" t="str">
        <f aca="false">IF(OR($D631="",$B631=""),"",INT(($B631-$D631)/365.25))</f>
        <v/>
      </c>
      <c r="G631" s="25"/>
      <c r="H631" s="25"/>
      <c r="I631" s="12"/>
      <c r="J631" s="14" t="str">
        <f aca="false">IF(OR($C631="",$D631="",$B631="",$G631=""),"",IF(COUNTIFS($C$5:$C$804,$C631,$D$5:$D$804,$D631,$B$5:$B$804,$B631,$G$5:$G$804,$G631)&gt;1,"Takror",""))</f>
        <v/>
      </c>
    </row>
    <row r="632" customFormat="false" ht="15" hidden="false" customHeight="false" outlineLevel="0" collapsed="false">
      <c r="A632" s="8" t="n">
        <v>628</v>
      </c>
      <c r="B632" s="13"/>
      <c r="C632" s="12"/>
      <c r="D632" s="13"/>
      <c r="E632" s="24"/>
      <c r="F632" s="14" t="str">
        <f aca="false">IF(OR($D632="",$B632=""),"",INT(($B632-$D632)/365.25))</f>
        <v/>
      </c>
      <c r="G632" s="25"/>
      <c r="H632" s="25"/>
      <c r="I632" s="12"/>
      <c r="J632" s="14" t="str">
        <f aca="false">IF(OR($C632="",$D632="",$B632="",$G632=""),"",IF(COUNTIFS($C$5:$C$804,$C632,$D$5:$D$804,$D632,$B$5:$B$804,$B632,$G$5:$G$804,$G632)&gt;1,"Takror",""))</f>
        <v/>
      </c>
    </row>
    <row r="633" customFormat="false" ht="15" hidden="false" customHeight="false" outlineLevel="0" collapsed="false">
      <c r="A633" s="8" t="n">
        <v>629</v>
      </c>
      <c r="B633" s="13"/>
      <c r="C633" s="12"/>
      <c r="D633" s="13"/>
      <c r="E633" s="24"/>
      <c r="F633" s="14" t="str">
        <f aca="false">IF(OR($D633="",$B633=""),"",INT(($B633-$D633)/365.25))</f>
        <v/>
      </c>
      <c r="G633" s="25"/>
      <c r="H633" s="25"/>
      <c r="I633" s="12"/>
      <c r="J633" s="14" t="str">
        <f aca="false">IF(OR($C633="",$D633="",$B633="",$G633=""),"",IF(COUNTIFS($C$5:$C$804,$C633,$D$5:$D$804,$D633,$B$5:$B$804,$B633,$G$5:$G$804,$G633)&gt;1,"Takror",""))</f>
        <v/>
      </c>
    </row>
    <row r="634" customFormat="false" ht="15" hidden="false" customHeight="false" outlineLevel="0" collapsed="false">
      <c r="A634" s="8" t="n">
        <v>630</v>
      </c>
      <c r="B634" s="13"/>
      <c r="C634" s="12"/>
      <c r="D634" s="13"/>
      <c r="E634" s="24"/>
      <c r="F634" s="14" t="str">
        <f aca="false">IF(OR($D634="",$B634=""),"",INT(($B634-$D634)/365.25))</f>
        <v/>
      </c>
      <c r="G634" s="25"/>
      <c r="H634" s="25"/>
      <c r="I634" s="12"/>
      <c r="J634" s="14" t="str">
        <f aca="false">IF(OR($C634="",$D634="",$B634="",$G634=""),"",IF(COUNTIFS($C$5:$C$804,$C634,$D$5:$D$804,$D634,$B$5:$B$804,$B634,$G$5:$G$804,$G634)&gt;1,"Takror",""))</f>
        <v/>
      </c>
    </row>
    <row r="635" customFormat="false" ht="15" hidden="false" customHeight="false" outlineLevel="0" collapsed="false">
      <c r="A635" s="8" t="n">
        <v>631</v>
      </c>
      <c r="B635" s="13"/>
      <c r="C635" s="12"/>
      <c r="D635" s="13"/>
      <c r="E635" s="24"/>
      <c r="F635" s="14" t="str">
        <f aca="false">IF(OR($D635="",$B635=""),"",INT(($B635-$D635)/365.25))</f>
        <v/>
      </c>
      <c r="G635" s="25"/>
      <c r="H635" s="25"/>
      <c r="I635" s="12"/>
      <c r="J635" s="14" t="str">
        <f aca="false">IF(OR($C635="",$D635="",$B635="",$G635=""),"",IF(COUNTIFS($C$5:$C$804,$C635,$D$5:$D$804,$D635,$B$5:$B$804,$B635,$G$5:$G$804,$G635)&gt;1,"Takror",""))</f>
        <v/>
      </c>
    </row>
    <row r="636" customFormat="false" ht="15" hidden="false" customHeight="false" outlineLevel="0" collapsed="false">
      <c r="A636" s="8" t="n">
        <v>632</v>
      </c>
      <c r="B636" s="13"/>
      <c r="C636" s="12"/>
      <c r="D636" s="13"/>
      <c r="E636" s="24"/>
      <c r="F636" s="14" t="str">
        <f aca="false">IF(OR($D636="",$B636=""),"",INT(($B636-$D636)/365.25))</f>
        <v/>
      </c>
      <c r="G636" s="25"/>
      <c r="H636" s="25"/>
      <c r="I636" s="12"/>
      <c r="J636" s="14" t="str">
        <f aca="false">IF(OR($C636="",$D636="",$B636="",$G636=""),"",IF(COUNTIFS($C$5:$C$804,$C636,$D$5:$D$804,$D636,$B$5:$B$804,$B636,$G$5:$G$804,$G636)&gt;1,"Takror",""))</f>
        <v/>
      </c>
    </row>
    <row r="637" customFormat="false" ht="15" hidden="false" customHeight="false" outlineLevel="0" collapsed="false">
      <c r="A637" s="8" t="n">
        <v>633</v>
      </c>
      <c r="B637" s="13"/>
      <c r="C637" s="12"/>
      <c r="D637" s="13"/>
      <c r="E637" s="24"/>
      <c r="F637" s="14" t="str">
        <f aca="false">IF(OR($D637="",$B637=""),"",INT(($B637-$D637)/365.25))</f>
        <v/>
      </c>
      <c r="G637" s="25"/>
      <c r="H637" s="25"/>
      <c r="I637" s="12"/>
      <c r="J637" s="14" t="str">
        <f aca="false">IF(OR($C637="",$D637="",$B637="",$G637=""),"",IF(COUNTIFS($C$5:$C$804,$C637,$D$5:$D$804,$D637,$B$5:$B$804,$B637,$G$5:$G$804,$G637)&gt;1,"Takror",""))</f>
        <v/>
      </c>
    </row>
    <row r="638" customFormat="false" ht="15" hidden="false" customHeight="false" outlineLevel="0" collapsed="false">
      <c r="A638" s="8" t="n">
        <v>634</v>
      </c>
      <c r="B638" s="13"/>
      <c r="C638" s="12"/>
      <c r="D638" s="13"/>
      <c r="E638" s="24"/>
      <c r="F638" s="14" t="str">
        <f aca="false">IF(OR($D638="",$B638=""),"",INT(($B638-$D638)/365.25))</f>
        <v/>
      </c>
      <c r="G638" s="25"/>
      <c r="H638" s="25"/>
      <c r="I638" s="12"/>
      <c r="J638" s="14" t="str">
        <f aca="false">IF(OR($C638="",$D638="",$B638="",$G638=""),"",IF(COUNTIFS($C$5:$C$804,$C638,$D$5:$D$804,$D638,$B$5:$B$804,$B638,$G$5:$G$804,$G638)&gt;1,"Takror",""))</f>
        <v/>
      </c>
    </row>
    <row r="639" customFormat="false" ht="15" hidden="false" customHeight="false" outlineLevel="0" collapsed="false">
      <c r="A639" s="8" t="n">
        <v>635</v>
      </c>
      <c r="B639" s="13"/>
      <c r="C639" s="12"/>
      <c r="D639" s="13"/>
      <c r="E639" s="24"/>
      <c r="F639" s="14" t="str">
        <f aca="false">IF(OR($D639="",$B639=""),"",INT(($B639-$D639)/365.25))</f>
        <v/>
      </c>
      <c r="G639" s="25"/>
      <c r="H639" s="25"/>
      <c r="I639" s="12"/>
      <c r="J639" s="14" t="str">
        <f aca="false">IF(OR($C639="",$D639="",$B639="",$G639=""),"",IF(COUNTIFS($C$5:$C$804,$C639,$D$5:$D$804,$D639,$B$5:$B$804,$B639,$G$5:$G$804,$G639)&gt;1,"Takror",""))</f>
        <v/>
      </c>
    </row>
    <row r="640" customFormat="false" ht="15" hidden="false" customHeight="false" outlineLevel="0" collapsed="false">
      <c r="A640" s="8" t="n">
        <v>636</v>
      </c>
      <c r="B640" s="13"/>
      <c r="C640" s="12"/>
      <c r="D640" s="13"/>
      <c r="E640" s="24"/>
      <c r="F640" s="14" t="str">
        <f aca="false">IF(OR($D640="",$B640=""),"",INT(($B640-$D640)/365.25))</f>
        <v/>
      </c>
      <c r="G640" s="25"/>
      <c r="H640" s="25"/>
      <c r="I640" s="12"/>
      <c r="J640" s="14" t="str">
        <f aca="false">IF(OR($C640="",$D640="",$B640="",$G640=""),"",IF(COUNTIFS($C$5:$C$804,$C640,$D$5:$D$804,$D640,$B$5:$B$804,$B640,$G$5:$G$804,$G640)&gt;1,"Takror",""))</f>
        <v/>
      </c>
    </row>
    <row r="641" customFormat="false" ht="15" hidden="false" customHeight="false" outlineLevel="0" collapsed="false">
      <c r="A641" s="8" t="n">
        <v>637</v>
      </c>
      <c r="B641" s="13"/>
      <c r="C641" s="12"/>
      <c r="D641" s="13"/>
      <c r="E641" s="24"/>
      <c r="F641" s="14" t="str">
        <f aca="false">IF(OR($D641="",$B641=""),"",INT(($B641-$D641)/365.25))</f>
        <v/>
      </c>
      <c r="G641" s="25"/>
      <c r="H641" s="25"/>
      <c r="I641" s="12"/>
      <c r="J641" s="14" t="str">
        <f aca="false">IF(OR($C641="",$D641="",$B641="",$G641=""),"",IF(COUNTIFS($C$5:$C$804,$C641,$D$5:$D$804,$D641,$B$5:$B$804,$B641,$G$5:$G$804,$G641)&gt;1,"Takror",""))</f>
        <v/>
      </c>
    </row>
    <row r="642" customFormat="false" ht="15" hidden="false" customHeight="false" outlineLevel="0" collapsed="false">
      <c r="A642" s="8" t="n">
        <v>638</v>
      </c>
      <c r="B642" s="13"/>
      <c r="C642" s="12"/>
      <c r="D642" s="13"/>
      <c r="E642" s="24"/>
      <c r="F642" s="14" t="str">
        <f aca="false">IF(OR($D642="",$B642=""),"",INT(($B642-$D642)/365.25))</f>
        <v/>
      </c>
      <c r="G642" s="25"/>
      <c r="H642" s="25"/>
      <c r="I642" s="12"/>
      <c r="J642" s="14" t="str">
        <f aca="false">IF(OR($C642="",$D642="",$B642="",$G642=""),"",IF(COUNTIFS($C$5:$C$804,$C642,$D$5:$D$804,$D642,$B$5:$B$804,$B642,$G$5:$G$804,$G642)&gt;1,"Takror",""))</f>
        <v/>
      </c>
    </row>
    <row r="643" customFormat="false" ht="15" hidden="false" customHeight="false" outlineLevel="0" collapsed="false">
      <c r="A643" s="8" t="n">
        <v>639</v>
      </c>
      <c r="B643" s="13"/>
      <c r="C643" s="12"/>
      <c r="D643" s="13"/>
      <c r="E643" s="24"/>
      <c r="F643" s="14" t="str">
        <f aca="false">IF(OR($D643="",$B643=""),"",INT(($B643-$D643)/365.25))</f>
        <v/>
      </c>
      <c r="G643" s="25"/>
      <c r="H643" s="25"/>
      <c r="I643" s="12"/>
      <c r="J643" s="14" t="str">
        <f aca="false">IF(OR($C643="",$D643="",$B643="",$G643=""),"",IF(COUNTIFS($C$5:$C$804,$C643,$D$5:$D$804,$D643,$B$5:$B$804,$B643,$G$5:$G$804,$G643)&gt;1,"Takror",""))</f>
        <v/>
      </c>
    </row>
    <row r="644" customFormat="false" ht="15" hidden="false" customHeight="false" outlineLevel="0" collapsed="false">
      <c r="A644" s="8" t="n">
        <v>640</v>
      </c>
      <c r="B644" s="13"/>
      <c r="C644" s="12"/>
      <c r="D644" s="13"/>
      <c r="E644" s="24"/>
      <c r="F644" s="14" t="str">
        <f aca="false">IF(OR($D644="",$B644=""),"",INT(($B644-$D644)/365.25))</f>
        <v/>
      </c>
      <c r="G644" s="25"/>
      <c r="H644" s="25"/>
      <c r="I644" s="12"/>
      <c r="J644" s="14" t="str">
        <f aca="false">IF(OR($C644="",$D644="",$B644="",$G644=""),"",IF(COUNTIFS($C$5:$C$804,$C644,$D$5:$D$804,$D644,$B$5:$B$804,$B644,$G$5:$G$804,$G644)&gt;1,"Takror",""))</f>
        <v/>
      </c>
    </row>
    <row r="645" customFormat="false" ht="15" hidden="false" customHeight="false" outlineLevel="0" collapsed="false">
      <c r="A645" s="8" t="n">
        <v>641</v>
      </c>
      <c r="B645" s="13"/>
      <c r="C645" s="12"/>
      <c r="D645" s="13"/>
      <c r="E645" s="24"/>
      <c r="F645" s="14" t="str">
        <f aca="false">IF(OR($D645="",$B645=""),"",INT(($B645-$D645)/365.25))</f>
        <v/>
      </c>
      <c r="G645" s="25"/>
      <c r="H645" s="25"/>
      <c r="I645" s="12"/>
      <c r="J645" s="14" t="str">
        <f aca="false">IF(OR($C645="",$D645="",$B645="",$G645=""),"",IF(COUNTIFS($C$5:$C$804,$C645,$D$5:$D$804,$D645,$B$5:$B$804,$B645,$G$5:$G$804,$G645)&gt;1,"Takror",""))</f>
        <v/>
      </c>
    </row>
    <row r="646" customFormat="false" ht="15" hidden="false" customHeight="false" outlineLevel="0" collapsed="false">
      <c r="A646" s="8" t="n">
        <v>642</v>
      </c>
      <c r="B646" s="13"/>
      <c r="C646" s="12"/>
      <c r="D646" s="13"/>
      <c r="E646" s="24"/>
      <c r="F646" s="14" t="str">
        <f aca="false">IF(OR($D646="",$B646=""),"",INT(($B646-$D646)/365.25))</f>
        <v/>
      </c>
      <c r="G646" s="25"/>
      <c r="H646" s="25"/>
      <c r="I646" s="12"/>
      <c r="J646" s="14" t="str">
        <f aca="false">IF(OR($C646="",$D646="",$B646="",$G646=""),"",IF(COUNTIFS($C$5:$C$804,$C646,$D$5:$D$804,$D646,$B$5:$B$804,$B646,$G$5:$G$804,$G646)&gt;1,"Takror",""))</f>
        <v/>
      </c>
    </row>
    <row r="647" customFormat="false" ht="15" hidden="false" customHeight="false" outlineLevel="0" collapsed="false">
      <c r="A647" s="8" t="n">
        <v>643</v>
      </c>
      <c r="B647" s="13"/>
      <c r="C647" s="12"/>
      <c r="D647" s="13"/>
      <c r="E647" s="24"/>
      <c r="F647" s="14" t="str">
        <f aca="false">IF(OR($D647="",$B647=""),"",INT(($B647-$D647)/365.25))</f>
        <v/>
      </c>
      <c r="G647" s="25"/>
      <c r="H647" s="25"/>
      <c r="I647" s="12"/>
      <c r="J647" s="14" t="str">
        <f aca="false">IF(OR($C647="",$D647="",$B647="",$G647=""),"",IF(COUNTIFS($C$5:$C$804,$C647,$D$5:$D$804,$D647,$B$5:$B$804,$B647,$G$5:$G$804,$G647)&gt;1,"Takror",""))</f>
        <v/>
      </c>
    </row>
    <row r="648" customFormat="false" ht="15" hidden="false" customHeight="false" outlineLevel="0" collapsed="false">
      <c r="A648" s="8" t="n">
        <v>644</v>
      </c>
      <c r="B648" s="13"/>
      <c r="C648" s="12"/>
      <c r="D648" s="13"/>
      <c r="E648" s="24"/>
      <c r="F648" s="14" t="str">
        <f aca="false">IF(OR($D648="",$B648=""),"",INT(($B648-$D648)/365.25))</f>
        <v/>
      </c>
      <c r="G648" s="25"/>
      <c r="H648" s="25"/>
      <c r="I648" s="12"/>
      <c r="J648" s="14" t="str">
        <f aca="false">IF(OR($C648="",$D648="",$B648="",$G648=""),"",IF(COUNTIFS($C$5:$C$804,$C648,$D$5:$D$804,$D648,$B$5:$B$804,$B648,$G$5:$G$804,$G648)&gt;1,"Takror",""))</f>
        <v/>
      </c>
    </row>
    <row r="649" customFormat="false" ht="15" hidden="false" customHeight="false" outlineLevel="0" collapsed="false">
      <c r="A649" s="8" t="n">
        <v>645</v>
      </c>
      <c r="B649" s="13"/>
      <c r="C649" s="12"/>
      <c r="D649" s="13"/>
      <c r="E649" s="24"/>
      <c r="F649" s="14" t="str">
        <f aca="false">IF(OR($D649="",$B649=""),"",INT(($B649-$D649)/365.25))</f>
        <v/>
      </c>
      <c r="G649" s="25"/>
      <c r="H649" s="25"/>
      <c r="I649" s="12"/>
      <c r="J649" s="14" t="str">
        <f aca="false">IF(OR($C649="",$D649="",$B649="",$G649=""),"",IF(COUNTIFS($C$5:$C$804,$C649,$D$5:$D$804,$D649,$B$5:$B$804,$B649,$G$5:$G$804,$G649)&gt;1,"Takror",""))</f>
        <v/>
      </c>
    </row>
    <row r="650" customFormat="false" ht="15" hidden="false" customHeight="false" outlineLevel="0" collapsed="false">
      <c r="A650" s="8" t="n">
        <v>646</v>
      </c>
      <c r="B650" s="13"/>
      <c r="C650" s="12"/>
      <c r="D650" s="13"/>
      <c r="E650" s="24"/>
      <c r="F650" s="14" t="str">
        <f aca="false">IF(OR($D650="",$B650=""),"",INT(($B650-$D650)/365.25))</f>
        <v/>
      </c>
      <c r="G650" s="25"/>
      <c r="H650" s="25"/>
      <c r="I650" s="12"/>
      <c r="J650" s="14" t="str">
        <f aca="false">IF(OR($C650="",$D650="",$B650="",$G650=""),"",IF(COUNTIFS($C$5:$C$804,$C650,$D$5:$D$804,$D650,$B$5:$B$804,$B650,$G$5:$G$804,$G650)&gt;1,"Takror",""))</f>
        <v/>
      </c>
    </row>
    <row r="651" customFormat="false" ht="15" hidden="false" customHeight="false" outlineLevel="0" collapsed="false">
      <c r="A651" s="8" t="n">
        <v>647</v>
      </c>
      <c r="B651" s="13"/>
      <c r="C651" s="12"/>
      <c r="D651" s="13"/>
      <c r="E651" s="24"/>
      <c r="F651" s="14" t="str">
        <f aca="false">IF(OR($D651="",$B651=""),"",INT(($B651-$D651)/365.25))</f>
        <v/>
      </c>
      <c r="G651" s="25"/>
      <c r="H651" s="25"/>
      <c r="I651" s="12"/>
      <c r="J651" s="14" t="str">
        <f aca="false">IF(OR($C651="",$D651="",$B651="",$G651=""),"",IF(COUNTIFS($C$5:$C$804,$C651,$D$5:$D$804,$D651,$B$5:$B$804,$B651,$G$5:$G$804,$G651)&gt;1,"Takror",""))</f>
        <v/>
      </c>
    </row>
    <row r="652" customFormat="false" ht="15" hidden="false" customHeight="false" outlineLevel="0" collapsed="false">
      <c r="A652" s="8" t="n">
        <v>648</v>
      </c>
      <c r="B652" s="13"/>
      <c r="C652" s="12"/>
      <c r="D652" s="13"/>
      <c r="E652" s="24"/>
      <c r="F652" s="14" t="str">
        <f aca="false">IF(OR($D652="",$B652=""),"",INT(($B652-$D652)/365.25))</f>
        <v/>
      </c>
      <c r="G652" s="25"/>
      <c r="H652" s="25"/>
      <c r="I652" s="12"/>
      <c r="J652" s="14" t="str">
        <f aca="false">IF(OR($C652="",$D652="",$B652="",$G652=""),"",IF(COUNTIFS($C$5:$C$804,$C652,$D$5:$D$804,$D652,$B$5:$B$804,$B652,$G$5:$G$804,$G652)&gt;1,"Takror",""))</f>
        <v/>
      </c>
    </row>
    <row r="653" customFormat="false" ht="15" hidden="false" customHeight="false" outlineLevel="0" collapsed="false">
      <c r="A653" s="8" t="n">
        <v>649</v>
      </c>
      <c r="B653" s="13"/>
      <c r="C653" s="12"/>
      <c r="D653" s="13"/>
      <c r="E653" s="24"/>
      <c r="F653" s="14" t="str">
        <f aca="false">IF(OR($D653="",$B653=""),"",INT(($B653-$D653)/365.25))</f>
        <v/>
      </c>
      <c r="G653" s="25"/>
      <c r="H653" s="25"/>
      <c r="I653" s="12"/>
      <c r="J653" s="14" t="str">
        <f aca="false">IF(OR($C653="",$D653="",$B653="",$G653=""),"",IF(COUNTIFS($C$5:$C$804,$C653,$D$5:$D$804,$D653,$B$5:$B$804,$B653,$G$5:$G$804,$G653)&gt;1,"Takror",""))</f>
        <v/>
      </c>
    </row>
    <row r="654" customFormat="false" ht="15" hidden="false" customHeight="false" outlineLevel="0" collapsed="false">
      <c r="A654" s="8" t="n">
        <v>650</v>
      </c>
      <c r="B654" s="13"/>
      <c r="C654" s="12"/>
      <c r="D654" s="13"/>
      <c r="E654" s="24"/>
      <c r="F654" s="14" t="str">
        <f aca="false">IF(OR($D654="",$B654=""),"",INT(($B654-$D654)/365.25))</f>
        <v/>
      </c>
      <c r="G654" s="25"/>
      <c r="H654" s="25"/>
      <c r="I654" s="12"/>
      <c r="J654" s="14" t="str">
        <f aca="false">IF(OR($C654="",$D654="",$B654="",$G654=""),"",IF(COUNTIFS($C$5:$C$804,$C654,$D$5:$D$804,$D654,$B$5:$B$804,$B654,$G$5:$G$804,$G654)&gt;1,"Takror",""))</f>
        <v/>
      </c>
    </row>
    <row r="655" customFormat="false" ht="15" hidden="false" customHeight="false" outlineLevel="0" collapsed="false">
      <c r="A655" s="8" t="n">
        <v>651</v>
      </c>
      <c r="B655" s="13"/>
      <c r="C655" s="12"/>
      <c r="D655" s="13"/>
      <c r="E655" s="24"/>
      <c r="F655" s="14" t="str">
        <f aca="false">IF(OR($D655="",$B655=""),"",INT(($B655-$D655)/365.25))</f>
        <v/>
      </c>
      <c r="G655" s="25"/>
      <c r="H655" s="25"/>
      <c r="I655" s="12"/>
      <c r="J655" s="14" t="str">
        <f aca="false">IF(OR($C655="",$D655="",$B655="",$G655=""),"",IF(COUNTIFS($C$5:$C$804,$C655,$D$5:$D$804,$D655,$B$5:$B$804,$B655,$G$5:$G$804,$G655)&gt;1,"Takror",""))</f>
        <v/>
      </c>
    </row>
    <row r="656" customFormat="false" ht="15" hidden="false" customHeight="false" outlineLevel="0" collapsed="false">
      <c r="A656" s="8" t="n">
        <v>652</v>
      </c>
      <c r="B656" s="13"/>
      <c r="C656" s="12"/>
      <c r="D656" s="13"/>
      <c r="E656" s="24"/>
      <c r="F656" s="14" t="str">
        <f aca="false">IF(OR($D656="",$B656=""),"",INT(($B656-$D656)/365.25))</f>
        <v/>
      </c>
      <c r="G656" s="25"/>
      <c r="H656" s="25"/>
      <c r="I656" s="12"/>
      <c r="J656" s="14" t="str">
        <f aca="false">IF(OR($C656="",$D656="",$B656="",$G656=""),"",IF(COUNTIFS($C$5:$C$804,$C656,$D$5:$D$804,$D656,$B$5:$B$804,$B656,$G$5:$G$804,$G656)&gt;1,"Takror",""))</f>
        <v/>
      </c>
    </row>
    <row r="657" customFormat="false" ht="15" hidden="false" customHeight="false" outlineLevel="0" collapsed="false">
      <c r="A657" s="8" t="n">
        <v>653</v>
      </c>
      <c r="B657" s="13"/>
      <c r="C657" s="12"/>
      <c r="D657" s="13"/>
      <c r="E657" s="24"/>
      <c r="F657" s="14" t="str">
        <f aca="false">IF(OR($D657="",$B657=""),"",INT(($B657-$D657)/365.25))</f>
        <v/>
      </c>
      <c r="G657" s="25"/>
      <c r="H657" s="25"/>
      <c r="I657" s="12"/>
      <c r="J657" s="14" t="str">
        <f aca="false">IF(OR($C657="",$D657="",$B657="",$G657=""),"",IF(COUNTIFS($C$5:$C$804,$C657,$D$5:$D$804,$D657,$B$5:$B$804,$B657,$G$5:$G$804,$G657)&gt;1,"Takror",""))</f>
        <v/>
      </c>
    </row>
    <row r="658" customFormat="false" ht="15" hidden="false" customHeight="false" outlineLevel="0" collapsed="false">
      <c r="A658" s="8" t="n">
        <v>654</v>
      </c>
      <c r="B658" s="13"/>
      <c r="C658" s="12"/>
      <c r="D658" s="13"/>
      <c r="E658" s="24"/>
      <c r="F658" s="14" t="str">
        <f aca="false">IF(OR($D658="",$B658=""),"",INT(($B658-$D658)/365.25))</f>
        <v/>
      </c>
      <c r="G658" s="25"/>
      <c r="H658" s="25"/>
      <c r="I658" s="12"/>
      <c r="J658" s="14" t="str">
        <f aca="false">IF(OR($C658="",$D658="",$B658="",$G658=""),"",IF(COUNTIFS($C$5:$C$804,$C658,$D$5:$D$804,$D658,$B$5:$B$804,$B658,$G$5:$G$804,$G658)&gt;1,"Takror",""))</f>
        <v/>
      </c>
    </row>
    <row r="659" customFormat="false" ht="15" hidden="false" customHeight="false" outlineLevel="0" collapsed="false">
      <c r="A659" s="8" t="n">
        <v>655</v>
      </c>
      <c r="B659" s="13"/>
      <c r="C659" s="12"/>
      <c r="D659" s="13"/>
      <c r="E659" s="24"/>
      <c r="F659" s="14" t="str">
        <f aca="false">IF(OR($D659="",$B659=""),"",INT(($B659-$D659)/365.25))</f>
        <v/>
      </c>
      <c r="G659" s="25"/>
      <c r="H659" s="25"/>
      <c r="I659" s="12"/>
      <c r="J659" s="14" t="str">
        <f aca="false">IF(OR($C659="",$D659="",$B659="",$G659=""),"",IF(COUNTIFS($C$5:$C$804,$C659,$D$5:$D$804,$D659,$B$5:$B$804,$B659,$G$5:$G$804,$G659)&gt;1,"Takror",""))</f>
        <v/>
      </c>
    </row>
    <row r="660" customFormat="false" ht="15" hidden="false" customHeight="false" outlineLevel="0" collapsed="false">
      <c r="A660" s="8" t="n">
        <v>656</v>
      </c>
      <c r="B660" s="13"/>
      <c r="C660" s="12"/>
      <c r="D660" s="13"/>
      <c r="E660" s="24"/>
      <c r="F660" s="14" t="str">
        <f aca="false">IF(OR($D660="",$B660=""),"",INT(($B660-$D660)/365.25))</f>
        <v/>
      </c>
      <c r="G660" s="25"/>
      <c r="H660" s="25"/>
      <c r="I660" s="12"/>
      <c r="J660" s="14" t="str">
        <f aca="false">IF(OR($C660="",$D660="",$B660="",$G660=""),"",IF(COUNTIFS($C$5:$C$804,$C660,$D$5:$D$804,$D660,$B$5:$B$804,$B660,$G$5:$G$804,$G660)&gt;1,"Takror",""))</f>
        <v/>
      </c>
    </row>
    <row r="661" customFormat="false" ht="15" hidden="false" customHeight="false" outlineLevel="0" collapsed="false">
      <c r="A661" s="8" t="n">
        <v>657</v>
      </c>
      <c r="B661" s="13"/>
      <c r="C661" s="12"/>
      <c r="D661" s="13"/>
      <c r="E661" s="24"/>
      <c r="F661" s="14" t="str">
        <f aca="false">IF(OR($D661="",$B661=""),"",INT(($B661-$D661)/365.25))</f>
        <v/>
      </c>
      <c r="G661" s="25"/>
      <c r="H661" s="25"/>
      <c r="I661" s="12"/>
      <c r="J661" s="14" t="str">
        <f aca="false">IF(OR($C661="",$D661="",$B661="",$G661=""),"",IF(COUNTIFS($C$5:$C$804,$C661,$D$5:$D$804,$D661,$B$5:$B$804,$B661,$G$5:$G$804,$G661)&gt;1,"Takror",""))</f>
        <v/>
      </c>
    </row>
    <row r="662" customFormat="false" ht="15" hidden="false" customHeight="false" outlineLevel="0" collapsed="false">
      <c r="A662" s="8" t="n">
        <v>658</v>
      </c>
      <c r="B662" s="13"/>
      <c r="C662" s="12"/>
      <c r="D662" s="13"/>
      <c r="E662" s="24"/>
      <c r="F662" s="14" t="str">
        <f aca="false">IF(OR($D662="",$B662=""),"",INT(($B662-$D662)/365.25))</f>
        <v/>
      </c>
      <c r="G662" s="25"/>
      <c r="H662" s="25"/>
      <c r="I662" s="12"/>
      <c r="J662" s="14" t="str">
        <f aca="false">IF(OR($C662="",$D662="",$B662="",$G662=""),"",IF(COUNTIFS($C$5:$C$804,$C662,$D$5:$D$804,$D662,$B$5:$B$804,$B662,$G$5:$G$804,$G662)&gt;1,"Takror",""))</f>
        <v/>
      </c>
    </row>
    <row r="663" customFormat="false" ht="15" hidden="false" customHeight="false" outlineLevel="0" collapsed="false">
      <c r="A663" s="8" t="n">
        <v>659</v>
      </c>
      <c r="B663" s="13"/>
      <c r="C663" s="12"/>
      <c r="D663" s="13"/>
      <c r="E663" s="24"/>
      <c r="F663" s="14" t="str">
        <f aca="false">IF(OR($D663="",$B663=""),"",INT(($B663-$D663)/365.25))</f>
        <v/>
      </c>
      <c r="G663" s="25"/>
      <c r="H663" s="25"/>
      <c r="I663" s="12"/>
      <c r="J663" s="14" t="str">
        <f aca="false">IF(OR($C663="",$D663="",$B663="",$G663=""),"",IF(COUNTIFS($C$5:$C$804,$C663,$D$5:$D$804,$D663,$B$5:$B$804,$B663,$G$5:$G$804,$G663)&gt;1,"Takror",""))</f>
        <v/>
      </c>
    </row>
    <row r="664" customFormat="false" ht="15" hidden="false" customHeight="false" outlineLevel="0" collapsed="false">
      <c r="A664" s="8" t="n">
        <v>660</v>
      </c>
      <c r="B664" s="13"/>
      <c r="C664" s="12"/>
      <c r="D664" s="13"/>
      <c r="E664" s="24"/>
      <c r="F664" s="14" t="str">
        <f aca="false">IF(OR($D664="",$B664=""),"",INT(($B664-$D664)/365.25))</f>
        <v/>
      </c>
      <c r="G664" s="25"/>
      <c r="H664" s="25"/>
      <c r="I664" s="12"/>
      <c r="J664" s="14" t="str">
        <f aca="false">IF(OR($C664="",$D664="",$B664="",$G664=""),"",IF(COUNTIFS($C$5:$C$804,$C664,$D$5:$D$804,$D664,$B$5:$B$804,$B664,$G$5:$G$804,$G664)&gt;1,"Takror",""))</f>
        <v/>
      </c>
    </row>
    <row r="665" customFormat="false" ht="15" hidden="false" customHeight="false" outlineLevel="0" collapsed="false">
      <c r="A665" s="8" t="n">
        <v>661</v>
      </c>
      <c r="B665" s="13"/>
      <c r="C665" s="12"/>
      <c r="D665" s="13"/>
      <c r="E665" s="24"/>
      <c r="F665" s="14" t="str">
        <f aca="false">IF(OR($D665="",$B665=""),"",INT(($B665-$D665)/365.25))</f>
        <v/>
      </c>
      <c r="G665" s="25"/>
      <c r="H665" s="25"/>
      <c r="I665" s="12"/>
      <c r="J665" s="14" t="str">
        <f aca="false">IF(OR($C665="",$D665="",$B665="",$G665=""),"",IF(COUNTIFS($C$5:$C$804,$C665,$D$5:$D$804,$D665,$B$5:$B$804,$B665,$G$5:$G$804,$G665)&gt;1,"Takror",""))</f>
        <v/>
      </c>
    </row>
    <row r="666" customFormat="false" ht="15" hidden="false" customHeight="false" outlineLevel="0" collapsed="false">
      <c r="A666" s="8" t="n">
        <v>662</v>
      </c>
      <c r="B666" s="13"/>
      <c r="C666" s="12"/>
      <c r="D666" s="13"/>
      <c r="E666" s="24"/>
      <c r="F666" s="14" t="str">
        <f aca="false">IF(OR($D666="",$B666=""),"",INT(($B666-$D666)/365.25))</f>
        <v/>
      </c>
      <c r="G666" s="25"/>
      <c r="H666" s="25"/>
      <c r="I666" s="12"/>
      <c r="J666" s="14" t="str">
        <f aca="false">IF(OR($C666="",$D666="",$B666="",$G666=""),"",IF(COUNTIFS($C$5:$C$804,$C666,$D$5:$D$804,$D666,$B$5:$B$804,$B666,$G$5:$G$804,$G666)&gt;1,"Takror",""))</f>
        <v/>
      </c>
    </row>
    <row r="667" customFormat="false" ht="15" hidden="false" customHeight="false" outlineLevel="0" collapsed="false">
      <c r="A667" s="8" t="n">
        <v>663</v>
      </c>
      <c r="B667" s="13"/>
      <c r="C667" s="12"/>
      <c r="D667" s="13"/>
      <c r="E667" s="24"/>
      <c r="F667" s="14" t="str">
        <f aca="false">IF(OR($D667="",$B667=""),"",INT(($B667-$D667)/365.25))</f>
        <v/>
      </c>
      <c r="G667" s="25"/>
      <c r="H667" s="25"/>
      <c r="I667" s="12"/>
      <c r="J667" s="14" t="str">
        <f aca="false">IF(OR($C667="",$D667="",$B667="",$G667=""),"",IF(COUNTIFS($C$5:$C$804,$C667,$D$5:$D$804,$D667,$B$5:$B$804,$B667,$G$5:$G$804,$G667)&gt;1,"Takror",""))</f>
        <v/>
      </c>
    </row>
    <row r="668" customFormat="false" ht="15" hidden="false" customHeight="false" outlineLevel="0" collapsed="false">
      <c r="A668" s="8" t="n">
        <v>664</v>
      </c>
      <c r="B668" s="13"/>
      <c r="C668" s="12"/>
      <c r="D668" s="13"/>
      <c r="E668" s="24"/>
      <c r="F668" s="14" t="str">
        <f aca="false">IF(OR($D668="",$B668=""),"",INT(($B668-$D668)/365.25))</f>
        <v/>
      </c>
      <c r="G668" s="25"/>
      <c r="H668" s="25"/>
      <c r="I668" s="12"/>
      <c r="J668" s="14" t="str">
        <f aca="false">IF(OR($C668="",$D668="",$B668="",$G668=""),"",IF(COUNTIFS($C$5:$C$804,$C668,$D$5:$D$804,$D668,$B$5:$B$804,$B668,$G$5:$G$804,$G668)&gt;1,"Takror",""))</f>
        <v/>
      </c>
    </row>
    <row r="669" customFormat="false" ht="15" hidden="false" customHeight="false" outlineLevel="0" collapsed="false">
      <c r="A669" s="8" t="n">
        <v>665</v>
      </c>
      <c r="B669" s="13"/>
      <c r="C669" s="12"/>
      <c r="D669" s="13"/>
      <c r="E669" s="24"/>
      <c r="F669" s="14" t="str">
        <f aca="false">IF(OR($D669="",$B669=""),"",INT(($B669-$D669)/365.25))</f>
        <v/>
      </c>
      <c r="G669" s="25"/>
      <c r="H669" s="25"/>
      <c r="I669" s="12"/>
      <c r="J669" s="14" t="str">
        <f aca="false">IF(OR($C669="",$D669="",$B669="",$G669=""),"",IF(COUNTIFS($C$5:$C$804,$C669,$D$5:$D$804,$D669,$B$5:$B$804,$B669,$G$5:$G$804,$G669)&gt;1,"Takror",""))</f>
        <v/>
      </c>
    </row>
    <row r="670" customFormat="false" ht="15" hidden="false" customHeight="false" outlineLevel="0" collapsed="false">
      <c r="A670" s="8" t="n">
        <v>666</v>
      </c>
      <c r="B670" s="13"/>
      <c r="C670" s="12"/>
      <c r="D670" s="13"/>
      <c r="E670" s="24"/>
      <c r="F670" s="14" t="str">
        <f aca="false">IF(OR($D670="",$B670=""),"",INT(($B670-$D670)/365.25))</f>
        <v/>
      </c>
      <c r="G670" s="25"/>
      <c r="H670" s="25"/>
      <c r="I670" s="12"/>
      <c r="J670" s="14" t="str">
        <f aca="false">IF(OR($C670="",$D670="",$B670="",$G670=""),"",IF(COUNTIFS($C$5:$C$804,$C670,$D$5:$D$804,$D670,$B$5:$B$804,$B670,$G$5:$G$804,$G670)&gt;1,"Takror",""))</f>
        <v/>
      </c>
    </row>
    <row r="671" customFormat="false" ht="15" hidden="false" customHeight="false" outlineLevel="0" collapsed="false">
      <c r="A671" s="8" t="n">
        <v>667</v>
      </c>
      <c r="B671" s="13"/>
      <c r="C671" s="12"/>
      <c r="D671" s="13"/>
      <c r="E671" s="24"/>
      <c r="F671" s="14" t="str">
        <f aca="false">IF(OR($D671="",$B671=""),"",INT(($B671-$D671)/365.25))</f>
        <v/>
      </c>
      <c r="G671" s="25"/>
      <c r="H671" s="25"/>
      <c r="I671" s="12"/>
      <c r="J671" s="14" t="str">
        <f aca="false">IF(OR($C671="",$D671="",$B671="",$G671=""),"",IF(COUNTIFS($C$5:$C$804,$C671,$D$5:$D$804,$D671,$B$5:$B$804,$B671,$G$5:$G$804,$G671)&gt;1,"Takror",""))</f>
        <v/>
      </c>
    </row>
    <row r="672" customFormat="false" ht="15" hidden="false" customHeight="false" outlineLevel="0" collapsed="false">
      <c r="A672" s="8" t="n">
        <v>668</v>
      </c>
      <c r="B672" s="13"/>
      <c r="C672" s="12"/>
      <c r="D672" s="13"/>
      <c r="E672" s="24"/>
      <c r="F672" s="14" t="str">
        <f aca="false">IF(OR($D672="",$B672=""),"",INT(($B672-$D672)/365.25))</f>
        <v/>
      </c>
      <c r="G672" s="25"/>
      <c r="H672" s="25"/>
      <c r="I672" s="12"/>
      <c r="J672" s="14" t="str">
        <f aca="false">IF(OR($C672="",$D672="",$B672="",$G672=""),"",IF(COUNTIFS($C$5:$C$804,$C672,$D$5:$D$804,$D672,$B$5:$B$804,$B672,$G$5:$G$804,$G672)&gt;1,"Takror",""))</f>
        <v/>
      </c>
    </row>
    <row r="673" customFormat="false" ht="15" hidden="false" customHeight="false" outlineLevel="0" collapsed="false">
      <c r="A673" s="8" t="n">
        <v>669</v>
      </c>
      <c r="B673" s="13"/>
      <c r="C673" s="12"/>
      <c r="D673" s="13"/>
      <c r="E673" s="24"/>
      <c r="F673" s="14" t="str">
        <f aca="false">IF(OR($D673="",$B673=""),"",INT(($B673-$D673)/365.25))</f>
        <v/>
      </c>
      <c r="G673" s="25"/>
      <c r="H673" s="25"/>
      <c r="I673" s="12"/>
      <c r="J673" s="14" t="str">
        <f aca="false">IF(OR($C673="",$D673="",$B673="",$G673=""),"",IF(COUNTIFS($C$5:$C$804,$C673,$D$5:$D$804,$D673,$B$5:$B$804,$B673,$G$5:$G$804,$G673)&gt;1,"Takror",""))</f>
        <v/>
      </c>
    </row>
    <row r="674" customFormat="false" ht="15" hidden="false" customHeight="false" outlineLevel="0" collapsed="false">
      <c r="A674" s="8" t="n">
        <v>670</v>
      </c>
      <c r="B674" s="13"/>
      <c r="C674" s="12"/>
      <c r="D674" s="13"/>
      <c r="E674" s="24"/>
      <c r="F674" s="14" t="str">
        <f aca="false">IF(OR($D674="",$B674=""),"",INT(($B674-$D674)/365.25))</f>
        <v/>
      </c>
      <c r="G674" s="25"/>
      <c r="H674" s="25"/>
      <c r="I674" s="12"/>
      <c r="J674" s="14" t="str">
        <f aca="false">IF(OR($C674="",$D674="",$B674="",$G674=""),"",IF(COUNTIFS($C$5:$C$804,$C674,$D$5:$D$804,$D674,$B$5:$B$804,$B674,$G$5:$G$804,$G674)&gt;1,"Takror",""))</f>
        <v/>
      </c>
    </row>
    <row r="675" customFormat="false" ht="15" hidden="false" customHeight="false" outlineLevel="0" collapsed="false">
      <c r="A675" s="8" t="n">
        <v>671</v>
      </c>
      <c r="B675" s="13"/>
      <c r="C675" s="12"/>
      <c r="D675" s="13"/>
      <c r="E675" s="24"/>
      <c r="F675" s="14" t="str">
        <f aca="false">IF(OR($D675="",$B675=""),"",INT(($B675-$D675)/365.25))</f>
        <v/>
      </c>
      <c r="G675" s="25"/>
      <c r="H675" s="25"/>
      <c r="I675" s="12"/>
      <c r="J675" s="14" t="str">
        <f aca="false">IF(OR($C675="",$D675="",$B675="",$G675=""),"",IF(COUNTIFS($C$5:$C$804,$C675,$D$5:$D$804,$D675,$B$5:$B$804,$B675,$G$5:$G$804,$G675)&gt;1,"Takror",""))</f>
        <v/>
      </c>
    </row>
    <row r="676" customFormat="false" ht="15" hidden="false" customHeight="false" outlineLevel="0" collapsed="false">
      <c r="A676" s="8" t="n">
        <v>672</v>
      </c>
      <c r="B676" s="13"/>
      <c r="C676" s="12"/>
      <c r="D676" s="13"/>
      <c r="E676" s="24"/>
      <c r="F676" s="14" t="str">
        <f aca="false">IF(OR($D676="",$B676=""),"",INT(($B676-$D676)/365.25))</f>
        <v/>
      </c>
      <c r="G676" s="25"/>
      <c r="H676" s="25"/>
      <c r="I676" s="12"/>
      <c r="J676" s="14" t="str">
        <f aca="false">IF(OR($C676="",$D676="",$B676="",$G676=""),"",IF(COUNTIFS($C$5:$C$804,$C676,$D$5:$D$804,$D676,$B$5:$B$804,$B676,$G$5:$G$804,$G676)&gt;1,"Takror",""))</f>
        <v/>
      </c>
    </row>
    <row r="677" customFormat="false" ht="15" hidden="false" customHeight="false" outlineLevel="0" collapsed="false">
      <c r="A677" s="8" t="n">
        <v>673</v>
      </c>
      <c r="B677" s="13"/>
      <c r="C677" s="12"/>
      <c r="D677" s="13"/>
      <c r="E677" s="24"/>
      <c r="F677" s="14" t="str">
        <f aca="false">IF(OR($D677="",$B677=""),"",INT(($B677-$D677)/365.25))</f>
        <v/>
      </c>
      <c r="G677" s="25"/>
      <c r="H677" s="25"/>
      <c r="I677" s="12"/>
      <c r="J677" s="14" t="str">
        <f aca="false">IF(OR($C677="",$D677="",$B677="",$G677=""),"",IF(COUNTIFS($C$5:$C$804,$C677,$D$5:$D$804,$D677,$B$5:$B$804,$B677,$G$5:$G$804,$G677)&gt;1,"Takror",""))</f>
        <v/>
      </c>
    </row>
    <row r="678" customFormat="false" ht="15" hidden="false" customHeight="false" outlineLevel="0" collapsed="false">
      <c r="A678" s="8" t="n">
        <v>674</v>
      </c>
      <c r="B678" s="13"/>
      <c r="C678" s="12"/>
      <c r="D678" s="13"/>
      <c r="E678" s="24"/>
      <c r="F678" s="14" t="str">
        <f aca="false">IF(OR($D678="",$B678=""),"",INT(($B678-$D678)/365.25))</f>
        <v/>
      </c>
      <c r="G678" s="25"/>
      <c r="H678" s="25"/>
      <c r="I678" s="12"/>
      <c r="J678" s="14" t="str">
        <f aca="false">IF(OR($C678="",$D678="",$B678="",$G678=""),"",IF(COUNTIFS($C$5:$C$804,$C678,$D$5:$D$804,$D678,$B$5:$B$804,$B678,$G$5:$G$804,$G678)&gt;1,"Takror",""))</f>
        <v/>
      </c>
    </row>
    <row r="679" customFormat="false" ht="15" hidden="false" customHeight="false" outlineLevel="0" collapsed="false">
      <c r="A679" s="8" t="n">
        <v>675</v>
      </c>
      <c r="B679" s="13"/>
      <c r="C679" s="12"/>
      <c r="D679" s="13"/>
      <c r="E679" s="24"/>
      <c r="F679" s="14" t="str">
        <f aca="false">IF(OR($D679="",$B679=""),"",INT(($B679-$D679)/365.25))</f>
        <v/>
      </c>
      <c r="G679" s="25"/>
      <c r="H679" s="25"/>
      <c r="I679" s="12"/>
      <c r="J679" s="14" t="str">
        <f aca="false">IF(OR($C679="",$D679="",$B679="",$G679=""),"",IF(COUNTIFS($C$5:$C$804,$C679,$D$5:$D$804,$D679,$B$5:$B$804,$B679,$G$5:$G$804,$G679)&gt;1,"Takror",""))</f>
        <v/>
      </c>
    </row>
    <row r="680" customFormat="false" ht="15" hidden="false" customHeight="false" outlineLevel="0" collapsed="false">
      <c r="A680" s="8" t="n">
        <v>676</v>
      </c>
      <c r="B680" s="13"/>
      <c r="C680" s="12"/>
      <c r="D680" s="13"/>
      <c r="E680" s="24"/>
      <c r="F680" s="14" t="str">
        <f aca="false">IF(OR($D680="",$B680=""),"",INT(($B680-$D680)/365.25))</f>
        <v/>
      </c>
      <c r="G680" s="25"/>
      <c r="H680" s="25"/>
      <c r="I680" s="12"/>
      <c r="J680" s="14" t="str">
        <f aca="false">IF(OR($C680="",$D680="",$B680="",$G680=""),"",IF(COUNTIFS($C$5:$C$804,$C680,$D$5:$D$804,$D680,$B$5:$B$804,$B680,$G$5:$G$804,$G680)&gt;1,"Takror",""))</f>
        <v/>
      </c>
    </row>
    <row r="681" customFormat="false" ht="15" hidden="false" customHeight="false" outlineLevel="0" collapsed="false">
      <c r="A681" s="8" t="n">
        <v>677</v>
      </c>
      <c r="B681" s="13"/>
      <c r="C681" s="12"/>
      <c r="D681" s="13"/>
      <c r="E681" s="24"/>
      <c r="F681" s="14" t="str">
        <f aca="false">IF(OR($D681="",$B681=""),"",INT(($B681-$D681)/365.25))</f>
        <v/>
      </c>
      <c r="G681" s="25"/>
      <c r="H681" s="25"/>
      <c r="I681" s="12"/>
      <c r="J681" s="14" t="str">
        <f aca="false">IF(OR($C681="",$D681="",$B681="",$G681=""),"",IF(COUNTIFS($C$5:$C$804,$C681,$D$5:$D$804,$D681,$B$5:$B$804,$B681,$G$5:$G$804,$G681)&gt;1,"Takror",""))</f>
        <v/>
      </c>
    </row>
    <row r="682" customFormat="false" ht="15" hidden="false" customHeight="false" outlineLevel="0" collapsed="false">
      <c r="A682" s="8" t="n">
        <v>678</v>
      </c>
      <c r="B682" s="13"/>
      <c r="C682" s="12"/>
      <c r="D682" s="13"/>
      <c r="E682" s="24"/>
      <c r="F682" s="14" t="str">
        <f aca="false">IF(OR($D682="",$B682=""),"",INT(($B682-$D682)/365.25))</f>
        <v/>
      </c>
      <c r="G682" s="25"/>
      <c r="H682" s="25"/>
      <c r="I682" s="12"/>
      <c r="J682" s="14" t="str">
        <f aca="false">IF(OR($C682="",$D682="",$B682="",$G682=""),"",IF(COUNTIFS($C$5:$C$804,$C682,$D$5:$D$804,$D682,$B$5:$B$804,$B682,$G$5:$G$804,$G682)&gt;1,"Takror",""))</f>
        <v/>
      </c>
    </row>
    <row r="683" customFormat="false" ht="15" hidden="false" customHeight="false" outlineLevel="0" collapsed="false">
      <c r="A683" s="8" t="n">
        <v>679</v>
      </c>
      <c r="B683" s="13"/>
      <c r="C683" s="12"/>
      <c r="D683" s="13"/>
      <c r="E683" s="24"/>
      <c r="F683" s="14" t="str">
        <f aca="false">IF(OR($D683="",$B683=""),"",INT(($B683-$D683)/365.25))</f>
        <v/>
      </c>
      <c r="G683" s="25"/>
      <c r="H683" s="25"/>
      <c r="I683" s="12"/>
      <c r="J683" s="14" t="str">
        <f aca="false">IF(OR($C683="",$D683="",$B683="",$G683=""),"",IF(COUNTIFS($C$5:$C$804,$C683,$D$5:$D$804,$D683,$B$5:$B$804,$B683,$G$5:$G$804,$G683)&gt;1,"Takror",""))</f>
        <v/>
      </c>
    </row>
    <row r="684" customFormat="false" ht="15" hidden="false" customHeight="false" outlineLevel="0" collapsed="false">
      <c r="A684" s="8" t="n">
        <v>680</v>
      </c>
      <c r="B684" s="13"/>
      <c r="C684" s="12"/>
      <c r="D684" s="13"/>
      <c r="E684" s="24"/>
      <c r="F684" s="14" t="str">
        <f aca="false">IF(OR($D684="",$B684=""),"",INT(($B684-$D684)/365.25))</f>
        <v/>
      </c>
      <c r="G684" s="25"/>
      <c r="H684" s="25"/>
      <c r="I684" s="12"/>
      <c r="J684" s="14" t="str">
        <f aca="false">IF(OR($C684="",$D684="",$B684="",$G684=""),"",IF(COUNTIFS($C$5:$C$804,$C684,$D$5:$D$804,$D684,$B$5:$B$804,$B684,$G$5:$G$804,$G684)&gt;1,"Takror",""))</f>
        <v/>
      </c>
    </row>
    <row r="685" customFormat="false" ht="15" hidden="false" customHeight="false" outlineLevel="0" collapsed="false">
      <c r="A685" s="8" t="n">
        <v>681</v>
      </c>
      <c r="B685" s="13"/>
      <c r="C685" s="12"/>
      <c r="D685" s="13"/>
      <c r="E685" s="24"/>
      <c r="F685" s="14" t="str">
        <f aca="false">IF(OR($D685="",$B685=""),"",INT(($B685-$D685)/365.25))</f>
        <v/>
      </c>
      <c r="G685" s="25"/>
      <c r="H685" s="25"/>
      <c r="I685" s="12"/>
      <c r="J685" s="14" t="str">
        <f aca="false">IF(OR($C685="",$D685="",$B685="",$G685=""),"",IF(COUNTIFS($C$5:$C$804,$C685,$D$5:$D$804,$D685,$B$5:$B$804,$B685,$G$5:$G$804,$G685)&gt;1,"Takror",""))</f>
        <v/>
      </c>
    </row>
    <row r="686" customFormat="false" ht="15" hidden="false" customHeight="false" outlineLevel="0" collapsed="false">
      <c r="A686" s="8" t="n">
        <v>682</v>
      </c>
      <c r="B686" s="13"/>
      <c r="C686" s="12"/>
      <c r="D686" s="13"/>
      <c r="E686" s="24"/>
      <c r="F686" s="14" t="str">
        <f aca="false">IF(OR($D686="",$B686=""),"",INT(($B686-$D686)/365.25))</f>
        <v/>
      </c>
      <c r="G686" s="25"/>
      <c r="H686" s="25"/>
      <c r="I686" s="12"/>
      <c r="J686" s="14" t="str">
        <f aca="false">IF(OR($C686="",$D686="",$B686="",$G686=""),"",IF(COUNTIFS($C$5:$C$804,$C686,$D$5:$D$804,$D686,$B$5:$B$804,$B686,$G$5:$G$804,$G686)&gt;1,"Takror",""))</f>
        <v/>
      </c>
    </row>
    <row r="687" customFormat="false" ht="15" hidden="false" customHeight="false" outlineLevel="0" collapsed="false">
      <c r="A687" s="8" t="n">
        <v>683</v>
      </c>
      <c r="B687" s="13"/>
      <c r="C687" s="12"/>
      <c r="D687" s="13"/>
      <c r="E687" s="24"/>
      <c r="F687" s="14" t="str">
        <f aca="false">IF(OR($D687="",$B687=""),"",INT(($B687-$D687)/365.25))</f>
        <v/>
      </c>
      <c r="G687" s="25"/>
      <c r="H687" s="25"/>
      <c r="I687" s="12"/>
      <c r="J687" s="14" t="str">
        <f aca="false">IF(OR($C687="",$D687="",$B687="",$G687=""),"",IF(COUNTIFS($C$5:$C$804,$C687,$D$5:$D$804,$D687,$B$5:$B$804,$B687,$G$5:$G$804,$G687)&gt;1,"Takror",""))</f>
        <v/>
      </c>
    </row>
    <row r="688" customFormat="false" ht="15" hidden="false" customHeight="false" outlineLevel="0" collapsed="false">
      <c r="A688" s="8" t="n">
        <v>684</v>
      </c>
      <c r="B688" s="13"/>
      <c r="C688" s="12"/>
      <c r="D688" s="13"/>
      <c r="E688" s="24"/>
      <c r="F688" s="14" t="str">
        <f aca="false">IF(OR($D688="",$B688=""),"",INT(($B688-$D688)/365.25))</f>
        <v/>
      </c>
      <c r="G688" s="25"/>
      <c r="H688" s="25"/>
      <c r="I688" s="12"/>
      <c r="J688" s="14" t="str">
        <f aca="false">IF(OR($C688="",$D688="",$B688="",$G688=""),"",IF(COUNTIFS($C$5:$C$804,$C688,$D$5:$D$804,$D688,$B$5:$B$804,$B688,$G$5:$G$804,$G688)&gt;1,"Takror",""))</f>
        <v/>
      </c>
    </row>
    <row r="689" customFormat="false" ht="15" hidden="false" customHeight="false" outlineLevel="0" collapsed="false">
      <c r="A689" s="8" t="n">
        <v>685</v>
      </c>
      <c r="B689" s="13"/>
      <c r="C689" s="12"/>
      <c r="D689" s="13"/>
      <c r="E689" s="24"/>
      <c r="F689" s="14" t="str">
        <f aca="false">IF(OR($D689="",$B689=""),"",INT(($B689-$D689)/365.25))</f>
        <v/>
      </c>
      <c r="G689" s="25"/>
      <c r="H689" s="25"/>
      <c r="I689" s="12"/>
      <c r="J689" s="14" t="str">
        <f aca="false">IF(OR($C689="",$D689="",$B689="",$G689=""),"",IF(COUNTIFS($C$5:$C$804,$C689,$D$5:$D$804,$D689,$B$5:$B$804,$B689,$G$5:$G$804,$G689)&gt;1,"Takror",""))</f>
        <v/>
      </c>
    </row>
    <row r="690" customFormat="false" ht="15" hidden="false" customHeight="false" outlineLevel="0" collapsed="false">
      <c r="A690" s="8" t="n">
        <v>686</v>
      </c>
      <c r="B690" s="13"/>
      <c r="C690" s="12"/>
      <c r="D690" s="13"/>
      <c r="E690" s="24"/>
      <c r="F690" s="14" t="str">
        <f aca="false">IF(OR($D690="",$B690=""),"",INT(($B690-$D690)/365.25))</f>
        <v/>
      </c>
      <c r="G690" s="25"/>
      <c r="H690" s="25"/>
      <c r="I690" s="12"/>
      <c r="J690" s="14" t="str">
        <f aca="false">IF(OR($C690="",$D690="",$B690="",$G690=""),"",IF(COUNTIFS($C$5:$C$804,$C690,$D$5:$D$804,$D690,$B$5:$B$804,$B690,$G$5:$G$804,$G690)&gt;1,"Takror",""))</f>
        <v/>
      </c>
    </row>
    <row r="691" customFormat="false" ht="15" hidden="false" customHeight="false" outlineLevel="0" collapsed="false">
      <c r="A691" s="8" t="n">
        <v>687</v>
      </c>
      <c r="B691" s="13"/>
      <c r="C691" s="12"/>
      <c r="D691" s="13"/>
      <c r="E691" s="24"/>
      <c r="F691" s="14" t="str">
        <f aca="false">IF(OR($D691="",$B691=""),"",INT(($B691-$D691)/365.25))</f>
        <v/>
      </c>
      <c r="G691" s="25"/>
      <c r="H691" s="25"/>
      <c r="I691" s="12"/>
      <c r="J691" s="14" t="str">
        <f aca="false">IF(OR($C691="",$D691="",$B691="",$G691=""),"",IF(COUNTIFS($C$5:$C$804,$C691,$D$5:$D$804,$D691,$B$5:$B$804,$B691,$G$5:$G$804,$G691)&gt;1,"Takror",""))</f>
        <v/>
      </c>
    </row>
    <row r="692" customFormat="false" ht="15" hidden="false" customHeight="false" outlineLevel="0" collapsed="false">
      <c r="A692" s="8" t="n">
        <v>688</v>
      </c>
      <c r="B692" s="13"/>
      <c r="C692" s="12"/>
      <c r="D692" s="13"/>
      <c r="E692" s="24"/>
      <c r="F692" s="14" t="str">
        <f aca="false">IF(OR($D692="",$B692=""),"",INT(($B692-$D692)/365.25))</f>
        <v/>
      </c>
      <c r="G692" s="25"/>
      <c r="H692" s="25"/>
      <c r="I692" s="12"/>
      <c r="J692" s="14" t="str">
        <f aca="false">IF(OR($C692="",$D692="",$B692="",$G692=""),"",IF(COUNTIFS($C$5:$C$804,$C692,$D$5:$D$804,$D692,$B$5:$B$804,$B692,$G$5:$G$804,$G692)&gt;1,"Takror",""))</f>
        <v/>
      </c>
    </row>
    <row r="693" customFormat="false" ht="15" hidden="false" customHeight="false" outlineLevel="0" collapsed="false">
      <c r="A693" s="8" t="n">
        <v>689</v>
      </c>
      <c r="B693" s="13"/>
      <c r="C693" s="12"/>
      <c r="D693" s="13"/>
      <c r="E693" s="24"/>
      <c r="F693" s="14" t="str">
        <f aca="false">IF(OR($D693="",$B693=""),"",INT(($B693-$D693)/365.25))</f>
        <v/>
      </c>
      <c r="G693" s="25"/>
      <c r="H693" s="25"/>
      <c r="I693" s="12"/>
      <c r="J693" s="14" t="str">
        <f aca="false">IF(OR($C693="",$D693="",$B693="",$G693=""),"",IF(COUNTIFS($C$5:$C$804,$C693,$D$5:$D$804,$D693,$B$5:$B$804,$B693,$G$5:$G$804,$G693)&gt;1,"Takror",""))</f>
        <v/>
      </c>
    </row>
    <row r="694" customFormat="false" ht="15" hidden="false" customHeight="false" outlineLevel="0" collapsed="false">
      <c r="A694" s="8" t="n">
        <v>690</v>
      </c>
      <c r="B694" s="13"/>
      <c r="C694" s="12"/>
      <c r="D694" s="13"/>
      <c r="E694" s="24"/>
      <c r="F694" s="14" t="str">
        <f aca="false">IF(OR($D694="",$B694=""),"",INT(($B694-$D694)/365.25))</f>
        <v/>
      </c>
      <c r="G694" s="25"/>
      <c r="H694" s="25"/>
      <c r="I694" s="12"/>
      <c r="J694" s="14" t="str">
        <f aca="false">IF(OR($C694="",$D694="",$B694="",$G694=""),"",IF(COUNTIFS($C$5:$C$804,$C694,$D$5:$D$804,$D694,$B$5:$B$804,$B694,$G$5:$G$804,$G694)&gt;1,"Takror",""))</f>
        <v/>
      </c>
    </row>
    <row r="695" customFormat="false" ht="15" hidden="false" customHeight="false" outlineLevel="0" collapsed="false">
      <c r="A695" s="8" t="n">
        <v>691</v>
      </c>
      <c r="B695" s="13"/>
      <c r="C695" s="12"/>
      <c r="D695" s="13"/>
      <c r="E695" s="24"/>
      <c r="F695" s="14" t="str">
        <f aca="false">IF(OR($D695="",$B695=""),"",INT(($B695-$D695)/365.25))</f>
        <v/>
      </c>
      <c r="G695" s="25"/>
      <c r="H695" s="25"/>
      <c r="I695" s="12"/>
      <c r="J695" s="14" t="str">
        <f aca="false">IF(OR($C695="",$D695="",$B695="",$G695=""),"",IF(COUNTIFS($C$5:$C$804,$C695,$D$5:$D$804,$D695,$B$5:$B$804,$B695,$G$5:$G$804,$G695)&gt;1,"Takror",""))</f>
        <v/>
      </c>
    </row>
    <row r="696" customFormat="false" ht="15" hidden="false" customHeight="false" outlineLevel="0" collapsed="false">
      <c r="A696" s="8" t="n">
        <v>692</v>
      </c>
      <c r="B696" s="13"/>
      <c r="C696" s="12"/>
      <c r="D696" s="13"/>
      <c r="E696" s="24"/>
      <c r="F696" s="14" t="str">
        <f aca="false">IF(OR($D696="",$B696=""),"",INT(($B696-$D696)/365.25))</f>
        <v/>
      </c>
      <c r="G696" s="25"/>
      <c r="H696" s="25"/>
      <c r="I696" s="12"/>
      <c r="J696" s="14" t="str">
        <f aca="false">IF(OR($C696="",$D696="",$B696="",$G696=""),"",IF(COUNTIFS($C$5:$C$804,$C696,$D$5:$D$804,$D696,$B$5:$B$804,$B696,$G$5:$G$804,$G696)&gt;1,"Takror",""))</f>
        <v/>
      </c>
    </row>
    <row r="697" customFormat="false" ht="15" hidden="false" customHeight="false" outlineLevel="0" collapsed="false">
      <c r="A697" s="8" t="n">
        <v>693</v>
      </c>
      <c r="B697" s="13"/>
      <c r="C697" s="12"/>
      <c r="D697" s="13"/>
      <c r="E697" s="24"/>
      <c r="F697" s="14" t="str">
        <f aca="false">IF(OR($D697="",$B697=""),"",INT(($B697-$D697)/365.25))</f>
        <v/>
      </c>
      <c r="G697" s="25"/>
      <c r="H697" s="25"/>
      <c r="I697" s="12"/>
      <c r="J697" s="14" t="str">
        <f aca="false">IF(OR($C697="",$D697="",$B697="",$G697=""),"",IF(COUNTIFS($C$5:$C$804,$C697,$D$5:$D$804,$D697,$B$5:$B$804,$B697,$G$5:$G$804,$G697)&gt;1,"Takror",""))</f>
        <v/>
      </c>
    </row>
    <row r="698" customFormat="false" ht="15" hidden="false" customHeight="false" outlineLevel="0" collapsed="false">
      <c r="A698" s="8" t="n">
        <v>694</v>
      </c>
      <c r="B698" s="13"/>
      <c r="C698" s="12"/>
      <c r="D698" s="13"/>
      <c r="E698" s="24"/>
      <c r="F698" s="14" t="str">
        <f aca="false">IF(OR($D698="",$B698=""),"",INT(($B698-$D698)/365.25))</f>
        <v/>
      </c>
      <c r="G698" s="25"/>
      <c r="H698" s="25"/>
      <c r="I698" s="12"/>
      <c r="J698" s="14" t="str">
        <f aca="false">IF(OR($C698="",$D698="",$B698="",$G698=""),"",IF(COUNTIFS($C$5:$C$804,$C698,$D$5:$D$804,$D698,$B$5:$B$804,$B698,$G$5:$G$804,$G698)&gt;1,"Takror",""))</f>
        <v/>
      </c>
    </row>
    <row r="699" customFormat="false" ht="15" hidden="false" customHeight="false" outlineLevel="0" collapsed="false">
      <c r="A699" s="8" t="n">
        <v>695</v>
      </c>
      <c r="B699" s="13"/>
      <c r="C699" s="12"/>
      <c r="D699" s="13"/>
      <c r="E699" s="24"/>
      <c r="F699" s="14" t="str">
        <f aca="false">IF(OR($D699="",$B699=""),"",INT(($B699-$D699)/365.25))</f>
        <v/>
      </c>
      <c r="G699" s="25"/>
      <c r="H699" s="25"/>
      <c r="I699" s="12"/>
      <c r="J699" s="14" t="str">
        <f aca="false">IF(OR($C699="",$D699="",$B699="",$G699=""),"",IF(COUNTIFS($C$5:$C$804,$C699,$D$5:$D$804,$D699,$B$5:$B$804,$B699,$G$5:$G$804,$G699)&gt;1,"Takror",""))</f>
        <v/>
      </c>
    </row>
    <row r="700" customFormat="false" ht="15" hidden="false" customHeight="false" outlineLevel="0" collapsed="false">
      <c r="A700" s="8" t="n">
        <v>696</v>
      </c>
      <c r="B700" s="13"/>
      <c r="C700" s="12"/>
      <c r="D700" s="13"/>
      <c r="E700" s="24"/>
      <c r="F700" s="14" t="str">
        <f aca="false">IF(OR($D700="",$B700=""),"",INT(($B700-$D700)/365.25))</f>
        <v/>
      </c>
      <c r="G700" s="25"/>
      <c r="H700" s="25"/>
      <c r="I700" s="12"/>
      <c r="J700" s="14" t="str">
        <f aca="false">IF(OR($C700="",$D700="",$B700="",$G700=""),"",IF(COUNTIFS($C$5:$C$804,$C700,$D$5:$D$804,$D700,$B$5:$B$804,$B700,$G$5:$G$804,$G700)&gt;1,"Takror",""))</f>
        <v/>
      </c>
    </row>
    <row r="701" customFormat="false" ht="15" hidden="false" customHeight="false" outlineLevel="0" collapsed="false">
      <c r="A701" s="8" t="n">
        <v>697</v>
      </c>
      <c r="B701" s="13"/>
      <c r="C701" s="12"/>
      <c r="D701" s="13"/>
      <c r="E701" s="24"/>
      <c r="F701" s="14" t="str">
        <f aca="false">IF(OR($D701="",$B701=""),"",INT(($B701-$D701)/365.25))</f>
        <v/>
      </c>
      <c r="G701" s="25"/>
      <c r="H701" s="25"/>
      <c r="I701" s="12"/>
      <c r="J701" s="14" t="str">
        <f aca="false">IF(OR($C701="",$D701="",$B701="",$G701=""),"",IF(COUNTIFS($C$5:$C$804,$C701,$D$5:$D$804,$D701,$B$5:$B$804,$B701,$G$5:$G$804,$G701)&gt;1,"Takror",""))</f>
        <v/>
      </c>
    </row>
    <row r="702" customFormat="false" ht="15" hidden="false" customHeight="false" outlineLevel="0" collapsed="false">
      <c r="A702" s="8" t="n">
        <v>698</v>
      </c>
      <c r="B702" s="13"/>
      <c r="C702" s="12"/>
      <c r="D702" s="13"/>
      <c r="E702" s="24"/>
      <c r="F702" s="14" t="str">
        <f aca="false">IF(OR($D702="",$B702=""),"",INT(($B702-$D702)/365.25))</f>
        <v/>
      </c>
      <c r="G702" s="25"/>
      <c r="H702" s="25"/>
      <c r="I702" s="12"/>
      <c r="J702" s="14" t="str">
        <f aca="false">IF(OR($C702="",$D702="",$B702="",$G702=""),"",IF(COUNTIFS($C$5:$C$804,$C702,$D$5:$D$804,$D702,$B$5:$B$804,$B702,$G$5:$G$804,$G702)&gt;1,"Takror",""))</f>
        <v/>
      </c>
    </row>
    <row r="703" customFormat="false" ht="15" hidden="false" customHeight="false" outlineLevel="0" collapsed="false">
      <c r="A703" s="8" t="n">
        <v>699</v>
      </c>
      <c r="B703" s="13"/>
      <c r="C703" s="12"/>
      <c r="D703" s="13"/>
      <c r="E703" s="24"/>
      <c r="F703" s="14" t="str">
        <f aca="false">IF(OR($D703="",$B703=""),"",INT(($B703-$D703)/365.25))</f>
        <v/>
      </c>
      <c r="G703" s="25"/>
      <c r="H703" s="25"/>
      <c r="I703" s="12"/>
      <c r="J703" s="14" t="str">
        <f aca="false">IF(OR($C703="",$D703="",$B703="",$G703=""),"",IF(COUNTIFS($C$5:$C$804,$C703,$D$5:$D$804,$D703,$B$5:$B$804,$B703,$G$5:$G$804,$G703)&gt;1,"Takror",""))</f>
        <v/>
      </c>
    </row>
    <row r="704" customFormat="false" ht="15" hidden="false" customHeight="false" outlineLevel="0" collapsed="false">
      <c r="A704" s="8" t="n">
        <v>700</v>
      </c>
      <c r="B704" s="13"/>
      <c r="C704" s="12"/>
      <c r="D704" s="13"/>
      <c r="E704" s="24"/>
      <c r="F704" s="14" t="str">
        <f aca="false">IF(OR($D704="",$B704=""),"",INT(($B704-$D704)/365.25))</f>
        <v/>
      </c>
      <c r="G704" s="25"/>
      <c r="H704" s="25"/>
      <c r="I704" s="12"/>
      <c r="J704" s="14" t="str">
        <f aca="false">IF(OR($C704="",$D704="",$B704="",$G704=""),"",IF(COUNTIFS($C$5:$C$804,$C704,$D$5:$D$804,$D704,$B$5:$B$804,$B704,$G$5:$G$804,$G704)&gt;1,"Takror",""))</f>
        <v/>
      </c>
    </row>
    <row r="705" customFormat="false" ht="15" hidden="false" customHeight="false" outlineLevel="0" collapsed="false">
      <c r="A705" s="8" t="n">
        <v>701</v>
      </c>
      <c r="B705" s="13"/>
      <c r="C705" s="12"/>
      <c r="D705" s="13"/>
      <c r="E705" s="24"/>
      <c r="F705" s="14" t="str">
        <f aca="false">IF(OR($D705="",$B705=""),"",INT(($B705-$D705)/365.25))</f>
        <v/>
      </c>
      <c r="G705" s="25"/>
      <c r="H705" s="25"/>
      <c r="I705" s="12"/>
      <c r="J705" s="14" t="str">
        <f aca="false">IF(OR($C705="",$D705="",$B705="",$G705=""),"",IF(COUNTIFS($C$5:$C$804,$C705,$D$5:$D$804,$D705,$B$5:$B$804,$B705,$G$5:$G$804,$G705)&gt;1,"Takror",""))</f>
        <v/>
      </c>
    </row>
    <row r="706" customFormat="false" ht="15" hidden="false" customHeight="false" outlineLevel="0" collapsed="false">
      <c r="A706" s="8" t="n">
        <v>702</v>
      </c>
      <c r="B706" s="13"/>
      <c r="C706" s="12"/>
      <c r="D706" s="13"/>
      <c r="E706" s="24"/>
      <c r="F706" s="14" t="str">
        <f aca="false">IF(OR($D706="",$B706=""),"",INT(($B706-$D706)/365.25))</f>
        <v/>
      </c>
      <c r="G706" s="25"/>
      <c r="H706" s="25"/>
      <c r="I706" s="12"/>
      <c r="J706" s="14" t="str">
        <f aca="false">IF(OR($C706="",$D706="",$B706="",$G706=""),"",IF(COUNTIFS($C$5:$C$804,$C706,$D$5:$D$804,$D706,$B$5:$B$804,$B706,$G$5:$G$804,$G706)&gt;1,"Takror",""))</f>
        <v/>
      </c>
    </row>
    <row r="707" customFormat="false" ht="15" hidden="false" customHeight="false" outlineLevel="0" collapsed="false">
      <c r="A707" s="8" t="n">
        <v>703</v>
      </c>
      <c r="B707" s="13"/>
      <c r="C707" s="12"/>
      <c r="D707" s="13"/>
      <c r="E707" s="24"/>
      <c r="F707" s="14" t="str">
        <f aca="false">IF(OR($D707="",$B707=""),"",INT(($B707-$D707)/365.25))</f>
        <v/>
      </c>
      <c r="G707" s="25"/>
      <c r="H707" s="25"/>
      <c r="I707" s="12"/>
      <c r="J707" s="14" t="str">
        <f aca="false">IF(OR($C707="",$D707="",$B707="",$G707=""),"",IF(COUNTIFS($C$5:$C$804,$C707,$D$5:$D$804,$D707,$B$5:$B$804,$B707,$G$5:$G$804,$G707)&gt;1,"Takror",""))</f>
        <v/>
      </c>
    </row>
    <row r="708" customFormat="false" ht="15" hidden="false" customHeight="false" outlineLevel="0" collapsed="false">
      <c r="A708" s="8" t="n">
        <v>704</v>
      </c>
      <c r="B708" s="13"/>
      <c r="C708" s="12"/>
      <c r="D708" s="13"/>
      <c r="E708" s="24"/>
      <c r="F708" s="14" t="str">
        <f aca="false">IF(OR($D708="",$B708=""),"",INT(($B708-$D708)/365.25))</f>
        <v/>
      </c>
      <c r="G708" s="25"/>
      <c r="H708" s="25"/>
      <c r="I708" s="12"/>
      <c r="J708" s="14" t="str">
        <f aca="false">IF(OR($C708="",$D708="",$B708="",$G708=""),"",IF(COUNTIFS($C$5:$C$804,$C708,$D$5:$D$804,$D708,$B$5:$B$804,$B708,$G$5:$G$804,$G708)&gt;1,"Takror",""))</f>
        <v/>
      </c>
    </row>
    <row r="709" customFormat="false" ht="15" hidden="false" customHeight="false" outlineLevel="0" collapsed="false">
      <c r="A709" s="8" t="n">
        <v>705</v>
      </c>
      <c r="B709" s="13"/>
      <c r="C709" s="12"/>
      <c r="D709" s="13"/>
      <c r="E709" s="24"/>
      <c r="F709" s="14" t="str">
        <f aca="false">IF(OR($D709="",$B709=""),"",INT(($B709-$D709)/365.25))</f>
        <v/>
      </c>
      <c r="G709" s="25"/>
      <c r="H709" s="25"/>
      <c r="I709" s="12"/>
      <c r="J709" s="14" t="str">
        <f aca="false">IF(OR($C709="",$D709="",$B709="",$G709=""),"",IF(COUNTIFS($C$5:$C$804,$C709,$D$5:$D$804,$D709,$B$5:$B$804,$B709,$G$5:$G$804,$G709)&gt;1,"Takror",""))</f>
        <v/>
      </c>
    </row>
    <row r="710" customFormat="false" ht="15" hidden="false" customHeight="false" outlineLevel="0" collapsed="false">
      <c r="A710" s="8" t="n">
        <v>706</v>
      </c>
      <c r="B710" s="13"/>
      <c r="C710" s="12"/>
      <c r="D710" s="13"/>
      <c r="E710" s="24"/>
      <c r="F710" s="14" t="str">
        <f aca="false">IF(OR($D710="",$B710=""),"",INT(($B710-$D710)/365.25))</f>
        <v/>
      </c>
      <c r="G710" s="25"/>
      <c r="H710" s="25"/>
      <c r="I710" s="12"/>
      <c r="J710" s="14" t="str">
        <f aca="false">IF(OR($C710="",$D710="",$B710="",$G710=""),"",IF(COUNTIFS($C$5:$C$804,$C710,$D$5:$D$804,$D710,$B$5:$B$804,$B710,$G$5:$G$804,$G710)&gt;1,"Takror",""))</f>
        <v/>
      </c>
    </row>
    <row r="711" customFormat="false" ht="15" hidden="false" customHeight="false" outlineLevel="0" collapsed="false">
      <c r="A711" s="8" t="n">
        <v>707</v>
      </c>
      <c r="B711" s="13"/>
      <c r="C711" s="12"/>
      <c r="D711" s="13"/>
      <c r="E711" s="24"/>
      <c r="F711" s="14" t="str">
        <f aca="false">IF(OR($D711="",$B711=""),"",INT(($B711-$D711)/365.25))</f>
        <v/>
      </c>
      <c r="G711" s="25"/>
      <c r="H711" s="25"/>
      <c r="I711" s="12"/>
      <c r="J711" s="14" t="str">
        <f aca="false">IF(OR($C711="",$D711="",$B711="",$G711=""),"",IF(COUNTIFS($C$5:$C$804,$C711,$D$5:$D$804,$D711,$B$5:$B$804,$B711,$G$5:$G$804,$G711)&gt;1,"Takror",""))</f>
        <v/>
      </c>
    </row>
    <row r="712" customFormat="false" ht="15" hidden="false" customHeight="false" outlineLevel="0" collapsed="false">
      <c r="A712" s="8" t="n">
        <v>708</v>
      </c>
      <c r="B712" s="13"/>
      <c r="C712" s="12"/>
      <c r="D712" s="13"/>
      <c r="E712" s="24"/>
      <c r="F712" s="14" t="str">
        <f aca="false">IF(OR($D712="",$B712=""),"",INT(($B712-$D712)/365.25))</f>
        <v/>
      </c>
      <c r="G712" s="25"/>
      <c r="H712" s="25"/>
      <c r="I712" s="12"/>
      <c r="J712" s="14" t="str">
        <f aca="false">IF(OR($C712="",$D712="",$B712="",$G712=""),"",IF(COUNTIFS($C$5:$C$804,$C712,$D$5:$D$804,$D712,$B$5:$B$804,$B712,$G$5:$G$804,$G712)&gt;1,"Takror",""))</f>
        <v/>
      </c>
    </row>
    <row r="713" customFormat="false" ht="15" hidden="false" customHeight="false" outlineLevel="0" collapsed="false">
      <c r="A713" s="8" t="n">
        <v>709</v>
      </c>
      <c r="B713" s="13"/>
      <c r="C713" s="12"/>
      <c r="D713" s="13"/>
      <c r="E713" s="24"/>
      <c r="F713" s="14" t="str">
        <f aca="false">IF(OR($D713="",$B713=""),"",INT(($B713-$D713)/365.25))</f>
        <v/>
      </c>
      <c r="G713" s="25"/>
      <c r="H713" s="25"/>
      <c r="I713" s="12"/>
      <c r="J713" s="14" t="str">
        <f aca="false">IF(OR($C713="",$D713="",$B713="",$G713=""),"",IF(COUNTIFS($C$5:$C$804,$C713,$D$5:$D$804,$D713,$B$5:$B$804,$B713,$G$5:$G$804,$G713)&gt;1,"Takror",""))</f>
        <v/>
      </c>
    </row>
    <row r="714" customFormat="false" ht="15" hidden="false" customHeight="false" outlineLevel="0" collapsed="false">
      <c r="A714" s="8" t="n">
        <v>710</v>
      </c>
      <c r="B714" s="13"/>
      <c r="C714" s="12"/>
      <c r="D714" s="13"/>
      <c r="E714" s="24"/>
      <c r="F714" s="14" t="str">
        <f aca="false">IF(OR($D714="",$B714=""),"",INT(($B714-$D714)/365.25))</f>
        <v/>
      </c>
      <c r="G714" s="25"/>
      <c r="H714" s="25"/>
      <c r="I714" s="12"/>
      <c r="J714" s="14" t="str">
        <f aca="false">IF(OR($C714="",$D714="",$B714="",$G714=""),"",IF(COUNTIFS($C$5:$C$804,$C714,$D$5:$D$804,$D714,$B$5:$B$804,$B714,$G$5:$G$804,$G714)&gt;1,"Takror",""))</f>
        <v/>
      </c>
    </row>
    <row r="715" customFormat="false" ht="15" hidden="false" customHeight="false" outlineLevel="0" collapsed="false">
      <c r="A715" s="8" t="n">
        <v>711</v>
      </c>
      <c r="B715" s="13"/>
      <c r="C715" s="12"/>
      <c r="D715" s="13"/>
      <c r="E715" s="24"/>
      <c r="F715" s="14" t="str">
        <f aca="false">IF(OR($D715="",$B715=""),"",INT(($B715-$D715)/365.25))</f>
        <v/>
      </c>
      <c r="G715" s="25"/>
      <c r="H715" s="25"/>
      <c r="I715" s="12"/>
      <c r="J715" s="14" t="str">
        <f aca="false">IF(OR($C715="",$D715="",$B715="",$G715=""),"",IF(COUNTIFS($C$5:$C$804,$C715,$D$5:$D$804,$D715,$B$5:$B$804,$B715,$G$5:$G$804,$G715)&gt;1,"Takror",""))</f>
        <v/>
      </c>
    </row>
    <row r="716" customFormat="false" ht="15" hidden="false" customHeight="false" outlineLevel="0" collapsed="false">
      <c r="A716" s="8" t="n">
        <v>712</v>
      </c>
      <c r="B716" s="13"/>
      <c r="C716" s="12"/>
      <c r="D716" s="13"/>
      <c r="E716" s="24"/>
      <c r="F716" s="14" t="str">
        <f aca="false">IF(OR($D716="",$B716=""),"",INT(($B716-$D716)/365.25))</f>
        <v/>
      </c>
      <c r="G716" s="25"/>
      <c r="H716" s="25"/>
      <c r="I716" s="12"/>
      <c r="J716" s="14" t="str">
        <f aca="false">IF(OR($C716="",$D716="",$B716="",$G716=""),"",IF(COUNTIFS($C$5:$C$804,$C716,$D$5:$D$804,$D716,$B$5:$B$804,$B716,$G$5:$G$804,$G716)&gt;1,"Takror",""))</f>
        <v/>
      </c>
    </row>
    <row r="717" customFormat="false" ht="15" hidden="false" customHeight="false" outlineLevel="0" collapsed="false">
      <c r="A717" s="8" t="n">
        <v>713</v>
      </c>
      <c r="B717" s="13"/>
      <c r="C717" s="12"/>
      <c r="D717" s="13"/>
      <c r="E717" s="24"/>
      <c r="F717" s="14" t="str">
        <f aca="false">IF(OR($D717="",$B717=""),"",INT(($B717-$D717)/365.25))</f>
        <v/>
      </c>
      <c r="G717" s="25"/>
      <c r="H717" s="25"/>
      <c r="I717" s="12"/>
      <c r="J717" s="14" t="str">
        <f aca="false">IF(OR($C717="",$D717="",$B717="",$G717=""),"",IF(COUNTIFS($C$5:$C$804,$C717,$D$5:$D$804,$D717,$B$5:$B$804,$B717,$G$5:$G$804,$G717)&gt;1,"Takror",""))</f>
        <v/>
      </c>
    </row>
    <row r="718" customFormat="false" ht="15" hidden="false" customHeight="false" outlineLevel="0" collapsed="false">
      <c r="A718" s="8" t="n">
        <v>714</v>
      </c>
      <c r="B718" s="13"/>
      <c r="C718" s="12"/>
      <c r="D718" s="13"/>
      <c r="E718" s="24"/>
      <c r="F718" s="14" t="str">
        <f aca="false">IF(OR($D718="",$B718=""),"",INT(($B718-$D718)/365.25))</f>
        <v/>
      </c>
      <c r="G718" s="25"/>
      <c r="H718" s="25"/>
      <c r="I718" s="12"/>
      <c r="J718" s="14" t="str">
        <f aca="false">IF(OR($C718="",$D718="",$B718="",$G718=""),"",IF(COUNTIFS($C$5:$C$804,$C718,$D$5:$D$804,$D718,$B$5:$B$804,$B718,$G$5:$G$804,$G718)&gt;1,"Takror",""))</f>
        <v/>
      </c>
    </row>
    <row r="719" customFormat="false" ht="15" hidden="false" customHeight="false" outlineLevel="0" collapsed="false">
      <c r="A719" s="8" t="n">
        <v>715</v>
      </c>
      <c r="B719" s="13"/>
      <c r="C719" s="12"/>
      <c r="D719" s="13"/>
      <c r="E719" s="24"/>
      <c r="F719" s="14" t="str">
        <f aca="false">IF(OR($D719="",$B719=""),"",INT(($B719-$D719)/365.25))</f>
        <v/>
      </c>
      <c r="G719" s="25"/>
      <c r="H719" s="25"/>
      <c r="I719" s="12"/>
      <c r="J719" s="14" t="str">
        <f aca="false">IF(OR($C719="",$D719="",$B719="",$G719=""),"",IF(COUNTIFS($C$5:$C$804,$C719,$D$5:$D$804,$D719,$B$5:$B$804,$B719,$G$5:$G$804,$G719)&gt;1,"Takror",""))</f>
        <v/>
      </c>
    </row>
    <row r="720" customFormat="false" ht="15" hidden="false" customHeight="false" outlineLevel="0" collapsed="false">
      <c r="A720" s="8" t="n">
        <v>716</v>
      </c>
      <c r="B720" s="13"/>
      <c r="C720" s="12"/>
      <c r="D720" s="13"/>
      <c r="E720" s="24"/>
      <c r="F720" s="14" t="str">
        <f aca="false">IF(OR($D720="",$B720=""),"",INT(($B720-$D720)/365.25))</f>
        <v/>
      </c>
      <c r="G720" s="25"/>
      <c r="H720" s="25"/>
      <c r="I720" s="12"/>
      <c r="J720" s="14" t="str">
        <f aca="false">IF(OR($C720="",$D720="",$B720="",$G720=""),"",IF(COUNTIFS($C$5:$C$804,$C720,$D$5:$D$804,$D720,$B$5:$B$804,$B720,$G$5:$G$804,$G720)&gt;1,"Takror",""))</f>
        <v/>
      </c>
    </row>
    <row r="721" customFormat="false" ht="15" hidden="false" customHeight="false" outlineLevel="0" collapsed="false">
      <c r="A721" s="8" t="n">
        <v>717</v>
      </c>
      <c r="B721" s="13"/>
      <c r="C721" s="12"/>
      <c r="D721" s="13"/>
      <c r="E721" s="24"/>
      <c r="F721" s="14" t="str">
        <f aca="false">IF(OR($D721="",$B721=""),"",INT(($B721-$D721)/365.25))</f>
        <v/>
      </c>
      <c r="G721" s="25"/>
      <c r="H721" s="25"/>
      <c r="I721" s="12"/>
      <c r="J721" s="14" t="str">
        <f aca="false">IF(OR($C721="",$D721="",$B721="",$G721=""),"",IF(COUNTIFS($C$5:$C$804,$C721,$D$5:$D$804,$D721,$B$5:$B$804,$B721,$G$5:$G$804,$G721)&gt;1,"Takror",""))</f>
        <v/>
      </c>
    </row>
    <row r="722" customFormat="false" ht="15" hidden="false" customHeight="false" outlineLevel="0" collapsed="false">
      <c r="A722" s="8" t="n">
        <v>718</v>
      </c>
      <c r="B722" s="13"/>
      <c r="C722" s="12"/>
      <c r="D722" s="13"/>
      <c r="E722" s="24"/>
      <c r="F722" s="14" t="str">
        <f aca="false">IF(OR($D722="",$B722=""),"",INT(($B722-$D722)/365.25))</f>
        <v/>
      </c>
      <c r="G722" s="25"/>
      <c r="H722" s="25"/>
      <c r="I722" s="12"/>
      <c r="J722" s="14" t="str">
        <f aca="false">IF(OR($C722="",$D722="",$B722="",$G722=""),"",IF(COUNTIFS($C$5:$C$804,$C722,$D$5:$D$804,$D722,$B$5:$B$804,$B722,$G$5:$G$804,$G722)&gt;1,"Takror",""))</f>
        <v/>
      </c>
    </row>
    <row r="723" customFormat="false" ht="15" hidden="false" customHeight="false" outlineLevel="0" collapsed="false">
      <c r="A723" s="8" t="n">
        <v>719</v>
      </c>
      <c r="B723" s="13"/>
      <c r="C723" s="12"/>
      <c r="D723" s="13"/>
      <c r="E723" s="24"/>
      <c r="F723" s="14" t="str">
        <f aca="false">IF(OR($D723="",$B723=""),"",INT(($B723-$D723)/365.25))</f>
        <v/>
      </c>
      <c r="G723" s="25"/>
      <c r="H723" s="25"/>
      <c r="I723" s="12"/>
      <c r="J723" s="14" t="str">
        <f aca="false">IF(OR($C723="",$D723="",$B723="",$G723=""),"",IF(COUNTIFS($C$5:$C$804,$C723,$D$5:$D$804,$D723,$B$5:$B$804,$B723,$G$5:$G$804,$G723)&gt;1,"Takror",""))</f>
        <v/>
      </c>
    </row>
    <row r="724" customFormat="false" ht="15" hidden="false" customHeight="false" outlineLevel="0" collapsed="false">
      <c r="A724" s="8" t="n">
        <v>720</v>
      </c>
      <c r="B724" s="13"/>
      <c r="C724" s="12"/>
      <c r="D724" s="13"/>
      <c r="E724" s="24"/>
      <c r="F724" s="14" t="str">
        <f aca="false">IF(OR($D724="",$B724=""),"",INT(($B724-$D724)/365.25))</f>
        <v/>
      </c>
      <c r="G724" s="25"/>
      <c r="H724" s="25"/>
      <c r="I724" s="12"/>
      <c r="J724" s="14" t="str">
        <f aca="false">IF(OR($C724="",$D724="",$B724="",$G724=""),"",IF(COUNTIFS($C$5:$C$804,$C724,$D$5:$D$804,$D724,$B$5:$B$804,$B724,$G$5:$G$804,$G724)&gt;1,"Takror",""))</f>
        <v/>
      </c>
    </row>
    <row r="725" customFormat="false" ht="15" hidden="false" customHeight="false" outlineLevel="0" collapsed="false">
      <c r="A725" s="8" t="n">
        <v>721</v>
      </c>
      <c r="B725" s="13"/>
      <c r="C725" s="12"/>
      <c r="D725" s="13"/>
      <c r="E725" s="24"/>
      <c r="F725" s="14" t="str">
        <f aca="false">IF(OR($D725="",$B725=""),"",INT(($B725-$D725)/365.25))</f>
        <v/>
      </c>
      <c r="G725" s="25"/>
      <c r="H725" s="25"/>
      <c r="I725" s="12"/>
      <c r="J725" s="14" t="str">
        <f aca="false">IF(OR($C725="",$D725="",$B725="",$G725=""),"",IF(COUNTIFS($C$5:$C$804,$C725,$D$5:$D$804,$D725,$B$5:$B$804,$B725,$G$5:$G$804,$G725)&gt;1,"Takror",""))</f>
        <v/>
      </c>
    </row>
    <row r="726" customFormat="false" ht="15" hidden="false" customHeight="false" outlineLevel="0" collapsed="false">
      <c r="A726" s="8" t="n">
        <v>722</v>
      </c>
      <c r="B726" s="13"/>
      <c r="C726" s="12"/>
      <c r="D726" s="13"/>
      <c r="E726" s="24"/>
      <c r="F726" s="14" t="str">
        <f aca="false">IF(OR($D726="",$B726=""),"",INT(($B726-$D726)/365.25))</f>
        <v/>
      </c>
      <c r="G726" s="25"/>
      <c r="H726" s="25"/>
      <c r="I726" s="12"/>
      <c r="J726" s="14" t="str">
        <f aca="false">IF(OR($C726="",$D726="",$B726="",$G726=""),"",IF(COUNTIFS($C$5:$C$804,$C726,$D$5:$D$804,$D726,$B$5:$B$804,$B726,$G$5:$G$804,$G726)&gt;1,"Takror",""))</f>
        <v/>
      </c>
    </row>
    <row r="727" customFormat="false" ht="15" hidden="false" customHeight="false" outlineLevel="0" collapsed="false">
      <c r="A727" s="8" t="n">
        <v>723</v>
      </c>
      <c r="B727" s="13"/>
      <c r="C727" s="12"/>
      <c r="D727" s="13"/>
      <c r="E727" s="24"/>
      <c r="F727" s="14" t="str">
        <f aca="false">IF(OR($D727="",$B727=""),"",INT(($B727-$D727)/365.25))</f>
        <v/>
      </c>
      <c r="G727" s="25"/>
      <c r="H727" s="25"/>
      <c r="I727" s="12"/>
      <c r="J727" s="14" t="str">
        <f aca="false">IF(OR($C727="",$D727="",$B727="",$G727=""),"",IF(COUNTIFS($C$5:$C$804,$C727,$D$5:$D$804,$D727,$B$5:$B$804,$B727,$G$5:$G$804,$G727)&gt;1,"Takror",""))</f>
        <v/>
      </c>
    </row>
    <row r="728" customFormat="false" ht="15" hidden="false" customHeight="false" outlineLevel="0" collapsed="false">
      <c r="A728" s="8" t="n">
        <v>724</v>
      </c>
      <c r="B728" s="13"/>
      <c r="C728" s="12"/>
      <c r="D728" s="13"/>
      <c r="E728" s="24"/>
      <c r="F728" s="14" t="str">
        <f aca="false">IF(OR($D728="",$B728=""),"",INT(($B728-$D728)/365.25))</f>
        <v/>
      </c>
      <c r="G728" s="25"/>
      <c r="H728" s="25"/>
      <c r="I728" s="12"/>
      <c r="J728" s="14" t="str">
        <f aca="false">IF(OR($C728="",$D728="",$B728="",$G728=""),"",IF(COUNTIFS($C$5:$C$804,$C728,$D$5:$D$804,$D728,$B$5:$B$804,$B728,$G$5:$G$804,$G728)&gt;1,"Takror",""))</f>
        <v/>
      </c>
    </row>
    <row r="729" customFormat="false" ht="15" hidden="false" customHeight="false" outlineLevel="0" collapsed="false">
      <c r="A729" s="8" t="n">
        <v>725</v>
      </c>
      <c r="B729" s="13"/>
      <c r="C729" s="12"/>
      <c r="D729" s="13"/>
      <c r="E729" s="24"/>
      <c r="F729" s="14" t="str">
        <f aca="false">IF(OR($D729="",$B729=""),"",INT(($B729-$D729)/365.25))</f>
        <v/>
      </c>
      <c r="G729" s="25"/>
      <c r="H729" s="25"/>
      <c r="I729" s="12"/>
      <c r="J729" s="14" t="str">
        <f aca="false">IF(OR($C729="",$D729="",$B729="",$G729=""),"",IF(COUNTIFS($C$5:$C$804,$C729,$D$5:$D$804,$D729,$B$5:$B$804,$B729,$G$5:$G$804,$G729)&gt;1,"Takror",""))</f>
        <v/>
      </c>
    </row>
    <row r="730" customFormat="false" ht="15" hidden="false" customHeight="false" outlineLevel="0" collapsed="false">
      <c r="A730" s="8" t="n">
        <v>726</v>
      </c>
      <c r="B730" s="13"/>
      <c r="C730" s="12"/>
      <c r="D730" s="13"/>
      <c r="E730" s="24"/>
      <c r="F730" s="14" t="str">
        <f aca="false">IF(OR($D730="",$B730=""),"",INT(($B730-$D730)/365.25))</f>
        <v/>
      </c>
      <c r="G730" s="25"/>
      <c r="H730" s="25"/>
      <c r="I730" s="12"/>
      <c r="J730" s="14" t="str">
        <f aca="false">IF(OR($C730="",$D730="",$B730="",$G730=""),"",IF(COUNTIFS($C$5:$C$804,$C730,$D$5:$D$804,$D730,$B$5:$B$804,$B730,$G$5:$G$804,$G730)&gt;1,"Takror",""))</f>
        <v/>
      </c>
    </row>
    <row r="731" customFormat="false" ht="15" hidden="false" customHeight="false" outlineLevel="0" collapsed="false">
      <c r="A731" s="8" t="n">
        <v>727</v>
      </c>
      <c r="B731" s="13"/>
      <c r="C731" s="12"/>
      <c r="D731" s="13"/>
      <c r="E731" s="24"/>
      <c r="F731" s="14" t="str">
        <f aca="false">IF(OR($D731="",$B731=""),"",INT(($B731-$D731)/365.25))</f>
        <v/>
      </c>
      <c r="G731" s="25"/>
      <c r="H731" s="25"/>
      <c r="I731" s="12"/>
      <c r="J731" s="14" t="str">
        <f aca="false">IF(OR($C731="",$D731="",$B731="",$G731=""),"",IF(COUNTIFS($C$5:$C$804,$C731,$D$5:$D$804,$D731,$B$5:$B$804,$B731,$G$5:$G$804,$G731)&gt;1,"Takror",""))</f>
        <v/>
      </c>
    </row>
    <row r="732" customFormat="false" ht="15" hidden="false" customHeight="false" outlineLevel="0" collapsed="false">
      <c r="A732" s="8" t="n">
        <v>728</v>
      </c>
      <c r="B732" s="13"/>
      <c r="C732" s="12"/>
      <c r="D732" s="13"/>
      <c r="E732" s="24"/>
      <c r="F732" s="14" t="str">
        <f aca="false">IF(OR($D732="",$B732=""),"",INT(($B732-$D732)/365.25))</f>
        <v/>
      </c>
      <c r="G732" s="25"/>
      <c r="H732" s="25"/>
      <c r="I732" s="12"/>
      <c r="J732" s="14" t="str">
        <f aca="false">IF(OR($C732="",$D732="",$B732="",$G732=""),"",IF(COUNTIFS($C$5:$C$804,$C732,$D$5:$D$804,$D732,$B$5:$B$804,$B732,$G$5:$G$804,$G732)&gt;1,"Takror",""))</f>
        <v/>
      </c>
    </row>
    <row r="733" customFormat="false" ht="15" hidden="false" customHeight="false" outlineLevel="0" collapsed="false">
      <c r="A733" s="8" t="n">
        <v>729</v>
      </c>
      <c r="B733" s="13"/>
      <c r="C733" s="12"/>
      <c r="D733" s="13"/>
      <c r="E733" s="24"/>
      <c r="F733" s="14" t="str">
        <f aca="false">IF(OR($D733="",$B733=""),"",INT(($B733-$D733)/365.25))</f>
        <v/>
      </c>
      <c r="G733" s="25"/>
      <c r="H733" s="25"/>
      <c r="I733" s="12"/>
      <c r="J733" s="14" t="str">
        <f aca="false">IF(OR($C733="",$D733="",$B733="",$G733=""),"",IF(COUNTIFS($C$5:$C$804,$C733,$D$5:$D$804,$D733,$B$5:$B$804,$B733,$G$5:$G$804,$G733)&gt;1,"Takror",""))</f>
        <v/>
      </c>
    </row>
    <row r="734" customFormat="false" ht="15" hidden="false" customHeight="false" outlineLevel="0" collapsed="false">
      <c r="A734" s="8" t="n">
        <v>730</v>
      </c>
      <c r="B734" s="13"/>
      <c r="C734" s="12"/>
      <c r="D734" s="13"/>
      <c r="E734" s="24"/>
      <c r="F734" s="14" t="str">
        <f aca="false">IF(OR($D734="",$B734=""),"",INT(($B734-$D734)/365.25))</f>
        <v/>
      </c>
      <c r="G734" s="25"/>
      <c r="H734" s="25"/>
      <c r="I734" s="12"/>
      <c r="J734" s="14" t="str">
        <f aca="false">IF(OR($C734="",$D734="",$B734="",$G734=""),"",IF(COUNTIFS($C$5:$C$804,$C734,$D$5:$D$804,$D734,$B$5:$B$804,$B734,$G$5:$G$804,$G734)&gt;1,"Takror",""))</f>
        <v/>
      </c>
    </row>
    <row r="735" customFormat="false" ht="15" hidden="false" customHeight="false" outlineLevel="0" collapsed="false">
      <c r="A735" s="8" t="n">
        <v>731</v>
      </c>
      <c r="B735" s="13"/>
      <c r="C735" s="12"/>
      <c r="D735" s="13"/>
      <c r="E735" s="24"/>
      <c r="F735" s="14" t="str">
        <f aca="false">IF(OR($D735="",$B735=""),"",INT(($B735-$D735)/365.25))</f>
        <v/>
      </c>
      <c r="G735" s="25"/>
      <c r="H735" s="25"/>
      <c r="I735" s="12"/>
      <c r="J735" s="14" t="str">
        <f aca="false">IF(OR($C735="",$D735="",$B735="",$G735=""),"",IF(COUNTIFS($C$5:$C$804,$C735,$D$5:$D$804,$D735,$B$5:$B$804,$B735,$G$5:$G$804,$G735)&gt;1,"Takror",""))</f>
        <v/>
      </c>
    </row>
    <row r="736" customFormat="false" ht="15" hidden="false" customHeight="false" outlineLevel="0" collapsed="false">
      <c r="A736" s="8" t="n">
        <v>732</v>
      </c>
      <c r="B736" s="13"/>
      <c r="C736" s="12"/>
      <c r="D736" s="13"/>
      <c r="E736" s="24"/>
      <c r="F736" s="14" t="str">
        <f aca="false">IF(OR($D736="",$B736=""),"",INT(($B736-$D736)/365.25))</f>
        <v/>
      </c>
      <c r="G736" s="25"/>
      <c r="H736" s="25"/>
      <c r="I736" s="12"/>
      <c r="J736" s="14" t="str">
        <f aca="false">IF(OR($C736="",$D736="",$B736="",$G736=""),"",IF(COUNTIFS($C$5:$C$804,$C736,$D$5:$D$804,$D736,$B$5:$B$804,$B736,$G$5:$G$804,$G736)&gt;1,"Takror",""))</f>
        <v/>
      </c>
    </row>
    <row r="737" customFormat="false" ht="15" hidden="false" customHeight="false" outlineLevel="0" collapsed="false">
      <c r="A737" s="8" t="n">
        <v>733</v>
      </c>
      <c r="B737" s="13"/>
      <c r="C737" s="12"/>
      <c r="D737" s="13"/>
      <c r="E737" s="24"/>
      <c r="F737" s="14" t="str">
        <f aca="false">IF(OR($D737="",$B737=""),"",INT(($B737-$D737)/365.25))</f>
        <v/>
      </c>
      <c r="G737" s="25"/>
      <c r="H737" s="25"/>
      <c r="I737" s="12"/>
      <c r="J737" s="14" t="str">
        <f aca="false">IF(OR($C737="",$D737="",$B737="",$G737=""),"",IF(COUNTIFS($C$5:$C$804,$C737,$D$5:$D$804,$D737,$B$5:$B$804,$B737,$G$5:$G$804,$G737)&gt;1,"Takror",""))</f>
        <v/>
      </c>
    </row>
    <row r="738" customFormat="false" ht="15" hidden="false" customHeight="false" outlineLevel="0" collapsed="false">
      <c r="A738" s="8" t="n">
        <v>734</v>
      </c>
      <c r="B738" s="13"/>
      <c r="C738" s="12"/>
      <c r="D738" s="13"/>
      <c r="E738" s="24"/>
      <c r="F738" s="14" t="str">
        <f aca="false">IF(OR($D738="",$B738=""),"",INT(($B738-$D738)/365.25))</f>
        <v/>
      </c>
      <c r="G738" s="25"/>
      <c r="H738" s="25"/>
      <c r="I738" s="12"/>
      <c r="J738" s="14" t="str">
        <f aca="false">IF(OR($C738="",$D738="",$B738="",$G738=""),"",IF(COUNTIFS($C$5:$C$804,$C738,$D$5:$D$804,$D738,$B$5:$B$804,$B738,$G$5:$G$804,$G738)&gt;1,"Takror",""))</f>
        <v/>
      </c>
    </row>
    <row r="739" customFormat="false" ht="15" hidden="false" customHeight="false" outlineLevel="0" collapsed="false">
      <c r="A739" s="8" t="n">
        <v>735</v>
      </c>
      <c r="B739" s="13"/>
      <c r="C739" s="12"/>
      <c r="D739" s="13"/>
      <c r="E739" s="24"/>
      <c r="F739" s="14" t="str">
        <f aca="false">IF(OR($D739="",$B739=""),"",INT(($B739-$D739)/365.25))</f>
        <v/>
      </c>
      <c r="G739" s="25"/>
      <c r="H739" s="25"/>
      <c r="I739" s="12"/>
      <c r="J739" s="14" t="str">
        <f aca="false">IF(OR($C739="",$D739="",$B739="",$G739=""),"",IF(COUNTIFS($C$5:$C$804,$C739,$D$5:$D$804,$D739,$B$5:$B$804,$B739,$G$5:$G$804,$G739)&gt;1,"Takror",""))</f>
        <v/>
      </c>
    </row>
    <row r="740" customFormat="false" ht="15" hidden="false" customHeight="false" outlineLevel="0" collapsed="false">
      <c r="A740" s="8" t="n">
        <v>736</v>
      </c>
      <c r="B740" s="13"/>
      <c r="C740" s="12"/>
      <c r="D740" s="13"/>
      <c r="E740" s="24"/>
      <c r="F740" s="14" t="str">
        <f aca="false">IF(OR($D740="",$B740=""),"",INT(($B740-$D740)/365.25))</f>
        <v/>
      </c>
      <c r="G740" s="25"/>
      <c r="H740" s="25"/>
      <c r="I740" s="12"/>
      <c r="J740" s="14" t="str">
        <f aca="false">IF(OR($C740="",$D740="",$B740="",$G740=""),"",IF(COUNTIFS($C$5:$C$804,$C740,$D$5:$D$804,$D740,$B$5:$B$804,$B740,$G$5:$G$804,$G740)&gt;1,"Takror",""))</f>
        <v/>
      </c>
    </row>
    <row r="741" customFormat="false" ht="15" hidden="false" customHeight="false" outlineLevel="0" collapsed="false">
      <c r="A741" s="8" t="n">
        <v>737</v>
      </c>
      <c r="B741" s="13"/>
      <c r="C741" s="12"/>
      <c r="D741" s="13"/>
      <c r="E741" s="24"/>
      <c r="F741" s="14" t="str">
        <f aca="false">IF(OR($D741="",$B741=""),"",INT(($B741-$D741)/365.25))</f>
        <v/>
      </c>
      <c r="G741" s="25"/>
      <c r="H741" s="25"/>
      <c r="I741" s="12"/>
      <c r="J741" s="14" t="str">
        <f aca="false">IF(OR($C741="",$D741="",$B741="",$G741=""),"",IF(COUNTIFS($C$5:$C$804,$C741,$D$5:$D$804,$D741,$B$5:$B$804,$B741,$G$5:$G$804,$G741)&gt;1,"Takror",""))</f>
        <v/>
      </c>
    </row>
    <row r="742" customFormat="false" ht="15" hidden="false" customHeight="false" outlineLevel="0" collapsed="false">
      <c r="A742" s="8" t="n">
        <v>738</v>
      </c>
      <c r="B742" s="13"/>
      <c r="C742" s="12"/>
      <c r="D742" s="13"/>
      <c r="E742" s="24"/>
      <c r="F742" s="14" t="str">
        <f aca="false">IF(OR($D742="",$B742=""),"",INT(($B742-$D742)/365.25))</f>
        <v/>
      </c>
      <c r="G742" s="25"/>
      <c r="H742" s="25"/>
      <c r="I742" s="12"/>
      <c r="J742" s="14" t="str">
        <f aca="false">IF(OR($C742="",$D742="",$B742="",$G742=""),"",IF(COUNTIFS($C$5:$C$804,$C742,$D$5:$D$804,$D742,$B$5:$B$804,$B742,$G$5:$G$804,$G742)&gt;1,"Takror",""))</f>
        <v/>
      </c>
    </row>
    <row r="743" customFormat="false" ht="15" hidden="false" customHeight="false" outlineLevel="0" collapsed="false">
      <c r="A743" s="8" t="n">
        <v>739</v>
      </c>
      <c r="B743" s="13"/>
      <c r="C743" s="12"/>
      <c r="D743" s="13"/>
      <c r="E743" s="24"/>
      <c r="F743" s="14" t="str">
        <f aca="false">IF(OR($D743="",$B743=""),"",INT(($B743-$D743)/365.25))</f>
        <v/>
      </c>
      <c r="G743" s="25"/>
      <c r="H743" s="25"/>
      <c r="I743" s="12"/>
      <c r="J743" s="14" t="str">
        <f aca="false">IF(OR($C743="",$D743="",$B743="",$G743=""),"",IF(COUNTIFS($C$5:$C$804,$C743,$D$5:$D$804,$D743,$B$5:$B$804,$B743,$G$5:$G$804,$G743)&gt;1,"Takror",""))</f>
        <v/>
      </c>
    </row>
    <row r="744" customFormat="false" ht="15" hidden="false" customHeight="false" outlineLevel="0" collapsed="false">
      <c r="A744" s="8" t="n">
        <v>740</v>
      </c>
      <c r="B744" s="13"/>
      <c r="C744" s="12"/>
      <c r="D744" s="13"/>
      <c r="E744" s="24"/>
      <c r="F744" s="14" t="str">
        <f aca="false">IF(OR($D744="",$B744=""),"",INT(($B744-$D744)/365.25))</f>
        <v/>
      </c>
      <c r="G744" s="25"/>
      <c r="H744" s="25"/>
      <c r="I744" s="12"/>
      <c r="J744" s="14" t="str">
        <f aca="false">IF(OR($C744="",$D744="",$B744="",$G744=""),"",IF(COUNTIFS($C$5:$C$804,$C744,$D$5:$D$804,$D744,$B$5:$B$804,$B744,$G$5:$G$804,$G744)&gt;1,"Takror",""))</f>
        <v/>
      </c>
    </row>
    <row r="745" customFormat="false" ht="15" hidden="false" customHeight="false" outlineLevel="0" collapsed="false">
      <c r="A745" s="8" t="n">
        <v>741</v>
      </c>
      <c r="B745" s="13"/>
      <c r="C745" s="12"/>
      <c r="D745" s="13"/>
      <c r="E745" s="24"/>
      <c r="F745" s="14" t="str">
        <f aca="false">IF(OR($D745="",$B745=""),"",INT(($B745-$D745)/365.25))</f>
        <v/>
      </c>
      <c r="G745" s="25"/>
      <c r="H745" s="25"/>
      <c r="I745" s="12"/>
      <c r="J745" s="14" t="str">
        <f aca="false">IF(OR($C745="",$D745="",$B745="",$G745=""),"",IF(COUNTIFS($C$5:$C$804,$C745,$D$5:$D$804,$D745,$B$5:$B$804,$B745,$G$5:$G$804,$G745)&gt;1,"Takror",""))</f>
        <v/>
      </c>
    </row>
    <row r="746" customFormat="false" ht="15" hidden="false" customHeight="false" outlineLevel="0" collapsed="false">
      <c r="A746" s="8" t="n">
        <v>742</v>
      </c>
      <c r="B746" s="13"/>
      <c r="C746" s="12"/>
      <c r="D746" s="13"/>
      <c r="E746" s="24"/>
      <c r="F746" s="14" t="str">
        <f aca="false">IF(OR($D746="",$B746=""),"",INT(($B746-$D746)/365.25))</f>
        <v/>
      </c>
      <c r="G746" s="25"/>
      <c r="H746" s="25"/>
      <c r="I746" s="12"/>
      <c r="J746" s="14" t="str">
        <f aca="false">IF(OR($C746="",$D746="",$B746="",$G746=""),"",IF(COUNTIFS($C$5:$C$804,$C746,$D$5:$D$804,$D746,$B$5:$B$804,$B746,$G$5:$G$804,$G746)&gt;1,"Takror",""))</f>
        <v/>
      </c>
    </row>
    <row r="747" customFormat="false" ht="15" hidden="false" customHeight="false" outlineLevel="0" collapsed="false">
      <c r="A747" s="8" t="n">
        <v>743</v>
      </c>
      <c r="B747" s="13"/>
      <c r="C747" s="12"/>
      <c r="D747" s="13"/>
      <c r="E747" s="24"/>
      <c r="F747" s="14" t="str">
        <f aca="false">IF(OR($D747="",$B747=""),"",INT(($B747-$D747)/365.25))</f>
        <v/>
      </c>
      <c r="G747" s="25"/>
      <c r="H747" s="25"/>
      <c r="I747" s="12"/>
      <c r="J747" s="14" t="str">
        <f aca="false">IF(OR($C747="",$D747="",$B747="",$G747=""),"",IF(COUNTIFS($C$5:$C$804,$C747,$D$5:$D$804,$D747,$B$5:$B$804,$B747,$G$5:$G$804,$G747)&gt;1,"Takror",""))</f>
        <v/>
      </c>
    </row>
    <row r="748" customFormat="false" ht="15" hidden="false" customHeight="false" outlineLevel="0" collapsed="false">
      <c r="A748" s="8" t="n">
        <v>744</v>
      </c>
      <c r="B748" s="13"/>
      <c r="C748" s="12"/>
      <c r="D748" s="13"/>
      <c r="E748" s="24"/>
      <c r="F748" s="14" t="str">
        <f aca="false">IF(OR($D748="",$B748=""),"",INT(($B748-$D748)/365.25))</f>
        <v/>
      </c>
      <c r="G748" s="25"/>
      <c r="H748" s="25"/>
      <c r="I748" s="12"/>
      <c r="J748" s="14" t="str">
        <f aca="false">IF(OR($C748="",$D748="",$B748="",$G748=""),"",IF(COUNTIFS($C$5:$C$804,$C748,$D$5:$D$804,$D748,$B$5:$B$804,$B748,$G$5:$G$804,$G748)&gt;1,"Takror",""))</f>
        <v/>
      </c>
    </row>
    <row r="749" customFormat="false" ht="15" hidden="false" customHeight="false" outlineLevel="0" collapsed="false">
      <c r="A749" s="8" t="n">
        <v>745</v>
      </c>
      <c r="B749" s="13"/>
      <c r="C749" s="12"/>
      <c r="D749" s="13"/>
      <c r="E749" s="24"/>
      <c r="F749" s="14" t="str">
        <f aca="false">IF(OR($D749="",$B749=""),"",INT(($B749-$D749)/365.25))</f>
        <v/>
      </c>
      <c r="G749" s="25"/>
      <c r="H749" s="25"/>
      <c r="I749" s="12"/>
      <c r="J749" s="14" t="str">
        <f aca="false">IF(OR($C749="",$D749="",$B749="",$G749=""),"",IF(COUNTIFS($C$5:$C$804,$C749,$D$5:$D$804,$D749,$B$5:$B$804,$B749,$G$5:$G$804,$G749)&gt;1,"Takror",""))</f>
        <v/>
      </c>
    </row>
    <row r="750" customFormat="false" ht="15" hidden="false" customHeight="false" outlineLevel="0" collapsed="false">
      <c r="A750" s="8" t="n">
        <v>746</v>
      </c>
      <c r="B750" s="13"/>
      <c r="C750" s="12"/>
      <c r="D750" s="13"/>
      <c r="E750" s="24"/>
      <c r="F750" s="14" t="str">
        <f aca="false">IF(OR($D750="",$B750=""),"",INT(($B750-$D750)/365.25))</f>
        <v/>
      </c>
      <c r="G750" s="25"/>
      <c r="H750" s="25"/>
      <c r="I750" s="12"/>
      <c r="J750" s="14" t="str">
        <f aca="false">IF(OR($C750="",$D750="",$B750="",$G750=""),"",IF(COUNTIFS($C$5:$C$804,$C750,$D$5:$D$804,$D750,$B$5:$B$804,$B750,$G$5:$G$804,$G750)&gt;1,"Takror",""))</f>
        <v/>
      </c>
    </row>
    <row r="751" customFormat="false" ht="15" hidden="false" customHeight="false" outlineLevel="0" collapsed="false">
      <c r="A751" s="8" t="n">
        <v>747</v>
      </c>
      <c r="B751" s="13"/>
      <c r="C751" s="12"/>
      <c r="D751" s="13"/>
      <c r="E751" s="24"/>
      <c r="F751" s="14" t="str">
        <f aca="false">IF(OR($D751="",$B751=""),"",INT(($B751-$D751)/365.25))</f>
        <v/>
      </c>
      <c r="G751" s="25"/>
      <c r="H751" s="25"/>
      <c r="I751" s="12"/>
      <c r="J751" s="14" t="str">
        <f aca="false">IF(OR($C751="",$D751="",$B751="",$G751=""),"",IF(COUNTIFS($C$5:$C$804,$C751,$D$5:$D$804,$D751,$B$5:$B$804,$B751,$G$5:$G$804,$G751)&gt;1,"Takror",""))</f>
        <v/>
      </c>
    </row>
    <row r="752" customFormat="false" ht="15" hidden="false" customHeight="false" outlineLevel="0" collapsed="false">
      <c r="A752" s="8" t="n">
        <v>748</v>
      </c>
      <c r="B752" s="13"/>
      <c r="C752" s="12"/>
      <c r="D752" s="13"/>
      <c r="E752" s="24"/>
      <c r="F752" s="14" t="str">
        <f aca="false">IF(OR($D752="",$B752=""),"",INT(($B752-$D752)/365.25))</f>
        <v/>
      </c>
      <c r="G752" s="25"/>
      <c r="H752" s="25"/>
      <c r="I752" s="12"/>
      <c r="J752" s="14" t="str">
        <f aca="false">IF(OR($C752="",$D752="",$B752="",$G752=""),"",IF(COUNTIFS($C$5:$C$804,$C752,$D$5:$D$804,$D752,$B$5:$B$804,$B752,$G$5:$G$804,$G752)&gt;1,"Takror",""))</f>
        <v/>
      </c>
    </row>
    <row r="753" customFormat="false" ht="15" hidden="false" customHeight="false" outlineLevel="0" collapsed="false">
      <c r="A753" s="8" t="n">
        <v>749</v>
      </c>
      <c r="B753" s="13"/>
      <c r="C753" s="12"/>
      <c r="D753" s="13"/>
      <c r="E753" s="24"/>
      <c r="F753" s="14" t="str">
        <f aca="false">IF(OR($D753="",$B753=""),"",INT(($B753-$D753)/365.25))</f>
        <v/>
      </c>
      <c r="G753" s="25"/>
      <c r="H753" s="25"/>
      <c r="I753" s="12"/>
      <c r="J753" s="14" t="str">
        <f aca="false">IF(OR($C753="",$D753="",$B753="",$G753=""),"",IF(COUNTIFS($C$5:$C$804,$C753,$D$5:$D$804,$D753,$B$5:$B$804,$B753,$G$5:$G$804,$G753)&gt;1,"Takror",""))</f>
        <v/>
      </c>
    </row>
    <row r="754" customFormat="false" ht="15" hidden="false" customHeight="false" outlineLevel="0" collapsed="false">
      <c r="A754" s="8" t="n">
        <v>750</v>
      </c>
      <c r="B754" s="13"/>
      <c r="C754" s="12"/>
      <c r="D754" s="13"/>
      <c r="E754" s="24"/>
      <c r="F754" s="14" t="str">
        <f aca="false">IF(OR($D754="",$B754=""),"",INT(($B754-$D754)/365.25))</f>
        <v/>
      </c>
      <c r="G754" s="25"/>
      <c r="H754" s="25"/>
      <c r="I754" s="12"/>
      <c r="J754" s="14" t="str">
        <f aca="false">IF(OR($C754="",$D754="",$B754="",$G754=""),"",IF(COUNTIFS($C$5:$C$804,$C754,$D$5:$D$804,$D754,$B$5:$B$804,$B754,$G$5:$G$804,$G754)&gt;1,"Takror",""))</f>
        <v/>
      </c>
    </row>
    <row r="755" customFormat="false" ht="15" hidden="false" customHeight="false" outlineLevel="0" collapsed="false">
      <c r="A755" s="8" t="n">
        <v>751</v>
      </c>
      <c r="B755" s="13"/>
      <c r="C755" s="12"/>
      <c r="D755" s="13"/>
      <c r="E755" s="24"/>
      <c r="F755" s="14" t="str">
        <f aca="false">IF(OR($D755="",$B755=""),"",INT(($B755-$D755)/365.25))</f>
        <v/>
      </c>
      <c r="G755" s="25"/>
      <c r="H755" s="25"/>
      <c r="I755" s="12"/>
      <c r="J755" s="14" t="str">
        <f aca="false">IF(OR($C755="",$D755="",$B755="",$G755=""),"",IF(COUNTIFS($C$5:$C$804,$C755,$D$5:$D$804,$D755,$B$5:$B$804,$B755,$G$5:$G$804,$G755)&gt;1,"Takror",""))</f>
        <v/>
      </c>
    </row>
    <row r="756" customFormat="false" ht="15" hidden="false" customHeight="false" outlineLevel="0" collapsed="false">
      <c r="A756" s="8" t="n">
        <v>752</v>
      </c>
      <c r="B756" s="13"/>
      <c r="C756" s="12"/>
      <c r="D756" s="13"/>
      <c r="E756" s="24"/>
      <c r="F756" s="14" t="str">
        <f aca="false">IF(OR($D756="",$B756=""),"",INT(($B756-$D756)/365.25))</f>
        <v/>
      </c>
      <c r="G756" s="25"/>
      <c r="H756" s="25"/>
      <c r="I756" s="12"/>
      <c r="J756" s="14" t="str">
        <f aca="false">IF(OR($C756="",$D756="",$B756="",$G756=""),"",IF(COUNTIFS($C$5:$C$804,$C756,$D$5:$D$804,$D756,$B$5:$B$804,$B756,$G$5:$G$804,$G756)&gt;1,"Takror",""))</f>
        <v/>
      </c>
    </row>
    <row r="757" customFormat="false" ht="15" hidden="false" customHeight="false" outlineLevel="0" collapsed="false">
      <c r="A757" s="8" t="n">
        <v>753</v>
      </c>
      <c r="B757" s="13"/>
      <c r="C757" s="12"/>
      <c r="D757" s="13"/>
      <c r="E757" s="24"/>
      <c r="F757" s="14" t="str">
        <f aca="false">IF(OR($D757="",$B757=""),"",INT(($B757-$D757)/365.25))</f>
        <v/>
      </c>
      <c r="G757" s="25"/>
      <c r="H757" s="25"/>
      <c r="I757" s="12"/>
      <c r="J757" s="14" t="str">
        <f aca="false">IF(OR($C757="",$D757="",$B757="",$G757=""),"",IF(COUNTIFS($C$5:$C$804,$C757,$D$5:$D$804,$D757,$B$5:$B$804,$B757,$G$5:$G$804,$G757)&gt;1,"Takror",""))</f>
        <v/>
      </c>
    </row>
    <row r="758" customFormat="false" ht="15" hidden="false" customHeight="false" outlineLevel="0" collapsed="false">
      <c r="A758" s="8" t="n">
        <v>754</v>
      </c>
      <c r="B758" s="13"/>
      <c r="C758" s="12"/>
      <c r="D758" s="13"/>
      <c r="E758" s="24"/>
      <c r="F758" s="14" t="str">
        <f aca="false">IF(OR($D758="",$B758=""),"",INT(($B758-$D758)/365.25))</f>
        <v/>
      </c>
      <c r="G758" s="25"/>
      <c r="H758" s="25"/>
      <c r="I758" s="12"/>
      <c r="J758" s="14" t="str">
        <f aca="false">IF(OR($C758="",$D758="",$B758="",$G758=""),"",IF(COUNTIFS($C$5:$C$804,$C758,$D$5:$D$804,$D758,$B$5:$B$804,$B758,$G$5:$G$804,$G758)&gt;1,"Takror",""))</f>
        <v/>
      </c>
    </row>
    <row r="759" customFormat="false" ht="15" hidden="false" customHeight="false" outlineLevel="0" collapsed="false">
      <c r="A759" s="8" t="n">
        <v>755</v>
      </c>
      <c r="B759" s="13"/>
      <c r="C759" s="12"/>
      <c r="D759" s="13"/>
      <c r="E759" s="24"/>
      <c r="F759" s="14" t="str">
        <f aca="false">IF(OR($D759="",$B759=""),"",INT(($B759-$D759)/365.25))</f>
        <v/>
      </c>
      <c r="G759" s="25"/>
      <c r="H759" s="25"/>
      <c r="I759" s="12"/>
      <c r="J759" s="14" t="str">
        <f aca="false">IF(OR($C759="",$D759="",$B759="",$G759=""),"",IF(COUNTIFS($C$5:$C$804,$C759,$D$5:$D$804,$D759,$B$5:$B$804,$B759,$G$5:$G$804,$G759)&gt;1,"Takror",""))</f>
        <v/>
      </c>
    </row>
    <row r="760" customFormat="false" ht="15" hidden="false" customHeight="false" outlineLevel="0" collapsed="false">
      <c r="A760" s="8" t="n">
        <v>756</v>
      </c>
      <c r="B760" s="13"/>
      <c r="C760" s="12"/>
      <c r="D760" s="13"/>
      <c r="E760" s="24"/>
      <c r="F760" s="14" t="str">
        <f aca="false">IF(OR($D760="",$B760=""),"",INT(($B760-$D760)/365.25))</f>
        <v/>
      </c>
      <c r="G760" s="25"/>
      <c r="H760" s="25"/>
      <c r="I760" s="12"/>
      <c r="J760" s="14" t="str">
        <f aca="false">IF(OR($C760="",$D760="",$B760="",$G760=""),"",IF(COUNTIFS($C$5:$C$804,$C760,$D$5:$D$804,$D760,$B$5:$B$804,$B760,$G$5:$G$804,$G760)&gt;1,"Takror",""))</f>
        <v/>
      </c>
    </row>
    <row r="761" customFormat="false" ht="15" hidden="false" customHeight="false" outlineLevel="0" collapsed="false">
      <c r="A761" s="8" t="n">
        <v>757</v>
      </c>
      <c r="B761" s="13"/>
      <c r="C761" s="12"/>
      <c r="D761" s="13"/>
      <c r="E761" s="24"/>
      <c r="F761" s="14" t="str">
        <f aca="false">IF(OR($D761="",$B761=""),"",INT(($B761-$D761)/365.25))</f>
        <v/>
      </c>
      <c r="G761" s="25"/>
      <c r="H761" s="25"/>
      <c r="I761" s="12"/>
      <c r="J761" s="14" t="str">
        <f aca="false">IF(OR($C761="",$D761="",$B761="",$G761=""),"",IF(COUNTIFS($C$5:$C$804,$C761,$D$5:$D$804,$D761,$B$5:$B$804,$B761,$G$5:$G$804,$G761)&gt;1,"Takror",""))</f>
        <v/>
      </c>
    </row>
    <row r="762" customFormat="false" ht="15" hidden="false" customHeight="false" outlineLevel="0" collapsed="false">
      <c r="A762" s="8" t="n">
        <v>758</v>
      </c>
      <c r="B762" s="13"/>
      <c r="C762" s="12"/>
      <c r="D762" s="13"/>
      <c r="E762" s="24"/>
      <c r="F762" s="14" t="str">
        <f aca="false">IF(OR($D762="",$B762=""),"",INT(($B762-$D762)/365.25))</f>
        <v/>
      </c>
      <c r="G762" s="25"/>
      <c r="H762" s="25"/>
      <c r="I762" s="12"/>
      <c r="J762" s="14" t="str">
        <f aca="false">IF(OR($C762="",$D762="",$B762="",$G762=""),"",IF(COUNTIFS($C$5:$C$804,$C762,$D$5:$D$804,$D762,$B$5:$B$804,$B762,$G$5:$G$804,$G762)&gt;1,"Takror",""))</f>
        <v/>
      </c>
    </row>
    <row r="763" customFormat="false" ht="15" hidden="false" customHeight="false" outlineLevel="0" collapsed="false">
      <c r="A763" s="8" t="n">
        <v>759</v>
      </c>
      <c r="B763" s="13"/>
      <c r="C763" s="12"/>
      <c r="D763" s="13"/>
      <c r="E763" s="24"/>
      <c r="F763" s="14" t="str">
        <f aca="false">IF(OR($D763="",$B763=""),"",INT(($B763-$D763)/365.25))</f>
        <v/>
      </c>
      <c r="G763" s="25"/>
      <c r="H763" s="25"/>
      <c r="I763" s="12"/>
      <c r="J763" s="14" t="str">
        <f aca="false">IF(OR($C763="",$D763="",$B763="",$G763=""),"",IF(COUNTIFS($C$5:$C$804,$C763,$D$5:$D$804,$D763,$B$5:$B$804,$B763,$G$5:$G$804,$G763)&gt;1,"Takror",""))</f>
        <v/>
      </c>
    </row>
    <row r="764" customFormat="false" ht="15" hidden="false" customHeight="false" outlineLevel="0" collapsed="false">
      <c r="A764" s="8" t="n">
        <v>760</v>
      </c>
      <c r="B764" s="13"/>
      <c r="C764" s="12"/>
      <c r="D764" s="13"/>
      <c r="E764" s="24"/>
      <c r="F764" s="14" t="str">
        <f aca="false">IF(OR($D764="",$B764=""),"",INT(($B764-$D764)/365.25))</f>
        <v/>
      </c>
      <c r="G764" s="25"/>
      <c r="H764" s="25"/>
      <c r="I764" s="12"/>
      <c r="J764" s="14" t="str">
        <f aca="false">IF(OR($C764="",$D764="",$B764="",$G764=""),"",IF(COUNTIFS($C$5:$C$804,$C764,$D$5:$D$804,$D764,$B$5:$B$804,$B764,$G$5:$G$804,$G764)&gt;1,"Takror",""))</f>
        <v/>
      </c>
    </row>
    <row r="765" customFormat="false" ht="15" hidden="false" customHeight="false" outlineLevel="0" collapsed="false">
      <c r="A765" s="8" t="n">
        <v>761</v>
      </c>
      <c r="B765" s="13"/>
      <c r="C765" s="12"/>
      <c r="D765" s="13"/>
      <c r="E765" s="24"/>
      <c r="F765" s="14" t="str">
        <f aca="false">IF(OR($D765="",$B765=""),"",INT(($B765-$D765)/365.25))</f>
        <v/>
      </c>
      <c r="G765" s="25"/>
      <c r="H765" s="25"/>
      <c r="I765" s="12"/>
      <c r="J765" s="14" t="str">
        <f aca="false">IF(OR($C765="",$D765="",$B765="",$G765=""),"",IF(COUNTIFS($C$5:$C$804,$C765,$D$5:$D$804,$D765,$B$5:$B$804,$B765,$G$5:$G$804,$G765)&gt;1,"Takror",""))</f>
        <v/>
      </c>
    </row>
    <row r="766" customFormat="false" ht="15" hidden="false" customHeight="false" outlineLevel="0" collapsed="false">
      <c r="A766" s="8" t="n">
        <v>762</v>
      </c>
      <c r="B766" s="13"/>
      <c r="C766" s="12"/>
      <c r="D766" s="13"/>
      <c r="E766" s="24"/>
      <c r="F766" s="14" t="str">
        <f aca="false">IF(OR($D766="",$B766=""),"",INT(($B766-$D766)/365.25))</f>
        <v/>
      </c>
      <c r="G766" s="25"/>
      <c r="H766" s="25"/>
      <c r="I766" s="12"/>
      <c r="J766" s="14" t="str">
        <f aca="false">IF(OR($C766="",$D766="",$B766="",$G766=""),"",IF(COUNTIFS($C$5:$C$804,$C766,$D$5:$D$804,$D766,$B$5:$B$804,$B766,$G$5:$G$804,$G766)&gt;1,"Takror",""))</f>
        <v/>
      </c>
    </row>
    <row r="767" customFormat="false" ht="15" hidden="false" customHeight="false" outlineLevel="0" collapsed="false">
      <c r="A767" s="8" t="n">
        <v>763</v>
      </c>
      <c r="B767" s="13"/>
      <c r="C767" s="12"/>
      <c r="D767" s="13"/>
      <c r="E767" s="24"/>
      <c r="F767" s="14" t="str">
        <f aca="false">IF(OR($D767="",$B767=""),"",INT(($B767-$D767)/365.25))</f>
        <v/>
      </c>
      <c r="G767" s="25"/>
      <c r="H767" s="25"/>
      <c r="I767" s="12"/>
      <c r="J767" s="14" t="str">
        <f aca="false">IF(OR($C767="",$D767="",$B767="",$G767=""),"",IF(COUNTIFS($C$5:$C$804,$C767,$D$5:$D$804,$D767,$B$5:$B$804,$B767,$G$5:$G$804,$G767)&gt;1,"Takror",""))</f>
        <v/>
      </c>
    </row>
    <row r="768" customFormat="false" ht="15" hidden="false" customHeight="false" outlineLevel="0" collapsed="false">
      <c r="A768" s="8" t="n">
        <v>764</v>
      </c>
      <c r="B768" s="13"/>
      <c r="C768" s="12"/>
      <c r="D768" s="13"/>
      <c r="E768" s="24"/>
      <c r="F768" s="14" t="str">
        <f aca="false">IF(OR($D768="",$B768=""),"",INT(($B768-$D768)/365.25))</f>
        <v/>
      </c>
      <c r="G768" s="25"/>
      <c r="H768" s="25"/>
      <c r="I768" s="12"/>
      <c r="J768" s="14" t="str">
        <f aca="false">IF(OR($C768="",$D768="",$B768="",$G768=""),"",IF(COUNTIFS($C$5:$C$804,$C768,$D$5:$D$804,$D768,$B$5:$B$804,$B768,$G$5:$G$804,$G768)&gt;1,"Takror",""))</f>
        <v/>
      </c>
    </row>
    <row r="769" customFormat="false" ht="15" hidden="false" customHeight="false" outlineLevel="0" collapsed="false">
      <c r="A769" s="8" t="n">
        <v>765</v>
      </c>
      <c r="B769" s="13"/>
      <c r="C769" s="12"/>
      <c r="D769" s="13"/>
      <c r="E769" s="24"/>
      <c r="F769" s="14" t="str">
        <f aca="false">IF(OR($D769="",$B769=""),"",INT(($B769-$D769)/365.25))</f>
        <v/>
      </c>
      <c r="G769" s="25"/>
      <c r="H769" s="25"/>
      <c r="I769" s="12"/>
      <c r="J769" s="14" t="str">
        <f aca="false">IF(OR($C769="",$D769="",$B769="",$G769=""),"",IF(COUNTIFS($C$5:$C$804,$C769,$D$5:$D$804,$D769,$B$5:$B$804,$B769,$G$5:$G$804,$G769)&gt;1,"Takror",""))</f>
        <v/>
      </c>
    </row>
    <row r="770" customFormat="false" ht="15" hidden="false" customHeight="false" outlineLevel="0" collapsed="false">
      <c r="A770" s="8" t="n">
        <v>766</v>
      </c>
      <c r="B770" s="13"/>
      <c r="C770" s="12"/>
      <c r="D770" s="13"/>
      <c r="E770" s="24"/>
      <c r="F770" s="14" t="str">
        <f aca="false">IF(OR($D770="",$B770=""),"",INT(($B770-$D770)/365.25))</f>
        <v/>
      </c>
      <c r="G770" s="25"/>
      <c r="H770" s="25"/>
      <c r="I770" s="12"/>
      <c r="J770" s="14" t="str">
        <f aca="false">IF(OR($C770="",$D770="",$B770="",$G770=""),"",IF(COUNTIFS($C$5:$C$804,$C770,$D$5:$D$804,$D770,$B$5:$B$804,$B770,$G$5:$G$804,$G770)&gt;1,"Takror",""))</f>
        <v/>
      </c>
    </row>
    <row r="771" customFormat="false" ht="15" hidden="false" customHeight="false" outlineLevel="0" collapsed="false">
      <c r="A771" s="8" t="n">
        <v>767</v>
      </c>
      <c r="B771" s="13"/>
      <c r="C771" s="12"/>
      <c r="D771" s="13"/>
      <c r="E771" s="24"/>
      <c r="F771" s="14" t="str">
        <f aca="false">IF(OR($D771="",$B771=""),"",INT(($B771-$D771)/365.25))</f>
        <v/>
      </c>
      <c r="G771" s="25"/>
      <c r="H771" s="25"/>
      <c r="I771" s="12"/>
      <c r="J771" s="14" t="str">
        <f aca="false">IF(OR($C771="",$D771="",$B771="",$G771=""),"",IF(COUNTIFS($C$5:$C$804,$C771,$D$5:$D$804,$D771,$B$5:$B$804,$B771,$G$5:$G$804,$G771)&gt;1,"Takror",""))</f>
        <v/>
      </c>
    </row>
    <row r="772" customFormat="false" ht="15" hidden="false" customHeight="false" outlineLevel="0" collapsed="false">
      <c r="A772" s="8" t="n">
        <v>768</v>
      </c>
      <c r="B772" s="13"/>
      <c r="C772" s="12"/>
      <c r="D772" s="13"/>
      <c r="E772" s="24"/>
      <c r="F772" s="14" t="str">
        <f aca="false">IF(OR($D772="",$B772=""),"",INT(($B772-$D772)/365.25))</f>
        <v/>
      </c>
      <c r="G772" s="25"/>
      <c r="H772" s="25"/>
      <c r="I772" s="12"/>
      <c r="J772" s="14" t="str">
        <f aca="false">IF(OR($C772="",$D772="",$B772="",$G772=""),"",IF(COUNTIFS($C$5:$C$804,$C772,$D$5:$D$804,$D772,$B$5:$B$804,$B772,$G$5:$G$804,$G772)&gt;1,"Takror",""))</f>
        <v/>
      </c>
    </row>
    <row r="773" customFormat="false" ht="15" hidden="false" customHeight="false" outlineLevel="0" collapsed="false">
      <c r="A773" s="8" t="n">
        <v>769</v>
      </c>
      <c r="B773" s="13"/>
      <c r="C773" s="12"/>
      <c r="D773" s="13"/>
      <c r="E773" s="24"/>
      <c r="F773" s="14" t="str">
        <f aca="false">IF(OR($D773="",$B773=""),"",INT(($B773-$D773)/365.25))</f>
        <v/>
      </c>
      <c r="G773" s="25"/>
      <c r="H773" s="25"/>
      <c r="I773" s="12"/>
      <c r="J773" s="14" t="str">
        <f aca="false">IF(OR($C773="",$D773="",$B773="",$G773=""),"",IF(COUNTIFS($C$5:$C$804,$C773,$D$5:$D$804,$D773,$B$5:$B$804,$B773,$G$5:$G$804,$G773)&gt;1,"Takror",""))</f>
        <v/>
      </c>
    </row>
    <row r="774" customFormat="false" ht="15" hidden="false" customHeight="false" outlineLevel="0" collapsed="false">
      <c r="A774" s="8" t="n">
        <v>770</v>
      </c>
      <c r="B774" s="13"/>
      <c r="C774" s="12"/>
      <c r="D774" s="13"/>
      <c r="E774" s="24"/>
      <c r="F774" s="14" t="str">
        <f aca="false">IF(OR($D774="",$B774=""),"",INT(($B774-$D774)/365.25))</f>
        <v/>
      </c>
      <c r="G774" s="25"/>
      <c r="H774" s="25"/>
      <c r="I774" s="12"/>
      <c r="J774" s="14" t="str">
        <f aca="false">IF(OR($C774="",$D774="",$B774="",$G774=""),"",IF(COUNTIFS($C$5:$C$804,$C774,$D$5:$D$804,$D774,$B$5:$B$804,$B774,$G$5:$G$804,$G774)&gt;1,"Takror",""))</f>
        <v/>
      </c>
    </row>
    <row r="775" customFormat="false" ht="15" hidden="false" customHeight="false" outlineLevel="0" collapsed="false">
      <c r="A775" s="8" t="n">
        <v>771</v>
      </c>
      <c r="B775" s="13"/>
      <c r="C775" s="12"/>
      <c r="D775" s="13"/>
      <c r="E775" s="24"/>
      <c r="F775" s="14" t="str">
        <f aca="false">IF(OR($D775="",$B775=""),"",INT(($B775-$D775)/365.25))</f>
        <v/>
      </c>
      <c r="G775" s="25"/>
      <c r="H775" s="25"/>
      <c r="I775" s="12"/>
      <c r="J775" s="14" t="str">
        <f aca="false">IF(OR($C775="",$D775="",$B775="",$G775=""),"",IF(COUNTIFS($C$5:$C$804,$C775,$D$5:$D$804,$D775,$B$5:$B$804,$B775,$G$5:$G$804,$G775)&gt;1,"Takror",""))</f>
        <v/>
      </c>
    </row>
    <row r="776" customFormat="false" ht="15" hidden="false" customHeight="false" outlineLevel="0" collapsed="false">
      <c r="A776" s="8" t="n">
        <v>772</v>
      </c>
      <c r="B776" s="13"/>
      <c r="C776" s="12"/>
      <c r="D776" s="13"/>
      <c r="E776" s="24"/>
      <c r="F776" s="14" t="str">
        <f aca="false">IF(OR($D776="",$B776=""),"",INT(($B776-$D776)/365.25))</f>
        <v/>
      </c>
      <c r="G776" s="25"/>
      <c r="H776" s="25"/>
      <c r="I776" s="12"/>
      <c r="J776" s="14" t="str">
        <f aca="false">IF(OR($C776="",$D776="",$B776="",$G776=""),"",IF(COUNTIFS($C$5:$C$804,$C776,$D$5:$D$804,$D776,$B$5:$B$804,$B776,$G$5:$G$804,$G776)&gt;1,"Takror",""))</f>
        <v/>
      </c>
    </row>
    <row r="777" customFormat="false" ht="15" hidden="false" customHeight="false" outlineLevel="0" collapsed="false">
      <c r="A777" s="8" t="n">
        <v>773</v>
      </c>
      <c r="B777" s="13"/>
      <c r="C777" s="12"/>
      <c r="D777" s="13"/>
      <c r="E777" s="24"/>
      <c r="F777" s="14" t="str">
        <f aca="false">IF(OR($D777="",$B777=""),"",INT(($B777-$D777)/365.25))</f>
        <v/>
      </c>
      <c r="G777" s="25"/>
      <c r="H777" s="25"/>
      <c r="I777" s="12"/>
      <c r="J777" s="14" t="str">
        <f aca="false">IF(OR($C777="",$D777="",$B777="",$G777=""),"",IF(COUNTIFS($C$5:$C$804,$C777,$D$5:$D$804,$D777,$B$5:$B$804,$B777,$G$5:$G$804,$G777)&gt;1,"Takror",""))</f>
        <v/>
      </c>
    </row>
    <row r="778" customFormat="false" ht="15" hidden="false" customHeight="false" outlineLevel="0" collapsed="false">
      <c r="A778" s="8" t="n">
        <v>774</v>
      </c>
      <c r="B778" s="13"/>
      <c r="C778" s="12"/>
      <c r="D778" s="13"/>
      <c r="E778" s="24"/>
      <c r="F778" s="14" t="str">
        <f aca="false">IF(OR($D778="",$B778=""),"",INT(($B778-$D778)/365.25))</f>
        <v/>
      </c>
      <c r="G778" s="25"/>
      <c r="H778" s="25"/>
      <c r="I778" s="12"/>
      <c r="J778" s="14" t="str">
        <f aca="false">IF(OR($C778="",$D778="",$B778="",$G778=""),"",IF(COUNTIFS($C$5:$C$804,$C778,$D$5:$D$804,$D778,$B$5:$B$804,$B778,$G$5:$G$804,$G778)&gt;1,"Takror",""))</f>
        <v/>
      </c>
    </row>
    <row r="779" customFormat="false" ht="15" hidden="false" customHeight="false" outlineLevel="0" collapsed="false">
      <c r="A779" s="8" t="n">
        <v>775</v>
      </c>
      <c r="B779" s="13"/>
      <c r="C779" s="12"/>
      <c r="D779" s="13"/>
      <c r="E779" s="24"/>
      <c r="F779" s="14" t="str">
        <f aca="false">IF(OR($D779="",$B779=""),"",INT(($B779-$D779)/365.25))</f>
        <v/>
      </c>
      <c r="G779" s="25"/>
      <c r="H779" s="25"/>
      <c r="I779" s="12"/>
      <c r="J779" s="14" t="str">
        <f aca="false">IF(OR($C779="",$D779="",$B779="",$G779=""),"",IF(COUNTIFS($C$5:$C$804,$C779,$D$5:$D$804,$D779,$B$5:$B$804,$B779,$G$5:$G$804,$G779)&gt;1,"Takror",""))</f>
        <v/>
      </c>
    </row>
    <row r="780" customFormat="false" ht="15" hidden="false" customHeight="false" outlineLevel="0" collapsed="false">
      <c r="A780" s="8" t="n">
        <v>776</v>
      </c>
      <c r="B780" s="13"/>
      <c r="C780" s="12"/>
      <c r="D780" s="13"/>
      <c r="E780" s="24"/>
      <c r="F780" s="14" t="str">
        <f aca="false">IF(OR($D780="",$B780=""),"",INT(($B780-$D780)/365.25))</f>
        <v/>
      </c>
      <c r="G780" s="25"/>
      <c r="H780" s="25"/>
      <c r="I780" s="12"/>
      <c r="J780" s="14" t="str">
        <f aca="false">IF(OR($C780="",$D780="",$B780="",$G780=""),"",IF(COUNTIFS($C$5:$C$804,$C780,$D$5:$D$804,$D780,$B$5:$B$804,$B780,$G$5:$G$804,$G780)&gt;1,"Takror",""))</f>
        <v/>
      </c>
    </row>
    <row r="781" customFormat="false" ht="15" hidden="false" customHeight="false" outlineLevel="0" collapsed="false">
      <c r="A781" s="8" t="n">
        <v>777</v>
      </c>
      <c r="B781" s="13"/>
      <c r="C781" s="12"/>
      <c r="D781" s="13"/>
      <c r="E781" s="24"/>
      <c r="F781" s="14" t="str">
        <f aca="false">IF(OR($D781="",$B781=""),"",INT(($B781-$D781)/365.25))</f>
        <v/>
      </c>
      <c r="G781" s="25"/>
      <c r="H781" s="25"/>
      <c r="I781" s="12"/>
      <c r="J781" s="14" t="str">
        <f aca="false">IF(OR($C781="",$D781="",$B781="",$G781=""),"",IF(COUNTIFS($C$5:$C$804,$C781,$D$5:$D$804,$D781,$B$5:$B$804,$B781,$G$5:$G$804,$G781)&gt;1,"Takror",""))</f>
        <v/>
      </c>
    </row>
    <row r="782" customFormat="false" ht="15" hidden="false" customHeight="false" outlineLevel="0" collapsed="false">
      <c r="A782" s="8" t="n">
        <v>778</v>
      </c>
      <c r="B782" s="13"/>
      <c r="C782" s="12"/>
      <c r="D782" s="13"/>
      <c r="E782" s="24"/>
      <c r="F782" s="14" t="str">
        <f aca="false">IF(OR($D782="",$B782=""),"",INT(($B782-$D782)/365.25))</f>
        <v/>
      </c>
      <c r="G782" s="25"/>
      <c r="H782" s="25"/>
      <c r="I782" s="12"/>
      <c r="J782" s="14" t="str">
        <f aca="false">IF(OR($C782="",$D782="",$B782="",$G782=""),"",IF(COUNTIFS($C$5:$C$804,$C782,$D$5:$D$804,$D782,$B$5:$B$804,$B782,$G$5:$G$804,$G782)&gt;1,"Takror",""))</f>
        <v/>
      </c>
    </row>
    <row r="783" customFormat="false" ht="15" hidden="false" customHeight="false" outlineLevel="0" collapsed="false">
      <c r="A783" s="8" t="n">
        <v>779</v>
      </c>
      <c r="B783" s="13"/>
      <c r="C783" s="12"/>
      <c r="D783" s="13"/>
      <c r="E783" s="24"/>
      <c r="F783" s="14" t="str">
        <f aca="false">IF(OR($D783="",$B783=""),"",INT(($B783-$D783)/365.25))</f>
        <v/>
      </c>
      <c r="G783" s="25"/>
      <c r="H783" s="25"/>
      <c r="I783" s="12"/>
      <c r="J783" s="14" t="str">
        <f aca="false">IF(OR($C783="",$D783="",$B783="",$G783=""),"",IF(COUNTIFS($C$5:$C$804,$C783,$D$5:$D$804,$D783,$B$5:$B$804,$B783,$G$5:$G$804,$G783)&gt;1,"Takror",""))</f>
        <v/>
      </c>
    </row>
    <row r="784" customFormat="false" ht="15" hidden="false" customHeight="false" outlineLevel="0" collapsed="false">
      <c r="A784" s="8" t="n">
        <v>780</v>
      </c>
      <c r="B784" s="13"/>
      <c r="C784" s="12"/>
      <c r="D784" s="13"/>
      <c r="E784" s="24"/>
      <c r="F784" s="14" t="str">
        <f aca="false">IF(OR($D784="",$B784=""),"",INT(($B784-$D784)/365.25))</f>
        <v/>
      </c>
      <c r="G784" s="25"/>
      <c r="H784" s="25"/>
      <c r="I784" s="12"/>
      <c r="J784" s="14" t="str">
        <f aca="false">IF(OR($C784="",$D784="",$B784="",$G784=""),"",IF(COUNTIFS($C$5:$C$804,$C784,$D$5:$D$804,$D784,$B$5:$B$804,$B784,$G$5:$G$804,$G784)&gt;1,"Takror",""))</f>
        <v/>
      </c>
    </row>
    <row r="785" customFormat="false" ht="15" hidden="false" customHeight="false" outlineLevel="0" collapsed="false">
      <c r="A785" s="8" t="n">
        <v>781</v>
      </c>
      <c r="B785" s="13"/>
      <c r="C785" s="12"/>
      <c r="D785" s="13"/>
      <c r="E785" s="24"/>
      <c r="F785" s="14" t="str">
        <f aca="false">IF(OR($D785="",$B785=""),"",INT(($B785-$D785)/365.25))</f>
        <v/>
      </c>
      <c r="G785" s="25"/>
      <c r="H785" s="25"/>
      <c r="I785" s="12"/>
      <c r="J785" s="14" t="str">
        <f aca="false">IF(OR($C785="",$D785="",$B785="",$G785=""),"",IF(COUNTIFS($C$5:$C$804,$C785,$D$5:$D$804,$D785,$B$5:$B$804,$B785,$G$5:$G$804,$G785)&gt;1,"Takror",""))</f>
        <v/>
      </c>
    </row>
    <row r="786" customFormat="false" ht="15" hidden="false" customHeight="false" outlineLevel="0" collapsed="false">
      <c r="A786" s="8" t="n">
        <v>782</v>
      </c>
      <c r="B786" s="13"/>
      <c r="C786" s="12"/>
      <c r="D786" s="13"/>
      <c r="E786" s="24"/>
      <c r="F786" s="14" t="str">
        <f aca="false">IF(OR($D786="",$B786=""),"",INT(($B786-$D786)/365.25))</f>
        <v/>
      </c>
      <c r="G786" s="25"/>
      <c r="H786" s="25"/>
      <c r="I786" s="12"/>
      <c r="J786" s="14" t="str">
        <f aca="false">IF(OR($C786="",$D786="",$B786="",$G786=""),"",IF(COUNTIFS($C$5:$C$804,$C786,$D$5:$D$804,$D786,$B$5:$B$804,$B786,$G$5:$G$804,$G786)&gt;1,"Takror",""))</f>
        <v/>
      </c>
    </row>
    <row r="787" customFormat="false" ht="15" hidden="false" customHeight="false" outlineLevel="0" collapsed="false">
      <c r="A787" s="8" t="n">
        <v>783</v>
      </c>
      <c r="B787" s="13"/>
      <c r="C787" s="12"/>
      <c r="D787" s="13"/>
      <c r="E787" s="24"/>
      <c r="F787" s="14" t="str">
        <f aca="false">IF(OR($D787="",$B787=""),"",INT(($B787-$D787)/365.25))</f>
        <v/>
      </c>
      <c r="G787" s="25"/>
      <c r="H787" s="25"/>
      <c r="I787" s="12"/>
      <c r="J787" s="14" t="str">
        <f aca="false">IF(OR($C787="",$D787="",$B787="",$G787=""),"",IF(COUNTIFS($C$5:$C$804,$C787,$D$5:$D$804,$D787,$B$5:$B$804,$B787,$G$5:$G$804,$G787)&gt;1,"Takror",""))</f>
        <v/>
      </c>
    </row>
    <row r="788" customFormat="false" ht="15" hidden="false" customHeight="false" outlineLevel="0" collapsed="false">
      <c r="A788" s="8" t="n">
        <v>784</v>
      </c>
      <c r="B788" s="13"/>
      <c r="C788" s="12"/>
      <c r="D788" s="13"/>
      <c r="E788" s="24"/>
      <c r="F788" s="14" t="str">
        <f aca="false">IF(OR($D788="",$B788=""),"",INT(($B788-$D788)/365.25))</f>
        <v/>
      </c>
      <c r="G788" s="25"/>
      <c r="H788" s="25"/>
      <c r="I788" s="12"/>
      <c r="J788" s="14" t="str">
        <f aca="false">IF(OR($C788="",$D788="",$B788="",$G788=""),"",IF(COUNTIFS($C$5:$C$804,$C788,$D$5:$D$804,$D788,$B$5:$B$804,$B788,$G$5:$G$804,$G788)&gt;1,"Takror",""))</f>
        <v/>
      </c>
    </row>
    <row r="789" customFormat="false" ht="15" hidden="false" customHeight="false" outlineLevel="0" collapsed="false">
      <c r="A789" s="8" t="n">
        <v>785</v>
      </c>
      <c r="B789" s="13"/>
      <c r="C789" s="12"/>
      <c r="D789" s="13"/>
      <c r="E789" s="24"/>
      <c r="F789" s="14" t="str">
        <f aca="false">IF(OR($D789="",$B789=""),"",INT(($B789-$D789)/365.25))</f>
        <v/>
      </c>
      <c r="G789" s="25"/>
      <c r="H789" s="25"/>
      <c r="I789" s="12"/>
      <c r="J789" s="14" t="str">
        <f aca="false">IF(OR($C789="",$D789="",$B789="",$G789=""),"",IF(COUNTIFS($C$5:$C$804,$C789,$D$5:$D$804,$D789,$B$5:$B$804,$B789,$G$5:$G$804,$G789)&gt;1,"Takror",""))</f>
        <v/>
      </c>
    </row>
    <row r="790" customFormat="false" ht="15" hidden="false" customHeight="false" outlineLevel="0" collapsed="false">
      <c r="A790" s="8" t="n">
        <v>786</v>
      </c>
      <c r="B790" s="13"/>
      <c r="C790" s="12"/>
      <c r="D790" s="13"/>
      <c r="E790" s="24"/>
      <c r="F790" s="14" t="str">
        <f aca="false">IF(OR($D790="",$B790=""),"",INT(($B790-$D790)/365.25))</f>
        <v/>
      </c>
      <c r="G790" s="25"/>
      <c r="H790" s="25"/>
      <c r="I790" s="12"/>
      <c r="J790" s="14" t="str">
        <f aca="false">IF(OR($C790="",$D790="",$B790="",$G790=""),"",IF(COUNTIFS($C$5:$C$804,$C790,$D$5:$D$804,$D790,$B$5:$B$804,$B790,$G$5:$G$804,$G790)&gt;1,"Takror",""))</f>
        <v/>
      </c>
    </row>
    <row r="791" customFormat="false" ht="15" hidden="false" customHeight="false" outlineLevel="0" collapsed="false">
      <c r="A791" s="8" t="n">
        <v>787</v>
      </c>
      <c r="B791" s="13"/>
      <c r="C791" s="12"/>
      <c r="D791" s="13"/>
      <c r="E791" s="24"/>
      <c r="F791" s="14" t="str">
        <f aca="false">IF(OR($D791="",$B791=""),"",INT(($B791-$D791)/365.25))</f>
        <v/>
      </c>
      <c r="G791" s="25"/>
      <c r="H791" s="25"/>
      <c r="I791" s="12"/>
      <c r="J791" s="14" t="str">
        <f aca="false">IF(OR($C791="",$D791="",$B791="",$G791=""),"",IF(COUNTIFS($C$5:$C$804,$C791,$D$5:$D$804,$D791,$B$5:$B$804,$B791,$G$5:$G$804,$G791)&gt;1,"Takror",""))</f>
        <v/>
      </c>
    </row>
    <row r="792" customFormat="false" ht="15" hidden="false" customHeight="false" outlineLevel="0" collapsed="false">
      <c r="A792" s="8" t="n">
        <v>788</v>
      </c>
      <c r="B792" s="13"/>
      <c r="C792" s="12"/>
      <c r="D792" s="13"/>
      <c r="E792" s="24"/>
      <c r="F792" s="14" t="str">
        <f aca="false">IF(OR($D792="",$B792=""),"",INT(($B792-$D792)/365.25))</f>
        <v/>
      </c>
      <c r="G792" s="25"/>
      <c r="H792" s="25"/>
      <c r="I792" s="12"/>
      <c r="J792" s="14" t="str">
        <f aca="false">IF(OR($C792="",$D792="",$B792="",$G792=""),"",IF(COUNTIFS($C$5:$C$804,$C792,$D$5:$D$804,$D792,$B$5:$B$804,$B792,$G$5:$G$804,$G792)&gt;1,"Takror",""))</f>
        <v/>
      </c>
    </row>
    <row r="793" customFormat="false" ht="15" hidden="false" customHeight="false" outlineLevel="0" collapsed="false">
      <c r="A793" s="8" t="n">
        <v>789</v>
      </c>
      <c r="B793" s="13"/>
      <c r="C793" s="12"/>
      <c r="D793" s="13"/>
      <c r="E793" s="24"/>
      <c r="F793" s="14" t="str">
        <f aca="false">IF(OR($D793="",$B793=""),"",INT(($B793-$D793)/365.25))</f>
        <v/>
      </c>
      <c r="G793" s="25"/>
      <c r="H793" s="25"/>
      <c r="I793" s="12"/>
      <c r="J793" s="14" t="str">
        <f aca="false">IF(OR($C793="",$D793="",$B793="",$G793=""),"",IF(COUNTIFS($C$5:$C$804,$C793,$D$5:$D$804,$D793,$B$5:$B$804,$B793,$G$5:$G$804,$G793)&gt;1,"Takror",""))</f>
        <v/>
      </c>
    </row>
    <row r="794" customFormat="false" ht="15" hidden="false" customHeight="false" outlineLevel="0" collapsed="false">
      <c r="A794" s="8" t="n">
        <v>790</v>
      </c>
      <c r="B794" s="13"/>
      <c r="C794" s="12"/>
      <c r="D794" s="13"/>
      <c r="E794" s="24"/>
      <c r="F794" s="14" t="str">
        <f aca="false">IF(OR($D794="",$B794=""),"",INT(($B794-$D794)/365.25))</f>
        <v/>
      </c>
      <c r="G794" s="25"/>
      <c r="H794" s="25"/>
      <c r="I794" s="12"/>
      <c r="J794" s="14" t="str">
        <f aca="false">IF(OR($C794="",$D794="",$B794="",$G794=""),"",IF(COUNTIFS($C$5:$C$804,$C794,$D$5:$D$804,$D794,$B$5:$B$804,$B794,$G$5:$G$804,$G794)&gt;1,"Takror",""))</f>
        <v/>
      </c>
    </row>
    <row r="795" customFormat="false" ht="15" hidden="false" customHeight="false" outlineLevel="0" collapsed="false">
      <c r="A795" s="8" t="n">
        <v>791</v>
      </c>
      <c r="B795" s="13"/>
      <c r="C795" s="12"/>
      <c r="D795" s="13"/>
      <c r="E795" s="24"/>
      <c r="F795" s="14" t="str">
        <f aca="false">IF(OR($D795="",$B795=""),"",INT(($B795-$D795)/365.25))</f>
        <v/>
      </c>
      <c r="G795" s="25"/>
      <c r="H795" s="25"/>
      <c r="I795" s="12"/>
      <c r="J795" s="14" t="str">
        <f aca="false">IF(OR($C795="",$D795="",$B795="",$G795=""),"",IF(COUNTIFS($C$5:$C$804,$C795,$D$5:$D$804,$D795,$B$5:$B$804,$B795,$G$5:$G$804,$G795)&gt;1,"Takror",""))</f>
        <v/>
      </c>
    </row>
    <row r="796" customFormat="false" ht="15" hidden="false" customHeight="false" outlineLevel="0" collapsed="false">
      <c r="A796" s="8" t="n">
        <v>792</v>
      </c>
      <c r="B796" s="13"/>
      <c r="C796" s="12"/>
      <c r="D796" s="13"/>
      <c r="E796" s="24"/>
      <c r="F796" s="14" t="str">
        <f aca="false">IF(OR($D796="",$B796=""),"",INT(($B796-$D796)/365.25))</f>
        <v/>
      </c>
      <c r="G796" s="25"/>
      <c r="H796" s="25"/>
      <c r="I796" s="12"/>
      <c r="J796" s="14" t="str">
        <f aca="false">IF(OR($C796="",$D796="",$B796="",$G796=""),"",IF(COUNTIFS($C$5:$C$804,$C796,$D$5:$D$804,$D796,$B$5:$B$804,$B796,$G$5:$G$804,$G796)&gt;1,"Takror",""))</f>
        <v/>
      </c>
    </row>
    <row r="797" customFormat="false" ht="15" hidden="false" customHeight="false" outlineLevel="0" collapsed="false">
      <c r="A797" s="8" t="n">
        <v>793</v>
      </c>
      <c r="B797" s="13"/>
      <c r="C797" s="12"/>
      <c r="D797" s="13"/>
      <c r="E797" s="24"/>
      <c r="F797" s="14" t="str">
        <f aca="false">IF(OR($D797="",$B797=""),"",INT(($B797-$D797)/365.25))</f>
        <v/>
      </c>
      <c r="G797" s="25"/>
      <c r="H797" s="25"/>
      <c r="I797" s="12"/>
      <c r="J797" s="14" t="str">
        <f aca="false">IF(OR($C797="",$D797="",$B797="",$G797=""),"",IF(COUNTIFS($C$5:$C$804,$C797,$D$5:$D$804,$D797,$B$5:$B$804,$B797,$G$5:$G$804,$G797)&gt;1,"Takror",""))</f>
        <v/>
      </c>
    </row>
    <row r="798" customFormat="false" ht="15" hidden="false" customHeight="false" outlineLevel="0" collapsed="false">
      <c r="A798" s="8" t="n">
        <v>794</v>
      </c>
      <c r="B798" s="13"/>
      <c r="C798" s="12"/>
      <c r="D798" s="13"/>
      <c r="E798" s="24"/>
      <c r="F798" s="14" t="str">
        <f aca="false">IF(OR($D798="",$B798=""),"",INT(($B798-$D798)/365.25))</f>
        <v/>
      </c>
      <c r="G798" s="25"/>
      <c r="H798" s="25"/>
      <c r="I798" s="12"/>
      <c r="J798" s="14" t="str">
        <f aca="false">IF(OR($C798="",$D798="",$B798="",$G798=""),"",IF(COUNTIFS($C$5:$C$804,$C798,$D$5:$D$804,$D798,$B$5:$B$804,$B798,$G$5:$G$804,$G798)&gt;1,"Takror",""))</f>
        <v/>
      </c>
    </row>
    <row r="799" customFormat="false" ht="15" hidden="false" customHeight="false" outlineLevel="0" collapsed="false">
      <c r="A799" s="8" t="n">
        <v>795</v>
      </c>
      <c r="B799" s="13"/>
      <c r="C799" s="12"/>
      <c r="D799" s="13"/>
      <c r="E799" s="24"/>
      <c r="F799" s="14" t="str">
        <f aca="false">IF(OR($D799="",$B799=""),"",INT(($B799-$D799)/365.25))</f>
        <v/>
      </c>
      <c r="G799" s="25"/>
      <c r="H799" s="25"/>
      <c r="I799" s="12"/>
      <c r="J799" s="14" t="str">
        <f aca="false">IF(OR($C799="",$D799="",$B799="",$G799=""),"",IF(COUNTIFS($C$5:$C$804,$C799,$D$5:$D$804,$D799,$B$5:$B$804,$B799,$G$5:$G$804,$G799)&gt;1,"Takror",""))</f>
        <v/>
      </c>
    </row>
    <row r="800" customFormat="false" ht="15" hidden="false" customHeight="false" outlineLevel="0" collapsed="false">
      <c r="A800" s="8" t="n">
        <v>796</v>
      </c>
      <c r="B800" s="13"/>
      <c r="C800" s="12"/>
      <c r="D800" s="13"/>
      <c r="E800" s="24"/>
      <c r="F800" s="14" t="str">
        <f aca="false">IF(OR($D800="",$B800=""),"",INT(($B800-$D800)/365.25))</f>
        <v/>
      </c>
      <c r="G800" s="25"/>
      <c r="H800" s="25"/>
      <c r="I800" s="12"/>
      <c r="J800" s="14" t="str">
        <f aca="false">IF(OR($C800="",$D800="",$B800="",$G800=""),"",IF(COUNTIFS($C$5:$C$804,$C800,$D$5:$D$804,$D800,$B$5:$B$804,$B800,$G$5:$G$804,$G800)&gt;1,"Takror",""))</f>
        <v/>
      </c>
    </row>
    <row r="801" customFormat="false" ht="15" hidden="false" customHeight="false" outlineLevel="0" collapsed="false">
      <c r="A801" s="8" t="n">
        <v>797</v>
      </c>
      <c r="B801" s="13"/>
      <c r="C801" s="12"/>
      <c r="D801" s="13"/>
      <c r="E801" s="24"/>
      <c r="F801" s="14" t="str">
        <f aca="false">IF(OR($D801="",$B801=""),"",INT(($B801-$D801)/365.25))</f>
        <v/>
      </c>
      <c r="G801" s="25"/>
      <c r="H801" s="25"/>
      <c r="I801" s="12"/>
      <c r="J801" s="14" t="str">
        <f aca="false">IF(OR($C801="",$D801="",$B801="",$G801=""),"",IF(COUNTIFS($C$5:$C$804,$C801,$D$5:$D$804,$D801,$B$5:$B$804,$B801,$G$5:$G$804,$G801)&gt;1,"Takror",""))</f>
        <v/>
      </c>
    </row>
    <row r="802" customFormat="false" ht="15" hidden="false" customHeight="false" outlineLevel="0" collapsed="false">
      <c r="A802" s="8" t="n">
        <v>798</v>
      </c>
      <c r="B802" s="13"/>
      <c r="C802" s="12"/>
      <c r="D802" s="13"/>
      <c r="E802" s="24"/>
      <c r="F802" s="14" t="str">
        <f aca="false">IF(OR($D802="",$B802=""),"",INT(($B802-$D802)/365.25))</f>
        <v/>
      </c>
      <c r="G802" s="25"/>
      <c r="H802" s="25"/>
      <c r="I802" s="12"/>
      <c r="J802" s="14" t="str">
        <f aca="false">IF(OR($C802="",$D802="",$B802="",$G802=""),"",IF(COUNTIFS($C$5:$C$804,$C802,$D$5:$D$804,$D802,$B$5:$B$804,$B802,$G$5:$G$804,$G802)&gt;1,"Takror",""))</f>
        <v/>
      </c>
    </row>
    <row r="803" customFormat="false" ht="15" hidden="false" customHeight="false" outlineLevel="0" collapsed="false">
      <c r="A803" s="8" t="n">
        <v>799</v>
      </c>
      <c r="B803" s="13"/>
      <c r="C803" s="12"/>
      <c r="D803" s="13"/>
      <c r="E803" s="24"/>
      <c r="F803" s="14" t="str">
        <f aca="false">IF(OR($D803="",$B803=""),"",INT(($B803-$D803)/365.25))</f>
        <v/>
      </c>
      <c r="G803" s="25"/>
      <c r="H803" s="25"/>
      <c r="I803" s="12"/>
      <c r="J803" s="14" t="str">
        <f aca="false">IF(OR($C803="",$D803="",$B803="",$G803=""),"",IF(COUNTIFS($C$5:$C$804,$C803,$D$5:$D$804,$D803,$B$5:$B$804,$B803,$G$5:$G$804,$G803)&gt;1,"Takror",""))</f>
        <v/>
      </c>
    </row>
    <row r="804" customFormat="false" ht="15" hidden="false" customHeight="false" outlineLevel="0" collapsed="false">
      <c r="A804" s="8" t="n">
        <v>800</v>
      </c>
      <c r="B804" s="13"/>
      <c r="C804" s="12"/>
      <c r="D804" s="13"/>
      <c r="E804" s="24"/>
      <c r="F804" s="14" t="str">
        <f aca="false">IF(OR($D804="",$B804=""),"",INT(($B804-$D804)/365.25))</f>
        <v/>
      </c>
      <c r="G804" s="25"/>
      <c r="H804" s="25"/>
      <c r="I804" s="12"/>
      <c r="J804" s="14" t="str">
        <f aca="false">IF(OR($C804="",$D804="",$B804="",$G804=""),"",IF(COUNTIFS($C$5:$C$804,$C804,$D$5:$D$804,$D804,$B$5:$B$804,$B804,$G$5:$G$804,$G804)&gt;1,"Takror",""))</f>
        <v/>
      </c>
    </row>
  </sheetData>
  <autoFilter ref="A4:J804"/>
  <conditionalFormatting sqref="J5:J804">
    <cfRule type="expression" priority="2" aboveAverage="0" equalAverage="0" bottom="0" percent="0" rank="0" text="" dxfId="0">
      <formula>$J5="Takror"</formula>
    </cfRule>
  </conditionalFormatting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804 D5:D8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H5:H804" type="decimal">
      <formula1>0</formula1>
      <formula2>0</formula2>
    </dataValidation>
    <dataValidation allowBlank="true" error="PINFL ro‘yxatdan tashqari: aniq 14 ta raqam / ПИНФЛ: ровно 14 цифр" errorStyle="stop" errorTitle="PINFL" operator="equal" showDropDown="false" showErrorMessage="true" showInputMessage="false" sqref="E5:E804" type="textLength">
      <formula1>14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false" showInputMessage="false" sqref="G5:G804" type="list">
      <formula1>Spravochnik!$D$5:$D$64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349</v>
      </c>
    </row>
    <row r="2" customFormat="false" ht="15" hidden="false" customHeight="false" outlineLevel="0" collapsed="false">
      <c r="A2" s="2" t="s">
        <v>350</v>
      </c>
    </row>
    <row r="4" customFormat="false" ht="75" hidden="false" customHeight="true" outlineLevel="0" collapsed="false">
      <c r="A4" s="7" t="s">
        <v>12</v>
      </c>
      <c r="B4" s="7" t="s">
        <v>346</v>
      </c>
      <c r="C4" s="7" t="s">
        <v>351</v>
      </c>
      <c r="D4" s="7" t="s">
        <v>352</v>
      </c>
      <c r="E4" s="7" t="s">
        <v>353</v>
      </c>
      <c r="F4" s="7" t="s">
        <v>354</v>
      </c>
      <c r="G4" s="7" t="s">
        <v>278</v>
      </c>
    </row>
    <row r="5" customFormat="false" ht="15" hidden="false" customHeight="false" outlineLevel="0" collapsed="false">
      <c r="A5" s="8" t="n">
        <v>1</v>
      </c>
      <c r="B5" s="13"/>
      <c r="C5" s="25"/>
      <c r="D5" s="25"/>
      <c r="E5" s="25"/>
      <c r="F5" s="25"/>
      <c r="G5" s="12"/>
    </row>
    <row r="6" customFormat="false" ht="15" hidden="false" customHeight="false" outlineLevel="0" collapsed="false">
      <c r="A6" s="8" t="n">
        <v>2</v>
      </c>
      <c r="B6" s="13"/>
      <c r="C6" s="25"/>
      <c r="D6" s="25"/>
      <c r="E6" s="25"/>
      <c r="F6" s="25"/>
      <c r="G6" s="12"/>
    </row>
    <row r="7" customFormat="false" ht="15" hidden="false" customHeight="false" outlineLevel="0" collapsed="false">
      <c r="A7" s="8" t="n">
        <v>3</v>
      </c>
      <c r="B7" s="13"/>
      <c r="C7" s="25"/>
      <c r="D7" s="25"/>
      <c r="E7" s="25"/>
      <c r="F7" s="25"/>
      <c r="G7" s="12"/>
    </row>
    <row r="8" customFormat="false" ht="15" hidden="false" customHeight="false" outlineLevel="0" collapsed="false">
      <c r="A8" s="8" t="n">
        <v>4</v>
      </c>
      <c r="B8" s="13"/>
      <c r="C8" s="25"/>
      <c r="D8" s="25"/>
      <c r="E8" s="25"/>
      <c r="F8" s="25"/>
      <c r="G8" s="12"/>
    </row>
    <row r="9" customFormat="false" ht="15" hidden="false" customHeight="false" outlineLevel="0" collapsed="false">
      <c r="A9" s="8" t="n">
        <v>5</v>
      </c>
      <c r="B9" s="13"/>
      <c r="C9" s="25"/>
      <c r="D9" s="25"/>
      <c r="E9" s="25"/>
      <c r="F9" s="25"/>
      <c r="G9" s="12"/>
    </row>
    <row r="10" customFormat="false" ht="15" hidden="false" customHeight="false" outlineLevel="0" collapsed="false">
      <c r="A10" s="8" t="n">
        <v>6</v>
      </c>
      <c r="B10" s="13"/>
      <c r="C10" s="25"/>
      <c r="D10" s="25"/>
      <c r="E10" s="25"/>
      <c r="F10" s="25"/>
      <c r="G10" s="12"/>
    </row>
    <row r="11" customFormat="false" ht="15" hidden="false" customHeight="false" outlineLevel="0" collapsed="false">
      <c r="A11" s="8" t="n">
        <v>7</v>
      </c>
      <c r="B11" s="13"/>
      <c r="C11" s="25"/>
      <c r="D11" s="25"/>
      <c r="E11" s="25"/>
      <c r="F11" s="25"/>
      <c r="G11" s="12"/>
    </row>
    <row r="12" customFormat="false" ht="15" hidden="false" customHeight="false" outlineLevel="0" collapsed="false">
      <c r="A12" s="8" t="n">
        <v>8</v>
      </c>
      <c r="B12" s="13"/>
      <c r="C12" s="25"/>
      <c r="D12" s="25"/>
      <c r="E12" s="25"/>
      <c r="F12" s="25"/>
      <c r="G12" s="12"/>
    </row>
    <row r="13" customFormat="false" ht="15" hidden="false" customHeight="false" outlineLevel="0" collapsed="false">
      <c r="A13" s="8" t="n">
        <v>9</v>
      </c>
      <c r="B13" s="13"/>
      <c r="C13" s="25"/>
      <c r="D13" s="25"/>
      <c r="E13" s="25"/>
      <c r="F13" s="25"/>
      <c r="G13" s="12"/>
    </row>
    <row r="14" customFormat="false" ht="15" hidden="false" customHeight="false" outlineLevel="0" collapsed="false">
      <c r="A14" s="8" t="n">
        <v>10</v>
      </c>
      <c r="B14" s="13"/>
      <c r="C14" s="25"/>
      <c r="D14" s="25"/>
      <c r="E14" s="25"/>
      <c r="F14" s="25"/>
      <c r="G14" s="12"/>
    </row>
    <row r="15" customFormat="false" ht="15" hidden="false" customHeight="false" outlineLevel="0" collapsed="false">
      <c r="A15" s="8" t="n">
        <v>11</v>
      </c>
      <c r="B15" s="13"/>
      <c r="C15" s="25"/>
      <c r="D15" s="25"/>
      <c r="E15" s="25"/>
      <c r="F15" s="25"/>
      <c r="G15" s="12"/>
    </row>
    <row r="16" customFormat="false" ht="15" hidden="false" customHeight="false" outlineLevel="0" collapsed="false">
      <c r="A16" s="8" t="n">
        <v>12</v>
      </c>
      <c r="B16" s="13"/>
      <c r="C16" s="25"/>
      <c r="D16" s="25"/>
      <c r="E16" s="25"/>
      <c r="F16" s="25"/>
      <c r="G16" s="12"/>
    </row>
    <row r="17" customFormat="false" ht="15" hidden="false" customHeight="false" outlineLevel="0" collapsed="false">
      <c r="A17" s="8" t="n">
        <v>13</v>
      </c>
      <c r="B17" s="13"/>
      <c r="C17" s="25"/>
      <c r="D17" s="25"/>
      <c r="E17" s="25"/>
      <c r="F17" s="25"/>
      <c r="G17" s="12"/>
    </row>
    <row r="18" customFormat="false" ht="15" hidden="false" customHeight="false" outlineLevel="0" collapsed="false">
      <c r="A18" s="8" t="n">
        <v>14</v>
      </c>
      <c r="B18" s="13"/>
      <c r="C18" s="25"/>
      <c r="D18" s="25"/>
      <c r="E18" s="25"/>
      <c r="F18" s="25"/>
      <c r="G18" s="12"/>
    </row>
    <row r="19" customFormat="false" ht="15" hidden="false" customHeight="false" outlineLevel="0" collapsed="false">
      <c r="A19" s="8" t="n">
        <v>15</v>
      </c>
      <c r="B19" s="13"/>
      <c r="C19" s="25"/>
      <c r="D19" s="25"/>
      <c r="E19" s="25"/>
      <c r="F19" s="25"/>
      <c r="G19" s="12"/>
    </row>
    <row r="20" customFormat="false" ht="15" hidden="false" customHeight="false" outlineLevel="0" collapsed="false">
      <c r="A20" s="8" t="n">
        <v>16</v>
      </c>
      <c r="B20" s="13"/>
      <c r="C20" s="25"/>
      <c r="D20" s="25"/>
      <c r="E20" s="25"/>
      <c r="F20" s="25"/>
      <c r="G20" s="12"/>
    </row>
    <row r="21" customFormat="false" ht="15" hidden="false" customHeight="false" outlineLevel="0" collapsed="false">
      <c r="A21" s="8" t="n">
        <v>17</v>
      </c>
      <c r="B21" s="13"/>
      <c r="C21" s="25"/>
      <c r="D21" s="25"/>
      <c r="E21" s="25"/>
      <c r="F21" s="25"/>
      <c r="G21" s="12"/>
    </row>
    <row r="22" customFormat="false" ht="15" hidden="false" customHeight="false" outlineLevel="0" collapsed="false">
      <c r="A22" s="8" t="n">
        <v>18</v>
      </c>
      <c r="B22" s="13"/>
      <c r="C22" s="25"/>
      <c r="D22" s="25"/>
      <c r="E22" s="25"/>
      <c r="F22" s="25"/>
      <c r="G22" s="12"/>
    </row>
    <row r="23" customFormat="false" ht="15" hidden="false" customHeight="false" outlineLevel="0" collapsed="false">
      <c r="A23" s="8" t="n">
        <v>19</v>
      </c>
      <c r="B23" s="13"/>
      <c r="C23" s="25"/>
      <c r="D23" s="25"/>
      <c r="E23" s="25"/>
      <c r="F23" s="25"/>
      <c r="G23" s="12"/>
    </row>
    <row r="24" customFormat="false" ht="15" hidden="false" customHeight="false" outlineLevel="0" collapsed="false">
      <c r="A24" s="8" t="n">
        <v>20</v>
      </c>
      <c r="B24" s="13"/>
      <c r="C24" s="25"/>
      <c r="D24" s="25"/>
      <c r="E24" s="25"/>
      <c r="F24" s="25"/>
      <c r="G24" s="12"/>
    </row>
    <row r="25" customFormat="false" ht="15" hidden="false" customHeight="false" outlineLevel="0" collapsed="false">
      <c r="A25" s="8" t="n">
        <v>21</v>
      </c>
      <c r="B25" s="13"/>
      <c r="C25" s="25"/>
      <c r="D25" s="25"/>
      <c r="E25" s="25"/>
      <c r="F25" s="25"/>
      <c r="G25" s="12"/>
    </row>
    <row r="26" customFormat="false" ht="15" hidden="false" customHeight="false" outlineLevel="0" collapsed="false">
      <c r="A26" s="8" t="n">
        <v>22</v>
      </c>
      <c r="B26" s="13"/>
      <c r="C26" s="25"/>
      <c r="D26" s="25"/>
      <c r="E26" s="25"/>
      <c r="F26" s="25"/>
      <c r="G26" s="12"/>
    </row>
    <row r="27" customFormat="false" ht="15" hidden="false" customHeight="false" outlineLevel="0" collapsed="false">
      <c r="A27" s="8" t="n">
        <v>23</v>
      </c>
      <c r="B27" s="13"/>
      <c r="C27" s="25"/>
      <c r="D27" s="25"/>
      <c r="E27" s="25"/>
      <c r="F27" s="25"/>
      <c r="G27" s="12"/>
    </row>
    <row r="28" customFormat="false" ht="15" hidden="false" customHeight="false" outlineLevel="0" collapsed="false">
      <c r="A28" s="8" t="n">
        <v>24</v>
      </c>
      <c r="B28" s="13"/>
      <c r="C28" s="25"/>
      <c r="D28" s="25"/>
      <c r="E28" s="25"/>
      <c r="F28" s="25"/>
      <c r="G28" s="12"/>
    </row>
    <row r="29" customFormat="false" ht="15" hidden="false" customHeight="false" outlineLevel="0" collapsed="false">
      <c r="A29" s="8" t="n">
        <v>25</v>
      </c>
      <c r="B29" s="13"/>
      <c r="C29" s="25"/>
      <c r="D29" s="25"/>
      <c r="E29" s="25"/>
      <c r="F29" s="25"/>
      <c r="G29" s="12"/>
    </row>
    <row r="30" customFormat="false" ht="15" hidden="false" customHeight="false" outlineLevel="0" collapsed="false">
      <c r="A30" s="8" t="n">
        <v>26</v>
      </c>
      <c r="B30" s="13"/>
      <c r="C30" s="25"/>
      <c r="D30" s="25"/>
      <c r="E30" s="25"/>
      <c r="F30" s="25"/>
      <c r="G30" s="12"/>
    </row>
    <row r="31" customFormat="false" ht="15" hidden="false" customHeight="false" outlineLevel="0" collapsed="false">
      <c r="A31" s="8" t="n">
        <v>27</v>
      </c>
      <c r="B31" s="13"/>
      <c r="C31" s="25"/>
      <c r="D31" s="25"/>
      <c r="E31" s="25"/>
      <c r="F31" s="25"/>
      <c r="G31" s="12"/>
    </row>
    <row r="32" customFormat="false" ht="15" hidden="false" customHeight="false" outlineLevel="0" collapsed="false">
      <c r="A32" s="8" t="n">
        <v>28</v>
      </c>
      <c r="B32" s="13"/>
      <c r="C32" s="25"/>
      <c r="D32" s="25"/>
      <c r="E32" s="25"/>
      <c r="F32" s="25"/>
      <c r="G32" s="12"/>
    </row>
    <row r="33" customFormat="false" ht="15" hidden="false" customHeight="false" outlineLevel="0" collapsed="false">
      <c r="A33" s="8" t="n">
        <v>29</v>
      </c>
      <c r="B33" s="13"/>
      <c r="C33" s="25"/>
      <c r="D33" s="25"/>
      <c r="E33" s="25"/>
      <c r="F33" s="25"/>
      <c r="G33" s="12"/>
    </row>
    <row r="34" customFormat="false" ht="15" hidden="false" customHeight="false" outlineLevel="0" collapsed="false">
      <c r="A34" s="8" t="n">
        <v>30</v>
      </c>
      <c r="B34" s="13"/>
      <c r="C34" s="25"/>
      <c r="D34" s="25"/>
      <c r="E34" s="25"/>
      <c r="F34" s="25"/>
      <c r="G34" s="12"/>
    </row>
    <row r="35" customFormat="false" ht="15" hidden="false" customHeight="false" outlineLevel="0" collapsed="false">
      <c r="A35" s="8" t="n">
        <v>31</v>
      </c>
      <c r="B35" s="13"/>
      <c r="C35" s="25"/>
      <c r="D35" s="25"/>
      <c r="E35" s="25"/>
      <c r="F35" s="25"/>
      <c r="G35" s="12"/>
    </row>
    <row r="36" customFormat="false" ht="15" hidden="false" customHeight="false" outlineLevel="0" collapsed="false">
      <c r="A36" s="8" t="n">
        <v>32</v>
      </c>
      <c r="B36" s="13"/>
      <c r="C36" s="25"/>
      <c r="D36" s="25"/>
      <c r="E36" s="25"/>
      <c r="F36" s="25"/>
      <c r="G36" s="12"/>
    </row>
    <row r="37" customFormat="false" ht="15" hidden="false" customHeight="false" outlineLevel="0" collapsed="false">
      <c r="A37" s="8" t="n">
        <v>33</v>
      </c>
      <c r="B37" s="13"/>
      <c r="C37" s="25"/>
      <c r="D37" s="25"/>
      <c r="E37" s="25"/>
      <c r="F37" s="25"/>
      <c r="G37" s="12"/>
    </row>
    <row r="38" customFormat="false" ht="15" hidden="false" customHeight="false" outlineLevel="0" collapsed="false">
      <c r="A38" s="8" t="n">
        <v>34</v>
      </c>
      <c r="B38" s="13"/>
      <c r="C38" s="25"/>
      <c r="D38" s="25"/>
      <c r="E38" s="25"/>
      <c r="F38" s="25"/>
      <c r="G38" s="12"/>
    </row>
    <row r="39" customFormat="false" ht="15" hidden="false" customHeight="false" outlineLevel="0" collapsed="false">
      <c r="A39" s="8" t="n">
        <v>35</v>
      </c>
      <c r="B39" s="13"/>
      <c r="C39" s="25"/>
      <c r="D39" s="25"/>
      <c r="E39" s="25"/>
      <c r="F39" s="25"/>
      <c r="G39" s="12"/>
    </row>
    <row r="40" customFormat="false" ht="15" hidden="false" customHeight="false" outlineLevel="0" collapsed="false">
      <c r="A40" s="8" t="n">
        <v>36</v>
      </c>
      <c r="B40" s="13"/>
      <c r="C40" s="25"/>
      <c r="D40" s="25"/>
      <c r="E40" s="25"/>
      <c r="F40" s="25"/>
      <c r="G40" s="12"/>
    </row>
    <row r="41" customFormat="false" ht="15" hidden="false" customHeight="false" outlineLevel="0" collapsed="false">
      <c r="A41" s="8" t="n">
        <v>37</v>
      </c>
      <c r="B41" s="13"/>
      <c r="C41" s="25"/>
      <c r="D41" s="25"/>
      <c r="E41" s="25"/>
      <c r="F41" s="25"/>
      <c r="G41" s="12"/>
    </row>
    <row r="42" customFormat="false" ht="15" hidden="false" customHeight="false" outlineLevel="0" collapsed="false">
      <c r="A42" s="8" t="n">
        <v>38</v>
      </c>
      <c r="B42" s="13"/>
      <c r="C42" s="25"/>
      <c r="D42" s="25"/>
      <c r="E42" s="25"/>
      <c r="F42" s="25"/>
      <c r="G42" s="12"/>
    </row>
    <row r="43" customFormat="false" ht="15" hidden="false" customHeight="false" outlineLevel="0" collapsed="false">
      <c r="A43" s="8" t="n">
        <v>39</v>
      </c>
      <c r="B43" s="13"/>
      <c r="C43" s="25"/>
      <c r="D43" s="25"/>
      <c r="E43" s="25"/>
      <c r="F43" s="25"/>
      <c r="G43" s="12"/>
    </row>
    <row r="44" customFormat="false" ht="15" hidden="false" customHeight="false" outlineLevel="0" collapsed="false">
      <c r="A44" s="8" t="n">
        <v>40</v>
      </c>
      <c r="B44" s="13"/>
      <c r="C44" s="25"/>
      <c r="D44" s="25"/>
      <c r="E44" s="25"/>
      <c r="F44" s="25"/>
      <c r="G44" s="12"/>
    </row>
    <row r="45" customFormat="false" ht="15" hidden="false" customHeight="false" outlineLevel="0" collapsed="false">
      <c r="A45" s="8" t="n">
        <v>41</v>
      </c>
      <c r="B45" s="13"/>
      <c r="C45" s="25"/>
      <c r="D45" s="25"/>
      <c r="E45" s="25"/>
      <c r="F45" s="25"/>
      <c r="G45" s="12"/>
    </row>
    <row r="46" customFormat="false" ht="15" hidden="false" customHeight="false" outlineLevel="0" collapsed="false">
      <c r="A46" s="8" t="n">
        <v>42</v>
      </c>
      <c r="B46" s="13"/>
      <c r="C46" s="25"/>
      <c r="D46" s="25"/>
      <c r="E46" s="25"/>
      <c r="F46" s="25"/>
      <c r="G46" s="12"/>
    </row>
    <row r="47" customFormat="false" ht="15" hidden="false" customHeight="false" outlineLevel="0" collapsed="false">
      <c r="A47" s="8" t="n">
        <v>43</v>
      </c>
      <c r="B47" s="13"/>
      <c r="C47" s="25"/>
      <c r="D47" s="25"/>
      <c r="E47" s="25"/>
      <c r="F47" s="25"/>
      <c r="G47" s="12"/>
    </row>
    <row r="48" customFormat="false" ht="15" hidden="false" customHeight="false" outlineLevel="0" collapsed="false">
      <c r="A48" s="8" t="n">
        <v>44</v>
      </c>
      <c r="B48" s="13"/>
      <c r="C48" s="25"/>
      <c r="D48" s="25"/>
      <c r="E48" s="25"/>
      <c r="F48" s="25"/>
      <c r="G48" s="12"/>
    </row>
    <row r="49" customFormat="false" ht="15" hidden="false" customHeight="false" outlineLevel="0" collapsed="false">
      <c r="A49" s="8" t="n">
        <v>45</v>
      </c>
      <c r="B49" s="13"/>
      <c r="C49" s="25"/>
      <c r="D49" s="25"/>
      <c r="E49" s="25"/>
      <c r="F49" s="25"/>
      <c r="G49" s="12"/>
    </row>
    <row r="50" customFormat="false" ht="15" hidden="false" customHeight="false" outlineLevel="0" collapsed="false">
      <c r="A50" s="8" t="n">
        <v>46</v>
      </c>
      <c r="B50" s="13"/>
      <c r="C50" s="25"/>
      <c r="D50" s="25"/>
      <c r="E50" s="25"/>
      <c r="F50" s="25"/>
      <c r="G50" s="12"/>
    </row>
    <row r="51" customFormat="false" ht="15" hidden="false" customHeight="false" outlineLevel="0" collapsed="false">
      <c r="A51" s="8" t="n">
        <v>47</v>
      </c>
      <c r="B51" s="13"/>
      <c r="C51" s="25"/>
      <c r="D51" s="25"/>
      <c r="E51" s="25"/>
      <c r="F51" s="25"/>
      <c r="G51" s="12"/>
    </row>
    <row r="52" customFormat="false" ht="15" hidden="false" customHeight="false" outlineLevel="0" collapsed="false">
      <c r="A52" s="8" t="n">
        <v>48</v>
      </c>
      <c r="B52" s="13"/>
      <c r="C52" s="25"/>
      <c r="D52" s="25"/>
      <c r="E52" s="25"/>
      <c r="F52" s="25"/>
      <c r="G52" s="12"/>
    </row>
    <row r="53" customFormat="false" ht="15" hidden="false" customHeight="false" outlineLevel="0" collapsed="false">
      <c r="A53" s="8" t="n">
        <v>49</v>
      </c>
      <c r="B53" s="13"/>
      <c r="C53" s="25"/>
      <c r="D53" s="25"/>
      <c r="E53" s="25"/>
      <c r="F53" s="25"/>
      <c r="G53" s="12"/>
    </row>
    <row r="54" customFormat="false" ht="15" hidden="false" customHeight="false" outlineLevel="0" collapsed="false">
      <c r="A54" s="8" t="n">
        <v>50</v>
      </c>
      <c r="B54" s="13"/>
      <c r="C54" s="25"/>
      <c r="D54" s="25"/>
      <c r="E54" s="25"/>
      <c r="F54" s="25"/>
      <c r="G54" s="12"/>
    </row>
    <row r="55" customFormat="false" ht="15" hidden="false" customHeight="false" outlineLevel="0" collapsed="false">
      <c r="A55" s="8" t="n">
        <v>51</v>
      </c>
      <c r="B55" s="13"/>
      <c r="C55" s="25"/>
      <c r="D55" s="25"/>
      <c r="E55" s="25"/>
      <c r="F55" s="25"/>
      <c r="G55" s="12"/>
    </row>
    <row r="56" customFormat="false" ht="15" hidden="false" customHeight="false" outlineLevel="0" collapsed="false">
      <c r="A56" s="8" t="n">
        <v>52</v>
      </c>
      <c r="B56" s="13"/>
      <c r="C56" s="25"/>
      <c r="D56" s="25"/>
      <c r="E56" s="25"/>
      <c r="F56" s="25"/>
      <c r="G56" s="12"/>
    </row>
    <row r="57" customFormat="false" ht="15" hidden="false" customHeight="false" outlineLevel="0" collapsed="false">
      <c r="A57" s="8" t="n">
        <v>53</v>
      </c>
      <c r="B57" s="13"/>
      <c r="C57" s="25"/>
      <c r="D57" s="25"/>
      <c r="E57" s="25"/>
      <c r="F57" s="25"/>
      <c r="G57" s="12"/>
    </row>
    <row r="58" customFormat="false" ht="15" hidden="false" customHeight="false" outlineLevel="0" collapsed="false">
      <c r="A58" s="8" t="n">
        <v>54</v>
      </c>
      <c r="B58" s="13"/>
      <c r="C58" s="25"/>
      <c r="D58" s="25"/>
      <c r="E58" s="25"/>
      <c r="F58" s="25"/>
      <c r="G58" s="12"/>
    </row>
    <row r="59" customFormat="false" ht="15" hidden="false" customHeight="false" outlineLevel="0" collapsed="false">
      <c r="A59" s="8" t="n">
        <v>55</v>
      </c>
      <c r="B59" s="13"/>
      <c r="C59" s="25"/>
      <c r="D59" s="25"/>
      <c r="E59" s="25"/>
      <c r="F59" s="25"/>
      <c r="G59" s="12"/>
    </row>
    <row r="60" customFormat="false" ht="15" hidden="false" customHeight="false" outlineLevel="0" collapsed="false">
      <c r="A60" s="8" t="n">
        <v>56</v>
      </c>
      <c r="B60" s="13"/>
      <c r="C60" s="25"/>
      <c r="D60" s="25"/>
      <c r="E60" s="25"/>
      <c r="F60" s="25"/>
      <c r="G60" s="12"/>
    </row>
    <row r="61" customFormat="false" ht="15" hidden="false" customHeight="false" outlineLevel="0" collapsed="false">
      <c r="A61" s="8" t="n">
        <v>57</v>
      </c>
      <c r="B61" s="13"/>
      <c r="C61" s="25"/>
      <c r="D61" s="25"/>
      <c r="E61" s="25"/>
      <c r="F61" s="25"/>
      <c r="G61" s="12"/>
    </row>
    <row r="62" customFormat="false" ht="15" hidden="false" customHeight="false" outlineLevel="0" collapsed="false">
      <c r="A62" s="8" t="n">
        <v>58</v>
      </c>
      <c r="B62" s="13"/>
      <c r="C62" s="25"/>
      <c r="D62" s="25"/>
      <c r="E62" s="25"/>
      <c r="F62" s="25"/>
      <c r="G62" s="12"/>
    </row>
    <row r="63" customFormat="false" ht="15" hidden="false" customHeight="false" outlineLevel="0" collapsed="false">
      <c r="A63" s="8" t="n">
        <v>59</v>
      </c>
      <c r="B63" s="13"/>
      <c r="C63" s="25"/>
      <c r="D63" s="25"/>
      <c r="E63" s="25"/>
      <c r="F63" s="25"/>
      <c r="G63" s="12"/>
    </row>
    <row r="64" customFormat="false" ht="15" hidden="false" customHeight="false" outlineLevel="0" collapsed="false">
      <c r="A64" s="8" t="n">
        <v>60</v>
      </c>
      <c r="B64" s="13"/>
      <c r="C64" s="25"/>
      <c r="D64" s="25"/>
      <c r="E64" s="25"/>
      <c r="F64" s="25"/>
      <c r="G64" s="12"/>
    </row>
    <row r="65" customFormat="false" ht="15" hidden="false" customHeight="false" outlineLevel="0" collapsed="false">
      <c r="A65" s="8" t="n">
        <v>61</v>
      </c>
      <c r="B65" s="13"/>
      <c r="C65" s="25"/>
      <c r="D65" s="25"/>
      <c r="E65" s="25"/>
      <c r="F65" s="25"/>
      <c r="G65" s="12"/>
    </row>
    <row r="66" customFormat="false" ht="15" hidden="false" customHeight="false" outlineLevel="0" collapsed="false">
      <c r="A66" s="8" t="n">
        <v>62</v>
      </c>
      <c r="B66" s="13"/>
      <c r="C66" s="25"/>
      <c r="D66" s="25"/>
      <c r="E66" s="25"/>
      <c r="F66" s="25"/>
      <c r="G66" s="12"/>
    </row>
    <row r="67" customFormat="false" ht="15" hidden="false" customHeight="false" outlineLevel="0" collapsed="false">
      <c r="A67" s="8" t="n">
        <v>63</v>
      </c>
      <c r="B67" s="13"/>
      <c r="C67" s="25"/>
      <c r="D67" s="25"/>
      <c r="E67" s="25"/>
      <c r="F67" s="25"/>
      <c r="G67" s="12"/>
    </row>
    <row r="68" customFormat="false" ht="15" hidden="false" customHeight="false" outlineLevel="0" collapsed="false">
      <c r="A68" s="8" t="n">
        <v>64</v>
      </c>
      <c r="B68" s="13"/>
      <c r="C68" s="25"/>
      <c r="D68" s="25"/>
      <c r="E68" s="25"/>
      <c r="F68" s="25"/>
      <c r="G68" s="12"/>
    </row>
    <row r="69" customFormat="false" ht="15" hidden="false" customHeight="false" outlineLevel="0" collapsed="false">
      <c r="A69" s="8" t="n">
        <v>65</v>
      </c>
      <c r="B69" s="13"/>
      <c r="C69" s="25"/>
      <c r="D69" s="25"/>
      <c r="E69" s="25"/>
      <c r="F69" s="25"/>
      <c r="G69" s="12"/>
    </row>
    <row r="70" customFormat="false" ht="15" hidden="false" customHeight="false" outlineLevel="0" collapsed="false">
      <c r="A70" s="8" t="n">
        <v>66</v>
      </c>
      <c r="B70" s="13"/>
      <c r="C70" s="25"/>
      <c r="D70" s="25"/>
      <c r="E70" s="25"/>
      <c r="F70" s="25"/>
      <c r="G70" s="12"/>
    </row>
    <row r="71" customFormat="false" ht="15" hidden="false" customHeight="false" outlineLevel="0" collapsed="false">
      <c r="A71" s="8" t="n">
        <v>67</v>
      </c>
      <c r="B71" s="13"/>
      <c r="C71" s="25"/>
      <c r="D71" s="25"/>
      <c r="E71" s="25"/>
      <c r="F71" s="25"/>
      <c r="G71" s="12"/>
    </row>
    <row r="72" customFormat="false" ht="15" hidden="false" customHeight="false" outlineLevel="0" collapsed="false">
      <c r="A72" s="8" t="n">
        <v>68</v>
      </c>
      <c r="B72" s="13"/>
      <c r="C72" s="25"/>
      <c r="D72" s="25"/>
      <c r="E72" s="25"/>
      <c r="F72" s="25"/>
      <c r="G72" s="12"/>
    </row>
    <row r="73" customFormat="false" ht="15" hidden="false" customHeight="false" outlineLevel="0" collapsed="false">
      <c r="A73" s="8" t="n">
        <v>69</v>
      </c>
      <c r="B73" s="13"/>
      <c r="C73" s="25"/>
      <c r="D73" s="25"/>
      <c r="E73" s="25"/>
      <c r="F73" s="25"/>
      <c r="G73" s="12"/>
    </row>
    <row r="74" customFormat="false" ht="15" hidden="false" customHeight="false" outlineLevel="0" collapsed="false">
      <c r="A74" s="8" t="n">
        <v>70</v>
      </c>
      <c r="B74" s="13"/>
      <c r="C74" s="25"/>
      <c r="D74" s="25"/>
      <c r="E74" s="25"/>
      <c r="F74" s="25"/>
      <c r="G74" s="12"/>
    </row>
    <row r="75" customFormat="false" ht="15" hidden="false" customHeight="false" outlineLevel="0" collapsed="false">
      <c r="A75" s="8" t="n">
        <v>71</v>
      </c>
      <c r="B75" s="13"/>
      <c r="C75" s="25"/>
      <c r="D75" s="25"/>
      <c r="E75" s="25"/>
      <c r="F75" s="25"/>
      <c r="G75" s="12"/>
    </row>
    <row r="76" customFormat="false" ht="15" hidden="false" customHeight="false" outlineLevel="0" collapsed="false">
      <c r="A76" s="8" t="n">
        <v>72</v>
      </c>
      <c r="B76" s="13"/>
      <c r="C76" s="25"/>
      <c r="D76" s="25"/>
      <c r="E76" s="25"/>
      <c r="F76" s="25"/>
      <c r="G76" s="12"/>
    </row>
    <row r="77" customFormat="false" ht="15" hidden="false" customHeight="false" outlineLevel="0" collapsed="false">
      <c r="A77" s="8" t="n">
        <v>73</v>
      </c>
      <c r="B77" s="13"/>
      <c r="C77" s="25"/>
      <c r="D77" s="25"/>
      <c r="E77" s="25"/>
      <c r="F77" s="25"/>
      <c r="G77" s="12"/>
    </row>
    <row r="78" customFormat="false" ht="15" hidden="false" customHeight="false" outlineLevel="0" collapsed="false">
      <c r="A78" s="8" t="n">
        <v>74</v>
      </c>
      <c r="B78" s="13"/>
      <c r="C78" s="25"/>
      <c r="D78" s="25"/>
      <c r="E78" s="25"/>
      <c r="F78" s="25"/>
      <c r="G78" s="12"/>
    </row>
    <row r="79" customFormat="false" ht="15" hidden="false" customHeight="false" outlineLevel="0" collapsed="false">
      <c r="A79" s="8" t="n">
        <v>75</v>
      </c>
      <c r="B79" s="13"/>
      <c r="C79" s="25"/>
      <c r="D79" s="25"/>
      <c r="E79" s="25"/>
      <c r="F79" s="25"/>
      <c r="G79" s="12"/>
    </row>
    <row r="80" customFormat="false" ht="15" hidden="false" customHeight="false" outlineLevel="0" collapsed="false">
      <c r="A80" s="8" t="n">
        <v>76</v>
      </c>
      <c r="B80" s="13"/>
      <c r="C80" s="25"/>
      <c r="D80" s="25"/>
      <c r="E80" s="25"/>
      <c r="F80" s="25"/>
      <c r="G80" s="12"/>
    </row>
    <row r="81" customFormat="false" ht="15" hidden="false" customHeight="false" outlineLevel="0" collapsed="false">
      <c r="A81" s="8" t="n">
        <v>77</v>
      </c>
      <c r="B81" s="13"/>
      <c r="C81" s="25"/>
      <c r="D81" s="25"/>
      <c r="E81" s="25"/>
      <c r="F81" s="25"/>
      <c r="G81" s="12"/>
    </row>
    <row r="82" customFormat="false" ht="15" hidden="false" customHeight="false" outlineLevel="0" collapsed="false">
      <c r="A82" s="8" t="n">
        <v>78</v>
      </c>
      <c r="B82" s="13"/>
      <c r="C82" s="25"/>
      <c r="D82" s="25"/>
      <c r="E82" s="25"/>
      <c r="F82" s="25"/>
      <c r="G82" s="12"/>
    </row>
    <row r="83" customFormat="false" ht="15" hidden="false" customHeight="false" outlineLevel="0" collapsed="false">
      <c r="A83" s="8" t="n">
        <v>79</v>
      </c>
      <c r="B83" s="13"/>
      <c r="C83" s="25"/>
      <c r="D83" s="25"/>
      <c r="E83" s="25"/>
      <c r="F83" s="25"/>
      <c r="G83" s="12"/>
    </row>
    <row r="84" customFormat="false" ht="15" hidden="false" customHeight="false" outlineLevel="0" collapsed="false">
      <c r="A84" s="8" t="n">
        <v>80</v>
      </c>
      <c r="B84" s="13"/>
      <c r="C84" s="25"/>
      <c r="D84" s="25"/>
      <c r="E84" s="25"/>
      <c r="F84" s="25"/>
      <c r="G84" s="12"/>
    </row>
    <row r="85" customFormat="false" ht="15" hidden="false" customHeight="false" outlineLevel="0" collapsed="false">
      <c r="A85" s="8" t="n">
        <v>81</v>
      </c>
      <c r="B85" s="13"/>
      <c r="C85" s="25"/>
      <c r="D85" s="25"/>
      <c r="E85" s="25"/>
      <c r="F85" s="25"/>
      <c r="G85" s="12"/>
    </row>
    <row r="86" customFormat="false" ht="15" hidden="false" customHeight="false" outlineLevel="0" collapsed="false">
      <c r="A86" s="8" t="n">
        <v>82</v>
      </c>
      <c r="B86" s="13"/>
      <c r="C86" s="25"/>
      <c r="D86" s="25"/>
      <c r="E86" s="25"/>
      <c r="F86" s="25"/>
      <c r="G86" s="12"/>
    </row>
    <row r="87" customFormat="false" ht="15" hidden="false" customHeight="false" outlineLevel="0" collapsed="false">
      <c r="A87" s="8" t="n">
        <v>83</v>
      </c>
      <c r="B87" s="13"/>
      <c r="C87" s="25"/>
      <c r="D87" s="25"/>
      <c r="E87" s="25"/>
      <c r="F87" s="25"/>
      <c r="G87" s="12"/>
    </row>
    <row r="88" customFormat="false" ht="15" hidden="false" customHeight="false" outlineLevel="0" collapsed="false">
      <c r="A88" s="8" t="n">
        <v>84</v>
      </c>
      <c r="B88" s="13"/>
      <c r="C88" s="25"/>
      <c r="D88" s="25"/>
      <c r="E88" s="25"/>
      <c r="F88" s="25"/>
      <c r="G88" s="12"/>
    </row>
    <row r="89" customFormat="false" ht="15" hidden="false" customHeight="false" outlineLevel="0" collapsed="false">
      <c r="A89" s="8" t="n">
        <v>85</v>
      </c>
      <c r="B89" s="13"/>
      <c r="C89" s="25"/>
      <c r="D89" s="25"/>
      <c r="E89" s="25"/>
      <c r="F89" s="25"/>
      <c r="G89" s="12"/>
    </row>
    <row r="90" customFormat="false" ht="15" hidden="false" customHeight="false" outlineLevel="0" collapsed="false">
      <c r="A90" s="8" t="n">
        <v>86</v>
      </c>
      <c r="B90" s="13"/>
      <c r="C90" s="25"/>
      <c r="D90" s="25"/>
      <c r="E90" s="25"/>
      <c r="F90" s="25"/>
      <c r="G90" s="12"/>
    </row>
    <row r="91" customFormat="false" ht="15" hidden="false" customHeight="false" outlineLevel="0" collapsed="false">
      <c r="A91" s="8" t="n">
        <v>87</v>
      </c>
      <c r="B91" s="13"/>
      <c r="C91" s="25"/>
      <c r="D91" s="25"/>
      <c r="E91" s="25"/>
      <c r="F91" s="25"/>
      <c r="G91" s="12"/>
    </row>
    <row r="92" customFormat="false" ht="15" hidden="false" customHeight="false" outlineLevel="0" collapsed="false">
      <c r="A92" s="8" t="n">
        <v>88</v>
      </c>
      <c r="B92" s="13"/>
      <c r="C92" s="25"/>
      <c r="D92" s="25"/>
      <c r="E92" s="25"/>
      <c r="F92" s="25"/>
      <c r="G92" s="12"/>
    </row>
    <row r="93" customFormat="false" ht="15" hidden="false" customHeight="false" outlineLevel="0" collapsed="false">
      <c r="A93" s="8" t="n">
        <v>89</v>
      </c>
      <c r="B93" s="13"/>
      <c r="C93" s="25"/>
      <c r="D93" s="25"/>
      <c r="E93" s="25"/>
      <c r="F93" s="25"/>
      <c r="G93" s="12"/>
    </row>
    <row r="94" customFormat="false" ht="15" hidden="false" customHeight="false" outlineLevel="0" collapsed="false">
      <c r="A94" s="8" t="n">
        <v>90</v>
      </c>
      <c r="B94" s="13"/>
      <c r="C94" s="25"/>
      <c r="D94" s="25"/>
      <c r="E94" s="25"/>
      <c r="F94" s="25"/>
      <c r="G94" s="12"/>
    </row>
    <row r="95" customFormat="false" ht="15" hidden="false" customHeight="false" outlineLevel="0" collapsed="false">
      <c r="A95" s="8" t="n">
        <v>91</v>
      </c>
      <c r="B95" s="13"/>
      <c r="C95" s="25"/>
      <c r="D95" s="25"/>
      <c r="E95" s="25"/>
      <c r="F95" s="25"/>
      <c r="G95" s="12"/>
    </row>
    <row r="96" customFormat="false" ht="15" hidden="false" customHeight="false" outlineLevel="0" collapsed="false">
      <c r="A96" s="8" t="n">
        <v>92</v>
      </c>
      <c r="B96" s="13"/>
      <c r="C96" s="25"/>
      <c r="D96" s="25"/>
      <c r="E96" s="25"/>
      <c r="F96" s="25"/>
      <c r="G96" s="12"/>
    </row>
    <row r="97" customFormat="false" ht="15" hidden="false" customHeight="false" outlineLevel="0" collapsed="false">
      <c r="A97" s="8" t="n">
        <v>93</v>
      </c>
      <c r="B97" s="13"/>
      <c r="C97" s="25"/>
      <c r="D97" s="25"/>
      <c r="E97" s="25"/>
      <c r="F97" s="25"/>
      <c r="G97" s="12"/>
    </row>
    <row r="98" customFormat="false" ht="15" hidden="false" customHeight="false" outlineLevel="0" collapsed="false">
      <c r="A98" s="8" t="n">
        <v>94</v>
      </c>
      <c r="B98" s="13"/>
      <c r="C98" s="25"/>
      <c r="D98" s="25"/>
      <c r="E98" s="25"/>
      <c r="F98" s="25"/>
      <c r="G98" s="12"/>
    </row>
    <row r="99" customFormat="false" ht="15" hidden="false" customHeight="false" outlineLevel="0" collapsed="false">
      <c r="A99" s="8" t="n">
        <v>95</v>
      </c>
      <c r="B99" s="13"/>
      <c r="C99" s="25"/>
      <c r="D99" s="25"/>
      <c r="E99" s="25"/>
      <c r="F99" s="25"/>
      <c r="G99" s="12"/>
    </row>
    <row r="100" customFormat="false" ht="15" hidden="false" customHeight="false" outlineLevel="0" collapsed="false">
      <c r="A100" s="8" t="n">
        <v>96</v>
      </c>
      <c r="B100" s="13"/>
      <c r="C100" s="25"/>
      <c r="D100" s="25"/>
      <c r="E100" s="25"/>
      <c r="F100" s="25"/>
      <c r="G100" s="12"/>
    </row>
    <row r="101" customFormat="false" ht="15" hidden="false" customHeight="false" outlineLevel="0" collapsed="false">
      <c r="A101" s="8" t="n">
        <v>97</v>
      </c>
      <c r="B101" s="13"/>
      <c r="C101" s="25"/>
      <c r="D101" s="25"/>
      <c r="E101" s="25"/>
      <c r="F101" s="25"/>
      <c r="G101" s="12"/>
    </row>
    <row r="102" customFormat="false" ht="15" hidden="false" customHeight="false" outlineLevel="0" collapsed="false">
      <c r="A102" s="8" t="n">
        <v>98</v>
      </c>
      <c r="B102" s="13"/>
      <c r="C102" s="25"/>
      <c r="D102" s="25"/>
      <c r="E102" s="25"/>
      <c r="F102" s="25"/>
      <c r="G102" s="12"/>
    </row>
    <row r="103" customFormat="false" ht="15" hidden="false" customHeight="false" outlineLevel="0" collapsed="false">
      <c r="A103" s="8" t="n">
        <v>99</v>
      </c>
      <c r="B103" s="13"/>
      <c r="C103" s="25"/>
      <c r="D103" s="25"/>
      <c r="E103" s="25"/>
      <c r="F103" s="25"/>
      <c r="G103" s="12"/>
    </row>
    <row r="104" customFormat="false" ht="15" hidden="false" customHeight="false" outlineLevel="0" collapsed="false">
      <c r="A104" s="8" t="n">
        <v>100</v>
      </c>
      <c r="B104" s="13"/>
      <c r="C104" s="25"/>
      <c r="D104" s="25"/>
      <c r="E104" s="25"/>
      <c r="F104" s="25"/>
      <c r="G104" s="12"/>
    </row>
    <row r="105" customFormat="false" ht="15" hidden="false" customHeight="false" outlineLevel="0" collapsed="false">
      <c r="A105" s="8" t="n">
        <v>101</v>
      </c>
      <c r="B105" s="13"/>
      <c r="C105" s="25"/>
      <c r="D105" s="25"/>
      <c r="E105" s="25"/>
      <c r="F105" s="25"/>
      <c r="G105" s="12"/>
    </row>
    <row r="106" customFormat="false" ht="15" hidden="false" customHeight="false" outlineLevel="0" collapsed="false">
      <c r="A106" s="8" t="n">
        <v>102</v>
      </c>
      <c r="B106" s="13"/>
      <c r="C106" s="25"/>
      <c r="D106" s="25"/>
      <c r="E106" s="25"/>
      <c r="F106" s="25"/>
      <c r="G106" s="12"/>
    </row>
    <row r="107" customFormat="false" ht="15" hidden="false" customHeight="false" outlineLevel="0" collapsed="false">
      <c r="A107" s="8" t="n">
        <v>103</v>
      </c>
      <c r="B107" s="13"/>
      <c r="C107" s="25"/>
      <c r="D107" s="25"/>
      <c r="E107" s="25"/>
      <c r="F107" s="25"/>
      <c r="G107" s="12"/>
    </row>
    <row r="108" customFormat="false" ht="15" hidden="false" customHeight="false" outlineLevel="0" collapsed="false">
      <c r="A108" s="8" t="n">
        <v>104</v>
      </c>
      <c r="B108" s="13"/>
      <c r="C108" s="25"/>
      <c r="D108" s="25"/>
      <c r="E108" s="25"/>
      <c r="F108" s="25"/>
      <c r="G108" s="12"/>
    </row>
    <row r="109" customFormat="false" ht="15" hidden="false" customHeight="false" outlineLevel="0" collapsed="false">
      <c r="A109" s="8" t="n">
        <v>105</v>
      </c>
      <c r="B109" s="13"/>
      <c r="C109" s="25"/>
      <c r="D109" s="25"/>
      <c r="E109" s="25"/>
      <c r="F109" s="25"/>
      <c r="G109" s="12"/>
    </row>
    <row r="110" customFormat="false" ht="15" hidden="false" customHeight="false" outlineLevel="0" collapsed="false">
      <c r="A110" s="8" t="n">
        <v>106</v>
      </c>
      <c r="B110" s="13"/>
      <c r="C110" s="25"/>
      <c r="D110" s="25"/>
      <c r="E110" s="25"/>
      <c r="F110" s="25"/>
      <c r="G110" s="12"/>
    </row>
    <row r="111" customFormat="false" ht="15" hidden="false" customHeight="false" outlineLevel="0" collapsed="false">
      <c r="A111" s="8" t="n">
        <v>107</v>
      </c>
      <c r="B111" s="13"/>
      <c r="C111" s="25"/>
      <c r="D111" s="25"/>
      <c r="E111" s="25"/>
      <c r="F111" s="25"/>
      <c r="G111" s="12"/>
    </row>
    <row r="112" customFormat="false" ht="15" hidden="false" customHeight="false" outlineLevel="0" collapsed="false">
      <c r="A112" s="8" t="n">
        <v>108</v>
      </c>
      <c r="B112" s="13"/>
      <c r="C112" s="25"/>
      <c r="D112" s="25"/>
      <c r="E112" s="25"/>
      <c r="F112" s="25"/>
      <c r="G112" s="12"/>
    </row>
    <row r="113" customFormat="false" ht="15" hidden="false" customHeight="false" outlineLevel="0" collapsed="false">
      <c r="A113" s="8" t="n">
        <v>109</v>
      </c>
      <c r="B113" s="13"/>
      <c r="C113" s="25"/>
      <c r="D113" s="25"/>
      <c r="E113" s="25"/>
      <c r="F113" s="25"/>
      <c r="G113" s="12"/>
    </row>
    <row r="114" customFormat="false" ht="15" hidden="false" customHeight="false" outlineLevel="0" collapsed="false">
      <c r="A114" s="8" t="n">
        <v>110</v>
      </c>
      <c r="B114" s="13"/>
      <c r="C114" s="25"/>
      <c r="D114" s="25"/>
      <c r="E114" s="25"/>
      <c r="F114" s="25"/>
      <c r="G114" s="12"/>
    </row>
    <row r="115" customFormat="false" ht="15" hidden="false" customHeight="false" outlineLevel="0" collapsed="false">
      <c r="A115" s="8" t="n">
        <v>111</v>
      </c>
      <c r="B115" s="13"/>
      <c r="C115" s="25"/>
      <c r="D115" s="25"/>
      <c r="E115" s="25"/>
      <c r="F115" s="25"/>
      <c r="G115" s="12"/>
    </row>
    <row r="116" customFormat="false" ht="15" hidden="false" customHeight="false" outlineLevel="0" collapsed="false">
      <c r="A116" s="8" t="n">
        <v>112</v>
      </c>
      <c r="B116" s="13"/>
      <c r="C116" s="25"/>
      <c r="D116" s="25"/>
      <c r="E116" s="25"/>
      <c r="F116" s="25"/>
      <c r="G116" s="12"/>
    </row>
    <row r="117" customFormat="false" ht="15" hidden="false" customHeight="false" outlineLevel="0" collapsed="false">
      <c r="A117" s="8" t="n">
        <v>113</v>
      </c>
      <c r="B117" s="13"/>
      <c r="C117" s="25"/>
      <c r="D117" s="25"/>
      <c r="E117" s="25"/>
      <c r="F117" s="25"/>
      <c r="G117" s="12"/>
    </row>
    <row r="118" customFormat="false" ht="15" hidden="false" customHeight="false" outlineLevel="0" collapsed="false">
      <c r="A118" s="8" t="n">
        <v>114</v>
      </c>
      <c r="B118" s="13"/>
      <c r="C118" s="25"/>
      <c r="D118" s="25"/>
      <c r="E118" s="25"/>
      <c r="F118" s="25"/>
      <c r="G118" s="12"/>
    </row>
    <row r="119" customFormat="false" ht="15" hidden="false" customHeight="false" outlineLevel="0" collapsed="false">
      <c r="A119" s="8" t="n">
        <v>115</v>
      </c>
      <c r="B119" s="13"/>
      <c r="C119" s="25"/>
      <c r="D119" s="25"/>
      <c r="E119" s="25"/>
      <c r="F119" s="25"/>
      <c r="G119" s="12"/>
    </row>
    <row r="120" customFormat="false" ht="15" hidden="false" customHeight="false" outlineLevel="0" collapsed="false">
      <c r="A120" s="8" t="n">
        <v>116</v>
      </c>
      <c r="B120" s="13"/>
      <c r="C120" s="25"/>
      <c r="D120" s="25"/>
      <c r="E120" s="25"/>
      <c r="F120" s="25"/>
      <c r="G120" s="12"/>
    </row>
    <row r="121" customFormat="false" ht="15" hidden="false" customHeight="false" outlineLevel="0" collapsed="false">
      <c r="A121" s="8" t="n">
        <v>117</v>
      </c>
      <c r="B121" s="13"/>
      <c r="C121" s="25"/>
      <c r="D121" s="25"/>
      <c r="E121" s="25"/>
      <c r="F121" s="25"/>
      <c r="G121" s="12"/>
    </row>
    <row r="122" customFormat="false" ht="15" hidden="false" customHeight="false" outlineLevel="0" collapsed="false">
      <c r="A122" s="8" t="n">
        <v>118</v>
      </c>
      <c r="B122" s="13"/>
      <c r="C122" s="25"/>
      <c r="D122" s="25"/>
      <c r="E122" s="25"/>
      <c r="F122" s="25"/>
      <c r="G122" s="12"/>
    </row>
    <row r="123" customFormat="false" ht="15" hidden="false" customHeight="false" outlineLevel="0" collapsed="false">
      <c r="A123" s="8" t="n">
        <v>119</v>
      </c>
      <c r="B123" s="13"/>
      <c r="C123" s="25"/>
      <c r="D123" s="25"/>
      <c r="E123" s="25"/>
      <c r="F123" s="25"/>
      <c r="G123" s="12"/>
    </row>
    <row r="124" customFormat="false" ht="15" hidden="false" customHeight="false" outlineLevel="0" collapsed="false">
      <c r="A124" s="8" t="n">
        <v>120</v>
      </c>
      <c r="B124" s="13"/>
      <c r="C124" s="25"/>
      <c r="D124" s="25"/>
      <c r="E124" s="25"/>
      <c r="F124" s="25"/>
      <c r="G124" s="12"/>
    </row>
    <row r="125" customFormat="false" ht="15" hidden="false" customHeight="false" outlineLevel="0" collapsed="false">
      <c r="A125" s="8" t="n">
        <v>121</v>
      </c>
      <c r="B125" s="13"/>
      <c r="C125" s="25"/>
      <c r="D125" s="25"/>
      <c r="E125" s="25"/>
      <c r="F125" s="25"/>
      <c r="G125" s="12"/>
    </row>
    <row r="126" customFormat="false" ht="15" hidden="false" customHeight="false" outlineLevel="0" collapsed="false">
      <c r="A126" s="8" t="n">
        <v>122</v>
      </c>
      <c r="B126" s="13"/>
      <c r="C126" s="25"/>
      <c r="D126" s="25"/>
      <c r="E126" s="25"/>
      <c r="F126" s="25"/>
      <c r="G126" s="12"/>
    </row>
    <row r="127" customFormat="false" ht="15" hidden="false" customHeight="false" outlineLevel="0" collapsed="false">
      <c r="A127" s="8" t="n">
        <v>123</v>
      </c>
      <c r="B127" s="13"/>
      <c r="C127" s="25"/>
      <c r="D127" s="25"/>
      <c r="E127" s="25"/>
      <c r="F127" s="25"/>
      <c r="G127" s="12"/>
    </row>
    <row r="128" customFormat="false" ht="15" hidden="false" customHeight="false" outlineLevel="0" collapsed="false">
      <c r="A128" s="8" t="n">
        <v>124</v>
      </c>
      <c r="B128" s="13"/>
      <c r="C128" s="25"/>
      <c r="D128" s="25"/>
      <c r="E128" s="25"/>
      <c r="F128" s="25"/>
      <c r="G128" s="12"/>
    </row>
    <row r="129" customFormat="false" ht="15" hidden="false" customHeight="false" outlineLevel="0" collapsed="false">
      <c r="A129" s="8" t="n">
        <v>125</v>
      </c>
      <c r="B129" s="13"/>
      <c r="C129" s="25"/>
      <c r="D129" s="25"/>
      <c r="E129" s="25"/>
      <c r="F129" s="25"/>
      <c r="G129" s="12"/>
    </row>
    <row r="130" customFormat="false" ht="15" hidden="false" customHeight="false" outlineLevel="0" collapsed="false">
      <c r="A130" s="8" t="n">
        <v>126</v>
      </c>
      <c r="B130" s="13"/>
      <c r="C130" s="25"/>
      <c r="D130" s="25"/>
      <c r="E130" s="25"/>
      <c r="F130" s="25"/>
      <c r="G130" s="12"/>
    </row>
    <row r="131" customFormat="false" ht="15" hidden="false" customHeight="false" outlineLevel="0" collapsed="false">
      <c r="A131" s="8" t="n">
        <v>127</v>
      </c>
      <c r="B131" s="13"/>
      <c r="C131" s="25"/>
      <c r="D131" s="25"/>
      <c r="E131" s="25"/>
      <c r="F131" s="25"/>
      <c r="G131" s="12"/>
    </row>
    <row r="132" customFormat="false" ht="15" hidden="false" customHeight="false" outlineLevel="0" collapsed="false">
      <c r="A132" s="8" t="n">
        <v>128</v>
      </c>
      <c r="B132" s="13"/>
      <c r="C132" s="25"/>
      <c r="D132" s="25"/>
      <c r="E132" s="25"/>
      <c r="F132" s="25"/>
      <c r="G132" s="12"/>
    </row>
    <row r="133" customFormat="false" ht="15" hidden="false" customHeight="false" outlineLevel="0" collapsed="false">
      <c r="A133" s="8" t="n">
        <v>129</v>
      </c>
      <c r="B133" s="13"/>
      <c r="C133" s="25"/>
      <c r="D133" s="25"/>
      <c r="E133" s="25"/>
      <c r="F133" s="25"/>
      <c r="G133" s="12"/>
    </row>
    <row r="134" customFormat="false" ht="15" hidden="false" customHeight="false" outlineLevel="0" collapsed="false">
      <c r="A134" s="8" t="n">
        <v>130</v>
      </c>
      <c r="B134" s="13"/>
      <c r="C134" s="25"/>
      <c r="D134" s="25"/>
      <c r="E134" s="25"/>
      <c r="F134" s="25"/>
      <c r="G134" s="12"/>
    </row>
    <row r="135" customFormat="false" ht="15" hidden="false" customHeight="false" outlineLevel="0" collapsed="false">
      <c r="A135" s="8" t="n">
        <v>131</v>
      </c>
      <c r="B135" s="13"/>
      <c r="C135" s="25"/>
      <c r="D135" s="25"/>
      <c r="E135" s="25"/>
      <c r="F135" s="25"/>
      <c r="G135" s="12"/>
    </row>
    <row r="136" customFormat="false" ht="15" hidden="false" customHeight="false" outlineLevel="0" collapsed="false">
      <c r="A136" s="8" t="n">
        <v>132</v>
      </c>
      <c r="B136" s="13"/>
      <c r="C136" s="25"/>
      <c r="D136" s="25"/>
      <c r="E136" s="25"/>
      <c r="F136" s="25"/>
      <c r="G136" s="12"/>
    </row>
    <row r="137" customFormat="false" ht="15" hidden="false" customHeight="false" outlineLevel="0" collapsed="false">
      <c r="A137" s="8" t="n">
        <v>133</v>
      </c>
      <c r="B137" s="13"/>
      <c r="C137" s="25"/>
      <c r="D137" s="25"/>
      <c r="E137" s="25"/>
      <c r="F137" s="25"/>
      <c r="G137" s="12"/>
    </row>
    <row r="138" customFormat="false" ht="15" hidden="false" customHeight="false" outlineLevel="0" collapsed="false">
      <c r="A138" s="8" t="n">
        <v>134</v>
      </c>
      <c r="B138" s="13"/>
      <c r="C138" s="25"/>
      <c r="D138" s="25"/>
      <c r="E138" s="25"/>
      <c r="F138" s="25"/>
      <c r="G138" s="12"/>
    </row>
    <row r="139" customFormat="false" ht="15" hidden="false" customHeight="false" outlineLevel="0" collapsed="false">
      <c r="A139" s="8" t="n">
        <v>135</v>
      </c>
      <c r="B139" s="13"/>
      <c r="C139" s="25"/>
      <c r="D139" s="25"/>
      <c r="E139" s="25"/>
      <c r="F139" s="25"/>
      <c r="G139" s="12"/>
    </row>
    <row r="140" customFormat="false" ht="15" hidden="false" customHeight="false" outlineLevel="0" collapsed="false">
      <c r="A140" s="8" t="n">
        <v>136</v>
      </c>
      <c r="B140" s="13"/>
      <c r="C140" s="25"/>
      <c r="D140" s="25"/>
      <c r="E140" s="25"/>
      <c r="F140" s="25"/>
      <c r="G140" s="12"/>
    </row>
    <row r="141" customFormat="false" ht="15" hidden="false" customHeight="false" outlineLevel="0" collapsed="false">
      <c r="A141" s="8" t="n">
        <v>137</v>
      </c>
      <c r="B141" s="13"/>
      <c r="C141" s="25"/>
      <c r="D141" s="25"/>
      <c r="E141" s="25"/>
      <c r="F141" s="25"/>
      <c r="G141" s="12"/>
    </row>
    <row r="142" customFormat="false" ht="15" hidden="false" customHeight="false" outlineLevel="0" collapsed="false">
      <c r="A142" s="8" t="n">
        <v>138</v>
      </c>
      <c r="B142" s="13"/>
      <c r="C142" s="25"/>
      <c r="D142" s="25"/>
      <c r="E142" s="25"/>
      <c r="F142" s="25"/>
      <c r="G142" s="12"/>
    </row>
    <row r="143" customFormat="false" ht="15" hidden="false" customHeight="false" outlineLevel="0" collapsed="false">
      <c r="A143" s="8" t="n">
        <v>139</v>
      </c>
      <c r="B143" s="13"/>
      <c r="C143" s="25"/>
      <c r="D143" s="25"/>
      <c r="E143" s="25"/>
      <c r="F143" s="25"/>
      <c r="G143" s="12"/>
    </row>
    <row r="144" customFormat="false" ht="15" hidden="false" customHeight="false" outlineLevel="0" collapsed="false">
      <c r="A144" s="8" t="n">
        <v>140</v>
      </c>
      <c r="B144" s="13"/>
      <c r="C144" s="25"/>
      <c r="D144" s="25"/>
      <c r="E144" s="25"/>
      <c r="F144" s="25"/>
      <c r="G144" s="12"/>
    </row>
    <row r="145" customFormat="false" ht="15" hidden="false" customHeight="false" outlineLevel="0" collapsed="false">
      <c r="A145" s="8" t="n">
        <v>141</v>
      </c>
      <c r="B145" s="13"/>
      <c r="C145" s="25"/>
      <c r="D145" s="25"/>
      <c r="E145" s="25"/>
      <c r="F145" s="25"/>
      <c r="G145" s="12"/>
    </row>
    <row r="146" customFormat="false" ht="15" hidden="false" customHeight="false" outlineLevel="0" collapsed="false">
      <c r="A146" s="8" t="n">
        <v>142</v>
      </c>
      <c r="B146" s="13"/>
      <c r="C146" s="25"/>
      <c r="D146" s="25"/>
      <c r="E146" s="25"/>
      <c r="F146" s="25"/>
      <c r="G146" s="12"/>
    </row>
    <row r="147" customFormat="false" ht="15" hidden="false" customHeight="false" outlineLevel="0" collapsed="false">
      <c r="A147" s="8" t="n">
        <v>143</v>
      </c>
      <c r="B147" s="13"/>
      <c r="C147" s="25"/>
      <c r="D147" s="25"/>
      <c r="E147" s="25"/>
      <c r="F147" s="25"/>
      <c r="G147" s="12"/>
    </row>
    <row r="148" customFormat="false" ht="15" hidden="false" customHeight="false" outlineLevel="0" collapsed="false">
      <c r="A148" s="8" t="n">
        <v>144</v>
      </c>
      <c r="B148" s="13"/>
      <c r="C148" s="25"/>
      <c r="D148" s="25"/>
      <c r="E148" s="25"/>
      <c r="F148" s="25"/>
      <c r="G148" s="12"/>
    </row>
    <row r="149" customFormat="false" ht="15" hidden="false" customHeight="false" outlineLevel="0" collapsed="false">
      <c r="A149" s="8" t="n">
        <v>145</v>
      </c>
      <c r="B149" s="13"/>
      <c r="C149" s="25"/>
      <c r="D149" s="25"/>
      <c r="E149" s="25"/>
      <c r="F149" s="25"/>
      <c r="G149" s="12"/>
    </row>
    <row r="150" customFormat="false" ht="15" hidden="false" customHeight="false" outlineLevel="0" collapsed="false">
      <c r="A150" s="8" t="n">
        <v>146</v>
      </c>
      <c r="B150" s="13"/>
      <c r="C150" s="25"/>
      <c r="D150" s="25"/>
      <c r="E150" s="25"/>
      <c r="F150" s="25"/>
      <c r="G150" s="12"/>
    </row>
    <row r="151" customFormat="false" ht="15" hidden="false" customHeight="false" outlineLevel="0" collapsed="false">
      <c r="A151" s="8" t="n">
        <v>147</v>
      </c>
      <c r="B151" s="13"/>
      <c r="C151" s="25"/>
      <c r="D151" s="25"/>
      <c r="E151" s="25"/>
      <c r="F151" s="25"/>
      <c r="G151" s="12"/>
    </row>
    <row r="152" customFormat="false" ht="15" hidden="false" customHeight="false" outlineLevel="0" collapsed="false">
      <c r="A152" s="8" t="n">
        <v>148</v>
      </c>
      <c r="B152" s="13"/>
      <c r="C152" s="25"/>
      <c r="D152" s="25"/>
      <c r="E152" s="25"/>
      <c r="F152" s="25"/>
      <c r="G152" s="12"/>
    </row>
    <row r="153" customFormat="false" ht="15" hidden="false" customHeight="false" outlineLevel="0" collapsed="false">
      <c r="A153" s="8" t="n">
        <v>149</v>
      </c>
      <c r="B153" s="13"/>
      <c r="C153" s="25"/>
      <c r="D153" s="25"/>
      <c r="E153" s="25"/>
      <c r="F153" s="25"/>
      <c r="G153" s="12"/>
    </row>
    <row r="154" customFormat="false" ht="15" hidden="false" customHeight="false" outlineLevel="0" collapsed="false">
      <c r="A154" s="8" t="n">
        <v>150</v>
      </c>
      <c r="B154" s="13"/>
      <c r="C154" s="25"/>
      <c r="D154" s="25"/>
      <c r="E154" s="25"/>
      <c r="F154" s="25"/>
      <c r="G154" s="12"/>
    </row>
    <row r="155" customFormat="false" ht="15" hidden="false" customHeight="false" outlineLevel="0" collapsed="false">
      <c r="A155" s="8" t="n">
        <v>151</v>
      </c>
      <c r="B155" s="13"/>
      <c r="C155" s="25"/>
      <c r="D155" s="25"/>
      <c r="E155" s="25"/>
      <c r="F155" s="25"/>
      <c r="G155" s="12"/>
    </row>
    <row r="156" customFormat="false" ht="15" hidden="false" customHeight="false" outlineLevel="0" collapsed="false">
      <c r="A156" s="8" t="n">
        <v>152</v>
      </c>
      <c r="B156" s="13"/>
      <c r="C156" s="25"/>
      <c r="D156" s="25"/>
      <c r="E156" s="25"/>
      <c r="F156" s="25"/>
      <c r="G156" s="12"/>
    </row>
    <row r="157" customFormat="false" ht="15" hidden="false" customHeight="false" outlineLevel="0" collapsed="false">
      <c r="A157" s="8" t="n">
        <v>153</v>
      </c>
      <c r="B157" s="13"/>
      <c r="C157" s="25"/>
      <c r="D157" s="25"/>
      <c r="E157" s="25"/>
      <c r="F157" s="25"/>
      <c r="G157" s="12"/>
    </row>
    <row r="158" customFormat="false" ht="15" hidden="false" customHeight="false" outlineLevel="0" collapsed="false">
      <c r="A158" s="8" t="n">
        <v>154</v>
      </c>
      <c r="B158" s="13"/>
      <c r="C158" s="25"/>
      <c r="D158" s="25"/>
      <c r="E158" s="25"/>
      <c r="F158" s="25"/>
      <c r="G158" s="12"/>
    </row>
    <row r="159" customFormat="false" ht="15" hidden="false" customHeight="false" outlineLevel="0" collapsed="false">
      <c r="A159" s="8" t="n">
        <v>155</v>
      </c>
      <c r="B159" s="13"/>
      <c r="C159" s="25"/>
      <c r="D159" s="25"/>
      <c r="E159" s="25"/>
      <c r="F159" s="25"/>
      <c r="G159" s="12"/>
    </row>
    <row r="160" customFormat="false" ht="15" hidden="false" customHeight="false" outlineLevel="0" collapsed="false">
      <c r="A160" s="8" t="n">
        <v>156</v>
      </c>
      <c r="B160" s="13"/>
      <c r="C160" s="25"/>
      <c r="D160" s="25"/>
      <c r="E160" s="25"/>
      <c r="F160" s="25"/>
      <c r="G160" s="12"/>
    </row>
    <row r="161" customFormat="false" ht="15" hidden="false" customHeight="false" outlineLevel="0" collapsed="false">
      <c r="A161" s="8" t="n">
        <v>157</v>
      </c>
      <c r="B161" s="13"/>
      <c r="C161" s="25"/>
      <c r="D161" s="25"/>
      <c r="E161" s="25"/>
      <c r="F161" s="25"/>
      <c r="G161" s="12"/>
    </row>
    <row r="162" customFormat="false" ht="15" hidden="false" customHeight="false" outlineLevel="0" collapsed="false">
      <c r="A162" s="8" t="n">
        <v>158</v>
      </c>
      <c r="B162" s="13"/>
      <c r="C162" s="25"/>
      <c r="D162" s="25"/>
      <c r="E162" s="25"/>
      <c r="F162" s="25"/>
      <c r="G162" s="12"/>
    </row>
    <row r="163" customFormat="false" ht="15" hidden="false" customHeight="false" outlineLevel="0" collapsed="false">
      <c r="A163" s="8" t="n">
        <v>159</v>
      </c>
      <c r="B163" s="13"/>
      <c r="C163" s="25"/>
      <c r="D163" s="25"/>
      <c r="E163" s="25"/>
      <c r="F163" s="25"/>
      <c r="G163" s="12"/>
    </row>
    <row r="164" customFormat="false" ht="15" hidden="false" customHeight="false" outlineLevel="0" collapsed="false">
      <c r="A164" s="8" t="n">
        <v>160</v>
      </c>
      <c r="B164" s="13"/>
      <c r="C164" s="25"/>
      <c r="D164" s="25"/>
      <c r="E164" s="25"/>
      <c r="F164" s="25"/>
      <c r="G164" s="12"/>
    </row>
    <row r="165" customFormat="false" ht="15" hidden="false" customHeight="false" outlineLevel="0" collapsed="false">
      <c r="A165" s="8" t="n">
        <v>161</v>
      </c>
      <c r="B165" s="13"/>
      <c r="C165" s="25"/>
      <c r="D165" s="25"/>
      <c r="E165" s="25"/>
      <c r="F165" s="25"/>
      <c r="G165" s="12"/>
    </row>
    <row r="166" customFormat="false" ht="15" hidden="false" customHeight="false" outlineLevel="0" collapsed="false">
      <c r="A166" s="8" t="n">
        <v>162</v>
      </c>
      <c r="B166" s="13"/>
      <c r="C166" s="25"/>
      <c r="D166" s="25"/>
      <c r="E166" s="25"/>
      <c r="F166" s="25"/>
      <c r="G166" s="12"/>
    </row>
    <row r="167" customFormat="false" ht="15" hidden="false" customHeight="false" outlineLevel="0" collapsed="false">
      <c r="A167" s="8" t="n">
        <v>163</v>
      </c>
      <c r="B167" s="13"/>
      <c r="C167" s="25"/>
      <c r="D167" s="25"/>
      <c r="E167" s="25"/>
      <c r="F167" s="25"/>
      <c r="G167" s="12"/>
    </row>
    <row r="168" customFormat="false" ht="15" hidden="false" customHeight="false" outlineLevel="0" collapsed="false">
      <c r="A168" s="8" t="n">
        <v>164</v>
      </c>
      <c r="B168" s="13"/>
      <c r="C168" s="25"/>
      <c r="D168" s="25"/>
      <c r="E168" s="25"/>
      <c r="F168" s="25"/>
      <c r="G168" s="12"/>
    </row>
    <row r="169" customFormat="false" ht="15" hidden="false" customHeight="false" outlineLevel="0" collapsed="false">
      <c r="A169" s="8" t="n">
        <v>165</v>
      </c>
      <c r="B169" s="13"/>
      <c r="C169" s="25"/>
      <c r="D169" s="25"/>
      <c r="E169" s="25"/>
      <c r="F169" s="25"/>
      <c r="G169" s="12"/>
    </row>
    <row r="170" customFormat="false" ht="15" hidden="false" customHeight="false" outlineLevel="0" collapsed="false">
      <c r="A170" s="8" t="n">
        <v>166</v>
      </c>
      <c r="B170" s="13"/>
      <c r="C170" s="25"/>
      <c r="D170" s="25"/>
      <c r="E170" s="25"/>
      <c r="F170" s="25"/>
      <c r="G170" s="12"/>
    </row>
    <row r="171" customFormat="false" ht="15" hidden="false" customHeight="false" outlineLevel="0" collapsed="false">
      <c r="A171" s="8" t="n">
        <v>167</v>
      </c>
      <c r="B171" s="13"/>
      <c r="C171" s="25"/>
      <c r="D171" s="25"/>
      <c r="E171" s="25"/>
      <c r="F171" s="25"/>
      <c r="G171" s="12"/>
    </row>
    <row r="172" customFormat="false" ht="15" hidden="false" customHeight="false" outlineLevel="0" collapsed="false">
      <c r="A172" s="8" t="n">
        <v>168</v>
      </c>
      <c r="B172" s="13"/>
      <c r="C172" s="25"/>
      <c r="D172" s="25"/>
      <c r="E172" s="25"/>
      <c r="F172" s="25"/>
      <c r="G172" s="12"/>
    </row>
    <row r="173" customFormat="false" ht="15" hidden="false" customHeight="false" outlineLevel="0" collapsed="false">
      <c r="A173" s="8" t="n">
        <v>169</v>
      </c>
      <c r="B173" s="13"/>
      <c r="C173" s="25"/>
      <c r="D173" s="25"/>
      <c r="E173" s="25"/>
      <c r="F173" s="25"/>
      <c r="G173" s="12"/>
    </row>
    <row r="174" customFormat="false" ht="15" hidden="false" customHeight="false" outlineLevel="0" collapsed="false">
      <c r="A174" s="8" t="n">
        <v>170</v>
      </c>
      <c r="B174" s="13"/>
      <c r="C174" s="25"/>
      <c r="D174" s="25"/>
      <c r="E174" s="25"/>
      <c r="F174" s="25"/>
      <c r="G174" s="12"/>
    </row>
    <row r="175" customFormat="false" ht="15" hidden="false" customHeight="false" outlineLevel="0" collapsed="false">
      <c r="A175" s="8" t="n">
        <v>171</v>
      </c>
      <c r="B175" s="13"/>
      <c r="C175" s="25"/>
      <c r="D175" s="25"/>
      <c r="E175" s="25"/>
      <c r="F175" s="25"/>
      <c r="G175" s="12"/>
    </row>
    <row r="176" customFormat="false" ht="15" hidden="false" customHeight="false" outlineLevel="0" collapsed="false">
      <c r="A176" s="8" t="n">
        <v>172</v>
      </c>
      <c r="B176" s="13"/>
      <c r="C176" s="25"/>
      <c r="D176" s="25"/>
      <c r="E176" s="25"/>
      <c r="F176" s="25"/>
      <c r="G176" s="12"/>
    </row>
    <row r="177" customFormat="false" ht="15" hidden="false" customHeight="false" outlineLevel="0" collapsed="false">
      <c r="A177" s="8" t="n">
        <v>173</v>
      </c>
      <c r="B177" s="13"/>
      <c r="C177" s="25"/>
      <c r="D177" s="25"/>
      <c r="E177" s="25"/>
      <c r="F177" s="25"/>
      <c r="G177" s="12"/>
    </row>
    <row r="178" customFormat="false" ht="15" hidden="false" customHeight="false" outlineLevel="0" collapsed="false">
      <c r="A178" s="8" t="n">
        <v>174</v>
      </c>
      <c r="B178" s="13"/>
      <c r="C178" s="25"/>
      <c r="D178" s="25"/>
      <c r="E178" s="25"/>
      <c r="F178" s="25"/>
      <c r="G178" s="12"/>
    </row>
    <row r="179" customFormat="false" ht="15" hidden="false" customHeight="false" outlineLevel="0" collapsed="false">
      <c r="A179" s="8" t="n">
        <v>175</v>
      </c>
      <c r="B179" s="13"/>
      <c r="C179" s="25"/>
      <c r="D179" s="25"/>
      <c r="E179" s="25"/>
      <c r="F179" s="25"/>
      <c r="G179" s="12"/>
    </row>
    <row r="180" customFormat="false" ht="15" hidden="false" customHeight="false" outlineLevel="0" collapsed="false">
      <c r="A180" s="8" t="n">
        <v>176</v>
      </c>
      <c r="B180" s="13"/>
      <c r="C180" s="25"/>
      <c r="D180" s="25"/>
      <c r="E180" s="25"/>
      <c r="F180" s="25"/>
      <c r="G180" s="12"/>
    </row>
    <row r="181" customFormat="false" ht="15" hidden="false" customHeight="false" outlineLevel="0" collapsed="false">
      <c r="A181" s="8" t="n">
        <v>177</v>
      </c>
      <c r="B181" s="13"/>
      <c r="C181" s="25"/>
      <c r="D181" s="25"/>
      <c r="E181" s="25"/>
      <c r="F181" s="25"/>
      <c r="G181" s="12"/>
    </row>
    <row r="182" customFormat="false" ht="15" hidden="false" customHeight="false" outlineLevel="0" collapsed="false">
      <c r="A182" s="8" t="n">
        <v>178</v>
      </c>
      <c r="B182" s="13"/>
      <c r="C182" s="25"/>
      <c r="D182" s="25"/>
      <c r="E182" s="25"/>
      <c r="F182" s="25"/>
      <c r="G182" s="12"/>
    </row>
    <row r="183" customFormat="false" ht="15" hidden="false" customHeight="false" outlineLevel="0" collapsed="false">
      <c r="A183" s="8" t="n">
        <v>179</v>
      </c>
      <c r="B183" s="13"/>
      <c r="C183" s="25"/>
      <c r="D183" s="25"/>
      <c r="E183" s="25"/>
      <c r="F183" s="25"/>
      <c r="G183" s="12"/>
    </row>
    <row r="184" customFormat="false" ht="15" hidden="false" customHeight="false" outlineLevel="0" collapsed="false">
      <c r="A184" s="8" t="n">
        <v>180</v>
      </c>
      <c r="B184" s="13"/>
      <c r="C184" s="25"/>
      <c r="D184" s="25"/>
      <c r="E184" s="25"/>
      <c r="F184" s="25"/>
      <c r="G184" s="12"/>
    </row>
    <row r="185" customFormat="false" ht="15" hidden="false" customHeight="false" outlineLevel="0" collapsed="false">
      <c r="A185" s="8" t="n">
        <v>181</v>
      </c>
      <c r="B185" s="13"/>
      <c r="C185" s="25"/>
      <c r="D185" s="25"/>
      <c r="E185" s="25"/>
      <c r="F185" s="25"/>
      <c r="G185" s="12"/>
    </row>
    <row r="186" customFormat="false" ht="15" hidden="false" customHeight="false" outlineLevel="0" collapsed="false">
      <c r="A186" s="8" t="n">
        <v>182</v>
      </c>
      <c r="B186" s="13"/>
      <c r="C186" s="25"/>
      <c r="D186" s="25"/>
      <c r="E186" s="25"/>
      <c r="F186" s="25"/>
      <c r="G186" s="12"/>
    </row>
    <row r="187" customFormat="false" ht="15" hidden="false" customHeight="false" outlineLevel="0" collapsed="false">
      <c r="A187" s="8" t="n">
        <v>183</v>
      </c>
      <c r="B187" s="13"/>
      <c r="C187" s="25"/>
      <c r="D187" s="25"/>
      <c r="E187" s="25"/>
      <c r="F187" s="25"/>
      <c r="G187" s="12"/>
    </row>
    <row r="188" customFormat="false" ht="15" hidden="false" customHeight="false" outlineLevel="0" collapsed="false">
      <c r="A188" s="8" t="n">
        <v>184</v>
      </c>
      <c r="B188" s="13"/>
      <c r="C188" s="25"/>
      <c r="D188" s="25"/>
      <c r="E188" s="25"/>
      <c r="F188" s="25"/>
      <c r="G188" s="12"/>
    </row>
    <row r="189" customFormat="false" ht="15" hidden="false" customHeight="false" outlineLevel="0" collapsed="false">
      <c r="A189" s="8" t="n">
        <v>185</v>
      </c>
      <c r="B189" s="13"/>
      <c r="C189" s="25"/>
      <c r="D189" s="25"/>
      <c r="E189" s="25"/>
      <c r="F189" s="25"/>
      <c r="G189" s="12"/>
    </row>
    <row r="190" customFormat="false" ht="15" hidden="false" customHeight="false" outlineLevel="0" collapsed="false">
      <c r="A190" s="8" t="n">
        <v>186</v>
      </c>
      <c r="B190" s="13"/>
      <c r="C190" s="25"/>
      <c r="D190" s="25"/>
      <c r="E190" s="25"/>
      <c r="F190" s="25"/>
      <c r="G190" s="12"/>
    </row>
    <row r="191" customFormat="false" ht="15" hidden="false" customHeight="false" outlineLevel="0" collapsed="false">
      <c r="A191" s="8" t="n">
        <v>187</v>
      </c>
      <c r="B191" s="13"/>
      <c r="C191" s="25"/>
      <c r="D191" s="25"/>
      <c r="E191" s="25"/>
      <c r="F191" s="25"/>
      <c r="G191" s="12"/>
    </row>
    <row r="192" customFormat="false" ht="15" hidden="false" customHeight="false" outlineLevel="0" collapsed="false">
      <c r="A192" s="8" t="n">
        <v>188</v>
      </c>
      <c r="B192" s="13"/>
      <c r="C192" s="25"/>
      <c r="D192" s="25"/>
      <c r="E192" s="25"/>
      <c r="F192" s="25"/>
      <c r="G192" s="12"/>
    </row>
    <row r="193" customFormat="false" ht="15" hidden="false" customHeight="false" outlineLevel="0" collapsed="false">
      <c r="A193" s="8" t="n">
        <v>189</v>
      </c>
      <c r="B193" s="13"/>
      <c r="C193" s="25"/>
      <c r="D193" s="25"/>
      <c r="E193" s="25"/>
      <c r="F193" s="25"/>
      <c r="G193" s="12"/>
    </row>
    <row r="194" customFormat="false" ht="15" hidden="false" customHeight="false" outlineLevel="0" collapsed="false">
      <c r="A194" s="8" t="n">
        <v>190</v>
      </c>
      <c r="B194" s="13"/>
      <c r="C194" s="25"/>
      <c r="D194" s="25"/>
      <c r="E194" s="25"/>
      <c r="F194" s="25"/>
      <c r="G194" s="12"/>
    </row>
    <row r="195" customFormat="false" ht="15" hidden="false" customHeight="false" outlineLevel="0" collapsed="false">
      <c r="A195" s="8" t="n">
        <v>191</v>
      </c>
      <c r="B195" s="13"/>
      <c r="C195" s="25"/>
      <c r="D195" s="25"/>
      <c r="E195" s="25"/>
      <c r="F195" s="25"/>
      <c r="G195" s="12"/>
    </row>
    <row r="196" customFormat="false" ht="15" hidden="false" customHeight="false" outlineLevel="0" collapsed="false">
      <c r="A196" s="8" t="n">
        <v>192</v>
      </c>
      <c r="B196" s="13"/>
      <c r="C196" s="25"/>
      <c r="D196" s="25"/>
      <c r="E196" s="25"/>
      <c r="F196" s="25"/>
      <c r="G196" s="12"/>
    </row>
    <row r="197" customFormat="false" ht="15" hidden="false" customHeight="false" outlineLevel="0" collapsed="false">
      <c r="A197" s="8" t="n">
        <v>193</v>
      </c>
      <c r="B197" s="13"/>
      <c r="C197" s="25"/>
      <c r="D197" s="25"/>
      <c r="E197" s="25"/>
      <c r="F197" s="25"/>
      <c r="G197" s="12"/>
    </row>
    <row r="198" customFormat="false" ht="15" hidden="false" customHeight="false" outlineLevel="0" collapsed="false">
      <c r="A198" s="8" t="n">
        <v>194</v>
      </c>
      <c r="B198" s="13"/>
      <c r="C198" s="25"/>
      <c r="D198" s="25"/>
      <c r="E198" s="25"/>
      <c r="F198" s="25"/>
      <c r="G198" s="12"/>
    </row>
    <row r="199" customFormat="false" ht="15" hidden="false" customHeight="false" outlineLevel="0" collapsed="false">
      <c r="A199" s="8" t="n">
        <v>195</v>
      </c>
      <c r="B199" s="13"/>
      <c r="C199" s="25"/>
      <c r="D199" s="25"/>
      <c r="E199" s="25"/>
      <c r="F199" s="25"/>
      <c r="G199" s="12"/>
    </row>
    <row r="200" customFormat="false" ht="15" hidden="false" customHeight="false" outlineLevel="0" collapsed="false">
      <c r="A200" s="8" t="n">
        <v>196</v>
      </c>
      <c r="B200" s="13"/>
      <c r="C200" s="25"/>
      <c r="D200" s="25"/>
      <c r="E200" s="25"/>
      <c r="F200" s="25"/>
      <c r="G200" s="12"/>
    </row>
    <row r="201" customFormat="false" ht="15" hidden="false" customHeight="false" outlineLevel="0" collapsed="false">
      <c r="A201" s="8" t="n">
        <v>197</v>
      </c>
      <c r="B201" s="13"/>
      <c r="C201" s="25"/>
      <c r="D201" s="25"/>
      <c r="E201" s="25"/>
      <c r="F201" s="25"/>
      <c r="G201" s="12"/>
    </row>
    <row r="202" customFormat="false" ht="15" hidden="false" customHeight="false" outlineLevel="0" collapsed="false">
      <c r="A202" s="8" t="n">
        <v>198</v>
      </c>
      <c r="B202" s="13"/>
      <c r="C202" s="25"/>
      <c r="D202" s="25"/>
      <c r="E202" s="25"/>
      <c r="F202" s="25"/>
      <c r="G202" s="12"/>
    </row>
    <row r="203" customFormat="false" ht="15" hidden="false" customHeight="false" outlineLevel="0" collapsed="false">
      <c r="A203" s="8" t="n">
        <v>199</v>
      </c>
      <c r="B203" s="13"/>
      <c r="C203" s="25"/>
      <c r="D203" s="25"/>
      <c r="E203" s="25"/>
      <c r="F203" s="25"/>
      <c r="G203" s="12"/>
    </row>
    <row r="204" customFormat="false" ht="15" hidden="false" customHeight="false" outlineLevel="0" collapsed="false">
      <c r="A204" s="8" t="n">
        <v>200</v>
      </c>
      <c r="B204" s="13"/>
      <c r="C204" s="25"/>
      <c r="D204" s="25"/>
      <c r="E204" s="25"/>
      <c r="F204" s="25"/>
      <c r="G204" s="12"/>
    </row>
    <row r="205" customFormat="false" ht="15" hidden="false" customHeight="false" outlineLevel="0" collapsed="false">
      <c r="A205" s="8" t="n">
        <v>201</v>
      </c>
      <c r="B205" s="13"/>
      <c r="C205" s="25"/>
      <c r="D205" s="25"/>
      <c r="E205" s="25"/>
      <c r="F205" s="25"/>
      <c r="G205" s="12"/>
    </row>
    <row r="206" customFormat="false" ht="15" hidden="false" customHeight="false" outlineLevel="0" collapsed="false">
      <c r="A206" s="8" t="n">
        <v>202</v>
      </c>
      <c r="B206" s="13"/>
      <c r="C206" s="25"/>
      <c r="D206" s="25"/>
      <c r="E206" s="25"/>
      <c r="F206" s="25"/>
      <c r="G206" s="12"/>
    </row>
    <row r="207" customFormat="false" ht="15" hidden="false" customHeight="false" outlineLevel="0" collapsed="false">
      <c r="A207" s="8" t="n">
        <v>203</v>
      </c>
      <c r="B207" s="13"/>
      <c r="C207" s="25"/>
      <c r="D207" s="25"/>
      <c r="E207" s="25"/>
      <c r="F207" s="25"/>
      <c r="G207" s="12"/>
    </row>
    <row r="208" customFormat="false" ht="15" hidden="false" customHeight="false" outlineLevel="0" collapsed="false">
      <c r="A208" s="8" t="n">
        <v>204</v>
      </c>
      <c r="B208" s="13"/>
      <c r="C208" s="25"/>
      <c r="D208" s="25"/>
      <c r="E208" s="25"/>
      <c r="F208" s="25"/>
      <c r="G208" s="12"/>
    </row>
    <row r="209" customFormat="false" ht="15" hidden="false" customHeight="false" outlineLevel="0" collapsed="false">
      <c r="A209" s="8" t="n">
        <v>205</v>
      </c>
      <c r="B209" s="13"/>
      <c r="C209" s="25"/>
      <c r="D209" s="25"/>
      <c r="E209" s="25"/>
      <c r="F209" s="25"/>
      <c r="G209" s="12"/>
    </row>
    <row r="210" customFormat="false" ht="15" hidden="false" customHeight="false" outlineLevel="0" collapsed="false">
      <c r="A210" s="8" t="n">
        <v>206</v>
      </c>
      <c r="B210" s="13"/>
      <c r="C210" s="25"/>
      <c r="D210" s="25"/>
      <c r="E210" s="25"/>
      <c r="F210" s="25"/>
      <c r="G210" s="12"/>
    </row>
    <row r="211" customFormat="false" ht="15" hidden="false" customHeight="false" outlineLevel="0" collapsed="false">
      <c r="A211" s="8" t="n">
        <v>207</v>
      </c>
      <c r="B211" s="13"/>
      <c r="C211" s="25"/>
      <c r="D211" s="25"/>
      <c r="E211" s="25"/>
      <c r="F211" s="25"/>
      <c r="G211" s="12"/>
    </row>
    <row r="212" customFormat="false" ht="15" hidden="false" customHeight="false" outlineLevel="0" collapsed="false">
      <c r="A212" s="8" t="n">
        <v>208</v>
      </c>
      <c r="B212" s="13"/>
      <c r="C212" s="25"/>
      <c r="D212" s="25"/>
      <c r="E212" s="25"/>
      <c r="F212" s="25"/>
      <c r="G212" s="12"/>
    </row>
    <row r="213" customFormat="false" ht="15" hidden="false" customHeight="false" outlineLevel="0" collapsed="false">
      <c r="A213" s="8" t="n">
        <v>209</v>
      </c>
      <c r="B213" s="13"/>
      <c r="C213" s="25"/>
      <c r="D213" s="25"/>
      <c r="E213" s="25"/>
      <c r="F213" s="25"/>
      <c r="G213" s="12"/>
    </row>
    <row r="214" customFormat="false" ht="15" hidden="false" customHeight="false" outlineLevel="0" collapsed="false">
      <c r="A214" s="8" t="n">
        <v>210</v>
      </c>
      <c r="B214" s="13"/>
      <c r="C214" s="25"/>
      <c r="D214" s="25"/>
      <c r="E214" s="25"/>
      <c r="F214" s="25"/>
      <c r="G214" s="12"/>
    </row>
    <row r="215" customFormat="false" ht="15" hidden="false" customHeight="false" outlineLevel="0" collapsed="false">
      <c r="A215" s="8" t="n">
        <v>211</v>
      </c>
      <c r="B215" s="13"/>
      <c r="C215" s="25"/>
      <c r="D215" s="25"/>
      <c r="E215" s="25"/>
      <c r="F215" s="25"/>
      <c r="G215" s="12"/>
    </row>
    <row r="216" customFormat="false" ht="15" hidden="false" customHeight="false" outlineLevel="0" collapsed="false">
      <c r="A216" s="8" t="n">
        <v>212</v>
      </c>
      <c r="B216" s="13"/>
      <c r="C216" s="25"/>
      <c r="D216" s="25"/>
      <c r="E216" s="25"/>
      <c r="F216" s="25"/>
      <c r="G216" s="12"/>
    </row>
    <row r="217" customFormat="false" ht="15" hidden="false" customHeight="false" outlineLevel="0" collapsed="false">
      <c r="A217" s="8" t="n">
        <v>213</v>
      </c>
      <c r="B217" s="13"/>
      <c r="C217" s="25"/>
      <c r="D217" s="25"/>
      <c r="E217" s="25"/>
      <c r="F217" s="25"/>
      <c r="G217" s="12"/>
    </row>
    <row r="218" customFormat="false" ht="15" hidden="false" customHeight="false" outlineLevel="0" collapsed="false">
      <c r="A218" s="8" t="n">
        <v>214</v>
      </c>
      <c r="B218" s="13"/>
      <c r="C218" s="25"/>
      <c r="D218" s="25"/>
      <c r="E218" s="25"/>
      <c r="F218" s="25"/>
      <c r="G218" s="12"/>
    </row>
    <row r="219" customFormat="false" ht="15" hidden="false" customHeight="false" outlineLevel="0" collapsed="false">
      <c r="A219" s="8" t="n">
        <v>215</v>
      </c>
      <c r="B219" s="13"/>
      <c r="C219" s="25"/>
      <c r="D219" s="25"/>
      <c r="E219" s="25"/>
      <c r="F219" s="25"/>
      <c r="G219" s="12"/>
    </row>
    <row r="220" customFormat="false" ht="15" hidden="false" customHeight="false" outlineLevel="0" collapsed="false">
      <c r="A220" s="8" t="n">
        <v>216</v>
      </c>
      <c r="B220" s="13"/>
      <c r="C220" s="25"/>
      <c r="D220" s="25"/>
      <c r="E220" s="25"/>
      <c r="F220" s="25"/>
      <c r="G220" s="12"/>
    </row>
    <row r="221" customFormat="false" ht="15" hidden="false" customHeight="false" outlineLevel="0" collapsed="false">
      <c r="A221" s="8" t="n">
        <v>217</v>
      </c>
      <c r="B221" s="13"/>
      <c r="C221" s="25"/>
      <c r="D221" s="25"/>
      <c r="E221" s="25"/>
      <c r="F221" s="25"/>
      <c r="G221" s="12"/>
    </row>
    <row r="222" customFormat="false" ht="15" hidden="false" customHeight="false" outlineLevel="0" collapsed="false">
      <c r="A222" s="8" t="n">
        <v>218</v>
      </c>
      <c r="B222" s="13"/>
      <c r="C222" s="25"/>
      <c r="D222" s="25"/>
      <c r="E222" s="25"/>
      <c r="F222" s="25"/>
      <c r="G222" s="12"/>
    </row>
    <row r="223" customFormat="false" ht="15" hidden="false" customHeight="false" outlineLevel="0" collapsed="false">
      <c r="A223" s="8" t="n">
        <v>219</v>
      </c>
      <c r="B223" s="13"/>
      <c r="C223" s="25"/>
      <c r="D223" s="25"/>
      <c r="E223" s="25"/>
      <c r="F223" s="25"/>
      <c r="G223" s="12"/>
    </row>
    <row r="224" customFormat="false" ht="15" hidden="false" customHeight="false" outlineLevel="0" collapsed="false">
      <c r="A224" s="8" t="n">
        <v>220</v>
      </c>
      <c r="B224" s="13"/>
      <c r="C224" s="25"/>
      <c r="D224" s="25"/>
      <c r="E224" s="25"/>
      <c r="F224" s="25"/>
      <c r="G224" s="12"/>
    </row>
    <row r="225" customFormat="false" ht="15" hidden="false" customHeight="false" outlineLevel="0" collapsed="false">
      <c r="A225" s="8" t="n">
        <v>221</v>
      </c>
      <c r="B225" s="13"/>
      <c r="C225" s="25"/>
      <c r="D225" s="25"/>
      <c r="E225" s="25"/>
      <c r="F225" s="25"/>
      <c r="G225" s="12"/>
    </row>
    <row r="226" customFormat="false" ht="15" hidden="false" customHeight="false" outlineLevel="0" collapsed="false">
      <c r="A226" s="8" t="n">
        <v>222</v>
      </c>
      <c r="B226" s="13"/>
      <c r="C226" s="25"/>
      <c r="D226" s="25"/>
      <c r="E226" s="25"/>
      <c r="F226" s="25"/>
      <c r="G226" s="12"/>
    </row>
    <row r="227" customFormat="false" ht="15" hidden="false" customHeight="false" outlineLevel="0" collapsed="false">
      <c r="A227" s="8" t="n">
        <v>223</v>
      </c>
      <c r="B227" s="13"/>
      <c r="C227" s="25"/>
      <c r="D227" s="25"/>
      <c r="E227" s="25"/>
      <c r="F227" s="25"/>
      <c r="G227" s="12"/>
    </row>
    <row r="228" customFormat="false" ht="15" hidden="false" customHeight="false" outlineLevel="0" collapsed="false">
      <c r="A228" s="8" t="n">
        <v>224</v>
      </c>
      <c r="B228" s="13"/>
      <c r="C228" s="25"/>
      <c r="D228" s="25"/>
      <c r="E228" s="25"/>
      <c r="F228" s="25"/>
      <c r="G228" s="12"/>
    </row>
    <row r="229" customFormat="false" ht="15" hidden="false" customHeight="false" outlineLevel="0" collapsed="false">
      <c r="A229" s="8" t="n">
        <v>225</v>
      </c>
      <c r="B229" s="13"/>
      <c r="C229" s="25"/>
      <c r="D229" s="25"/>
      <c r="E229" s="25"/>
      <c r="F229" s="25"/>
      <c r="G229" s="12"/>
    </row>
    <row r="230" customFormat="false" ht="15" hidden="false" customHeight="false" outlineLevel="0" collapsed="false">
      <c r="A230" s="8" t="n">
        <v>226</v>
      </c>
      <c r="B230" s="13"/>
      <c r="C230" s="25"/>
      <c r="D230" s="25"/>
      <c r="E230" s="25"/>
      <c r="F230" s="25"/>
      <c r="G230" s="12"/>
    </row>
    <row r="231" customFormat="false" ht="15" hidden="false" customHeight="false" outlineLevel="0" collapsed="false">
      <c r="A231" s="8" t="n">
        <v>227</v>
      </c>
      <c r="B231" s="13"/>
      <c r="C231" s="25"/>
      <c r="D231" s="25"/>
      <c r="E231" s="25"/>
      <c r="F231" s="25"/>
      <c r="G231" s="12"/>
    </row>
    <row r="232" customFormat="false" ht="15" hidden="false" customHeight="false" outlineLevel="0" collapsed="false">
      <c r="A232" s="8" t="n">
        <v>228</v>
      </c>
      <c r="B232" s="13"/>
      <c r="C232" s="25"/>
      <c r="D232" s="25"/>
      <c r="E232" s="25"/>
      <c r="F232" s="25"/>
      <c r="G232" s="12"/>
    </row>
    <row r="233" customFormat="false" ht="15" hidden="false" customHeight="false" outlineLevel="0" collapsed="false">
      <c r="A233" s="8" t="n">
        <v>229</v>
      </c>
      <c r="B233" s="13"/>
      <c r="C233" s="25"/>
      <c r="D233" s="25"/>
      <c r="E233" s="25"/>
      <c r="F233" s="25"/>
      <c r="G233" s="12"/>
    </row>
    <row r="234" customFormat="false" ht="15" hidden="false" customHeight="false" outlineLevel="0" collapsed="false">
      <c r="A234" s="8" t="n">
        <v>230</v>
      </c>
      <c r="B234" s="13"/>
      <c r="C234" s="25"/>
      <c r="D234" s="25"/>
      <c r="E234" s="25"/>
      <c r="F234" s="25"/>
      <c r="G234" s="12"/>
    </row>
    <row r="235" customFormat="false" ht="15" hidden="false" customHeight="false" outlineLevel="0" collapsed="false">
      <c r="A235" s="8" t="n">
        <v>231</v>
      </c>
      <c r="B235" s="13"/>
      <c r="C235" s="25"/>
      <c r="D235" s="25"/>
      <c r="E235" s="25"/>
      <c r="F235" s="25"/>
      <c r="G235" s="12"/>
    </row>
    <row r="236" customFormat="false" ht="15" hidden="false" customHeight="false" outlineLevel="0" collapsed="false">
      <c r="A236" s="8" t="n">
        <v>232</v>
      </c>
      <c r="B236" s="13"/>
      <c r="C236" s="25"/>
      <c r="D236" s="25"/>
      <c r="E236" s="25"/>
      <c r="F236" s="25"/>
      <c r="G236" s="12"/>
    </row>
    <row r="237" customFormat="false" ht="15" hidden="false" customHeight="false" outlineLevel="0" collapsed="false">
      <c r="A237" s="8" t="n">
        <v>233</v>
      </c>
      <c r="B237" s="13"/>
      <c r="C237" s="25"/>
      <c r="D237" s="25"/>
      <c r="E237" s="25"/>
      <c r="F237" s="25"/>
      <c r="G237" s="12"/>
    </row>
    <row r="238" customFormat="false" ht="15" hidden="false" customHeight="false" outlineLevel="0" collapsed="false">
      <c r="A238" s="8" t="n">
        <v>234</v>
      </c>
      <c r="B238" s="13"/>
      <c r="C238" s="25"/>
      <c r="D238" s="25"/>
      <c r="E238" s="25"/>
      <c r="F238" s="25"/>
      <c r="G238" s="12"/>
    </row>
    <row r="239" customFormat="false" ht="15" hidden="false" customHeight="false" outlineLevel="0" collapsed="false">
      <c r="A239" s="8" t="n">
        <v>235</v>
      </c>
      <c r="B239" s="13"/>
      <c r="C239" s="25"/>
      <c r="D239" s="25"/>
      <c r="E239" s="25"/>
      <c r="F239" s="25"/>
      <c r="G239" s="12"/>
    </row>
    <row r="240" customFormat="false" ht="15" hidden="false" customHeight="false" outlineLevel="0" collapsed="false">
      <c r="A240" s="8" t="n">
        <v>236</v>
      </c>
      <c r="B240" s="13"/>
      <c r="C240" s="25"/>
      <c r="D240" s="25"/>
      <c r="E240" s="25"/>
      <c r="F240" s="25"/>
      <c r="G240" s="12"/>
    </row>
    <row r="241" customFormat="false" ht="15" hidden="false" customHeight="false" outlineLevel="0" collapsed="false">
      <c r="A241" s="8" t="n">
        <v>237</v>
      </c>
      <c r="B241" s="13"/>
      <c r="C241" s="25"/>
      <c r="D241" s="25"/>
      <c r="E241" s="25"/>
      <c r="F241" s="25"/>
      <c r="G241" s="12"/>
    </row>
    <row r="242" customFormat="false" ht="15" hidden="false" customHeight="false" outlineLevel="0" collapsed="false">
      <c r="A242" s="8" t="n">
        <v>238</v>
      </c>
      <c r="B242" s="13"/>
      <c r="C242" s="25"/>
      <c r="D242" s="25"/>
      <c r="E242" s="25"/>
      <c r="F242" s="25"/>
      <c r="G242" s="12"/>
    </row>
    <row r="243" customFormat="false" ht="15" hidden="false" customHeight="false" outlineLevel="0" collapsed="false">
      <c r="A243" s="8" t="n">
        <v>239</v>
      </c>
      <c r="B243" s="13"/>
      <c r="C243" s="25"/>
      <c r="D243" s="25"/>
      <c r="E243" s="25"/>
      <c r="F243" s="25"/>
      <c r="G243" s="12"/>
    </row>
    <row r="244" customFormat="false" ht="15" hidden="false" customHeight="false" outlineLevel="0" collapsed="false">
      <c r="A244" s="8" t="n">
        <v>240</v>
      </c>
      <c r="B244" s="13"/>
      <c r="C244" s="25"/>
      <c r="D244" s="25"/>
      <c r="E244" s="25"/>
      <c r="F244" s="25"/>
      <c r="G244" s="12"/>
    </row>
    <row r="245" customFormat="false" ht="15" hidden="false" customHeight="false" outlineLevel="0" collapsed="false">
      <c r="A245" s="8" t="n">
        <v>241</v>
      </c>
      <c r="B245" s="13"/>
      <c r="C245" s="25"/>
      <c r="D245" s="25"/>
      <c r="E245" s="25"/>
      <c r="F245" s="25"/>
      <c r="G245" s="12"/>
    </row>
    <row r="246" customFormat="false" ht="15" hidden="false" customHeight="false" outlineLevel="0" collapsed="false">
      <c r="A246" s="8" t="n">
        <v>242</v>
      </c>
      <c r="B246" s="13"/>
      <c r="C246" s="25"/>
      <c r="D246" s="25"/>
      <c r="E246" s="25"/>
      <c r="F246" s="25"/>
      <c r="G246" s="12"/>
    </row>
    <row r="247" customFormat="false" ht="15" hidden="false" customHeight="false" outlineLevel="0" collapsed="false">
      <c r="A247" s="8" t="n">
        <v>243</v>
      </c>
      <c r="B247" s="13"/>
      <c r="C247" s="25"/>
      <c r="D247" s="25"/>
      <c r="E247" s="25"/>
      <c r="F247" s="25"/>
      <c r="G247" s="12"/>
    </row>
    <row r="248" customFormat="false" ht="15" hidden="false" customHeight="false" outlineLevel="0" collapsed="false">
      <c r="A248" s="8" t="n">
        <v>244</v>
      </c>
      <c r="B248" s="13"/>
      <c r="C248" s="25"/>
      <c r="D248" s="25"/>
      <c r="E248" s="25"/>
      <c r="F248" s="25"/>
      <c r="G248" s="12"/>
    </row>
    <row r="249" customFormat="false" ht="15" hidden="false" customHeight="false" outlineLevel="0" collapsed="false">
      <c r="A249" s="8" t="n">
        <v>245</v>
      </c>
      <c r="B249" s="13"/>
      <c r="C249" s="25"/>
      <c r="D249" s="25"/>
      <c r="E249" s="25"/>
      <c r="F249" s="25"/>
      <c r="G249" s="12"/>
    </row>
    <row r="250" customFormat="false" ht="15" hidden="false" customHeight="false" outlineLevel="0" collapsed="false">
      <c r="A250" s="8" t="n">
        <v>246</v>
      </c>
      <c r="B250" s="13"/>
      <c r="C250" s="25"/>
      <c r="D250" s="25"/>
      <c r="E250" s="25"/>
      <c r="F250" s="25"/>
      <c r="G250" s="12"/>
    </row>
    <row r="251" customFormat="false" ht="15" hidden="false" customHeight="false" outlineLevel="0" collapsed="false">
      <c r="A251" s="8" t="n">
        <v>247</v>
      </c>
      <c r="B251" s="13"/>
      <c r="C251" s="25"/>
      <c r="D251" s="25"/>
      <c r="E251" s="25"/>
      <c r="F251" s="25"/>
      <c r="G251" s="12"/>
    </row>
    <row r="252" customFormat="false" ht="15" hidden="false" customHeight="false" outlineLevel="0" collapsed="false">
      <c r="A252" s="8" t="n">
        <v>248</v>
      </c>
      <c r="B252" s="13"/>
      <c r="C252" s="25"/>
      <c r="D252" s="25"/>
      <c r="E252" s="25"/>
      <c r="F252" s="25"/>
      <c r="G252" s="12"/>
    </row>
    <row r="253" customFormat="false" ht="15" hidden="false" customHeight="false" outlineLevel="0" collapsed="false">
      <c r="A253" s="8" t="n">
        <v>249</v>
      </c>
      <c r="B253" s="13"/>
      <c r="C253" s="25"/>
      <c r="D253" s="25"/>
      <c r="E253" s="25"/>
      <c r="F253" s="25"/>
      <c r="G253" s="12"/>
    </row>
    <row r="254" customFormat="false" ht="15" hidden="false" customHeight="false" outlineLevel="0" collapsed="false">
      <c r="A254" s="8" t="n">
        <v>250</v>
      </c>
      <c r="B254" s="13"/>
      <c r="C254" s="25"/>
      <c r="D254" s="25"/>
      <c r="E254" s="25"/>
      <c r="F254" s="25"/>
      <c r="G254" s="12"/>
    </row>
    <row r="255" customFormat="false" ht="15" hidden="false" customHeight="false" outlineLevel="0" collapsed="false">
      <c r="A255" s="8" t="n">
        <v>251</v>
      </c>
      <c r="B255" s="13"/>
      <c r="C255" s="25"/>
      <c r="D255" s="25"/>
      <c r="E255" s="25"/>
      <c r="F255" s="25"/>
      <c r="G255" s="12"/>
    </row>
    <row r="256" customFormat="false" ht="15" hidden="false" customHeight="false" outlineLevel="0" collapsed="false">
      <c r="A256" s="8" t="n">
        <v>252</v>
      </c>
      <c r="B256" s="13"/>
      <c r="C256" s="25"/>
      <c r="D256" s="25"/>
      <c r="E256" s="25"/>
      <c r="F256" s="25"/>
      <c r="G256" s="12"/>
    </row>
    <row r="257" customFormat="false" ht="15" hidden="false" customHeight="false" outlineLevel="0" collapsed="false">
      <c r="A257" s="8" t="n">
        <v>253</v>
      </c>
      <c r="B257" s="13"/>
      <c r="C257" s="25"/>
      <c r="D257" s="25"/>
      <c r="E257" s="25"/>
      <c r="F257" s="25"/>
      <c r="G257" s="12"/>
    </row>
    <row r="258" customFormat="false" ht="15" hidden="false" customHeight="false" outlineLevel="0" collapsed="false">
      <c r="A258" s="8" t="n">
        <v>254</v>
      </c>
      <c r="B258" s="13"/>
      <c r="C258" s="25"/>
      <c r="D258" s="25"/>
      <c r="E258" s="25"/>
      <c r="F258" s="25"/>
      <c r="G258" s="12"/>
    </row>
    <row r="259" customFormat="false" ht="15" hidden="false" customHeight="false" outlineLevel="0" collapsed="false">
      <c r="A259" s="8" t="n">
        <v>255</v>
      </c>
      <c r="B259" s="13"/>
      <c r="C259" s="25"/>
      <c r="D259" s="25"/>
      <c r="E259" s="25"/>
      <c r="F259" s="25"/>
      <c r="G259" s="12"/>
    </row>
    <row r="260" customFormat="false" ht="15" hidden="false" customHeight="false" outlineLevel="0" collapsed="false">
      <c r="A260" s="8" t="n">
        <v>256</v>
      </c>
      <c r="B260" s="13"/>
      <c r="C260" s="25"/>
      <c r="D260" s="25"/>
      <c r="E260" s="25"/>
      <c r="F260" s="25"/>
      <c r="G260" s="12"/>
    </row>
    <row r="261" customFormat="false" ht="15" hidden="false" customHeight="false" outlineLevel="0" collapsed="false">
      <c r="A261" s="8" t="n">
        <v>257</v>
      </c>
      <c r="B261" s="13"/>
      <c r="C261" s="25"/>
      <c r="D261" s="25"/>
      <c r="E261" s="25"/>
      <c r="F261" s="25"/>
      <c r="G261" s="12"/>
    </row>
    <row r="262" customFormat="false" ht="15" hidden="false" customHeight="false" outlineLevel="0" collapsed="false">
      <c r="A262" s="8" t="n">
        <v>258</v>
      </c>
      <c r="B262" s="13"/>
      <c r="C262" s="25"/>
      <c r="D262" s="25"/>
      <c r="E262" s="25"/>
      <c r="F262" s="25"/>
      <c r="G262" s="12"/>
    </row>
    <row r="263" customFormat="false" ht="15" hidden="false" customHeight="false" outlineLevel="0" collapsed="false">
      <c r="A263" s="8" t="n">
        <v>259</v>
      </c>
      <c r="B263" s="13"/>
      <c r="C263" s="25"/>
      <c r="D263" s="25"/>
      <c r="E263" s="25"/>
      <c r="F263" s="25"/>
      <c r="G263" s="12"/>
    </row>
    <row r="264" customFormat="false" ht="15" hidden="false" customHeight="false" outlineLevel="0" collapsed="false">
      <c r="A264" s="8" t="n">
        <v>260</v>
      </c>
      <c r="B264" s="13"/>
      <c r="C264" s="25"/>
      <c r="D264" s="25"/>
      <c r="E264" s="25"/>
      <c r="F264" s="25"/>
      <c r="G264" s="12"/>
    </row>
    <row r="265" customFormat="false" ht="15" hidden="false" customHeight="false" outlineLevel="0" collapsed="false">
      <c r="A265" s="8" t="n">
        <v>261</v>
      </c>
      <c r="B265" s="13"/>
      <c r="C265" s="25"/>
      <c r="D265" s="25"/>
      <c r="E265" s="25"/>
      <c r="F265" s="25"/>
      <c r="G265" s="12"/>
    </row>
    <row r="266" customFormat="false" ht="15" hidden="false" customHeight="false" outlineLevel="0" collapsed="false">
      <c r="A266" s="8" t="n">
        <v>262</v>
      </c>
      <c r="B266" s="13"/>
      <c r="C266" s="25"/>
      <c r="D266" s="25"/>
      <c r="E266" s="25"/>
      <c r="F266" s="25"/>
      <c r="G266" s="12"/>
    </row>
    <row r="267" customFormat="false" ht="15" hidden="false" customHeight="false" outlineLevel="0" collapsed="false">
      <c r="A267" s="8" t="n">
        <v>263</v>
      </c>
      <c r="B267" s="13"/>
      <c r="C267" s="25"/>
      <c r="D267" s="25"/>
      <c r="E267" s="25"/>
      <c r="F267" s="25"/>
      <c r="G267" s="12"/>
    </row>
    <row r="268" customFormat="false" ht="15" hidden="false" customHeight="false" outlineLevel="0" collapsed="false">
      <c r="A268" s="8" t="n">
        <v>264</v>
      </c>
      <c r="B268" s="13"/>
      <c r="C268" s="25"/>
      <c r="D268" s="25"/>
      <c r="E268" s="25"/>
      <c r="F268" s="25"/>
      <c r="G268" s="12"/>
    </row>
    <row r="269" customFormat="false" ht="15" hidden="false" customHeight="false" outlineLevel="0" collapsed="false">
      <c r="A269" s="8" t="n">
        <v>265</v>
      </c>
      <c r="B269" s="13"/>
      <c r="C269" s="25"/>
      <c r="D269" s="25"/>
      <c r="E269" s="25"/>
      <c r="F269" s="25"/>
      <c r="G269" s="12"/>
    </row>
    <row r="270" customFormat="false" ht="15" hidden="false" customHeight="false" outlineLevel="0" collapsed="false">
      <c r="A270" s="8" t="n">
        <v>266</v>
      </c>
      <c r="B270" s="13"/>
      <c r="C270" s="25"/>
      <c r="D270" s="25"/>
      <c r="E270" s="25"/>
      <c r="F270" s="25"/>
      <c r="G270" s="12"/>
    </row>
    <row r="271" customFormat="false" ht="15" hidden="false" customHeight="false" outlineLevel="0" collapsed="false">
      <c r="A271" s="8" t="n">
        <v>267</v>
      </c>
      <c r="B271" s="13"/>
      <c r="C271" s="25"/>
      <c r="D271" s="25"/>
      <c r="E271" s="25"/>
      <c r="F271" s="25"/>
      <c r="G271" s="12"/>
    </row>
    <row r="272" customFormat="false" ht="15" hidden="false" customHeight="false" outlineLevel="0" collapsed="false">
      <c r="A272" s="8" t="n">
        <v>268</v>
      </c>
      <c r="B272" s="13"/>
      <c r="C272" s="25"/>
      <c r="D272" s="25"/>
      <c r="E272" s="25"/>
      <c r="F272" s="25"/>
      <c r="G272" s="12"/>
    </row>
    <row r="273" customFormat="false" ht="15" hidden="false" customHeight="false" outlineLevel="0" collapsed="false">
      <c r="A273" s="8" t="n">
        <v>269</v>
      </c>
      <c r="B273" s="13"/>
      <c r="C273" s="25"/>
      <c r="D273" s="25"/>
      <c r="E273" s="25"/>
      <c r="F273" s="25"/>
      <c r="G273" s="12"/>
    </row>
    <row r="274" customFormat="false" ht="15" hidden="false" customHeight="false" outlineLevel="0" collapsed="false">
      <c r="A274" s="8" t="n">
        <v>270</v>
      </c>
      <c r="B274" s="13"/>
      <c r="C274" s="25"/>
      <c r="D274" s="25"/>
      <c r="E274" s="25"/>
      <c r="F274" s="25"/>
      <c r="G274" s="12"/>
    </row>
    <row r="275" customFormat="false" ht="15" hidden="false" customHeight="false" outlineLevel="0" collapsed="false">
      <c r="A275" s="8" t="n">
        <v>271</v>
      </c>
      <c r="B275" s="13"/>
      <c r="C275" s="25"/>
      <c r="D275" s="25"/>
      <c r="E275" s="25"/>
      <c r="F275" s="25"/>
      <c r="G275" s="12"/>
    </row>
    <row r="276" customFormat="false" ht="15" hidden="false" customHeight="false" outlineLevel="0" collapsed="false">
      <c r="A276" s="8" t="n">
        <v>272</v>
      </c>
      <c r="B276" s="13"/>
      <c r="C276" s="25"/>
      <c r="D276" s="25"/>
      <c r="E276" s="25"/>
      <c r="F276" s="25"/>
      <c r="G276" s="12"/>
    </row>
    <row r="277" customFormat="false" ht="15" hidden="false" customHeight="false" outlineLevel="0" collapsed="false">
      <c r="A277" s="8" t="n">
        <v>273</v>
      </c>
      <c r="B277" s="13"/>
      <c r="C277" s="25"/>
      <c r="D277" s="25"/>
      <c r="E277" s="25"/>
      <c r="F277" s="25"/>
      <c r="G277" s="12"/>
    </row>
    <row r="278" customFormat="false" ht="15" hidden="false" customHeight="false" outlineLevel="0" collapsed="false">
      <c r="A278" s="8" t="n">
        <v>274</v>
      </c>
      <c r="B278" s="13"/>
      <c r="C278" s="25"/>
      <c r="D278" s="25"/>
      <c r="E278" s="25"/>
      <c r="F278" s="25"/>
      <c r="G278" s="12"/>
    </row>
    <row r="279" customFormat="false" ht="15" hidden="false" customHeight="false" outlineLevel="0" collapsed="false">
      <c r="A279" s="8" t="n">
        <v>275</v>
      </c>
      <c r="B279" s="13"/>
      <c r="C279" s="25"/>
      <c r="D279" s="25"/>
      <c r="E279" s="25"/>
      <c r="F279" s="25"/>
      <c r="G279" s="12"/>
    </row>
    <row r="280" customFormat="false" ht="15" hidden="false" customHeight="false" outlineLevel="0" collapsed="false">
      <c r="A280" s="8" t="n">
        <v>276</v>
      </c>
      <c r="B280" s="13"/>
      <c r="C280" s="25"/>
      <c r="D280" s="25"/>
      <c r="E280" s="25"/>
      <c r="F280" s="25"/>
      <c r="G280" s="12"/>
    </row>
    <row r="281" customFormat="false" ht="15" hidden="false" customHeight="false" outlineLevel="0" collapsed="false">
      <c r="A281" s="8" t="n">
        <v>277</v>
      </c>
      <c r="B281" s="13"/>
      <c r="C281" s="25"/>
      <c r="D281" s="25"/>
      <c r="E281" s="25"/>
      <c r="F281" s="25"/>
      <c r="G281" s="12"/>
    </row>
    <row r="282" customFormat="false" ht="15" hidden="false" customHeight="false" outlineLevel="0" collapsed="false">
      <c r="A282" s="8" t="n">
        <v>278</v>
      </c>
      <c r="B282" s="13"/>
      <c r="C282" s="25"/>
      <c r="D282" s="25"/>
      <c r="E282" s="25"/>
      <c r="F282" s="25"/>
      <c r="G282" s="12"/>
    </row>
    <row r="283" customFormat="false" ht="15" hidden="false" customHeight="false" outlineLevel="0" collapsed="false">
      <c r="A283" s="8" t="n">
        <v>279</v>
      </c>
      <c r="B283" s="13"/>
      <c r="C283" s="25"/>
      <c r="D283" s="25"/>
      <c r="E283" s="25"/>
      <c r="F283" s="25"/>
      <c r="G283" s="12"/>
    </row>
    <row r="284" customFormat="false" ht="15" hidden="false" customHeight="false" outlineLevel="0" collapsed="false">
      <c r="A284" s="8" t="n">
        <v>280</v>
      </c>
      <c r="B284" s="13"/>
      <c r="C284" s="25"/>
      <c r="D284" s="25"/>
      <c r="E284" s="25"/>
      <c r="F284" s="25"/>
      <c r="G284" s="12"/>
    </row>
    <row r="285" customFormat="false" ht="15" hidden="false" customHeight="false" outlineLevel="0" collapsed="false">
      <c r="A285" s="8" t="n">
        <v>281</v>
      </c>
      <c r="B285" s="13"/>
      <c r="C285" s="25"/>
      <c r="D285" s="25"/>
      <c r="E285" s="25"/>
      <c r="F285" s="25"/>
      <c r="G285" s="12"/>
    </row>
    <row r="286" customFormat="false" ht="15" hidden="false" customHeight="false" outlineLevel="0" collapsed="false">
      <c r="A286" s="8" t="n">
        <v>282</v>
      </c>
      <c r="B286" s="13"/>
      <c r="C286" s="25"/>
      <c r="D286" s="25"/>
      <c r="E286" s="25"/>
      <c r="F286" s="25"/>
      <c r="G286" s="12"/>
    </row>
    <row r="287" customFormat="false" ht="15" hidden="false" customHeight="false" outlineLevel="0" collapsed="false">
      <c r="A287" s="8" t="n">
        <v>283</v>
      </c>
      <c r="B287" s="13"/>
      <c r="C287" s="25"/>
      <c r="D287" s="25"/>
      <c r="E287" s="25"/>
      <c r="F287" s="25"/>
      <c r="G287" s="12"/>
    </row>
    <row r="288" customFormat="false" ht="15" hidden="false" customHeight="false" outlineLevel="0" collapsed="false">
      <c r="A288" s="8" t="n">
        <v>284</v>
      </c>
      <c r="B288" s="13"/>
      <c r="C288" s="25"/>
      <c r="D288" s="25"/>
      <c r="E288" s="25"/>
      <c r="F288" s="25"/>
      <c r="G288" s="12"/>
    </row>
    <row r="289" customFormat="false" ht="15" hidden="false" customHeight="false" outlineLevel="0" collapsed="false">
      <c r="A289" s="8" t="n">
        <v>285</v>
      </c>
      <c r="B289" s="13"/>
      <c r="C289" s="25"/>
      <c r="D289" s="25"/>
      <c r="E289" s="25"/>
      <c r="F289" s="25"/>
      <c r="G289" s="12"/>
    </row>
    <row r="290" customFormat="false" ht="15" hidden="false" customHeight="false" outlineLevel="0" collapsed="false">
      <c r="A290" s="8" t="n">
        <v>286</v>
      </c>
      <c r="B290" s="13"/>
      <c r="C290" s="25"/>
      <c r="D290" s="25"/>
      <c r="E290" s="25"/>
      <c r="F290" s="25"/>
      <c r="G290" s="12"/>
    </row>
    <row r="291" customFormat="false" ht="15" hidden="false" customHeight="false" outlineLevel="0" collapsed="false">
      <c r="A291" s="8" t="n">
        <v>287</v>
      </c>
      <c r="B291" s="13"/>
      <c r="C291" s="25"/>
      <c r="D291" s="25"/>
      <c r="E291" s="25"/>
      <c r="F291" s="25"/>
      <c r="G291" s="12"/>
    </row>
    <row r="292" customFormat="false" ht="15" hidden="false" customHeight="false" outlineLevel="0" collapsed="false">
      <c r="A292" s="8" t="n">
        <v>288</v>
      </c>
      <c r="B292" s="13"/>
      <c r="C292" s="25"/>
      <c r="D292" s="25"/>
      <c r="E292" s="25"/>
      <c r="F292" s="25"/>
      <c r="G292" s="12"/>
    </row>
    <row r="293" customFormat="false" ht="15" hidden="false" customHeight="false" outlineLevel="0" collapsed="false">
      <c r="A293" s="8" t="n">
        <v>289</v>
      </c>
      <c r="B293" s="13"/>
      <c r="C293" s="25"/>
      <c r="D293" s="25"/>
      <c r="E293" s="25"/>
      <c r="F293" s="25"/>
      <c r="G293" s="12"/>
    </row>
    <row r="294" customFormat="false" ht="15" hidden="false" customHeight="false" outlineLevel="0" collapsed="false">
      <c r="A294" s="8" t="n">
        <v>290</v>
      </c>
      <c r="B294" s="13"/>
      <c r="C294" s="25"/>
      <c r="D294" s="25"/>
      <c r="E294" s="25"/>
      <c r="F294" s="25"/>
      <c r="G294" s="12"/>
    </row>
    <row r="295" customFormat="false" ht="15" hidden="false" customHeight="false" outlineLevel="0" collapsed="false">
      <c r="A295" s="8" t="n">
        <v>291</v>
      </c>
      <c r="B295" s="13"/>
      <c r="C295" s="25"/>
      <c r="D295" s="25"/>
      <c r="E295" s="25"/>
      <c r="F295" s="25"/>
      <c r="G295" s="12"/>
    </row>
    <row r="296" customFormat="false" ht="15" hidden="false" customHeight="false" outlineLevel="0" collapsed="false">
      <c r="A296" s="8" t="n">
        <v>292</v>
      </c>
      <c r="B296" s="13"/>
      <c r="C296" s="25"/>
      <c r="D296" s="25"/>
      <c r="E296" s="25"/>
      <c r="F296" s="25"/>
      <c r="G296" s="12"/>
    </row>
    <row r="297" customFormat="false" ht="15" hidden="false" customHeight="false" outlineLevel="0" collapsed="false">
      <c r="A297" s="8" t="n">
        <v>293</v>
      </c>
      <c r="B297" s="13"/>
      <c r="C297" s="25"/>
      <c r="D297" s="25"/>
      <c r="E297" s="25"/>
      <c r="F297" s="25"/>
      <c r="G297" s="12"/>
    </row>
    <row r="298" customFormat="false" ht="15" hidden="false" customHeight="false" outlineLevel="0" collapsed="false">
      <c r="A298" s="8" t="n">
        <v>294</v>
      </c>
      <c r="B298" s="13"/>
      <c r="C298" s="25"/>
      <c r="D298" s="25"/>
      <c r="E298" s="25"/>
      <c r="F298" s="25"/>
      <c r="G298" s="12"/>
    </row>
    <row r="299" customFormat="false" ht="15" hidden="false" customHeight="false" outlineLevel="0" collapsed="false">
      <c r="A299" s="8" t="n">
        <v>295</v>
      </c>
      <c r="B299" s="13"/>
      <c r="C299" s="25"/>
      <c r="D299" s="25"/>
      <c r="E299" s="25"/>
      <c r="F299" s="25"/>
      <c r="G299" s="12"/>
    </row>
    <row r="300" customFormat="false" ht="15" hidden="false" customHeight="false" outlineLevel="0" collapsed="false">
      <c r="A300" s="8" t="n">
        <v>296</v>
      </c>
      <c r="B300" s="13"/>
      <c r="C300" s="25"/>
      <c r="D300" s="25"/>
      <c r="E300" s="25"/>
      <c r="F300" s="25"/>
      <c r="G300" s="12"/>
    </row>
    <row r="301" customFormat="false" ht="15" hidden="false" customHeight="false" outlineLevel="0" collapsed="false">
      <c r="A301" s="8" t="n">
        <v>297</v>
      </c>
      <c r="B301" s="13"/>
      <c r="C301" s="25"/>
      <c r="D301" s="25"/>
      <c r="E301" s="25"/>
      <c r="F301" s="25"/>
      <c r="G301" s="12"/>
    </row>
    <row r="302" customFormat="false" ht="15" hidden="false" customHeight="false" outlineLevel="0" collapsed="false">
      <c r="A302" s="8" t="n">
        <v>298</v>
      </c>
      <c r="B302" s="13"/>
      <c r="C302" s="25"/>
      <c r="D302" s="25"/>
      <c r="E302" s="25"/>
      <c r="F302" s="25"/>
      <c r="G302" s="12"/>
    </row>
    <row r="303" customFormat="false" ht="15" hidden="false" customHeight="false" outlineLevel="0" collapsed="false">
      <c r="A303" s="8" t="n">
        <v>299</v>
      </c>
      <c r="B303" s="13"/>
      <c r="C303" s="25"/>
      <c r="D303" s="25"/>
      <c r="E303" s="25"/>
      <c r="F303" s="25"/>
      <c r="G303" s="12"/>
    </row>
    <row r="304" customFormat="false" ht="15" hidden="false" customHeight="false" outlineLevel="0" collapsed="false">
      <c r="A304" s="8" t="n">
        <v>300</v>
      </c>
      <c r="B304" s="13"/>
      <c r="C304" s="25"/>
      <c r="D304" s="25"/>
      <c r="E304" s="25"/>
      <c r="F304" s="25"/>
      <c r="G304" s="12"/>
    </row>
    <row r="305" customFormat="false" ht="15" hidden="false" customHeight="false" outlineLevel="0" collapsed="false">
      <c r="A305" s="8" t="n">
        <v>301</v>
      </c>
      <c r="B305" s="13"/>
      <c r="C305" s="25"/>
      <c r="D305" s="25"/>
      <c r="E305" s="25"/>
      <c r="F305" s="25"/>
      <c r="G305" s="12"/>
    </row>
    <row r="306" customFormat="false" ht="15" hidden="false" customHeight="false" outlineLevel="0" collapsed="false">
      <c r="A306" s="8" t="n">
        <v>302</v>
      </c>
      <c r="B306" s="13"/>
      <c r="C306" s="25"/>
      <c r="D306" s="25"/>
      <c r="E306" s="25"/>
      <c r="F306" s="25"/>
      <c r="G306" s="12"/>
    </row>
    <row r="307" customFormat="false" ht="15" hidden="false" customHeight="false" outlineLevel="0" collapsed="false">
      <c r="A307" s="8" t="n">
        <v>303</v>
      </c>
      <c r="B307" s="13"/>
      <c r="C307" s="25"/>
      <c r="D307" s="25"/>
      <c r="E307" s="25"/>
      <c r="F307" s="25"/>
      <c r="G307" s="12"/>
    </row>
    <row r="308" customFormat="false" ht="15" hidden="false" customHeight="false" outlineLevel="0" collapsed="false">
      <c r="A308" s="8" t="n">
        <v>304</v>
      </c>
      <c r="B308" s="13"/>
      <c r="C308" s="25"/>
      <c r="D308" s="25"/>
      <c r="E308" s="25"/>
      <c r="F308" s="25"/>
      <c r="G308" s="12"/>
    </row>
    <row r="309" customFormat="false" ht="15" hidden="false" customHeight="false" outlineLevel="0" collapsed="false">
      <c r="A309" s="8" t="n">
        <v>305</v>
      </c>
      <c r="B309" s="13"/>
      <c r="C309" s="25"/>
      <c r="D309" s="25"/>
      <c r="E309" s="25"/>
      <c r="F309" s="25"/>
      <c r="G309" s="12"/>
    </row>
    <row r="310" customFormat="false" ht="15" hidden="false" customHeight="false" outlineLevel="0" collapsed="false">
      <c r="A310" s="8" t="n">
        <v>306</v>
      </c>
      <c r="B310" s="13"/>
      <c r="C310" s="25"/>
      <c r="D310" s="25"/>
      <c r="E310" s="25"/>
      <c r="F310" s="25"/>
      <c r="G310" s="12"/>
    </row>
    <row r="311" customFormat="false" ht="15" hidden="false" customHeight="false" outlineLevel="0" collapsed="false">
      <c r="A311" s="8" t="n">
        <v>307</v>
      </c>
      <c r="B311" s="13"/>
      <c r="C311" s="25"/>
      <c r="D311" s="25"/>
      <c r="E311" s="25"/>
      <c r="F311" s="25"/>
      <c r="G311" s="12"/>
    </row>
    <row r="312" customFormat="false" ht="15" hidden="false" customHeight="false" outlineLevel="0" collapsed="false">
      <c r="A312" s="8" t="n">
        <v>308</v>
      </c>
      <c r="B312" s="13"/>
      <c r="C312" s="25"/>
      <c r="D312" s="25"/>
      <c r="E312" s="25"/>
      <c r="F312" s="25"/>
      <c r="G312" s="12"/>
    </row>
    <row r="313" customFormat="false" ht="15" hidden="false" customHeight="false" outlineLevel="0" collapsed="false">
      <c r="A313" s="8" t="n">
        <v>309</v>
      </c>
      <c r="B313" s="13"/>
      <c r="C313" s="25"/>
      <c r="D313" s="25"/>
      <c r="E313" s="25"/>
      <c r="F313" s="25"/>
      <c r="G313" s="12"/>
    </row>
    <row r="314" customFormat="false" ht="15" hidden="false" customHeight="false" outlineLevel="0" collapsed="false">
      <c r="A314" s="8" t="n">
        <v>310</v>
      </c>
      <c r="B314" s="13"/>
      <c r="C314" s="25"/>
      <c r="D314" s="25"/>
      <c r="E314" s="25"/>
      <c r="F314" s="25"/>
      <c r="G314" s="12"/>
    </row>
    <row r="315" customFormat="false" ht="15" hidden="false" customHeight="false" outlineLevel="0" collapsed="false">
      <c r="A315" s="8" t="n">
        <v>311</v>
      </c>
      <c r="B315" s="13"/>
      <c r="C315" s="25"/>
      <c r="D315" s="25"/>
      <c r="E315" s="25"/>
      <c r="F315" s="25"/>
      <c r="G315" s="12"/>
    </row>
    <row r="316" customFormat="false" ht="15" hidden="false" customHeight="false" outlineLevel="0" collapsed="false">
      <c r="A316" s="8" t="n">
        <v>312</v>
      </c>
      <c r="B316" s="13"/>
      <c r="C316" s="25"/>
      <c r="D316" s="25"/>
      <c r="E316" s="25"/>
      <c r="F316" s="25"/>
      <c r="G316" s="12"/>
    </row>
    <row r="317" customFormat="false" ht="15" hidden="false" customHeight="false" outlineLevel="0" collapsed="false">
      <c r="A317" s="8" t="n">
        <v>313</v>
      </c>
      <c r="B317" s="13"/>
      <c r="C317" s="25"/>
      <c r="D317" s="25"/>
      <c r="E317" s="25"/>
      <c r="F317" s="25"/>
      <c r="G317" s="12"/>
    </row>
    <row r="318" customFormat="false" ht="15" hidden="false" customHeight="false" outlineLevel="0" collapsed="false">
      <c r="A318" s="8" t="n">
        <v>314</v>
      </c>
      <c r="B318" s="13"/>
      <c r="C318" s="25"/>
      <c r="D318" s="25"/>
      <c r="E318" s="25"/>
      <c r="F318" s="25"/>
      <c r="G318" s="12"/>
    </row>
    <row r="319" customFormat="false" ht="15" hidden="false" customHeight="false" outlineLevel="0" collapsed="false">
      <c r="A319" s="8" t="n">
        <v>315</v>
      </c>
      <c r="B319" s="13"/>
      <c r="C319" s="25"/>
      <c r="D319" s="25"/>
      <c r="E319" s="25"/>
      <c r="F319" s="25"/>
      <c r="G319" s="12"/>
    </row>
    <row r="320" customFormat="false" ht="15" hidden="false" customHeight="false" outlineLevel="0" collapsed="false">
      <c r="A320" s="8" t="n">
        <v>316</v>
      </c>
      <c r="B320" s="13"/>
      <c r="C320" s="25"/>
      <c r="D320" s="25"/>
      <c r="E320" s="25"/>
      <c r="F320" s="25"/>
      <c r="G320" s="12"/>
    </row>
    <row r="321" customFormat="false" ht="15" hidden="false" customHeight="false" outlineLevel="0" collapsed="false">
      <c r="A321" s="8" t="n">
        <v>317</v>
      </c>
      <c r="B321" s="13"/>
      <c r="C321" s="25"/>
      <c r="D321" s="25"/>
      <c r="E321" s="25"/>
      <c r="F321" s="25"/>
      <c r="G321" s="12"/>
    </row>
    <row r="322" customFormat="false" ht="15" hidden="false" customHeight="false" outlineLevel="0" collapsed="false">
      <c r="A322" s="8" t="n">
        <v>318</v>
      </c>
      <c r="B322" s="13"/>
      <c r="C322" s="25"/>
      <c r="D322" s="25"/>
      <c r="E322" s="25"/>
      <c r="F322" s="25"/>
      <c r="G322" s="12"/>
    </row>
    <row r="323" customFormat="false" ht="15" hidden="false" customHeight="false" outlineLevel="0" collapsed="false">
      <c r="A323" s="8" t="n">
        <v>319</v>
      </c>
      <c r="B323" s="13"/>
      <c r="C323" s="25"/>
      <c r="D323" s="25"/>
      <c r="E323" s="25"/>
      <c r="F323" s="25"/>
      <c r="G323" s="12"/>
    </row>
    <row r="324" customFormat="false" ht="15" hidden="false" customHeight="false" outlineLevel="0" collapsed="false">
      <c r="A324" s="8" t="n">
        <v>320</v>
      </c>
      <c r="B324" s="13"/>
      <c r="C324" s="25"/>
      <c r="D324" s="25"/>
      <c r="E324" s="25"/>
      <c r="F324" s="25"/>
      <c r="G324" s="12"/>
    </row>
    <row r="325" customFormat="false" ht="15" hidden="false" customHeight="false" outlineLevel="0" collapsed="false">
      <c r="A325" s="8" t="n">
        <v>321</v>
      </c>
      <c r="B325" s="13"/>
      <c r="C325" s="25"/>
      <c r="D325" s="25"/>
      <c r="E325" s="25"/>
      <c r="F325" s="25"/>
      <c r="G325" s="12"/>
    </row>
    <row r="326" customFormat="false" ht="15" hidden="false" customHeight="false" outlineLevel="0" collapsed="false">
      <c r="A326" s="8" t="n">
        <v>322</v>
      </c>
      <c r="B326" s="13"/>
      <c r="C326" s="25"/>
      <c r="D326" s="25"/>
      <c r="E326" s="25"/>
      <c r="F326" s="25"/>
      <c r="G326" s="12"/>
    </row>
    <row r="327" customFormat="false" ht="15" hidden="false" customHeight="false" outlineLevel="0" collapsed="false">
      <c r="A327" s="8" t="n">
        <v>323</v>
      </c>
      <c r="B327" s="13"/>
      <c r="C327" s="25"/>
      <c r="D327" s="25"/>
      <c r="E327" s="25"/>
      <c r="F327" s="25"/>
      <c r="G327" s="12"/>
    </row>
    <row r="328" customFormat="false" ht="15" hidden="false" customHeight="false" outlineLevel="0" collapsed="false">
      <c r="A328" s="8" t="n">
        <v>324</v>
      </c>
      <c r="B328" s="13"/>
      <c r="C328" s="25"/>
      <c r="D328" s="25"/>
      <c r="E328" s="25"/>
      <c r="F328" s="25"/>
      <c r="G328" s="12"/>
    </row>
    <row r="329" customFormat="false" ht="15" hidden="false" customHeight="false" outlineLevel="0" collapsed="false">
      <c r="A329" s="8" t="n">
        <v>325</v>
      </c>
      <c r="B329" s="13"/>
      <c r="C329" s="25"/>
      <c r="D329" s="25"/>
      <c r="E329" s="25"/>
      <c r="F329" s="25"/>
      <c r="G329" s="12"/>
    </row>
    <row r="330" customFormat="false" ht="15" hidden="false" customHeight="false" outlineLevel="0" collapsed="false">
      <c r="A330" s="8" t="n">
        <v>326</v>
      </c>
      <c r="B330" s="13"/>
      <c r="C330" s="25"/>
      <c r="D330" s="25"/>
      <c r="E330" s="25"/>
      <c r="F330" s="25"/>
      <c r="G330" s="12"/>
    </row>
    <row r="331" customFormat="false" ht="15" hidden="false" customHeight="false" outlineLevel="0" collapsed="false">
      <c r="A331" s="8" t="n">
        <v>327</v>
      </c>
      <c r="B331" s="13"/>
      <c r="C331" s="25"/>
      <c r="D331" s="25"/>
      <c r="E331" s="25"/>
      <c r="F331" s="25"/>
      <c r="G331" s="12"/>
    </row>
    <row r="332" customFormat="false" ht="15" hidden="false" customHeight="false" outlineLevel="0" collapsed="false">
      <c r="A332" s="8" t="n">
        <v>328</v>
      </c>
      <c r="B332" s="13"/>
      <c r="C332" s="25"/>
      <c r="D332" s="25"/>
      <c r="E332" s="25"/>
      <c r="F332" s="25"/>
      <c r="G332" s="12"/>
    </row>
    <row r="333" customFormat="false" ht="15" hidden="false" customHeight="false" outlineLevel="0" collapsed="false">
      <c r="A333" s="8" t="n">
        <v>329</v>
      </c>
      <c r="B333" s="13"/>
      <c r="C333" s="25"/>
      <c r="D333" s="25"/>
      <c r="E333" s="25"/>
      <c r="F333" s="25"/>
      <c r="G333" s="12"/>
    </row>
    <row r="334" customFormat="false" ht="15" hidden="false" customHeight="false" outlineLevel="0" collapsed="false">
      <c r="A334" s="8" t="n">
        <v>330</v>
      </c>
      <c r="B334" s="13"/>
      <c r="C334" s="25"/>
      <c r="D334" s="25"/>
      <c r="E334" s="25"/>
      <c r="F334" s="25"/>
      <c r="G334" s="12"/>
    </row>
    <row r="335" customFormat="false" ht="15" hidden="false" customHeight="false" outlineLevel="0" collapsed="false">
      <c r="A335" s="8" t="n">
        <v>331</v>
      </c>
      <c r="B335" s="13"/>
      <c r="C335" s="25"/>
      <c r="D335" s="25"/>
      <c r="E335" s="25"/>
      <c r="F335" s="25"/>
      <c r="G335" s="12"/>
    </row>
    <row r="336" customFormat="false" ht="15" hidden="false" customHeight="false" outlineLevel="0" collapsed="false">
      <c r="A336" s="8" t="n">
        <v>332</v>
      </c>
      <c r="B336" s="13"/>
      <c r="C336" s="25"/>
      <c r="D336" s="25"/>
      <c r="E336" s="25"/>
      <c r="F336" s="25"/>
      <c r="G336" s="12"/>
    </row>
    <row r="337" customFormat="false" ht="15" hidden="false" customHeight="false" outlineLevel="0" collapsed="false">
      <c r="A337" s="8" t="n">
        <v>333</v>
      </c>
      <c r="B337" s="13"/>
      <c r="C337" s="25"/>
      <c r="D337" s="25"/>
      <c r="E337" s="25"/>
      <c r="F337" s="25"/>
      <c r="G337" s="12"/>
    </row>
    <row r="338" customFormat="false" ht="15" hidden="false" customHeight="false" outlineLevel="0" collapsed="false">
      <c r="A338" s="8" t="n">
        <v>334</v>
      </c>
      <c r="B338" s="13"/>
      <c r="C338" s="25"/>
      <c r="D338" s="25"/>
      <c r="E338" s="25"/>
      <c r="F338" s="25"/>
      <c r="G338" s="12"/>
    </row>
    <row r="339" customFormat="false" ht="15" hidden="false" customHeight="false" outlineLevel="0" collapsed="false">
      <c r="A339" s="8" t="n">
        <v>335</v>
      </c>
      <c r="B339" s="13"/>
      <c r="C339" s="25"/>
      <c r="D339" s="25"/>
      <c r="E339" s="25"/>
      <c r="F339" s="25"/>
      <c r="G339" s="12"/>
    </row>
    <row r="340" customFormat="false" ht="15" hidden="false" customHeight="false" outlineLevel="0" collapsed="false">
      <c r="A340" s="8" t="n">
        <v>336</v>
      </c>
      <c r="B340" s="13"/>
      <c r="C340" s="25"/>
      <c r="D340" s="25"/>
      <c r="E340" s="25"/>
      <c r="F340" s="25"/>
      <c r="G340" s="12"/>
    </row>
    <row r="341" customFormat="false" ht="15" hidden="false" customHeight="false" outlineLevel="0" collapsed="false">
      <c r="A341" s="8" t="n">
        <v>337</v>
      </c>
      <c r="B341" s="13"/>
      <c r="C341" s="25"/>
      <c r="D341" s="25"/>
      <c r="E341" s="25"/>
      <c r="F341" s="25"/>
      <c r="G341" s="12"/>
    </row>
    <row r="342" customFormat="false" ht="15" hidden="false" customHeight="false" outlineLevel="0" collapsed="false">
      <c r="A342" s="8" t="n">
        <v>338</v>
      </c>
      <c r="B342" s="13"/>
      <c r="C342" s="25"/>
      <c r="D342" s="25"/>
      <c r="E342" s="25"/>
      <c r="F342" s="25"/>
      <c r="G342" s="12"/>
    </row>
    <row r="343" customFormat="false" ht="15" hidden="false" customHeight="false" outlineLevel="0" collapsed="false">
      <c r="A343" s="8" t="n">
        <v>339</v>
      </c>
      <c r="B343" s="13"/>
      <c r="C343" s="25"/>
      <c r="D343" s="25"/>
      <c r="E343" s="25"/>
      <c r="F343" s="25"/>
      <c r="G343" s="12"/>
    </row>
    <row r="344" customFormat="false" ht="15" hidden="false" customHeight="false" outlineLevel="0" collapsed="false">
      <c r="A344" s="8" t="n">
        <v>340</v>
      </c>
      <c r="B344" s="13"/>
      <c r="C344" s="25"/>
      <c r="D344" s="25"/>
      <c r="E344" s="25"/>
      <c r="F344" s="25"/>
      <c r="G344" s="12"/>
    </row>
    <row r="345" customFormat="false" ht="15" hidden="false" customHeight="false" outlineLevel="0" collapsed="false">
      <c r="A345" s="8" t="n">
        <v>341</v>
      </c>
      <c r="B345" s="13"/>
      <c r="C345" s="25"/>
      <c r="D345" s="25"/>
      <c r="E345" s="25"/>
      <c r="F345" s="25"/>
      <c r="G345" s="12"/>
    </row>
    <row r="346" customFormat="false" ht="15" hidden="false" customHeight="false" outlineLevel="0" collapsed="false">
      <c r="A346" s="8" t="n">
        <v>342</v>
      </c>
      <c r="B346" s="13"/>
      <c r="C346" s="25"/>
      <c r="D346" s="25"/>
      <c r="E346" s="25"/>
      <c r="F346" s="25"/>
      <c r="G346" s="12"/>
    </row>
    <row r="347" customFormat="false" ht="15" hidden="false" customHeight="false" outlineLevel="0" collapsed="false">
      <c r="A347" s="8" t="n">
        <v>343</v>
      </c>
      <c r="B347" s="13"/>
      <c r="C347" s="25"/>
      <c r="D347" s="25"/>
      <c r="E347" s="25"/>
      <c r="F347" s="25"/>
      <c r="G347" s="12"/>
    </row>
    <row r="348" customFormat="false" ht="15" hidden="false" customHeight="false" outlineLevel="0" collapsed="false">
      <c r="A348" s="8" t="n">
        <v>344</v>
      </c>
      <c r="B348" s="13"/>
      <c r="C348" s="25"/>
      <c r="D348" s="25"/>
      <c r="E348" s="25"/>
      <c r="F348" s="25"/>
      <c r="G348" s="12"/>
    </row>
    <row r="349" customFormat="false" ht="15" hidden="false" customHeight="false" outlineLevel="0" collapsed="false">
      <c r="A349" s="8" t="n">
        <v>345</v>
      </c>
      <c r="B349" s="13"/>
      <c r="C349" s="25"/>
      <c r="D349" s="25"/>
      <c r="E349" s="25"/>
      <c r="F349" s="25"/>
      <c r="G349" s="12"/>
    </row>
    <row r="350" customFormat="false" ht="15" hidden="false" customHeight="false" outlineLevel="0" collapsed="false">
      <c r="A350" s="8" t="n">
        <v>346</v>
      </c>
      <c r="B350" s="13"/>
      <c r="C350" s="25"/>
      <c r="D350" s="25"/>
      <c r="E350" s="25"/>
      <c r="F350" s="25"/>
      <c r="G350" s="12"/>
    </row>
    <row r="351" customFormat="false" ht="15" hidden="false" customHeight="false" outlineLevel="0" collapsed="false">
      <c r="A351" s="8" t="n">
        <v>347</v>
      </c>
      <c r="B351" s="13"/>
      <c r="C351" s="25"/>
      <c r="D351" s="25"/>
      <c r="E351" s="25"/>
      <c r="F351" s="25"/>
      <c r="G351" s="12"/>
    </row>
    <row r="352" customFormat="false" ht="15" hidden="false" customHeight="false" outlineLevel="0" collapsed="false">
      <c r="A352" s="8" t="n">
        <v>348</v>
      </c>
      <c r="B352" s="13"/>
      <c r="C352" s="25"/>
      <c r="D352" s="25"/>
      <c r="E352" s="25"/>
      <c r="F352" s="25"/>
      <c r="G352" s="12"/>
    </row>
    <row r="353" customFormat="false" ht="15" hidden="false" customHeight="false" outlineLevel="0" collapsed="false">
      <c r="A353" s="8" t="n">
        <v>349</v>
      </c>
      <c r="B353" s="13"/>
      <c r="C353" s="25"/>
      <c r="D353" s="25"/>
      <c r="E353" s="25"/>
      <c r="F353" s="25"/>
      <c r="G353" s="12"/>
    </row>
    <row r="354" customFormat="false" ht="15" hidden="false" customHeight="false" outlineLevel="0" collapsed="false">
      <c r="A354" s="8" t="n">
        <v>350</v>
      </c>
      <c r="B354" s="13"/>
      <c r="C354" s="25"/>
      <c r="D354" s="25"/>
      <c r="E354" s="25"/>
      <c r="F354" s="25"/>
      <c r="G354" s="12"/>
    </row>
    <row r="355" customFormat="false" ht="15" hidden="false" customHeight="false" outlineLevel="0" collapsed="false">
      <c r="A355" s="8" t="n">
        <v>351</v>
      </c>
      <c r="B355" s="13"/>
      <c r="C355" s="25"/>
      <c r="D355" s="25"/>
      <c r="E355" s="25"/>
      <c r="F355" s="25"/>
      <c r="G355" s="12"/>
    </row>
    <row r="356" customFormat="false" ht="15" hidden="false" customHeight="false" outlineLevel="0" collapsed="false">
      <c r="A356" s="8" t="n">
        <v>352</v>
      </c>
      <c r="B356" s="13"/>
      <c r="C356" s="25"/>
      <c r="D356" s="25"/>
      <c r="E356" s="25"/>
      <c r="F356" s="25"/>
      <c r="G356" s="12"/>
    </row>
    <row r="357" customFormat="false" ht="15" hidden="false" customHeight="false" outlineLevel="0" collapsed="false">
      <c r="A357" s="8" t="n">
        <v>353</v>
      </c>
      <c r="B357" s="13"/>
      <c r="C357" s="25"/>
      <c r="D357" s="25"/>
      <c r="E357" s="25"/>
      <c r="F357" s="25"/>
      <c r="G357" s="12"/>
    </row>
    <row r="358" customFormat="false" ht="15" hidden="false" customHeight="false" outlineLevel="0" collapsed="false">
      <c r="A358" s="8" t="n">
        <v>354</v>
      </c>
      <c r="B358" s="13"/>
      <c r="C358" s="25"/>
      <c r="D358" s="25"/>
      <c r="E358" s="25"/>
      <c r="F358" s="25"/>
      <c r="G358" s="12"/>
    </row>
    <row r="359" customFormat="false" ht="15" hidden="false" customHeight="false" outlineLevel="0" collapsed="false">
      <c r="A359" s="8" t="n">
        <v>355</v>
      </c>
      <c r="B359" s="13"/>
      <c r="C359" s="25"/>
      <c r="D359" s="25"/>
      <c r="E359" s="25"/>
      <c r="F359" s="25"/>
      <c r="G359" s="12"/>
    </row>
    <row r="360" customFormat="false" ht="15" hidden="false" customHeight="false" outlineLevel="0" collapsed="false">
      <c r="A360" s="8" t="n">
        <v>356</v>
      </c>
      <c r="B360" s="13"/>
      <c r="C360" s="25"/>
      <c r="D360" s="25"/>
      <c r="E360" s="25"/>
      <c r="F360" s="25"/>
      <c r="G360" s="12"/>
    </row>
    <row r="361" customFormat="false" ht="15" hidden="false" customHeight="false" outlineLevel="0" collapsed="false">
      <c r="A361" s="8" t="n">
        <v>357</v>
      </c>
      <c r="B361" s="13"/>
      <c r="C361" s="25"/>
      <c r="D361" s="25"/>
      <c r="E361" s="25"/>
      <c r="F361" s="25"/>
      <c r="G361" s="12"/>
    </row>
    <row r="362" customFormat="false" ht="15" hidden="false" customHeight="false" outlineLevel="0" collapsed="false">
      <c r="A362" s="8" t="n">
        <v>358</v>
      </c>
      <c r="B362" s="13"/>
      <c r="C362" s="25"/>
      <c r="D362" s="25"/>
      <c r="E362" s="25"/>
      <c r="F362" s="25"/>
      <c r="G362" s="12"/>
    </row>
    <row r="363" customFormat="false" ht="15" hidden="false" customHeight="false" outlineLevel="0" collapsed="false">
      <c r="A363" s="8" t="n">
        <v>359</v>
      </c>
      <c r="B363" s="13"/>
      <c r="C363" s="25"/>
      <c r="D363" s="25"/>
      <c r="E363" s="25"/>
      <c r="F363" s="25"/>
      <c r="G363" s="12"/>
    </row>
    <row r="364" customFormat="false" ht="15" hidden="false" customHeight="false" outlineLevel="0" collapsed="false">
      <c r="A364" s="8" t="n">
        <v>360</v>
      </c>
      <c r="B364" s="13"/>
      <c r="C364" s="25"/>
      <c r="D364" s="25"/>
      <c r="E364" s="25"/>
      <c r="F364" s="25"/>
      <c r="G364" s="12"/>
    </row>
    <row r="365" customFormat="false" ht="15" hidden="false" customHeight="false" outlineLevel="0" collapsed="false">
      <c r="A365" s="8" t="n">
        <v>361</v>
      </c>
      <c r="B365" s="13"/>
      <c r="C365" s="25"/>
      <c r="D365" s="25"/>
      <c r="E365" s="25"/>
      <c r="F365" s="25"/>
      <c r="G365" s="12"/>
    </row>
    <row r="366" customFormat="false" ht="15" hidden="false" customHeight="false" outlineLevel="0" collapsed="false">
      <c r="A366" s="8" t="n">
        <v>362</v>
      </c>
      <c r="B366" s="13"/>
      <c r="C366" s="25"/>
      <c r="D366" s="25"/>
      <c r="E366" s="25"/>
      <c r="F366" s="25"/>
      <c r="G366" s="12"/>
    </row>
    <row r="367" customFormat="false" ht="15" hidden="false" customHeight="false" outlineLevel="0" collapsed="false">
      <c r="A367" s="8" t="n">
        <v>363</v>
      </c>
      <c r="B367" s="13"/>
      <c r="C367" s="25"/>
      <c r="D367" s="25"/>
      <c r="E367" s="25"/>
      <c r="F367" s="25"/>
      <c r="G367" s="12"/>
    </row>
    <row r="368" customFormat="false" ht="15" hidden="false" customHeight="false" outlineLevel="0" collapsed="false">
      <c r="A368" s="8" t="n">
        <v>364</v>
      </c>
      <c r="B368" s="13"/>
      <c r="C368" s="25"/>
      <c r="D368" s="25"/>
      <c r="E368" s="25"/>
      <c r="F368" s="25"/>
      <c r="G368" s="12"/>
    </row>
    <row r="369" customFormat="false" ht="15" hidden="false" customHeight="false" outlineLevel="0" collapsed="false">
      <c r="A369" s="8" t="n">
        <v>365</v>
      </c>
      <c r="B369" s="13"/>
      <c r="C369" s="25"/>
      <c r="D369" s="25"/>
      <c r="E369" s="25"/>
      <c r="F369" s="25"/>
      <c r="G369" s="12"/>
    </row>
    <row r="370" customFormat="false" ht="15" hidden="false" customHeight="false" outlineLevel="0" collapsed="false">
      <c r="A370" s="8" t="n">
        <v>366</v>
      </c>
      <c r="B370" s="13"/>
      <c r="C370" s="25"/>
      <c r="D370" s="25"/>
      <c r="E370" s="25"/>
      <c r="F370" s="25"/>
      <c r="G370" s="12"/>
    </row>
    <row r="371" customFormat="false" ht="15" hidden="false" customHeight="false" outlineLevel="0" collapsed="false">
      <c r="A371" s="8" t="n">
        <v>367</v>
      </c>
      <c r="B371" s="13"/>
      <c r="C371" s="25"/>
      <c r="D371" s="25"/>
      <c r="E371" s="25"/>
      <c r="F371" s="25"/>
      <c r="G371" s="12"/>
    </row>
    <row r="372" customFormat="false" ht="15" hidden="false" customHeight="false" outlineLevel="0" collapsed="false">
      <c r="A372" s="8" t="n">
        <v>368</v>
      </c>
      <c r="B372" s="13"/>
      <c r="C372" s="25"/>
      <c r="D372" s="25"/>
      <c r="E372" s="25"/>
      <c r="F372" s="25"/>
      <c r="G372" s="12"/>
    </row>
    <row r="373" customFormat="false" ht="15" hidden="false" customHeight="false" outlineLevel="0" collapsed="false">
      <c r="A373" s="8" t="n">
        <v>369</v>
      </c>
      <c r="B373" s="13"/>
      <c r="C373" s="25"/>
      <c r="D373" s="25"/>
      <c r="E373" s="25"/>
      <c r="F373" s="25"/>
      <c r="G373" s="12"/>
    </row>
    <row r="374" customFormat="false" ht="15" hidden="false" customHeight="false" outlineLevel="0" collapsed="false">
      <c r="A374" s="8" t="n">
        <v>370</v>
      </c>
      <c r="B374" s="13"/>
      <c r="C374" s="25"/>
      <c r="D374" s="25"/>
      <c r="E374" s="25"/>
      <c r="F374" s="25"/>
      <c r="G374" s="12"/>
    </row>
    <row r="375" customFormat="false" ht="15" hidden="false" customHeight="false" outlineLevel="0" collapsed="false">
      <c r="A375" s="8" t="n">
        <v>371</v>
      </c>
      <c r="B375" s="13"/>
      <c r="C375" s="25"/>
      <c r="D375" s="25"/>
      <c r="E375" s="25"/>
      <c r="F375" s="25"/>
      <c r="G375" s="12"/>
    </row>
    <row r="376" customFormat="false" ht="15" hidden="false" customHeight="false" outlineLevel="0" collapsed="false">
      <c r="A376" s="8" t="n">
        <v>372</v>
      </c>
      <c r="B376" s="13"/>
      <c r="C376" s="25"/>
      <c r="D376" s="25"/>
      <c r="E376" s="25"/>
      <c r="F376" s="25"/>
      <c r="G376" s="12"/>
    </row>
    <row r="377" customFormat="false" ht="15" hidden="false" customHeight="false" outlineLevel="0" collapsed="false">
      <c r="A377" s="8" t="n">
        <v>373</v>
      </c>
      <c r="B377" s="13"/>
      <c r="C377" s="25"/>
      <c r="D377" s="25"/>
      <c r="E377" s="25"/>
      <c r="F377" s="25"/>
      <c r="G377" s="12"/>
    </row>
    <row r="378" customFormat="false" ht="15" hidden="false" customHeight="false" outlineLevel="0" collapsed="false">
      <c r="A378" s="8" t="n">
        <v>374</v>
      </c>
      <c r="B378" s="13"/>
      <c r="C378" s="25"/>
      <c r="D378" s="25"/>
      <c r="E378" s="25"/>
      <c r="F378" s="25"/>
      <c r="G378" s="12"/>
    </row>
    <row r="379" customFormat="false" ht="15" hidden="false" customHeight="false" outlineLevel="0" collapsed="false">
      <c r="A379" s="8" t="n">
        <v>375</v>
      </c>
      <c r="B379" s="13"/>
      <c r="C379" s="25"/>
      <c r="D379" s="25"/>
      <c r="E379" s="25"/>
      <c r="F379" s="25"/>
      <c r="G379" s="12"/>
    </row>
    <row r="380" customFormat="false" ht="15" hidden="false" customHeight="false" outlineLevel="0" collapsed="false">
      <c r="A380" s="8" t="n">
        <v>376</v>
      </c>
      <c r="B380" s="13"/>
      <c r="C380" s="25"/>
      <c r="D380" s="25"/>
      <c r="E380" s="25"/>
      <c r="F380" s="25"/>
      <c r="G380" s="12"/>
    </row>
    <row r="381" customFormat="false" ht="15" hidden="false" customHeight="false" outlineLevel="0" collapsed="false">
      <c r="A381" s="8" t="n">
        <v>377</v>
      </c>
      <c r="B381" s="13"/>
      <c r="C381" s="25"/>
      <c r="D381" s="25"/>
      <c r="E381" s="25"/>
      <c r="F381" s="25"/>
      <c r="G381" s="12"/>
    </row>
    <row r="382" customFormat="false" ht="15" hidden="false" customHeight="false" outlineLevel="0" collapsed="false">
      <c r="A382" s="8" t="n">
        <v>378</v>
      </c>
      <c r="B382" s="13"/>
      <c r="C382" s="25"/>
      <c r="D382" s="25"/>
      <c r="E382" s="25"/>
      <c r="F382" s="25"/>
      <c r="G382" s="12"/>
    </row>
    <row r="383" customFormat="false" ht="15" hidden="false" customHeight="false" outlineLevel="0" collapsed="false">
      <c r="A383" s="8" t="n">
        <v>379</v>
      </c>
      <c r="B383" s="13"/>
      <c r="C383" s="25"/>
      <c r="D383" s="25"/>
      <c r="E383" s="25"/>
      <c r="F383" s="25"/>
      <c r="G383" s="12"/>
    </row>
    <row r="384" customFormat="false" ht="15" hidden="false" customHeight="false" outlineLevel="0" collapsed="false">
      <c r="A384" s="8" t="n">
        <v>380</v>
      </c>
      <c r="B384" s="13"/>
      <c r="C384" s="25"/>
      <c r="D384" s="25"/>
      <c r="E384" s="25"/>
      <c r="F384" s="25"/>
      <c r="G384" s="12"/>
    </row>
    <row r="385" customFormat="false" ht="15" hidden="false" customHeight="false" outlineLevel="0" collapsed="false">
      <c r="A385" s="8" t="n">
        <v>381</v>
      </c>
      <c r="B385" s="13"/>
      <c r="C385" s="25"/>
      <c r="D385" s="25"/>
      <c r="E385" s="25"/>
      <c r="F385" s="25"/>
      <c r="G385" s="12"/>
    </row>
    <row r="386" customFormat="false" ht="15" hidden="false" customHeight="false" outlineLevel="0" collapsed="false">
      <c r="A386" s="8" t="n">
        <v>382</v>
      </c>
      <c r="B386" s="13"/>
      <c r="C386" s="25"/>
      <c r="D386" s="25"/>
      <c r="E386" s="25"/>
      <c r="F386" s="25"/>
      <c r="G386" s="12"/>
    </row>
    <row r="387" customFormat="false" ht="15" hidden="false" customHeight="false" outlineLevel="0" collapsed="false">
      <c r="A387" s="8" t="n">
        <v>383</v>
      </c>
      <c r="B387" s="13"/>
      <c r="C387" s="25"/>
      <c r="D387" s="25"/>
      <c r="E387" s="25"/>
      <c r="F387" s="25"/>
      <c r="G387" s="12"/>
    </row>
    <row r="388" customFormat="false" ht="15" hidden="false" customHeight="false" outlineLevel="0" collapsed="false">
      <c r="A388" s="8" t="n">
        <v>384</v>
      </c>
      <c r="B388" s="13"/>
      <c r="C388" s="25"/>
      <c r="D388" s="25"/>
      <c r="E388" s="25"/>
      <c r="F388" s="25"/>
      <c r="G388" s="12"/>
    </row>
    <row r="389" customFormat="false" ht="15" hidden="false" customHeight="false" outlineLevel="0" collapsed="false">
      <c r="A389" s="8" t="n">
        <v>385</v>
      </c>
      <c r="B389" s="13"/>
      <c r="C389" s="25"/>
      <c r="D389" s="25"/>
      <c r="E389" s="25"/>
      <c r="F389" s="25"/>
      <c r="G389" s="12"/>
    </row>
    <row r="390" customFormat="false" ht="15" hidden="false" customHeight="false" outlineLevel="0" collapsed="false">
      <c r="A390" s="8" t="n">
        <v>386</v>
      </c>
      <c r="B390" s="13"/>
      <c r="C390" s="25"/>
      <c r="D390" s="25"/>
      <c r="E390" s="25"/>
      <c r="F390" s="25"/>
      <c r="G390" s="12"/>
    </row>
    <row r="391" customFormat="false" ht="15" hidden="false" customHeight="false" outlineLevel="0" collapsed="false">
      <c r="A391" s="8" t="n">
        <v>387</v>
      </c>
      <c r="B391" s="13"/>
      <c r="C391" s="25"/>
      <c r="D391" s="25"/>
      <c r="E391" s="25"/>
      <c r="F391" s="25"/>
      <c r="G391" s="12"/>
    </row>
    <row r="392" customFormat="false" ht="15" hidden="false" customHeight="false" outlineLevel="0" collapsed="false">
      <c r="A392" s="8" t="n">
        <v>388</v>
      </c>
      <c r="B392" s="13"/>
      <c r="C392" s="25"/>
      <c r="D392" s="25"/>
      <c r="E392" s="25"/>
      <c r="F392" s="25"/>
      <c r="G392" s="12"/>
    </row>
    <row r="393" customFormat="false" ht="15" hidden="false" customHeight="false" outlineLevel="0" collapsed="false">
      <c r="A393" s="8" t="n">
        <v>389</v>
      </c>
      <c r="B393" s="13"/>
      <c r="C393" s="25"/>
      <c r="D393" s="25"/>
      <c r="E393" s="25"/>
      <c r="F393" s="25"/>
      <c r="G393" s="12"/>
    </row>
    <row r="394" customFormat="false" ht="15" hidden="false" customHeight="false" outlineLevel="0" collapsed="false">
      <c r="A394" s="8" t="n">
        <v>390</v>
      </c>
      <c r="B394" s="13"/>
      <c r="C394" s="25"/>
      <c r="D394" s="25"/>
      <c r="E394" s="25"/>
      <c r="F394" s="25"/>
      <c r="G394" s="12"/>
    </row>
    <row r="395" customFormat="false" ht="15" hidden="false" customHeight="false" outlineLevel="0" collapsed="false">
      <c r="A395" s="8" t="n">
        <v>391</v>
      </c>
      <c r="B395" s="13"/>
      <c r="C395" s="25"/>
      <c r="D395" s="25"/>
      <c r="E395" s="25"/>
      <c r="F395" s="25"/>
      <c r="G395" s="12"/>
    </row>
    <row r="396" customFormat="false" ht="15" hidden="false" customHeight="false" outlineLevel="0" collapsed="false">
      <c r="A396" s="8" t="n">
        <v>392</v>
      </c>
      <c r="B396" s="13"/>
      <c r="C396" s="25"/>
      <c r="D396" s="25"/>
      <c r="E396" s="25"/>
      <c r="F396" s="25"/>
      <c r="G396" s="12"/>
    </row>
    <row r="397" customFormat="false" ht="15" hidden="false" customHeight="false" outlineLevel="0" collapsed="false">
      <c r="A397" s="8" t="n">
        <v>393</v>
      </c>
      <c r="B397" s="13"/>
      <c r="C397" s="25"/>
      <c r="D397" s="25"/>
      <c r="E397" s="25"/>
      <c r="F397" s="25"/>
      <c r="G397" s="12"/>
    </row>
    <row r="398" customFormat="false" ht="15" hidden="false" customHeight="false" outlineLevel="0" collapsed="false">
      <c r="A398" s="8" t="n">
        <v>394</v>
      </c>
      <c r="B398" s="13"/>
      <c r="C398" s="25"/>
      <c r="D398" s="25"/>
      <c r="E398" s="25"/>
      <c r="F398" s="25"/>
      <c r="G398" s="12"/>
    </row>
    <row r="399" customFormat="false" ht="15" hidden="false" customHeight="false" outlineLevel="0" collapsed="false">
      <c r="A399" s="8" t="n">
        <v>395</v>
      </c>
      <c r="B399" s="13"/>
      <c r="C399" s="25"/>
      <c r="D399" s="25"/>
      <c r="E399" s="25"/>
      <c r="F399" s="25"/>
      <c r="G399" s="12"/>
    </row>
    <row r="400" customFormat="false" ht="15" hidden="false" customHeight="false" outlineLevel="0" collapsed="false">
      <c r="A400" s="8" t="n">
        <v>396</v>
      </c>
      <c r="B400" s="13"/>
      <c r="C400" s="25"/>
      <c r="D400" s="25"/>
      <c r="E400" s="25"/>
      <c r="F400" s="25"/>
      <c r="G400" s="12"/>
    </row>
    <row r="401" customFormat="false" ht="15" hidden="false" customHeight="false" outlineLevel="0" collapsed="false">
      <c r="A401" s="8" t="n">
        <v>397</v>
      </c>
      <c r="B401" s="13"/>
      <c r="C401" s="25"/>
      <c r="D401" s="25"/>
      <c r="E401" s="25"/>
      <c r="F401" s="25"/>
      <c r="G401" s="12"/>
    </row>
    <row r="402" customFormat="false" ht="15" hidden="false" customHeight="false" outlineLevel="0" collapsed="false">
      <c r="A402" s="8" t="n">
        <v>398</v>
      </c>
      <c r="B402" s="13"/>
      <c r="C402" s="25"/>
      <c r="D402" s="25"/>
      <c r="E402" s="25"/>
      <c r="F402" s="25"/>
      <c r="G402" s="12"/>
    </row>
    <row r="403" customFormat="false" ht="15" hidden="false" customHeight="false" outlineLevel="0" collapsed="false">
      <c r="A403" s="8" t="n">
        <v>399</v>
      </c>
      <c r="B403" s="13"/>
      <c r="C403" s="25"/>
      <c r="D403" s="25"/>
      <c r="E403" s="25"/>
      <c r="F403" s="25"/>
      <c r="G403" s="12"/>
    </row>
    <row r="404" customFormat="false" ht="15" hidden="false" customHeight="false" outlineLevel="0" collapsed="false">
      <c r="A404" s="8" t="n">
        <v>400</v>
      </c>
      <c r="B404" s="13"/>
      <c r="C404" s="25"/>
      <c r="D404" s="25"/>
      <c r="E404" s="25"/>
      <c r="F404" s="25"/>
      <c r="G404" s="12"/>
    </row>
  </sheetData>
  <autoFilter ref="A4:G404"/>
  <dataValidations count="2">
    <dataValidation allowBlank="true" error="Sanani kiriting (kun.oy.yil) / Введите дату (дд.мм.гггг)" errorStyle="stop" errorTitle="Sana / Дата" operator="greaterThan" showDropDown="false" showErrorMessage="true" showInputMessage="false" sqref="B5:B40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C5:F4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355</v>
      </c>
    </row>
    <row r="2" customFormat="false" ht="15" hidden="false" customHeight="false" outlineLevel="0" collapsed="false">
      <c r="A2" s="2" t="s">
        <v>356</v>
      </c>
    </row>
    <row r="3" customFormat="false" ht="15" hidden="false" customHeight="false" outlineLevel="0" collapsed="false">
      <c r="A3" s="21" t="s">
        <v>258</v>
      </c>
      <c r="B3" s="22"/>
      <c r="C3" s="22"/>
      <c r="D3" s="22"/>
      <c r="E3" s="22"/>
      <c r="F3" s="22"/>
      <c r="G3" s="22"/>
      <c r="H3" s="22"/>
      <c r="I3" s="22"/>
    </row>
    <row r="4" customFormat="false" ht="61.5" hidden="false" customHeight="true" outlineLevel="0" collapsed="false">
      <c r="A4" s="7" t="s">
        <v>12</v>
      </c>
      <c r="B4" s="7" t="s">
        <v>357</v>
      </c>
      <c r="C4" s="7" t="s">
        <v>358</v>
      </c>
      <c r="D4" s="7" t="s">
        <v>359</v>
      </c>
      <c r="E4" s="7" t="s">
        <v>360</v>
      </c>
      <c r="F4" s="7" t="s">
        <v>361</v>
      </c>
      <c r="G4" s="7" t="s">
        <v>362</v>
      </c>
      <c r="H4" s="7" t="s">
        <v>363</v>
      </c>
      <c r="I4" s="7" t="s">
        <v>278</v>
      </c>
    </row>
    <row r="5" customFormat="false" ht="15" hidden="false" customHeight="false" outlineLevel="0" collapsed="false">
      <c r="A5" s="8" t="n">
        <v>1</v>
      </c>
      <c r="B5" s="13"/>
      <c r="C5" s="25"/>
      <c r="D5" s="25"/>
      <c r="E5" s="12"/>
      <c r="F5" s="12"/>
      <c r="G5" s="25"/>
      <c r="H5" s="12"/>
      <c r="I5" s="12"/>
    </row>
    <row r="6" customFormat="false" ht="15" hidden="false" customHeight="false" outlineLevel="0" collapsed="false">
      <c r="A6" s="8" t="n">
        <v>2</v>
      </c>
      <c r="B6" s="13"/>
      <c r="C6" s="25"/>
      <c r="D6" s="25"/>
      <c r="E6" s="12"/>
      <c r="F6" s="12"/>
      <c r="G6" s="25"/>
      <c r="H6" s="12"/>
      <c r="I6" s="12"/>
    </row>
    <row r="7" customFormat="false" ht="15" hidden="false" customHeight="false" outlineLevel="0" collapsed="false">
      <c r="A7" s="8" t="n">
        <v>3</v>
      </c>
      <c r="B7" s="13"/>
      <c r="C7" s="25"/>
      <c r="D7" s="25"/>
      <c r="E7" s="12"/>
      <c r="F7" s="12"/>
      <c r="G7" s="25"/>
      <c r="H7" s="12"/>
      <c r="I7" s="12"/>
    </row>
    <row r="8" customFormat="false" ht="15" hidden="false" customHeight="false" outlineLevel="0" collapsed="false">
      <c r="A8" s="8" t="n">
        <v>4</v>
      </c>
      <c r="B8" s="13"/>
      <c r="C8" s="25"/>
      <c r="D8" s="25"/>
      <c r="E8" s="12"/>
      <c r="F8" s="12"/>
      <c r="G8" s="25"/>
      <c r="H8" s="12"/>
      <c r="I8" s="12"/>
    </row>
    <row r="9" customFormat="false" ht="15" hidden="false" customHeight="false" outlineLevel="0" collapsed="false">
      <c r="A9" s="8" t="n">
        <v>5</v>
      </c>
      <c r="B9" s="13"/>
      <c r="C9" s="25"/>
      <c r="D9" s="25"/>
      <c r="E9" s="12"/>
      <c r="F9" s="12"/>
      <c r="G9" s="25"/>
      <c r="H9" s="12"/>
      <c r="I9" s="12"/>
    </row>
    <row r="10" customFormat="false" ht="15" hidden="false" customHeight="false" outlineLevel="0" collapsed="false">
      <c r="A10" s="8" t="n">
        <v>6</v>
      </c>
      <c r="B10" s="13"/>
      <c r="C10" s="25"/>
      <c r="D10" s="25"/>
      <c r="E10" s="12"/>
      <c r="F10" s="12"/>
      <c r="G10" s="25"/>
      <c r="H10" s="12"/>
      <c r="I10" s="12"/>
    </row>
    <row r="11" customFormat="false" ht="15" hidden="false" customHeight="false" outlineLevel="0" collapsed="false">
      <c r="A11" s="8" t="n">
        <v>7</v>
      </c>
      <c r="B11" s="13"/>
      <c r="C11" s="25"/>
      <c r="D11" s="25"/>
      <c r="E11" s="12"/>
      <c r="F11" s="12"/>
      <c r="G11" s="25"/>
      <c r="H11" s="12"/>
      <c r="I11" s="12"/>
    </row>
    <row r="12" customFormat="false" ht="15" hidden="false" customHeight="false" outlineLevel="0" collapsed="false">
      <c r="A12" s="8" t="n">
        <v>8</v>
      </c>
      <c r="B12" s="13"/>
      <c r="C12" s="25"/>
      <c r="D12" s="25"/>
      <c r="E12" s="12"/>
      <c r="F12" s="12"/>
      <c r="G12" s="25"/>
      <c r="H12" s="12"/>
      <c r="I12" s="12"/>
    </row>
    <row r="13" customFormat="false" ht="15" hidden="false" customHeight="false" outlineLevel="0" collapsed="false">
      <c r="A13" s="8" t="n">
        <v>9</v>
      </c>
      <c r="B13" s="13"/>
      <c r="C13" s="25"/>
      <c r="D13" s="25"/>
      <c r="E13" s="12"/>
      <c r="F13" s="12"/>
      <c r="G13" s="25"/>
      <c r="H13" s="12"/>
      <c r="I13" s="12"/>
    </row>
    <row r="14" customFormat="false" ht="15" hidden="false" customHeight="false" outlineLevel="0" collapsed="false">
      <c r="A14" s="8" t="n">
        <v>10</v>
      </c>
      <c r="B14" s="13"/>
      <c r="C14" s="25"/>
      <c r="D14" s="25"/>
      <c r="E14" s="12"/>
      <c r="F14" s="12"/>
      <c r="G14" s="25"/>
      <c r="H14" s="12"/>
      <c r="I14" s="12"/>
    </row>
    <row r="15" customFormat="false" ht="15" hidden="false" customHeight="false" outlineLevel="0" collapsed="false">
      <c r="A15" s="8" t="n">
        <v>11</v>
      </c>
      <c r="B15" s="13"/>
      <c r="C15" s="25"/>
      <c r="D15" s="25"/>
      <c r="E15" s="12"/>
      <c r="F15" s="12"/>
      <c r="G15" s="25"/>
      <c r="H15" s="12"/>
      <c r="I15" s="12"/>
    </row>
    <row r="16" customFormat="false" ht="15" hidden="false" customHeight="false" outlineLevel="0" collapsed="false">
      <c r="A16" s="8" t="n">
        <v>12</v>
      </c>
      <c r="B16" s="13"/>
      <c r="C16" s="25"/>
      <c r="D16" s="25"/>
      <c r="E16" s="12"/>
      <c r="F16" s="12"/>
      <c r="G16" s="25"/>
      <c r="H16" s="12"/>
      <c r="I16" s="12"/>
    </row>
    <row r="17" customFormat="false" ht="15" hidden="false" customHeight="false" outlineLevel="0" collapsed="false">
      <c r="A17" s="8" t="n">
        <v>13</v>
      </c>
      <c r="B17" s="13"/>
      <c r="C17" s="25"/>
      <c r="D17" s="25"/>
      <c r="E17" s="12"/>
      <c r="F17" s="12"/>
      <c r="G17" s="25"/>
      <c r="H17" s="12"/>
      <c r="I17" s="12"/>
    </row>
    <row r="18" customFormat="false" ht="15" hidden="false" customHeight="false" outlineLevel="0" collapsed="false">
      <c r="A18" s="8" t="n">
        <v>14</v>
      </c>
      <c r="B18" s="13"/>
      <c r="C18" s="25"/>
      <c r="D18" s="25"/>
      <c r="E18" s="12"/>
      <c r="F18" s="12"/>
      <c r="G18" s="25"/>
      <c r="H18" s="12"/>
      <c r="I18" s="12"/>
    </row>
    <row r="19" customFormat="false" ht="15" hidden="false" customHeight="false" outlineLevel="0" collapsed="false">
      <c r="A19" s="8" t="n">
        <v>15</v>
      </c>
      <c r="B19" s="13"/>
      <c r="C19" s="25"/>
      <c r="D19" s="25"/>
      <c r="E19" s="12"/>
      <c r="F19" s="12"/>
      <c r="G19" s="25"/>
      <c r="H19" s="12"/>
      <c r="I19" s="12"/>
    </row>
    <row r="20" customFormat="false" ht="15" hidden="false" customHeight="false" outlineLevel="0" collapsed="false">
      <c r="A20" s="8" t="n">
        <v>16</v>
      </c>
      <c r="B20" s="13"/>
      <c r="C20" s="25"/>
      <c r="D20" s="25"/>
      <c r="E20" s="12"/>
      <c r="F20" s="12"/>
      <c r="G20" s="25"/>
      <c r="H20" s="12"/>
      <c r="I20" s="12"/>
    </row>
    <row r="21" customFormat="false" ht="15" hidden="false" customHeight="false" outlineLevel="0" collapsed="false">
      <c r="A21" s="8" t="n">
        <v>17</v>
      </c>
      <c r="B21" s="13"/>
      <c r="C21" s="25"/>
      <c r="D21" s="25"/>
      <c r="E21" s="12"/>
      <c r="F21" s="12"/>
      <c r="G21" s="25"/>
      <c r="H21" s="12"/>
      <c r="I21" s="12"/>
    </row>
    <row r="22" customFormat="false" ht="15" hidden="false" customHeight="false" outlineLevel="0" collapsed="false">
      <c r="A22" s="8" t="n">
        <v>18</v>
      </c>
      <c r="B22" s="13"/>
      <c r="C22" s="25"/>
      <c r="D22" s="25"/>
      <c r="E22" s="12"/>
      <c r="F22" s="12"/>
      <c r="G22" s="25"/>
      <c r="H22" s="12"/>
      <c r="I22" s="12"/>
    </row>
    <row r="23" customFormat="false" ht="15" hidden="false" customHeight="false" outlineLevel="0" collapsed="false">
      <c r="A23" s="8" t="n">
        <v>19</v>
      </c>
      <c r="B23" s="13"/>
      <c r="C23" s="25"/>
      <c r="D23" s="25"/>
      <c r="E23" s="12"/>
      <c r="F23" s="12"/>
      <c r="G23" s="25"/>
      <c r="H23" s="12"/>
      <c r="I23" s="12"/>
    </row>
    <row r="24" customFormat="false" ht="15" hidden="false" customHeight="false" outlineLevel="0" collapsed="false">
      <c r="A24" s="8" t="n">
        <v>20</v>
      </c>
      <c r="B24" s="13"/>
      <c r="C24" s="25"/>
      <c r="D24" s="25"/>
      <c r="E24" s="12"/>
      <c r="F24" s="12"/>
      <c r="G24" s="25"/>
      <c r="H24" s="12"/>
      <c r="I24" s="12"/>
    </row>
    <row r="25" customFormat="false" ht="15" hidden="false" customHeight="false" outlineLevel="0" collapsed="false">
      <c r="A25" s="8" t="n">
        <v>21</v>
      </c>
      <c r="B25" s="13"/>
      <c r="C25" s="25"/>
      <c r="D25" s="25"/>
      <c r="E25" s="12"/>
      <c r="F25" s="12"/>
      <c r="G25" s="25"/>
      <c r="H25" s="12"/>
      <c r="I25" s="12"/>
    </row>
    <row r="26" customFormat="false" ht="15" hidden="false" customHeight="false" outlineLevel="0" collapsed="false">
      <c r="A26" s="8" t="n">
        <v>22</v>
      </c>
      <c r="B26" s="13"/>
      <c r="C26" s="25"/>
      <c r="D26" s="25"/>
      <c r="E26" s="12"/>
      <c r="F26" s="12"/>
      <c r="G26" s="25"/>
      <c r="H26" s="12"/>
      <c r="I26" s="12"/>
    </row>
    <row r="27" customFormat="false" ht="15" hidden="false" customHeight="false" outlineLevel="0" collapsed="false">
      <c r="A27" s="8" t="n">
        <v>23</v>
      </c>
      <c r="B27" s="13"/>
      <c r="C27" s="25"/>
      <c r="D27" s="25"/>
      <c r="E27" s="12"/>
      <c r="F27" s="12"/>
      <c r="G27" s="25"/>
      <c r="H27" s="12"/>
      <c r="I27" s="12"/>
    </row>
    <row r="28" customFormat="false" ht="15" hidden="false" customHeight="false" outlineLevel="0" collapsed="false">
      <c r="A28" s="8" t="n">
        <v>24</v>
      </c>
      <c r="B28" s="13"/>
      <c r="C28" s="25"/>
      <c r="D28" s="25"/>
      <c r="E28" s="12"/>
      <c r="F28" s="12"/>
      <c r="G28" s="25"/>
      <c r="H28" s="12"/>
      <c r="I28" s="12"/>
    </row>
    <row r="29" customFormat="false" ht="15" hidden="false" customHeight="false" outlineLevel="0" collapsed="false">
      <c r="A29" s="8" t="n">
        <v>25</v>
      </c>
      <c r="B29" s="13"/>
      <c r="C29" s="25"/>
      <c r="D29" s="25"/>
      <c r="E29" s="12"/>
      <c r="F29" s="12"/>
      <c r="G29" s="25"/>
      <c r="H29" s="12"/>
      <c r="I29" s="12"/>
    </row>
    <row r="30" customFormat="false" ht="15" hidden="false" customHeight="false" outlineLevel="0" collapsed="false">
      <c r="A30" s="8" t="n">
        <v>26</v>
      </c>
      <c r="B30" s="13"/>
      <c r="C30" s="25"/>
      <c r="D30" s="25"/>
      <c r="E30" s="12"/>
      <c r="F30" s="12"/>
      <c r="G30" s="25"/>
      <c r="H30" s="12"/>
      <c r="I30" s="12"/>
    </row>
    <row r="31" customFormat="false" ht="15" hidden="false" customHeight="false" outlineLevel="0" collapsed="false">
      <c r="A31" s="8" t="n">
        <v>27</v>
      </c>
      <c r="B31" s="13"/>
      <c r="C31" s="25"/>
      <c r="D31" s="25"/>
      <c r="E31" s="12"/>
      <c r="F31" s="12"/>
      <c r="G31" s="25"/>
      <c r="H31" s="12"/>
      <c r="I31" s="12"/>
    </row>
    <row r="32" customFormat="false" ht="15" hidden="false" customHeight="false" outlineLevel="0" collapsed="false">
      <c r="A32" s="8" t="n">
        <v>28</v>
      </c>
      <c r="B32" s="13"/>
      <c r="C32" s="25"/>
      <c r="D32" s="25"/>
      <c r="E32" s="12"/>
      <c r="F32" s="12"/>
      <c r="G32" s="25"/>
      <c r="H32" s="12"/>
      <c r="I32" s="12"/>
    </row>
    <row r="33" customFormat="false" ht="15" hidden="false" customHeight="false" outlineLevel="0" collapsed="false">
      <c r="A33" s="8" t="n">
        <v>29</v>
      </c>
      <c r="B33" s="13"/>
      <c r="C33" s="25"/>
      <c r="D33" s="25"/>
      <c r="E33" s="12"/>
      <c r="F33" s="12"/>
      <c r="G33" s="25"/>
      <c r="H33" s="12"/>
      <c r="I33" s="12"/>
    </row>
    <row r="34" customFormat="false" ht="15" hidden="false" customHeight="false" outlineLevel="0" collapsed="false">
      <c r="A34" s="8" t="n">
        <v>30</v>
      </c>
      <c r="B34" s="13"/>
      <c r="C34" s="25"/>
      <c r="D34" s="25"/>
      <c r="E34" s="12"/>
      <c r="F34" s="12"/>
      <c r="G34" s="25"/>
      <c r="H34" s="12"/>
      <c r="I34" s="12"/>
    </row>
    <row r="35" customFormat="false" ht="15" hidden="false" customHeight="false" outlineLevel="0" collapsed="false">
      <c r="A35" s="8" t="n">
        <v>31</v>
      </c>
      <c r="B35" s="13"/>
      <c r="C35" s="25"/>
      <c r="D35" s="25"/>
      <c r="E35" s="12"/>
      <c r="F35" s="12"/>
      <c r="G35" s="25"/>
      <c r="H35" s="12"/>
      <c r="I35" s="12"/>
    </row>
    <row r="36" customFormat="false" ht="15" hidden="false" customHeight="false" outlineLevel="0" collapsed="false">
      <c r="A36" s="8" t="n">
        <v>32</v>
      </c>
      <c r="B36" s="13"/>
      <c r="C36" s="25"/>
      <c r="D36" s="25"/>
      <c r="E36" s="12"/>
      <c r="F36" s="12"/>
      <c r="G36" s="25"/>
      <c r="H36" s="12"/>
      <c r="I36" s="12"/>
    </row>
    <row r="37" customFormat="false" ht="15" hidden="false" customHeight="false" outlineLevel="0" collapsed="false">
      <c r="A37" s="8" t="n">
        <v>33</v>
      </c>
      <c r="B37" s="13"/>
      <c r="C37" s="25"/>
      <c r="D37" s="25"/>
      <c r="E37" s="12"/>
      <c r="F37" s="12"/>
      <c r="G37" s="25"/>
      <c r="H37" s="12"/>
      <c r="I37" s="12"/>
    </row>
    <row r="38" customFormat="false" ht="15" hidden="false" customHeight="false" outlineLevel="0" collapsed="false">
      <c r="A38" s="8" t="n">
        <v>34</v>
      </c>
      <c r="B38" s="13"/>
      <c r="C38" s="25"/>
      <c r="D38" s="25"/>
      <c r="E38" s="12"/>
      <c r="F38" s="12"/>
      <c r="G38" s="25"/>
      <c r="H38" s="12"/>
      <c r="I38" s="12"/>
    </row>
    <row r="39" customFormat="false" ht="15" hidden="false" customHeight="false" outlineLevel="0" collapsed="false">
      <c r="A39" s="8" t="n">
        <v>35</v>
      </c>
      <c r="B39" s="13"/>
      <c r="C39" s="25"/>
      <c r="D39" s="25"/>
      <c r="E39" s="12"/>
      <c r="F39" s="12"/>
      <c r="G39" s="25"/>
      <c r="H39" s="12"/>
      <c r="I39" s="12"/>
    </row>
    <row r="40" customFormat="false" ht="15" hidden="false" customHeight="false" outlineLevel="0" collapsed="false">
      <c r="A40" s="8" t="n">
        <v>36</v>
      </c>
      <c r="B40" s="13"/>
      <c r="C40" s="25"/>
      <c r="D40" s="25"/>
      <c r="E40" s="12"/>
      <c r="F40" s="12"/>
      <c r="G40" s="25"/>
      <c r="H40" s="12"/>
      <c r="I40" s="12"/>
    </row>
    <row r="41" customFormat="false" ht="15" hidden="false" customHeight="false" outlineLevel="0" collapsed="false">
      <c r="A41" s="8" t="n">
        <v>37</v>
      </c>
      <c r="B41" s="13"/>
      <c r="C41" s="25"/>
      <c r="D41" s="25"/>
      <c r="E41" s="12"/>
      <c r="F41" s="12"/>
      <c r="G41" s="25"/>
      <c r="H41" s="12"/>
      <c r="I41" s="12"/>
    </row>
    <row r="42" customFormat="false" ht="15" hidden="false" customHeight="false" outlineLevel="0" collapsed="false">
      <c r="A42" s="8" t="n">
        <v>38</v>
      </c>
      <c r="B42" s="13"/>
      <c r="C42" s="25"/>
      <c r="D42" s="25"/>
      <c r="E42" s="12"/>
      <c r="F42" s="12"/>
      <c r="G42" s="25"/>
      <c r="H42" s="12"/>
      <c r="I42" s="12"/>
    </row>
    <row r="43" customFormat="false" ht="15" hidden="false" customHeight="false" outlineLevel="0" collapsed="false">
      <c r="A43" s="8" t="n">
        <v>39</v>
      </c>
      <c r="B43" s="13"/>
      <c r="C43" s="25"/>
      <c r="D43" s="25"/>
      <c r="E43" s="12"/>
      <c r="F43" s="12"/>
      <c r="G43" s="25"/>
      <c r="H43" s="12"/>
      <c r="I43" s="12"/>
    </row>
    <row r="44" customFormat="false" ht="15" hidden="false" customHeight="false" outlineLevel="0" collapsed="false">
      <c r="A44" s="8" t="n">
        <v>40</v>
      </c>
      <c r="B44" s="13"/>
      <c r="C44" s="25"/>
      <c r="D44" s="25"/>
      <c r="E44" s="12"/>
      <c r="F44" s="12"/>
      <c r="G44" s="25"/>
      <c r="H44" s="12"/>
      <c r="I44" s="12"/>
    </row>
    <row r="45" customFormat="false" ht="15" hidden="false" customHeight="false" outlineLevel="0" collapsed="false">
      <c r="A45" s="8" t="n">
        <v>41</v>
      </c>
      <c r="B45" s="13"/>
      <c r="C45" s="25"/>
      <c r="D45" s="25"/>
      <c r="E45" s="12"/>
      <c r="F45" s="12"/>
      <c r="G45" s="25"/>
      <c r="H45" s="12"/>
      <c r="I45" s="12"/>
    </row>
    <row r="46" customFormat="false" ht="15" hidden="false" customHeight="false" outlineLevel="0" collapsed="false">
      <c r="A46" s="8" t="n">
        <v>42</v>
      </c>
      <c r="B46" s="13"/>
      <c r="C46" s="25"/>
      <c r="D46" s="25"/>
      <c r="E46" s="12"/>
      <c r="F46" s="12"/>
      <c r="G46" s="25"/>
      <c r="H46" s="12"/>
      <c r="I46" s="12"/>
    </row>
    <row r="47" customFormat="false" ht="15" hidden="false" customHeight="false" outlineLevel="0" collapsed="false">
      <c r="A47" s="8" t="n">
        <v>43</v>
      </c>
      <c r="B47" s="13"/>
      <c r="C47" s="25"/>
      <c r="D47" s="25"/>
      <c r="E47" s="12"/>
      <c r="F47" s="12"/>
      <c r="G47" s="25"/>
      <c r="H47" s="12"/>
      <c r="I47" s="12"/>
    </row>
    <row r="48" customFormat="false" ht="15" hidden="false" customHeight="false" outlineLevel="0" collapsed="false">
      <c r="A48" s="8" t="n">
        <v>44</v>
      </c>
      <c r="B48" s="13"/>
      <c r="C48" s="25"/>
      <c r="D48" s="25"/>
      <c r="E48" s="12"/>
      <c r="F48" s="12"/>
      <c r="G48" s="25"/>
      <c r="H48" s="12"/>
      <c r="I48" s="12"/>
    </row>
    <row r="49" customFormat="false" ht="15" hidden="false" customHeight="false" outlineLevel="0" collapsed="false">
      <c r="A49" s="8" t="n">
        <v>45</v>
      </c>
      <c r="B49" s="13"/>
      <c r="C49" s="25"/>
      <c r="D49" s="25"/>
      <c r="E49" s="12"/>
      <c r="F49" s="12"/>
      <c r="G49" s="25"/>
      <c r="H49" s="12"/>
      <c r="I49" s="12"/>
    </row>
    <row r="50" customFormat="false" ht="15" hidden="false" customHeight="false" outlineLevel="0" collapsed="false">
      <c r="A50" s="8" t="n">
        <v>46</v>
      </c>
      <c r="B50" s="13"/>
      <c r="C50" s="25"/>
      <c r="D50" s="25"/>
      <c r="E50" s="12"/>
      <c r="F50" s="12"/>
      <c r="G50" s="25"/>
      <c r="H50" s="12"/>
      <c r="I50" s="12"/>
    </row>
    <row r="51" customFormat="false" ht="15" hidden="false" customHeight="false" outlineLevel="0" collapsed="false">
      <c r="A51" s="8" t="n">
        <v>47</v>
      </c>
      <c r="B51" s="13"/>
      <c r="C51" s="25"/>
      <c r="D51" s="25"/>
      <c r="E51" s="12"/>
      <c r="F51" s="12"/>
      <c r="G51" s="25"/>
      <c r="H51" s="12"/>
      <c r="I51" s="12"/>
    </row>
    <row r="52" customFormat="false" ht="15" hidden="false" customHeight="false" outlineLevel="0" collapsed="false">
      <c r="A52" s="8" t="n">
        <v>48</v>
      </c>
      <c r="B52" s="13"/>
      <c r="C52" s="25"/>
      <c r="D52" s="25"/>
      <c r="E52" s="12"/>
      <c r="F52" s="12"/>
      <c r="G52" s="25"/>
      <c r="H52" s="12"/>
      <c r="I52" s="12"/>
    </row>
    <row r="53" customFormat="false" ht="15" hidden="false" customHeight="false" outlineLevel="0" collapsed="false">
      <c r="A53" s="8" t="n">
        <v>49</v>
      </c>
      <c r="B53" s="13"/>
      <c r="C53" s="25"/>
      <c r="D53" s="25"/>
      <c r="E53" s="12"/>
      <c r="F53" s="12"/>
      <c r="G53" s="25"/>
      <c r="H53" s="12"/>
      <c r="I53" s="12"/>
    </row>
    <row r="54" customFormat="false" ht="15" hidden="false" customHeight="false" outlineLevel="0" collapsed="false">
      <c r="A54" s="8" t="n">
        <v>50</v>
      </c>
      <c r="B54" s="13"/>
      <c r="C54" s="25"/>
      <c r="D54" s="25"/>
      <c r="E54" s="12"/>
      <c r="F54" s="12"/>
      <c r="G54" s="25"/>
      <c r="H54" s="12"/>
      <c r="I54" s="12"/>
    </row>
    <row r="55" customFormat="false" ht="15" hidden="false" customHeight="false" outlineLevel="0" collapsed="false">
      <c r="A55" s="8" t="n">
        <v>51</v>
      </c>
      <c r="B55" s="13"/>
      <c r="C55" s="25"/>
      <c r="D55" s="25"/>
      <c r="E55" s="12"/>
      <c r="F55" s="12"/>
      <c r="G55" s="25"/>
      <c r="H55" s="12"/>
      <c r="I55" s="12"/>
    </row>
    <row r="56" customFormat="false" ht="15" hidden="false" customHeight="false" outlineLevel="0" collapsed="false">
      <c r="A56" s="8" t="n">
        <v>52</v>
      </c>
      <c r="B56" s="13"/>
      <c r="C56" s="25"/>
      <c r="D56" s="25"/>
      <c r="E56" s="12"/>
      <c r="F56" s="12"/>
      <c r="G56" s="25"/>
      <c r="H56" s="12"/>
      <c r="I56" s="12"/>
    </row>
    <row r="57" customFormat="false" ht="15" hidden="false" customHeight="false" outlineLevel="0" collapsed="false">
      <c r="A57" s="8" t="n">
        <v>53</v>
      </c>
      <c r="B57" s="13"/>
      <c r="C57" s="25"/>
      <c r="D57" s="25"/>
      <c r="E57" s="12"/>
      <c r="F57" s="12"/>
      <c r="G57" s="25"/>
      <c r="H57" s="12"/>
      <c r="I57" s="12"/>
    </row>
    <row r="58" customFormat="false" ht="15" hidden="false" customHeight="false" outlineLevel="0" collapsed="false">
      <c r="A58" s="8" t="n">
        <v>54</v>
      </c>
      <c r="B58" s="13"/>
      <c r="C58" s="25"/>
      <c r="D58" s="25"/>
      <c r="E58" s="12"/>
      <c r="F58" s="12"/>
      <c r="G58" s="25"/>
      <c r="H58" s="12"/>
      <c r="I58" s="12"/>
    </row>
    <row r="59" customFormat="false" ht="15" hidden="false" customHeight="false" outlineLevel="0" collapsed="false">
      <c r="A59" s="8" t="n">
        <v>55</v>
      </c>
      <c r="B59" s="13"/>
      <c r="C59" s="25"/>
      <c r="D59" s="25"/>
      <c r="E59" s="12"/>
      <c r="F59" s="12"/>
      <c r="G59" s="25"/>
      <c r="H59" s="12"/>
      <c r="I59" s="12"/>
    </row>
    <row r="60" customFormat="false" ht="15" hidden="false" customHeight="false" outlineLevel="0" collapsed="false">
      <c r="A60" s="8" t="n">
        <v>56</v>
      </c>
      <c r="B60" s="13"/>
      <c r="C60" s="25"/>
      <c r="D60" s="25"/>
      <c r="E60" s="12"/>
      <c r="F60" s="12"/>
      <c r="G60" s="25"/>
      <c r="H60" s="12"/>
      <c r="I60" s="12"/>
    </row>
    <row r="61" customFormat="false" ht="15" hidden="false" customHeight="false" outlineLevel="0" collapsed="false">
      <c r="A61" s="8" t="n">
        <v>57</v>
      </c>
      <c r="B61" s="13"/>
      <c r="C61" s="25"/>
      <c r="D61" s="25"/>
      <c r="E61" s="12"/>
      <c r="F61" s="12"/>
      <c r="G61" s="25"/>
      <c r="H61" s="12"/>
      <c r="I61" s="12"/>
    </row>
    <row r="62" customFormat="false" ht="15" hidden="false" customHeight="false" outlineLevel="0" collapsed="false">
      <c r="A62" s="8" t="n">
        <v>58</v>
      </c>
      <c r="B62" s="13"/>
      <c r="C62" s="25"/>
      <c r="D62" s="25"/>
      <c r="E62" s="12"/>
      <c r="F62" s="12"/>
      <c r="G62" s="25"/>
      <c r="H62" s="12"/>
      <c r="I62" s="12"/>
    </row>
    <row r="63" customFormat="false" ht="15" hidden="false" customHeight="false" outlineLevel="0" collapsed="false">
      <c r="A63" s="8" t="n">
        <v>59</v>
      </c>
      <c r="B63" s="13"/>
      <c r="C63" s="25"/>
      <c r="D63" s="25"/>
      <c r="E63" s="12"/>
      <c r="F63" s="12"/>
      <c r="G63" s="25"/>
      <c r="H63" s="12"/>
      <c r="I63" s="12"/>
    </row>
    <row r="64" customFormat="false" ht="15" hidden="false" customHeight="false" outlineLevel="0" collapsed="false">
      <c r="A64" s="8" t="n">
        <v>60</v>
      </c>
      <c r="B64" s="13"/>
      <c r="C64" s="25"/>
      <c r="D64" s="25"/>
      <c r="E64" s="12"/>
      <c r="F64" s="12"/>
      <c r="G64" s="25"/>
      <c r="H64" s="12"/>
      <c r="I64" s="12"/>
    </row>
  </sheetData>
  <autoFilter ref="A4:I64"/>
  <dataValidations count="4">
    <dataValidation allowBlank="true" error="Sanani kiriting (kun.oy.yil) / Введите дату (дд.мм.гггг)" errorStyle="stop" errorTitle="Sana / Дата" operator="greaterThan" showDropDown="false" showErrorMessage="true" showInputMessage="false" sqref="B5:B64" type="date">
      <formula1>1</formula1>
      <formula2>0</formula2>
    </dataValidation>
    <dataValidation allowBlank="true" error="Faqat son / Только число" errorStyle="stop" errorTitle="Son / Число" operator="greaterThanOrEqual" showDropDown="false" showErrorMessage="true" showInputMessage="false" sqref="D5:D64" type="decimal">
      <formula1>0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C5:C64" type="list">
      <formula1>"Ona o'limi,Boshqa ayol o'limi"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G5:G64" type="list">
      <formula1>"Ha,Yo'q"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6"/>
    <col collapsed="false" customWidth="true" hidden="false" outlineLevel="0" max="6" min="6" style="0" width="3"/>
    <col collapsed="false" customWidth="true" hidden="false" outlineLevel="0" max="7" min="7" style="0" width="62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364</v>
      </c>
    </row>
    <row r="2" customFormat="false" ht="15" hidden="false" customHeight="false" outlineLevel="0" collapsed="false">
      <c r="A2" s="2" t="s">
        <v>365</v>
      </c>
    </row>
    <row r="4" customFormat="false" ht="39.75" hidden="false" customHeight="true" outlineLevel="0" collapsed="false">
      <c r="A4" s="7" t="s">
        <v>366</v>
      </c>
      <c r="B4" s="7" t="s">
        <v>367</v>
      </c>
      <c r="C4" s="7" t="s">
        <v>368</v>
      </c>
      <c r="D4" s="7" t="s">
        <v>369</v>
      </c>
      <c r="E4" s="7" t="s">
        <v>370</v>
      </c>
      <c r="G4" s="7" t="s">
        <v>371</v>
      </c>
      <c r="H4" s="7" t="s">
        <v>123</v>
      </c>
    </row>
    <row r="5" customFormat="false" ht="42" hidden="false" customHeight="true" outlineLevel="0" collapsed="false">
      <c r="A5" s="31"/>
      <c r="B5" s="31" t="s">
        <v>372</v>
      </c>
      <c r="C5" s="31" t="s">
        <v>373</v>
      </c>
      <c r="D5" s="31" t="s">
        <v>374</v>
      </c>
      <c r="E5" s="31" t="s">
        <v>375</v>
      </c>
      <c r="G5" s="5" t="s">
        <v>376</v>
      </c>
      <c r="H5" s="32" t="n">
        <v>9</v>
      </c>
    </row>
    <row r="6" customFormat="false" ht="42" hidden="false" customHeight="true" outlineLevel="0" collapsed="false">
      <c r="A6" s="31"/>
      <c r="B6" s="31" t="s">
        <v>377</v>
      </c>
      <c r="C6" s="31" t="s">
        <v>378</v>
      </c>
      <c r="D6" s="31" t="s">
        <v>379</v>
      </c>
      <c r="E6" s="31" t="s">
        <v>380</v>
      </c>
      <c r="G6" s="5" t="s">
        <v>381</v>
      </c>
      <c r="H6" s="32" t="n">
        <v>3</v>
      </c>
    </row>
    <row r="7" customFormat="false" ht="15" hidden="false" customHeight="false" outlineLevel="0" collapsed="false">
      <c r="A7" s="31"/>
      <c r="B7" s="31" t="s">
        <v>382</v>
      </c>
      <c r="C7" s="31" t="s">
        <v>383</v>
      </c>
      <c r="D7" s="31" t="s">
        <v>384</v>
      </c>
      <c r="E7" s="31" t="s">
        <v>385</v>
      </c>
    </row>
    <row r="8" customFormat="false" ht="15" hidden="false" customHeight="false" outlineLevel="0" collapsed="false">
      <c r="A8" s="31"/>
      <c r="B8" s="31" t="s">
        <v>386</v>
      </c>
      <c r="C8" s="31" t="s">
        <v>387</v>
      </c>
      <c r="D8" s="31" t="s">
        <v>388</v>
      </c>
      <c r="E8" s="31" t="s">
        <v>389</v>
      </c>
    </row>
    <row r="9" customFormat="false" ht="15" hidden="false" customHeight="false" outlineLevel="0" collapsed="false">
      <c r="A9" s="31"/>
      <c r="B9" s="31" t="s">
        <v>390</v>
      </c>
      <c r="C9" s="31" t="s">
        <v>391</v>
      </c>
      <c r="D9" s="31" t="s">
        <v>392</v>
      </c>
      <c r="E9" s="31" t="s">
        <v>393</v>
      </c>
    </row>
    <row r="10" customFormat="false" ht="15" hidden="false" customHeight="false" outlineLevel="0" collapsed="false">
      <c r="A10" s="31"/>
      <c r="B10" s="31" t="s">
        <v>394</v>
      </c>
      <c r="C10" s="31"/>
      <c r="D10" s="31" t="s">
        <v>395</v>
      </c>
      <c r="E10" s="31" t="s">
        <v>396</v>
      </c>
    </row>
    <row r="11" customFormat="false" ht="15" hidden="false" customHeight="false" outlineLevel="0" collapsed="false">
      <c r="A11" s="31"/>
      <c r="B11" s="31" t="s">
        <v>397</v>
      </c>
      <c r="C11" s="31"/>
      <c r="D11" s="31" t="s">
        <v>398</v>
      </c>
      <c r="E11" s="31" t="s">
        <v>399</v>
      </c>
    </row>
    <row r="12" customFormat="false" ht="15" hidden="false" customHeight="false" outlineLevel="0" collapsed="false">
      <c r="A12" s="31"/>
      <c r="B12" s="31" t="s">
        <v>400</v>
      </c>
      <c r="C12" s="31"/>
      <c r="D12" s="31"/>
      <c r="E12" s="31" t="s">
        <v>401</v>
      </c>
    </row>
    <row r="13" customFormat="false" ht="15" hidden="false" customHeight="false" outlineLevel="0" collapsed="false">
      <c r="A13" s="31"/>
      <c r="B13" s="31" t="s">
        <v>402</v>
      </c>
      <c r="C13" s="31"/>
      <c r="D13" s="31"/>
      <c r="E13" s="31" t="s">
        <v>403</v>
      </c>
    </row>
    <row r="14" customFormat="false" ht="15" hidden="false" customHeight="false" outlineLevel="0" collapsed="false">
      <c r="A14" s="31"/>
      <c r="B14" s="31" t="s">
        <v>398</v>
      </c>
      <c r="C14" s="31"/>
      <c r="D14" s="31"/>
      <c r="E14" s="31" t="s">
        <v>404</v>
      </c>
    </row>
    <row r="15" customFormat="false" ht="15" hidden="false" customHeight="false" outlineLevel="0" collapsed="false">
      <c r="A15" s="31"/>
      <c r="B15" s="31"/>
      <c r="C15" s="31"/>
      <c r="D15" s="31"/>
      <c r="E15" s="31" t="s">
        <v>405</v>
      </c>
    </row>
    <row r="16" customFormat="false" ht="15" hidden="false" customHeight="false" outlineLevel="0" collapsed="false">
      <c r="A16" s="31"/>
      <c r="B16" s="31"/>
      <c r="C16" s="31"/>
      <c r="D16" s="31"/>
      <c r="E16" s="31" t="s">
        <v>406</v>
      </c>
    </row>
    <row r="17" customFormat="false" ht="15" hidden="false" customHeight="false" outlineLevel="0" collapsed="false">
      <c r="A17" s="31"/>
      <c r="B17" s="31"/>
      <c r="C17" s="31"/>
      <c r="D17" s="31"/>
      <c r="E17" s="31" t="s">
        <v>407</v>
      </c>
    </row>
    <row r="18" customFormat="false" ht="15" hidden="false" customHeight="false" outlineLevel="0" collapsed="false">
      <c r="A18" s="31"/>
      <c r="B18" s="31"/>
      <c r="C18" s="31"/>
      <c r="D18" s="31"/>
      <c r="E18" s="31" t="s">
        <v>408</v>
      </c>
    </row>
    <row r="19" customFormat="false" ht="15" hidden="false" customHeight="false" outlineLevel="0" collapsed="false">
      <c r="A19" s="31"/>
      <c r="B19" s="31"/>
      <c r="C19" s="31"/>
      <c r="D19" s="31"/>
      <c r="E19" s="31" t="s">
        <v>409</v>
      </c>
    </row>
    <row r="20" customFormat="false" ht="15" hidden="false" customHeight="false" outlineLevel="0" collapsed="false">
      <c r="A20" s="31"/>
      <c r="B20" s="31"/>
      <c r="C20" s="31"/>
      <c r="D20" s="31"/>
      <c r="E20" s="31" t="s">
        <v>410</v>
      </c>
    </row>
    <row r="21" customFormat="false" ht="15" hidden="false" customHeight="false" outlineLevel="0" collapsed="false">
      <c r="A21" s="31"/>
      <c r="B21" s="31"/>
      <c r="C21" s="31"/>
      <c r="D21" s="31"/>
      <c r="E21" s="31" t="s">
        <v>411</v>
      </c>
    </row>
    <row r="22" customFormat="false" ht="15" hidden="false" customHeight="false" outlineLevel="0" collapsed="false">
      <c r="A22" s="31"/>
      <c r="B22" s="31"/>
      <c r="C22" s="31"/>
      <c r="D22" s="31"/>
      <c r="E22" s="31" t="s">
        <v>412</v>
      </c>
    </row>
    <row r="23" customFormat="false" ht="15" hidden="false" customHeight="false" outlineLevel="0" collapsed="false">
      <c r="A23" s="31"/>
      <c r="B23" s="31"/>
      <c r="C23" s="31"/>
      <c r="D23" s="31"/>
      <c r="E23" s="31" t="s">
        <v>413</v>
      </c>
    </row>
    <row r="24" customFormat="false" ht="15" hidden="false" customHeight="false" outlineLevel="0" collapsed="false">
      <c r="A24" s="31"/>
      <c r="B24" s="31"/>
      <c r="C24" s="31"/>
      <c r="D24" s="31"/>
      <c r="E24" s="31" t="s">
        <v>414</v>
      </c>
    </row>
    <row r="25" customFormat="false" ht="15" hidden="false" customHeight="false" outlineLevel="0" collapsed="false">
      <c r="A25" s="31"/>
      <c r="B25" s="31"/>
      <c r="C25" s="31"/>
      <c r="D25" s="31"/>
      <c r="E25" s="31" t="s">
        <v>415</v>
      </c>
    </row>
    <row r="26" customFormat="false" ht="15" hidden="false" customHeight="false" outlineLevel="0" collapsed="false">
      <c r="A26" s="31"/>
      <c r="B26" s="31"/>
      <c r="C26" s="31"/>
      <c r="D26" s="31"/>
      <c r="E26" s="31" t="s">
        <v>416</v>
      </c>
    </row>
    <row r="27" customFormat="false" ht="15" hidden="false" customHeight="false" outlineLevel="0" collapsed="false">
      <c r="A27" s="31"/>
      <c r="B27" s="31"/>
      <c r="C27" s="31"/>
      <c r="D27" s="31"/>
      <c r="E27" s="31" t="s">
        <v>417</v>
      </c>
    </row>
    <row r="28" customFormat="false" ht="15" hidden="false" customHeight="false" outlineLevel="0" collapsed="false">
      <c r="A28" s="31"/>
      <c r="B28" s="31"/>
      <c r="C28" s="31"/>
      <c r="D28" s="31"/>
      <c r="E28" s="31" t="s">
        <v>418</v>
      </c>
    </row>
    <row r="29" customFormat="false" ht="15" hidden="false" customHeight="false" outlineLevel="0" collapsed="false">
      <c r="A29" s="31"/>
      <c r="B29" s="31"/>
      <c r="C29" s="31"/>
      <c r="D29" s="31"/>
      <c r="E29" s="31" t="s">
        <v>419</v>
      </c>
    </row>
    <row r="30" customFormat="false" ht="15" hidden="false" customHeight="false" outlineLevel="0" collapsed="false">
      <c r="A30" s="31"/>
      <c r="B30" s="31"/>
      <c r="C30" s="31"/>
      <c r="D30" s="31"/>
      <c r="E30" s="31" t="s">
        <v>420</v>
      </c>
    </row>
    <row r="31" customFormat="false" ht="15" hidden="false" customHeight="false" outlineLevel="0" collapsed="false">
      <c r="A31" s="31"/>
      <c r="B31" s="31"/>
      <c r="C31" s="31"/>
      <c r="D31" s="31"/>
      <c r="E31" s="31" t="s">
        <v>421</v>
      </c>
    </row>
    <row r="32" customFormat="false" ht="15" hidden="false" customHeight="false" outlineLevel="0" collapsed="false">
      <c r="A32" s="31"/>
      <c r="B32" s="31"/>
      <c r="C32" s="31"/>
      <c r="D32" s="31"/>
      <c r="E32" s="31" t="s">
        <v>422</v>
      </c>
    </row>
    <row r="33" customFormat="false" ht="15" hidden="false" customHeight="false" outlineLevel="0" collapsed="false">
      <c r="A33" s="31"/>
      <c r="B33" s="31"/>
      <c r="C33" s="31"/>
      <c r="D33" s="31"/>
      <c r="E33" s="31" t="s">
        <v>423</v>
      </c>
    </row>
    <row r="34" customFormat="false" ht="15" hidden="false" customHeight="false" outlineLevel="0" collapsed="false">
      <c r="A34" s="31"/>
      <c r="B34" s="31"/>
      <c r="C34" s="31"/>
      <c r="D34" s="31"/>
      <c r="E34" s="31" t="s">
        <v>424</v>
      </c>
    </row>
    <row r="35" customFormat="false" ht="15" hidden="false" customHeight="false" outlineLevel="0" collapsed="false">
      <c r="A35" s="31"/>
      <c r="B35" s="31"/>
      <c r="C35" s="31"/>
      <c r="D35" s="31"/>
      <c r="E35" s="31" t="s">
        <v>425</v>
      </c>
    </row>
    <row r="36" customFormat="false" ht="15" hidden="false" customHeight="false" outlineLevel="0" collapsed="false">
      <c r="A36" s="31"/>
      <c r="B36" s="31"/>
      <c r="C36" s="31"/>
      <c r="D36" s="31"/>
      <c r="E36" s="31"/>
    </row>
    <row r="37" customFormat="false" ht="15" hidden="false" customHeight="false" outlineLevel="0" collapsed="false">
      <c r="A37" s="31"/>
      <c r="B37" s="31"/>
      <c r="C37" s="31"/>
      <c r="D37" s="31"/>
      <c r="E37" s="31"/>
    </row>
    <row r="38" customFormat="false" ht="15" hidden="false" customHeight="false" outlineLevel="0" collapsed="false">
      <c r="A38" s="31"/>
      <c r="B38" s="31"/>
      <c r="C38" s="31"/>
      <c r="D38" s="31"/>
      <c r="E38" s="31"/>
    </row>
    <row r="39" customFormat="false" ht="15" hidden="false" customHeight="false" outlineLevel="0" collapsed="false">
      <c r="A39" s="31"/>
      <c r="B39" s="31"/>
      <c r="C39" s="31"/>
      <c r="D39" s="31"/>
      <c r="E39" s="31"/>
    </row>
    <row r="40" customFormat="false" ht="15" hidden="false" customHeight="false" outlineLevel="0" collapsed="false">
      <c r="A40" s="31"/>
      <c r="B40" s="31"/>
      <c r="C40" s="31"/>
      <c r="D40" s="31"/>
      <c r="E40" s="31"/>
    </row>
    <row r="41" customFormat="false" ht="15" hidden="false" customHeight="false" outlineLevel="0" collapsed="false">
      <c r="A41" s="31"/>
      <c r="B41" s="31"/>
      <c r="C41" s="31"/>
      <c r="D41" s="31"/>
      <c r="E41" s="31"/>
    </row>
    <row r="42" customFormat="false" ht="15" hidden="false" customHeight="false" outlineLevel="0" collapsed="false">
      <c r="A42" s="31"/>
      <c r="B42" s="31"/>
      <c r="C42" s="31"/>
      <c r="D42" s="31"/>
      <c r="E42" s="31"/>
    </row>
    <row r="43" customFormat="false" ht="15" hidden="false" customHeight="false" outlineLevel="0" collapsed="false">
      <c r="A43" s="31"/>
      <c r="B43" s="31"/>
      <c r="C43" s="31"/>
      <c r="D43" s="31"/>
      <c r="E43" s="31"/>
    </row>
    <row r="44" customFormat="false" ht="15" hidden="false" customHeight="false" outlineLevel="0" collapsed="false">
      <c r="A44" s="31"/>
      <c r="B44" s="31"/>
      <c r="C44" s="31"/>
      <c r="D44" s="31"/>
      <c r="E44" s="31"/>
    </row>
    <row r="45" customFormat="false" ht="15" hidden="false" customHeight="false" outlineLevel="0" collapsed="false">
      <c r="A45" s="31"/>
      <c r="B45" s="31"/>
      <c r="C45" s="31"/>
      <c r="D45" s="31"/>
      <c r="E45" s="31"/>
    </row>
    <row r="46" customFormat="false" ht="15" hidden="false" customHeight="false" outlineLevel="0" collapsed="false">
      <c r="A46" s="31"/>
      <c r="B46" s="31"/>
      <c r="C46" s="31"/>
      <c r="D46" s="31"/>
      <c r="E46" s="31"/>
    </row>
    <row r="47" customFormat="false" ht="15" hidden="false" customHeight="false" outlineLevel="0" collapsed="false">
      <c r="A47" s="31"/>
      <c r="B47" s="31"/>
      <c r="C47" s="31"/>
      <c r="D47" s="31"/>
      <c r="E47" s="31"/>
    </row>
    <row r="48" customFormat="false" ht="15" hidden="false" customHeight="false" outlineLevel="0" collapsed="false">
      <c r="A48" s="31"/>
      <c r="B48" s="31"/>
      <c r="C48" s="31"/>
      <c r="D48" s="31"/>
      <c r="E48" s="31"/>
    </row>
    <row r="49" customFormat="false" ht="15" hidden="false" customHeight="false" outlineLevel="0" collapsed="false">
      <c r="A49" s="31"/>
      <c r="B49" s="31"/>
      <c r="C49" s="31"/>
      <c r="D49" s="31"/>
      <c r="E49" s="31"/>
    </row>
    <row r="50" customFormat="false" ht="15" hidden="false" customHeight="false" outlineLevel="0" collapsed="false">
      <c r="A50" s="31"/>
      <c r="B50" s="31"/>
      <c r="C50" s="31"/>
      <c r="D50" s="31"/>
      <c r="E50" s="31"/>
    </row>
    <row r="51" customFormat="false" ht="15" hidden="false" customHeight="false" outlineLevel="0" collapsed="false">
      <c r="A51" s="31"/>
      <c r="B51" s="31"/>
      <c r="C51" s="31"/>
      <c r="D51" s="31"/>
      <c r="E51" s="31"/>
    </row>
    <row r="52" customFormat="false" ht="15" hidden="false" customHeight="false" outlineLevel="0" collapsed="false">
      <c r="A52" s="31"/>
      <c r="B52" s="31"/>
      <c r="C52" s="31"/>
      <c r="D52" s="31"/>
      <c r="E52" s="31"/>
    </row>
    <row r="53" customFormat="false" ht="15" hidden="false" customHeight="false" outlineLevel="0" collapsed="false">
      <c r="A53" s="31"/>
      <c r="B53" s="31"/>
      <c r="C53" s="31"/>
      <c r="D53" s="31"/>
      <c r="E53" s="31"/>
    </row>
    <row r="54" customFormat="false" ht="15" hidden="false" customHeight="false" outlineLevel="0" collapsed="false">
      <c r="A54" s="31"/>
      <c r="B54" s="31"/>
      <c r="C54" s="31"/>
      <c r="D54" s="31"/>
      <c r="E54" s="31"/>
    </row>
    <row r="55" customFormat="false" ht="15" hidden="false" customHeight="false" outlineLevel="0" collapsed="false">
      <c r="A55" s="31"/>
      <c r="B55" s="31"/>
      <c r="C55" s="31"/>
      <c r="D55" s="31"/>
      <c r="E55" s="31"/>
    </row>
    <row r="56" customFormat="false" ht="15" hidden="false" customHeight="false" outlineLevel="0" collapsed="false">
      <c r="A56" s="31"/>
      <c r="B56" s="31"/>
      <c r="C56" s="31"/>
      <c r="D56" s="31"/>
      <c r="E56" s="31"/>
    </row>
    <row r="57" customFormat="false" ht="15" hidden="false" customHeight="false" outlineLevel="0" collapsed="false">
      <c r="A57" s="31"/>
      <c r="B57" s="31"/>
      <c r="C57" s="31"/>
      <c r="D57" s="31"/>
      <c r="E57" s="31"/>
    </row>
    <row r="58" customFormat="false" ht="15" hidden="false" customHeight="false" outlineLevel="0" collapsed="false">
      <c r="A58" s="31"/>
      <c r="B58" s="31"/>
      <c r="C58" s="31"/>
      <c r="D58" s="31"/>
      <c r="E58" s="31"/>
    </row>
    <row r="59" customFormat="false" ht="15" hidden="false" customHeight="false" outlineLevel="0" collapsed="false">
      <c r="A59" s="31"/>
      <c r="B59" s="31"/>
      <c r="C59" s="31"/>
      <c r="D59" s="31"/>
      <c r="E59" s="31"/>
    </row>
    <row r="60" customFormat="false" ht="15" hidden="false" customHeight="false" outlineLevel="0" collapsed="false">
      <c r="A60" s="31"/>
      <c r="B60" s="31"/>
      <c r="C60" s="31"/>
      <c r="D60" s="31"/>
      <c r="E60" s="31"/>
    </row>
    <row r="61" customFormat="false" ht="15" hidden="false" customHeight="false" outlineLevel="0" collapsed="false">
      <c r="A61" s="31"/>
      <c r="B61" s="31"/>
      <c r="C61" s="31"/>
      <c r="D61" s="31"/>
      <c r="E61" s="31"/>
    </row>
    <row r="62" customFormat="false" ht="15" hidden="false" customHeight="false" outlineLevel="0" collapsed="false">
      <c r="A62" s="31"/>
      <c r="B62" s="31"/>
      <c r="C62" s="31"/>
      <c r="D62" s="31"/>
      <c r="E62" s="31"/>
    </row>
    <row r="63" customFormat="false" ht="15" hidden="false" customHeight="false" outlineLevel="0" collapsed="false">
      <c r="A63" s="31"/>
      <c r="B63" s="31"/>
      <c r="C63" s="31"/>
      <c r="D63" s="31"/>
      <c r="E63" s="31"/>
    </row>
    <row r="64" customFormat="false" ht="15" hidden="false" customHeight="false" outlineLevel="0" collapsed="false">
      <c r="A64" s="31"/>
      <c r="B64" s="31"/>
      <c r="C64" s="31"/>
      <c r="D64" s="31"/>
      <c r="E64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4" min="3" style="0" width="5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426</v>
      </c>
    </row>
    <row r="2" customFormat="false" ht="15" hidden="false" customHeight="false" outlineLevel="0" collapsed="false">
      <c r="A2" s="2" t="s">
        <v>427</v>
      </c>
    </row>
    <row r="4" customFormat="false" ht="36" hidden="false" customHeight="true" outlineLevel="0" collapsed="false">
      <c r="A4" s="7" t="s">
        <v>118</v>
      </c>
      <c r="B4" s="7" t="s">
        <v>428</v>
      </c>
      <c r="C4" s="7" t="s">
        <v>429</v>
      </c>
      <c r="D4" s="7" t="s">
        <v>430</v>
      </c>
      <c r="E4" s="7" t="s">
        <v>431</v>
      </c>
      <c r="F4" s="7" t="s">
        <v>432</v>
      </c>
      <c r="G4" s="7" t="s">
        <v>433</v>
      </c>
      <c r="H4" s="7" t="s">
        <v>434</v>
      </c>
      <c r="I4" s="7" t="s">
        <v>435</v>
      </c>
      <c r="J4" s="7" t="s">
        <v>436</v>
      </c>
    </row>
    <row r="5" customFormat="false" ht="30" hidden="false" customHeight="true" outlineLevel="0" collapsed="false">
      <c r="A5" s="8" t="n">
        <v>1</v>
      </c>
      <c r="B5" s="8" t="s">
        <v>128</v>
      </c>
      <c r="C5" s="5" t="s">
        <v>437</v>
      </c>
      <c r="D5" s="5" t="s">
        <v>438</v>
      </c>
      <c r="E5" s="25"/>
      <c r="F5" s="25"/>
      <c r="G5" s="25"/>
      <c r="H5" s="25"/>
      <c r="I5" s="25"/>
      <c r="J5" s="12"/>
    </row>
    <row r="6" customFormat="false" ht="30" hidden="false" customHeight="true" outlineLevel="0" collapsed="false">
      <c r="A6" s="8" t="n">
        <v>2</v>
      </c>
      <c r="B6" s="8" t="s">
        <v>170</v>
      </c>
      <c r="C6" s="5" t="s">
        <v>439</v>
      </c>
      <c r="D6" s="5" t="s">
        <v>440</v>
      </c>
      <c r="E6" s="25"/>
      <c r="F6" s="25"/>
      <c r="G6" s="25"/>
      <c r="H6" s="25"/>
      <c r="I6" s="25"/>
      <c r="J6" s="12"/>
    </row>
    <row r="7" customFormat="false" ht="30" hidden="false" customHeight="true" outlineLevel="0" collapsed="false">
      <c r="A7" s="8" t="n">
        <v>3</v>
      </c>
      <c r="B7" s="8" t="s">
        <v>170</v>
      </c>
      <c r="C7" s="5" t="s">
        <v>441</v>
      </c>
      <c r="D7" s="5" t="s">
        <v>442</v>
      </c>
      <c r="E7" s="25"/>
      <c r="F7" s="25"/>
      <c r="G7" s="25"/>
      <c r="H7" s="25"/>
      <c r="I7" s="25"/>
      <c r="J7" s="12"/>
    </row>
    <row r="8" customFormat="false" ht="30" hidden="false" customHeight="true" outlineLevel="0" collapsed="false">
      <c r="A8" s="8" t="n">
        <v>4</v>
      </c>
      <c r="B8" s="8" t="s">
        <v>170</v>
      </c>
      <c r="C8" s="5" t="s">
        <v>443</v>
      </c>
      <c r="D8" s="5" t="s">
        <v>444</v>
      </c>
      <c r="E8" s="25"/>
      <c r="F8" s="25"/>
      <c r="G8" s="25"/>
      <c r="H8" s="25"/>
      <c r="I8" s="25"/>
      <c r="J8" s="12"/>
    </row>
    <row r="9" customFormat="false" ht="30" hidden="false" customHeight="true" outlineLevel="0" collapsed="false">
      <c r="A9" s="8" t="n">
        <v>5</v>
      </c>
      <c r="B9" s="8" t="s">
        <v>149</v>
      </c>
      <c r="C9" s="5" t="s">
        <v>445</v>
      </c>
      <c r="D9" s="5" t="s">
        <v>446</v>
      </c>
      <c r="E9" s="25"/>
      <c r="F9" s="25"/>
      <c r="G9" s="25"/>
      <c r="H9" s="25"/>
      <c r="I9" s="25"/>
      <c r="J9" s="12"/>
    </row>
    <row r="10" customFormat="false" ht="30" hidden="false" customHeight="true" outlineLevel="0" collapsed="false">
      <c r="A10" s="8" t="n">
        <v>6</v>
      </c>
      <c r="B10" s="8" t="s">
        <v>139</v>
      </c>
      <c r="C10" s="5" t="s">
        <v>447</v>
      </c>
      <c r="D10" s="5" t="s">
        <v>448</v>
      </c>
      <c r="E10" s="25"/>
      <c r="F10" s="25"/>
      <c r="G10" s="25"/>
      <c r="H10" s="25"/>
      <c r="I10" s="25"/>
      <c r="J10" s="12"/>
    </row>
    <row r="11" customFormat="false" ht="30" hidden="false" customHeight="true" outlineLevel="0" collapsed="false">
      <c r="A11" s="8" t="n">
        <v>7</v>
      </c>
      <c r="B11" s="8" t="s">
        <v>139</v>
      </c>
      <c r="C11" s="5" t="s">
        <v>449</v>
      </c>
      <c r="D11" s="5" t="s">
        <v>450</v>
      </c>
      <c r="E11" s="25"/>
      <c r="F11" s="25"/>
      <c r="G11" s="25"/>
      <c r="H11" s="25"/>
      <c r="I11" s="25"/>
      <c r="J11" s="12"/>
    </row>
    <row r="12" customFormat="false" ht="30" hidden="false" customHeight="true" outlineLevel="0" collapsed="false">
      <c r="A12" s="8" t="n">
        <v>8</v>
      </c>
      <c r="B12" s="8" t="s">
        <v>139</v>
      </c>
      <c r="C12" s="5" t="s">
        <v>451</v>
      </c>
      <c r="D12" s="5" t="s">
        <v>452</v>
      </c>
      <c r="E12" s="25"/>
      <c r="F12" s="25"/>
      <c r="G12" s="25"/>
      <c r="H12" s="25"/>
      <c r="I12" s="25"/>
      <c r="J12" s="12"/>
    </row>
    <row r="13" customFormat="false" ht="30" hidden="false" customHeight="true" outlineLevel="0" collapsed="false">
      <c r="A13" s="8" t="n">
        <v>9</v>
      </c>
      <c r="B13" s="8" t="s">
        <v>128</v>
      </c>
      <c r="C13" s="5" t="s">
        <v>453</v>
      </c>
      <c r="D13" s="5" t="s">
        <v>454</v>
      </c>
      <c r="E13" s="25"/>
      <c r="F13" s="25"/>
      <c r="G13" s="25"/>
      <c r="H13" s="25"/>
      <c r="I13" s="25"/>
      <c r="J13" s="12"/>
    </row>
    <row r="14" customFormat="false" ht="30" hidden="false" customHeight="true" outlineLevel="0" collapsed="false">
      <c r="A14" s="8" t="n">
        <v>10</v>
      </c>
      <c r="B14" s="8" t="s">
        <v>128</v>
      </c>
      <c r="C14" s="5" t="s">
        <v>455</v>
      </c>
      <c r="D14" s="5" t="s">
        <v>456</v>
      </c>
      <c r="E14" s="25"/>
      <c r="F14" s="25"/>
      <c r="G14" s="25"/>
      <c r="H14" s="25"/>
      <c r="I14" s="25"/>
      <c r="J14" s="12"/>
    </row>
    <row r="15" customFormat="false" ht="30" hidden="false" customHeight="true" outlineLevel="0" collapsed="false">
      <c r="A15" s="8" t="n">
        <v>11</v>
      </c>
      <c r="B15" s="8" t="s">
        <v>128</v>
      </c>
      <c r="C15" s="5" t="s">
        <v>457</v>
      </c>
      <c r="D15" s="5" t="s">
        <v>458</v>
      </c>
      <c r="E15" s="25"/>
      <c r="F15" s="25"/>
      <c r="G15" s="25"/>
      <c r="H15" s="25"/>
      <c r="I15" s="25"/>
      <c r="J15" s="12"/>
    </row>
    <row r="16" customFormat="false" ht="30" hidden="false" customHeight="true" outlineLevel="0" collapsed="false">
      <c r="A16" s="8" t="n">
        <v>12</v>
      </c>
      <c r="B16" s="8" t="s">
        <v>170</v>
      </c>
      <c r="C16" s="5" t="s">
        <v>459</v>
      </c>
      <c r="D16" s="5" t="s">
        <v>460</v>
      </c>
      <c r="E16" s="25"/>
      <c r="F16" s="25"/>
      <c r="G16" s="25"/>
      <c r="H16" s="25"/>
      <c r="I16" s="25"/>
      <c r="J16" s="12"/>
    </row>
    <row r="17" customFormat="false" ht="30" hidden="false" customHeight="true" outlineLevel="0" collapsed="false">
      <c r="A17" s="8" t="n">
        <v>13</v>
      </c>
      <c r="B17" s="8" t="s">
        <v>177</v>
      </c>
      <c r="C17" s="5" t="s">
        <v>461</v>
      </c>
      <c r="D17" s="5" t="s">
        <v>462</v>
      </c>
      <c r="E17" s="25"/>
      <c r="F17" s="25"/>
      <c r="G17" s="25"/>
      <c r="H17" s="25"/>
      <c r="I17" s="25"/>
      <c r="J17" s="12"/>
    </row>
    <row r="19" customFormat="false" ht="15" hidden="false" customHeight="false" outlineLevel="0" collapsed="false">
      <c r="C19" s="2" t="s">
        <v>463</v>
      </c>
    </row>
  </sheetData>
  <dataValidations count="3"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E5:E17" type="list">
      <formula1>"Bor,Yo'q,Kerak emas"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G5:H17" type="list">
      <formula1>"Ha,Yo'q"</formula1>
      <formula2>0</formula2>
    </dataValidation>
    <dataValidation allowBlank="true" error="Ro‘yxatdan tanlang / Выберите из списка" errorStyle="stop" errorTitle="Ro‘yxatdan tanlang / Выберите из списка" operator="between" showDropDown="false" showErrorMessage="true" showInputMessage="false" sqref="I5:I17" type="list">
      <formula1>"Elektron,Qog'oz,Ikkalasi"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0"/>
    <col collapsed="false" customWidth="true" hidden="false" outlineLevel="0" max="4" min="4" style="0" width="9"/>
    <col collapsed="false" customWidth="true" hidden="false" outlineLevel="0" max="6" min="5" style="0" width="14"/>
  </cols>
  <sheetData>
    <row r="1" customFormat="false" ht="16.15" hidden="false" customHeight="true" outlineLevel="0" collapsed="false">
      <c r="A1" s="33" t="s">
        <v>464</v>
      </c>
      <c r="B1" s="33"/>
      <c r="C1" s="33"/>
      <c r="D1" s="33"/>
      <c r="E1" s="33"/>
      <c r="F1" s="33"/>
    </row>
    <row r="2" customFormat="false" ht="15" hidden="false" customHeight="true" outlineLevel="0" collapsed="false">
      <c r="A2" s="34" t="s">
        <v>465</v>
      </c>
      <c r="B2" s="34"/>
      <c r="C2" s="34"/>
      <c r="D2" s="34"/>
      <c r="E2" s="34"/>
      <c r="F2" s="34"/>
    </row>
    <row r="4" customFormat="false" ht="17.35" hidden="false" customHeight="true" outlineLevel="0" collapsed="false">
      <c r="A4" s="35" t="s">
        <v>466</v>
      </c>
      <c r="B4" s="35"/>
      <c r="C4" s="35"/>
      <c r="D4" s="35"/>
      <c r="E4" s="35"/>
      <c r="F4" s="35"/>
    </row>
    <row r="5" customFormat="false" ht="15" hidden="false" customHeight="true" outlineLevel="0" collapsed="false">
      <c r="A5" s="36" t="s">
        <v>4</v>
      </c>
      <c r="B5" s="36"/>
      <c r="C5" s="36"/>
      <c r="D5" s="36"/>
      <c r="E5" s="36"/>
      <c r="F5" s="36"/>
    </row>
    <row r="7" customFormat="false" ht="15" hidden="false" customHeight="false" outlineLevel="0" collapsed="false">
      <c r="A7" s="37" t="s">
        <v>467</v>
      </c>
      <c r="B7" s="37"/>
      <c r="C7" s="38" t="str">
        <f aca="false">Boshqaruv!C5&amp;""</f>
        <v>Район. больница (тест)</v>
      </c>
      <c r="D7" s="38"/>
      <c r="E7" s="38"/>
      <c r="F7" s="38"/>
    </row>
    <row r="8" customFormat="false" ht="15" hidden="false" customHeight="false" outlineLevel="0" collapsed="false">
      <c r="A8" s="37" t="s">
        <v>468</v>
      </c>
      <c r="B8" s="37"/>
      <c r="C8" s="38" t="str">
        <f aca="false">Boshqaruv!C6&amp;""</f>
        <v>Акушерова Тест</v>
      </c>
      <c r="D8" s="38"/>
      <c r="E8" s="38"/>
      <c r="F8" s="38"/>
    </row>
    <row r="9" customFormat="false" ht="15" hidden="false" customHeight="false" outlineLevel="0" collapsed="false">
      <c r="A9" s="37" t="s">
        <v>469</v>
      </c>
      <c r="B9" s="37"/>
      <c r="C9" s="38" t="str">
        <f aca="false">Boshqaruv!C11&amp;""</f>
        <v>12.10.2026 – 18.10.2026</v>
      </c>
      <c r="D9" s="38"/>
      <c r="E9" s="38"/>
      <c r="F9" s="38"/>
    </row>
    <row r="10" customFormat="false" ht="15" hidden="false" customHeight="false" outlineLevel="0" collapsed="false">
      <c r="A10" s="37" t="s">
        <v>470</v>
      </c>
      <c r="B10" s="37"/>
      <c r="C10" s="38" t="s">
        <v>8</v>
      </c>
      <c r="D10" s="38"/>
      <c r="E10" s="38"/>
      <c r="F10" s="38"/>
    </row>
    <row r="11" customFormat="false" ht="15" hidden="false" customHeight="false" outlineLevel="0" collapsed="false">
      <c r="A11" s="37" t="s">
        <v>471</v>
      </c>
      <c r="B11" s="37"/>
      <c r="C11" s="38"/>
      <c r="D11" s="38"/>
      <c r="E11" s="38"/>
      <c r="F11" s="38"/>
    </row>
    <row r="13" customFormat="false" ht="15" hidden="false" customHeight="true" outlineLevel="0" collapsed="false">
      <c r="A13" s="7" t="s">
        <v>118</v>
      </c>
      <c r="B13" s="7" t="s">
        <v>119</v>
      </c>
      <c r="C13" s="7" t="s">
        <v>120</v>
      </c>
      <c r="D13" s="7" t="s">
        <v>121</v>
      </c>
      <c r="E13" s="7" t="s">
        <v>472</v>
      </c>
      <c r="F13" s="7"/>
    </row>
    <row r="14" customFormat="false" ht="25.5" hidden="false" customHeight="true" outlineLevel="0" collapsed="false">
      <c r="A14" s="8" t="n">
        <v>1</v>
      </c>
      <c r="B14" s="5" t="s">
        <v>125</v>
      </c>
      <c r="C14" s="5" t="s">
        <v>126</v>
      </c>
      <c r="D14" s="8" t="s">
        <v>127</v>
      </c>
      <c r="E14" s="20" t="n">
        <f aca="false">IF(Boshqaruv!F17="","",Boshqaruv!F17)</f>
        <v>0</v>
      </c>
      <c r="F14" s="20"/>
    </row>
    <row r="15" customFormat="false" ht="25.5" hidden="false" customHeight="true" outlineLevel="0" collapsed="false">
      <c r="A15" s="8" t="n">
        <v>2</v>
      </c>
      <c r="B15" s="5" t="s">
        <v>130</v>
      </c>
      <c r="C15" s="5" t="s">
        <v>131</v>
      </c>
      <c r="D15" s="8" t="s">
        <v>127</v>
      </c>
      <c r="E15" s="20" t="n">
        <f aca="false">IF(Boshqaruv!F18="","",Boshqaruv!F18)</f>
        <v>0</v>
      </c>
      <c r="F15" s="20"/>
    </row>
    <row r="16" customFormat="false" ht="25.5" hidden="false" customHeight="true" outlineLevel="0" collapsed="false">
      <c r="A16" s="8" t="n">
        <v>3</v>
      </c>
      <c r="B16" s="5" t="s">
        <v>133</v>
      </c>
      <c r="C16" s="5" t="s">
        <v>134</v>
      </c>
      <c r="D16" s="8" t="s">
        <v>127</v>
      </c>
      <c r="E16" s="20" t="n">
        <f aca="false">IF(Boshqaruv!F19="","",Boshqaruv!F19)</f>
        <v>0</v>
      </c>
      <c r="F16" s="20"/>
    </row>
    <row r="17" customFormat="false" ht="31.5" hidden="false" customHeight="true" outlineLevel="0" collapsed="false">
      <c r="A17" s="8" t="n">
        <v>4</v>
      </c>
      <c r="B17" s="5" t="s">
        <v>136</v>
      </c>
      <c r="C17" s="5" t="s">
        <v>137</v>
      </c>
      <c r="D17" s="8" t="s">
        <v>138</v>
      </c>
      <c r="E17" s="20" t="n">
        <f aca="false">IF(Boshqaruv!F20="","",Boshqaruv!F20)</f>
        <v>0</v>
      </c>
      <c r="F17" s="20"/>
    </row>
    <row r="18" customFormat="false" ht="25.5" hidden="false" customHeight="true" outlineLevel="0" collapsed="false">
      <c r="A18" s="8" t="n">
        <v>5</v>
      </c>
      <c r="B18" s="5" t="s">
        <v>141</v>
      </c>
      <c r="C18" s="5" t="s">
        <v>142</v>
      </c>
      <c r="D18" s="8" t="s">
        <v>127</v>
      </c>
      <c r="E18" s="20" t="n">
        <f aca="false">IF(Boshqaruv!F21="","",Boshqaruv!F21)</f>
        <v>0</v>
      </c>
      <c r="F18" s="20"/>
    </row>
    <row r="19" customFormat="false" ht="25.5" hidden="false" customHeight="true" outlineLevel="0" collapsed="false">
      <c r="A19" s="8" t="n">
        <v>6</v>
      </c>
      <c r="B19" s="5" t="s">
        <v>144</v>
      </c>
      <c r="C19" s="5" t="s">
        <v>145</v>
      </c>
      <c r="D19" s="8" t="s">
        <v>138</v>
      </c>
      <c r="E19" s="20" t="n">
        <f aca="false">IF(Boshqaruv!F22="","",Boshqaruv!F22)</f>
        <v>0</v>
      </c>
      <c r="F19" s="20"/>
    </row>
    <row r="20" customFormat="false" ht="31.5" hidden="false" customHeight="true" outlineLevel="0" collapsed="false">
      <c r="A20" s="8" t="n">
        <v>7</v>
      </c>
      <c r="B20" s="5" t="s">
        <v>147</v>
      </c>
      <c r="C20" s="5" t="s">
        <v>148</v>
      </c>
      <c r="D20" s="8" t="s">
        <v>127</v>
      </c>
      <c r="E20" s="20" t="n">
        <f aca="false">IF(Boshqaruv!F23="","",Boshqaruv!F23)</f>
        <v>0</v>
      </c>
      <c r="F20" s="20"/>
    </row>
    <row r="21" customFormat="false" ht="25.5" hidden="false" customHeight="true" outlineLevel="0" collapsed="false">
      <c r="A21" s="8" t="n">
        <v>8</v>
      </c>
      <c r="B21" s="5" t="s">
        <v>151</v>
      </c>
      <c r="C21" s="5" t="s">
        <v>152</v>
      </c>
      <c r="D21" s="8" t="s">
        <v>138</v>
      </c>
      <c r="E21" s="20" t="n">
        <f aca="false">IF(Boshqaruv!F24="","",Boshqaruv!F24)</f>
        <v>0</v>
      </c>
      <c r="F21" s="20"/>
    </row>
    <row r="22" customFormat="false" ht="25.5" hidden="false" customHeight="true" outlineLevel="0" collapsed="false">
      <c r="A22" s="8" t="n">
        <v>9</v>
      </c>
      <c r="B22" s="5" t="s">
        <v>155</v>
      </c>
      <c r="C22" s="5" t="s">
        <v>156</v>
      </c>
      <c r="D22" s="8" t="s">
        <v>127</v>
      </c>
      <c r="E22" s="20" t="n">
        <f aca="false">IF(Boshqaruv!F25="","",Boshqaruv!F25)</f>
        <v>0</v>
      </c>
      <c r="F22" s="20"/>
    </row>
    <row r="23" customFormat="false" ht="25.5" hidden="false" customHeight="true" outlineLevel="0" collapsed="false">
      <c r="A23" s="8" t="n">
        <v>10</v>
      </c>
      <c r="B23" s="5" t="s">
        <v>158</v>
      </c>
      <c r="C23" s="5" t="s">
        <v>159</v>
      </c>
      <c r="D23" s="8" t="s">
        <v>127</v>
      </c>
      <c r="E23" s="20" t="n">
        <f aca="false">IF(Boshqaruv!F26="","",Boshqaruv!F26)</f>
        <v>0</v>
      </c>
      <c r="F23" s="20"/>
    </row>
    <row r="24" customFormat="false" ht="31.5" hidden="false" customHeight="true" outlineLevel="0" collapsed="false">
      <c r="A24" s="8" t="n">
        <v>11</v>
      </c>
      <c r="B24" s="5" t="s">
        <v>162</v>
      </c>
      <c r="C24" s="5" t="s">
        <v>163</v>
      </c>
      <c r="D24" s="8" t="s">
        <v>138</v>
      </c>
      <c r="E24" s="20" t="n">
        <f aca="false">IF(Boshqaruv!F27="","",Boshqaruv!F27)</f>
        <v>0</v>
      </c>
      <c r="F24" s="20"/>
    </row>
    <row r="25" customFormat="false" ht="25.5" hidden="false" customHeight="true" outlineLevel="0" collapsed="false">
      <c r="A25" s="8" t="n">
        <v>12</v>
      </c>
      <c r="B25" s="5" t="s">
        <v>165</v>
      </c>
      <c r="C25" s="5" t="s">
        <v>166</v>
      </c>
      <c r="D25" s="8" t="s">
        <v>138</v>
      </c>
      <c r="E25" s="20" t="n">
        <f aca="false">IF(Boshqaruv!F28="","",Boshqaruv!F28)</f>
        <v>0</v>
      </c>
      <c r="F25" s="20"/>
    </row>
    <row r="26" customFormat="false" ht="45" hidden="false" customHeight="true" outlineLevel="0" collapsed="false">
      <c r="A26" s="8" t="n">
        <v>13</v>
      </c>
      <c r="B26" s="5" t="s">
        <v>168</v>
      </c>
      <c r="C26" s="5" t="s">
        <v>169</v>
      </c>
      <c r="D26" s="8" t="s">
        <v>138</v>
      </c>
      <c r="E26" s="20" t="n">
        <f aca="false">IF(Boshqaruv!F29="","",Boshqaruv!F29)</f>
        <v>0</v>
      </c>
      <c r="F26" s="20"/>
    </row>
    <row r="27" customFormat="false" ht="31.5" hidden="false" customHeight="true" outlineLevel="0" collapsed="false">
      <c r="A27" s="8" t="n">
        <v>14</v>
      </c>
      <c r="B27" s="5" t="s">
        <v>172</v>
      </c>
      <c r="C27" s="5" t="s">
        <v>173</v>
      </c>
      <c r="D27" s="8" t="s">
        <v>138</v>
      </c>
      <c r="E27" s="20" t="n">
        <f aca="false">IF(Boshqaruv!F30="","",Boshqaruv!F30)</f>
        <v>0</v>
      </c>
      <c r="F27" s="20"/>
    </row>
    <row r="28" customFormat="false" ht="25.5" hidden="false" customHeight="true" outlineLevel="0" collapsed="false">
      <c r="A28" s="8" t="n">
        <v>15</v>
      </c>
      <c r="B28" s="5" t="s">
        <v>175</v>
      </c>
      <c r="C28" s="5" t="s">
        <v>176</v>
      </c>
      <c r="D28" s="8" t="s">
        <v>127</v>
      </c>
      <c r="E28" s="20" t="n">
        <f aca="false">IF(Boshqaruv!F31="","",Boshqaruv!F31)</f>
        <v>0</v>
      </c>
      <c r="F28" s="20"/>
    </row>
    <row r="29" customFormat="false" ht="31.5" hidden="false" customHeight="true" outlineLevel="0" collapsed="false">
      <c r="A29" s="8" t="n">
        <v>16</v>
      </c>
      <c r="B29" s="5" t="s">
        <v>179</v>
      </c>
      <c r="C29" s="5" t="s">
        <v>180</v>
      </c>
      <c r="D29" s="8" t="s">
        <v>127</v>
      </c>
      <c r="E29" s="20" t="n">
        <f aca="false">IF(Boshqaruv!F32="","",Boshqaruv!F32)</f>
        <v>0</v>
      </c>
      <c r="F29" s="20"/>
    </row>
    <row r="30" customFormat="false" ht="31.5" hidden="false" customHeight="true" outlineLevel="0" collapsed="false">
      <c r="A30" s="8" t="n">
        <v>17</v>
      </c>
      <c r="B30" s="5" t="s">
        <v>182</v>
      </c>
      <c r="C30" s="5" t="s">
        <v>183</v>
      </c>
      <c r="D30" s="8" t="s">
        <v>127</v>
      </c>
      <c r="E30" s="20" t="n">
        <f aca="false">IF(Boshqaruv!F33="","",Boshqaruv!F33)</f>
        <v>0</v>
      </c>
      <c r="F30" s="20"/>
    </row>
    <row r="31" customFormat="false" ht="31.5" hidden="false" customHeight="true" outlineLevel="0" collapsed="false">
      <c r="A31" s="8" t="n">
        <v>18</v>
      </c>
      <c r="B31" s="5" t="s">
        <v>185</v>
      </c>
      <c r="C31" s="5" t="s">
        <v>186</v>
      </c>
      <c r="D31" s="8" t="s">
        <v>187</v>
      </c>
      <c r="E31" s="39" t="str">
        <f aca="false">IF(Boshqaruv!F34="","",Boshqaruv!F34)</f>
        <v/>
      </c>
      <c r="F31" s="39"/>
    </row>
    <row r="32" customFormat="false" ht="31.5" hidden="false" customHeight="true" outlineLevel="0" collapsed="false">
      <c r="A32" s="8" t="n">
        <v>19</v>
      </c>
      <c r="B32" s="5" t="s">
        <v>189</v>
      </c>
      <c r="C32" s="5" t="s">
        <v>190</v>
      </c>
      <c r="D32" s="8" t="s">
        <v>138</v>
      </c>
      <c r="E32" s="20" t="n">
        <f aca="false">IF(Boshqaruv!F35="","",Boshqaruv!F35)</f>
        <v>0</v>
      </c>
      <c r="F32" s="20"/>
    </row>
    <row r="33" customFormat="false" ht="31.5" hidden="false" customHeight="true" outlineLevel="0" collapsed="false">
      <c r="A33" s="8" t="n">
        <v>20</v>
      </c>
      <c r="B33" s="5" t="s">
        <v>192</v>
      </c>
      <c r="C33" s="5" t="s">
        <v>193</v>
      </c>
      <c r="D33" s="8" t="s">
        <v>138</v>
      </c>
      <c r="E33" s="20" t="n">
        <f aca="false">IF(Boshqaruv!F36="","",Boshqaruv!F36)</f>
        <v>0</v>
      </c>
      <c r="F33" s="20"/>
    </row>
    <row r="34" customFormat="false" ht="31.5" hidden="false" customHeight="true" outlineLevel="0" collapsed="false">
      <c r="A34" s="8" t="n">
        <v>21</v>
      </c>
      <c r="B34" s="5" t="s">
        <v>195</v>
      </c>
      <c r="C34" s="5" t="s">
        <v>196</v>
      </c>
      <c r="D34" s="8" t="s">
        <v>127</v>
      </c>
      <c r="E34" s="20" t="n">
        <f aca="false">IF(Boshqaruv!F37="","",Boshqaruv!F37)</f>
        <v>0</v>
      </c>
      <c r="F34" s="20"/>
    </row>
    <row r="35" customFormat="false" ht="31.5" hidden="false" customHeight="true" outlineLevel="0" collapsed="false">
      <c r="A35" s="8" t="n">
        <v>22</v>
      </c>
      <c r="B35" s="5" t="s">
        <v>198</v>
      </c>
      <c r="C35" s="5" t="s">
        <v>199</v>
      </c>
      <c r="D35" s="8" t="s">
        <v>138</v>
      </c>
      <c r="E35" s="20" t="n">
        <f aca="false">IF(Boshqaruv!F38="","",Boshqaruv!F38)</f>
        <v>0</v>
      </c>
      <c r="F35" s="20"/>
    </row>
    <row r="37" customFormat="false" ht="27.75" hidden="false" customHeight="true" outlineLevel="0" collapsed="false">
      <c r="A37" s="40" t="s">
        <v>473</v>
      </c>
      <c r="B37" s="40"/>
      <c r="C37" s="40"/>
      <c r="D37" s="40"/>
      <c r="E37" s="40"/>
      <c r="F37" s="40"/>
    </row>
    <row r="39" customFormat="false" ht="15" hidden="false" customHeight="false" outlineLevel="0" collapsed="false">
      <c r="A39" s="37" t="s">
        <v>474</v>
      </c>
      <c r="B39" s="37"/>
      <c r="C39" s="37"/>
      <c r="D39" s="41" t="s">
        <v>475</v>
      </c>
      <c r="E39" s="41"/>
      <c r="F39" s="41"/>
    </row>
    <row r="40" customFormat="false" ht="15" hidden="false" customHeight="false" outlineLevel="0" collapsed="false">
      <c r="A40" s="42" t="s">
        <v>476</v>
      </c>
      <c r="B40" s="42"/>
      <c r="C40" s="42"/>
    </row>
    <row r="42" customFormat="false" ht="15" hidden="false" customHeight="false" outlineLevel="0" collapsed="false">
      <c r="A42" s="37" t="s">
        <v>477</v>
      </c>
      <c r="B42" s="37"/>
      <c r="C42" s="37"/>
      <c r="D42" s="41"/>
      <c r="E42" s="41"/>
      <c r="F42" s="41"/>
    </row>
    <row r="43" customFormat="false" ht="15" hidden="false" customHeight="false" outlineLevel="0" collapsed="false">
      <c r="A43" s="42" t="s">
        <v>478</v>
      </c>
      <c r="B43" s="42"/>
      <c r="C43" s="42"/>
    </row>
    <row r="45" customFormat="false" ht="15" hidden="false" customHeight="true" outlineLevel="0" collapsed="false">
      <c r="E45" s="43" t="s">
        <v>479</v>
      </c>
      <c r="F45" s="43"/>
    </row>
    <row r="46" customFormat="false" ht="15" hidden="false" customHeight="false" outlineLevel="0" collapsed="false">
      <c r="E46" s="43"/>
      <c r="F46" s="43"/>
    </row>
    <row r="47" customFormat="false" ht="15" hidden="false" customHeight="false" outlineLevel="0" collapsed="false">
      <c r="E47" s="43"/>
      <c r="F47" s="43"/>
    </row>
    <row r="48" customFormat="false" ht="15" hidden="false" customHeight="false" outlineLevel="0" collapsed="false">
      <c r="E48" s="43"/>
      <c r="F48" s="43"/>
    </row>
  </sheetData>
  <mergeCells count="45">
    <mergeCell ref="A1:F1"/>
    <mergeCell ref="A2:F2"/>
    <mergeCell ref="A4:F4"/>
    <mergeCell ref="A5:F5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A37:F37"/>
    <mergeCell ref="A39:C39"/>
    <mergeCell ref="D39:F39"/>
    <mergeCell ref="A40:C40"/>
    <mergeCell ref="A42:C42"/>
    <mergeCell ref="D42:F42"/>
    <mergeCell ref="A43:C43"/>
    <mergeCell ref="E45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7" min="1" style="0" width="22"/>
  </cols>
  <sheetData>
    <row r="1" customFormat="false" ht="15" hidden="false" customHeight="false" outlineLevel="0" collapsed="false">
      <c r="A1" s="44" t="s">
        <v>480</v>
      </c>
    </row>
    <row r="2" customFormat="false" ht="15" hidden="false" customHeight="false" outlineLevel="0" collapsed="false">
      <c r="A2" s="2" t="s">
        <v>481</v>
      </c>
    </row>
    <row r="3" customFormat="false" ht="90" hidden="false" customHeight="true" outlineLevel="0" collapsed="false">
      <c r="A3" s="7" t="s">
        <v>482</v>
      </c>
      <c r="B3" s="7" t="s">
        <v>483</v>
      </c>
      <c r="C3" s="7" t="s">
        <v>484</v>
      </c>
      <c r="D3" s="7" t="s">
        <v>485</v>
      </c>
      <c r="E3" s="7" t="s">
        <v>486</v>
      </c>
      <c r="F3" s="7" t="s">
        <v>487</v>
      </c>
      <c r="G3" s="7" t="s">
        <v>488</v>
      </c>
      <c r="H3" s="7" t="s">
        <v>489</v>
      </c>
      <c r="I3" s="7" t="s">
        <v>490</v>
      </c>
      <c r="J3" s="7" t="s">
        <v>491</v>
      </c>
      <c r="K3" s="7" t="s">
        <v>492</v>
      </c>
      <c r="L3" s="7" t="s">
        <v>493</v>
      </c>
      <c r="M3" s="7" t="s">
        <v>494</v>
      </c>
      <c r="N3" s="7" t="s">
        <v>495</v>
      </c>
      <c r="O3" s="7" t="s">
        <v>496</v>
      </c>
      <c r="P3" s="7" t="s">
        <v>497</v>
      </c>
      <c r="Q3" s="7" t="s">
        <v>498</v>
      </c>
      <c r="R3" s="7" t="s">
        <v>499</v>
      </c>
      <c r="S3" s="7" t="s">
        <v>500</v>
      </c>
      <c r="T3" s="7" t="s">
        <v>501</v>
      </c>
      <c r="U3" s="7" t="s">
        <v>502</v>
      </c>
      <c r="V3" s="7" t="s">
        <v>503</v>
      </c>
      <c r="W3" s="7" t="s">
        <v>504</v>
      </c>
      <c r="X3" s="7" t="s">
        <v>505</v>
      </c>
      <c r="Y3" s="7" t="s">
        <v>506</v>
      </c>
      <c r="Z3" s="7" t="s">
        <v>507</v>
      </c>
      <c r="AA3" s="7" t="s">
        <v>508</v>
      </c>
    </row>
    <row r="4" customFormat="false" ht="15" hidden="false" customHeight="false" outlineLevel="0" collapsed="false">
      <c r="A4" s="45" t="str">
        <f aca="false">Boshqaruv!C5&amp;""</f>
        <v>Район. больница (тест)</v>
      </c>
      <c r="B4" s="45" t="str">
        <f aca="false">Boshqaruv!C6&amp;""</f>
        <v>Акушерова Тест</v>
      </c>
      <c r="C4" s="45" t="str">
        <f aca="false">Boshqaruv!C11&amp;""</f>
        <v>12.10.2026 – 18.10.2026</v>
      </c>
      <c r="D4" s="45" t="str">
        <f aca="false">Boshqaruv!C8&amp;""</f>
        <v>+998900000004</v>
      </c>
      <c r="E4" s="45" t="str">
        <f aca="false">IF(LEFT(Boshqaruv!C13,1)="✔","TAYYOR","TO‘LIQ EMAS")</f>
        <v>TO‘LIQ EMAS</v>
      </c>
      <c r="F4" s="45" t="n">
        <f aca="false">IF(Boshqaruv!F17="","",Boshqaruv!F17)</f>
        <v>0</v>
      </c>
      <c r="G4" s="45" t="n">
        <f aca="false">IF(Boshqaruv!F18="","",Boshqaruv!F18)</f>
        <v>0</v>
      </c>
      <c r="H4" s="45" t="n">
        <f aca="false">IF(Boshqaruv!F19="","",Boshqaruv!F19)</f>
        <v>0</v>
      </c>
      <c r="I4" s="45" t="n">
        <f aca="false">IF(Boshqaruv!F20="","",Boshqaruv!F20)</f>
        <v>0</v>
      </c>
      <c r="J4" s="45" t="n">
        <f aca="false">IF(Boshqaruv!F21="","",Boshqaruv!F21)</f>
        <v>0</v>
      </c>
      <c r="K4" s="45" t="n">
        <f aca="false">IF(Boshqaruv!F22="","",Boshqaruv!F22)</f>
        <v>0</v>
      </c>
      <c r="L4" s="45" t="n">
        <f aca="false">IF(Boshqaruv!F23="","",Boshqaruv!F23)</f>
        <v>0</v>
      </c>
      <c r="M4" s="45" t="n">
        <f aca="false">IF(Boshqaruv!F24="","",Boshqaruv!F24)</f>
        <v>0</v>
      </c>
      <c r="N4" s="45" t="n">
        <f aca="false">IF(Boshqaruv!F25="","",Boshqaruv!F25)</f>
        <v>0</v>
      </c>
      <c r="O4" s="45" t="n">
        <f aca="false">IF(Boshqaruv!F26="","",Boshqaruv!F26)</f>
        <v>0</v>
      </c>
      <c r="P4" s="45" t="n">
        <f aca="false">IF(Boshqaruv!F27="","",Boshqaruv!F27)</f>
        <v>0</v>
      </c>
      <c r="Q4" s="45" t="n">
        <f aca="false">IF(Boshqaruv!F28="","",Boshqaruv!F28)</f>
        <v>0</v>
      </c>
      <c r="R4" s="45" t="n">
        <f aca="false">IF(Boshqaruv!F29="","",Boshqaruv!F29)</f>
        <v>0</v>
      </c>
      <c r="S4" s="45" t="n">
        <f aca="false">IF(Boshqaruv!F30="","",Boshqaruv!F30)</f>
        <v>0</v>
      </c>
      <c r="T4" s="45" t="n">
        <f aca="false">IF(Boshqaruv!F31="","",Boshqaruv!F31)</f>
        <v>0</v>
      </c>
      <c r="U4" s="45" t="n">
        <f aca="false">IF(Boshqaruv!F32="","",Boshqaruv!F32)</f>
        <v>0</v>
      </c>
      <c r="V4" s="45" t="n">
        <f aca="false">IF(Boshqaruv!F33="","",Boshqaruv!F33)</f>
        <v>0</v>
      </c>
      <c r="W4" s="46" t="str">
        <f aca="false">IF(Boshqaruv!F34="","",Boshqaruv!F34)</f>
        <v/>
      </c>
      <c r="X4" s="45" t="n">
        <f aca="false">IF(Boshqaruv!F35="","",Boshqaruv!F35)</f>
        <v>0</v>
      </c>
      <c r="Y4" s="45" t="n">
        <f aca="false">IF(Boshqaruv!F36="","",Boshqaruv!F36)</f>
        <v>0</v>
      </c>
      <c r="Z4" s="45" t="n">
        <f aca="false">IF(Boshqaruv!F37="","",Boshqaruv!F37)</f>
        <v>0</v>
      </c>
      <c r="AA4" s="45" t="n">
        <f aca="false">IF(Boshqaruv!F38="","",Boshqaruv!F38)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2026-10-23T18:01:14Z</dcterms:created>
  <dc:creator>openpyxl</dc:creator>
  <dc:description/>
  <dc:language>en-US</dc:language>
  <cp:lastModifiedBy/>
  <dcterms:modified xsi:type="dcterms:W3CDTF">2026-10-24T09:39:32Z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