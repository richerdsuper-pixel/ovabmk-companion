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riqnoma" sheetId="1" state="visible" r:id="rId1"/>
    <sheet xmlns:r="http://schemas.openxmlformats.org/officeDocument/2006/relationships" name="Boshqaruv" sheetId="2" state="visible" r:id="rId2"/>
    <sheet xmlns:r="http://schemas.openxmlformats.org/officeDocument/2006/relationships" name="Muassasalar" sheetId="3" state="visible" r:id="rId3"/>
    <sheet xmlns:r="http://schemas.openxmlformats.org/officeDocument/2006/relationships" name="Hisobot_jadvali" sheetId="4" state="visible" r:id="rId4"/>
    <sheet xmlns:r="http://schemas.openxmlformats.org/officeDocument/2006/relationships" name="Hujjatlar" sheetId="5" state="visible" r:id="rId5"/>
    <sheet xmlns:r="http://schemas.openxmlformats.org/officeDocument/2006/relationships" name="Chop_etish" sheetId="6" state="visible" r:id="rId6"/>
    <sheet xmlns:r="http://schemas.openxmlformats.org/officeDocument/2006/relationships" name="Eksport" sheetId="7" state="visible" r:id="rId7"/>
  </sheets>
  <definedNames>
    <definedName name="_xlnm._FilterDatabase" localSheetId="2" hidden="1">'Muassasalar'!$A$4:$H$84</definedName>
    <definedName name="_xlnm.Print_Titles" localSheetId="2">'Muassasalar'!$4:$4</definedName>
    <definedName name="_xlnm._FilterDatabase" localSheetId="3" hidden="1">'Hisobot_jadvali'!$A$4:$Q$404</definedName>
    <definedName name="_xlnm.Print_Titles" localSheetId="3">'Hisobot_jadvali'!$4:$4</definedName>
    <definedName name="_xlnm.Print_Area" localSheetId="5">'Chop_etish'!$A$1:$F$39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2355B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sz val="11"/>
    </font>
    <font>
      <name val="Arial"/>
      <sz val="9"/>
    </font>
    <font>
      <name val="Arial"/>
      <b val="1"/>
      <color rgb="0012355B"/>
      <sz val="11"/>
    </font>
    <font>
      <name val="Arial"/>
      <b val="1"/>
      <color rgb="0012355B"/>
      <sz val="13"/>
    </font>
    <font>
      <name val="Arial"/>
      <b val="1"/>
      <sz val="14"/>
    </font>
    <font>
      <name val="Arial"/>
      <b val="1"/>
      <color rgb="00C0392B"/>
    </font>
  </fonts>
  <fills count="8">
    <fill>
      <patternFill/>
    </fill>
    <fill>
      <patternFill patternType="gray125"/>
    </fill>
    <fill>
      <patternFill patternType="solid">
        <fgColor rgb="0012355B"/>
      </patternFill>
    </fill>
    <fill>
      <patternFill patternType="solid">
        <fgColor rgb="002E7D32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1B8A8F"/>
      </patternFill>
    </fill>
    <fill>
      <patternFill patternType="solid">
        <fgColor rgb="00C0392B"/>
      </patternFill>
    </fill>
  </fills>
  <borders count="12">
    <border>
      <left/>
      <right/>
      <top/>
      <bottom/>
      <diagonal/>
    </border>
    <border>
      <left style="thin">
        <color rgb="009FB8BA"/>
      </left>
      <right style="thin">
        <color rgb="009FB8BA"/>
      </right>
      <top style="thin">
        <color rgb="009FB8BA"/>
      </top>
      <bottom style="thin">
        <color rgb="009FB8BA"/>
      </bottom>
    </border>
    <border>
      <left/>
      <right/>
      <top style="thin">
        <color rgb="009FB8BA"/>
      </top>
      <bottom/>
      <diagonal/>
    </border>
    <border>
      <left/>
      <right style="thin">
        <color rgb="009FB8BA"/>
      </right>
      <top style="thin">
        <color rgb="009FB8BA"/>
      </top>
      <bottom/>
      <diagonal/>
    </border>
    <border>
      <left/>
      <right/>
      <top style="thin">
        <color rgb="009FB8BA"/>
      </top>
      <bottom style="thin">
        <color rgb="009FB8BA"/>
      </bottom>
      <diagonal/>
    </border>
    <border>
      <left/>
      <right style="thin">
        <color rgb="009FB8BA"/>
      </right>
      <top style="thin">
        <color rgb="009FB8BA"/>
      </top>
      <bottom style="thin">
        <color rgb="009FB8BA"/>
      </bottom>
      <diagonal/>
    </border>
    <border>
      <bottom style="thin">
        <color rgb="009FB8BA"/>
      </bottom>
    </border>
    <border>
      <left/>
      <right/>
      <top/>
      <bottom style="thin">
        <color rgb="009FB8BA"/>
      </bottom>
      <diagonal/>
    </border>
    <border>
      <left style="thin">
        <color rgb="009FB8BA"/>
      </left>
      <right/>
      <top/>
      <bottom/>
      <diagonal/>
    </border>
    <border>
      <left/>
      <right style="thin">
        <color rgb="009FB8BA"/>
      </right>
      <top/>
      <bottom/>
      <diagonal/>
    </border>
    <border>
      <left style="thin">
        <color rgb="009FB8BA"/>
      </left>
      <right/>
      <top/>
      <bottom style="thin">
        <color rgb="009FB8BA"/>
      </bottom>
      <diagonal/>
    </border>
    <border>
      <left/>
      <right style="thin">
        <color rgb="009FB8BA"/>
      </right>
      <top/>
      <bottom style="thin">
        <color rgb="009FB8BA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7" borderId="0" applyAlignment="1" pivotButton="0" quotePrefix="0" xfId="0">
      <alignment vertical="center" wrapText="1"/>
    </xf>
    <xf numFmtId="0" fontId="6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5" fontId="7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6" pivotButton="0" quotePrefix="0" xfId="0"/>
    <xf numFmtId="165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dxfs count="3">
    <dxf>
      <fill>
        <patternFill patternType="solid">
          <fgColor rgb="00F8CBC8"/>
          <bgColor rgb="00F8CBC8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2" customWidth="1" min="3" max="3"/>
    <col width="62" customWidth="1" min="4" max="4"/>
  </cols>
  <sheetData>
    <row r="1">
      <c r="A1" s="1" t="inlineStr">
        <is>
          <t>YO‘RIQNOMA / ИНСТРУКЦИЯ — Tibbiy statistik</t>
        </is>
      </c>
    </row>
    <row r="2">
      <c r="A2" s="2" t="inlineStr">
        <is>
          <t>Медицинский статистик</t>
        </is>
      </c>
    </row>
    <row r="3" ht="46" customHeight="1">
      <c r="A3" s="3" t="inlineStr">
        <is>
          <t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      </is>
      </c>
    </row>
    <row r="4" ht="30" customHeight="1">
      <c r="B4" s="4" t="inlineStr">
        <is>
          <t>Kim to‘ldiradi / Кто заполняет</t>
        </is>
      </c>
      <c r="C4" s="5" t="inlineStr">
        <is>
          <t>Tibbiy statistik / Медицинский статистик</t>
        </is>
      </c>
      <c r="D4" s="19" t="n"/>
    </row>
    <row r="5" ht="30" customHeight="1">
      <c r="B5" s="4" t="inlineStr">
        <is>
          <t>Kimga topshiriladi / Кому сдаётся</t>
        </is>
      </c>
      <c r="C5" s="5" t="inlineStr">
        <is>
          <t>Birlashma boshlig'ining onalik va bolalikni muhofaza qilish bo'yicha o'rinbosari / Заместитель начальника объединения по охране материнства и детства</t>
        </is>
      </c>
      <c r="D5" s="19" t="n"/>
    </row>
    <row r="6" ht="30" customHeight="1">
      <c r="B6" s="4" t="inlineStr">
        <is>
          <t>Muddat / Срок</t>
        </is>
      </c>
      <c r="C6" s="5" t="inlineStr">
        <is>
          <t>Har oyning 5-sanasigacha, soat 12:00 gacha / до 5-го числа каждого месяца, до 12:00</t>
        </is>
      </c>
      <c r="D6" s="19" t="n"/>
    </row>
    <row r="7" ht="30" customHeight="1">
      <c r="B7" s="4" t="inlineStr">
        <is>
          <t>Papkalar / Папки</t>
        </is>
      </c>
      <c r="C7" s="5" t="inlineStr">
        <is>
          <t>№ 2, 17</t>
        </is>
      </c>
      <c r="D7" s="19" t="n"/>
    </row>
    <row r="9">
      <c r="A9" s="7" t="inlineStr">
        <is>
          <t>1. Qanday ishlash kerak / Как работать</t>
        </is>
      </c>
    </row>
    <row r="10">
      <c r="A10" s="8" t="inlineStr">
        <is>
          <t>№</t>
        </is>
      </c>
      <c r="B10" s="8" t="inlineStr">
        <is>
          <t>Qadam / Шаг</t>
        </is>
      </c>
      <c r="C10" s="8" t="inlineStr">
        <is>
          <t>O‘zbekcha (lotin)</t>
        </is>
      </c>
      <c r="D10" s="8" t="inlineStr">
        <is>
          <t>Русский</t>
        </is>
      </c>
    </row>
    <row r="11" ht="32" customHeight="1">
      <c r="A11" s="9" t="n">
        <v>1</v>
      </c>
      <c r="B11" s="10" t="inlineStr">
        <is>
          <t>Muassasalar ro‘yxati</t>
        </is>
      </c>
      <c r="C11" s="10" t="inlineStr">
        <is>
          <t>«Muassasalar»ga hisobot beruvchi barcha muassasalarni bir marta yozing.</t>
        </is>
      </c>
      <c r="D11" s="10" t="inlineStr">
        <is>
          <t>Внесите в «Muassasalar» все отчитывающиеся учреждения один раз.</t>
        </is>
      </c>
    </row>
    <row r="12" ht="32" customHeight="1">
      <c r="A12" s="9" t="n">
        <v>2</v>
      </c>
      <c r="B12" s="10" t="inlineStr">
        <is>
          <t>Hisobotlarni kiriting</t>
        </is>
      </c>
      <c r="C12" s="10" t="inlineStr">
        <is>
          <t>Har oy har bir muassasadan kelgan hisobotni «Hisobot_jadvali»ga bitta qator qilib yozing (hisobot sanasi = oy oxiri).</t>
        </is>
      </c>
      <c r="D12" s="10" t="inlineStr">
        <is>
          <t>Отчёт каждого учреждения за месяц — одна строка в «Hisobot_jadvali» (дата отчёта = конец месяца).</t>
        </is>
      </c>
    </row>
    <row r="13" ht="32" customHeight="1">
      <c r="A13" s="9" t="n">
        <v>3</v>
      </c>
      <c r="B13" s="10" t="inlineStr">
        <is>
          <t>Topshirmaganlarni tekshiring</t>
        </is>
      </c>
      <c r="C13" s="10" t="inlineStr">
        <is>
          <t>«Muassasalar»da qizil qatorlar — shu davr uchun hisobot kelmagan muassasalar.</t>
        </is>
      </c>
      <c r="D13" s="10" t="inlineStr">
        <is>
          <t>Красные строки в «Muassasalar» — учреждения, не сдавшие отчёт за период.</t>
        </is>
      </c>
    </row>
    <row r="14" ht="58" customHeight="1">
      <c r="A14" s="9" t="n">
        <v>4</v>
      </c>
      <c r="B14" s="10" t="inlineStr">
        <is>
          <t>«Boshqaruv» varag‘i</t>
        </is>
      </c>
      <c r="C14" s="10" t="inlineStr">
        <is>
          <t>Davr boshi va oxirini (C9, C10), muassasa va F.I.Sh.ni kiriting. Ko‘rsatkichlar jurnallardan o‘zi hisoblanadi; sariq ko‘rsatkichlarni qo‘lda kiriting. «TAYYORLIK» qatori «✔ TAYYOR» bo‘lishi kerak.</t>
        </is>
      </c>
      <c r="D14" s="10" t="inlineStr">
        <is>
          <t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      </is>
      </c>
    </row>
    <row r="15" ht="45" customHeight="1">
      <c r="A15" s="9" t="n">
        <v>5</v>
      </c>
      <c r="B15" s="10" t="inlineStr">
        <is>
          <t>«Chop_etish» varag‘i</t>
        </is>
      </c>
      <c r="C15" s="10" t="inlineStr">
        <is>
          <t>A4 qog‘ozga bir bet qilib chop eting, «Tayyorladi»ga imzo qo‘ying, rahbarga imzolating, M.O. joyiga muhr bosdiring. Qog‘ozdagi raqamlar Excel bilan bir xil bo‘lsin.</t>
        </is>
      </c>
      <c r="D15" s="10" t="inlineStr">
        <is>
          <t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      </is>
      </c>
    </row>
    <row r="16" ht="45" customHeight="1">
      <c r="A16" s="9" t="n">
        <v>6</v>
      </c>
      <c r="B16" s="10" t="inlineStr">
        <is>
          <t>«Eksport» qatori va yuborish</t>
        </is>
      </c>
      <c r="C16" s="10" t="inlineStr">
        <is>
          <t>«Eksport» varag‘ining 4-qatori — yig‘ma sonlar (shaxsiy ma’lumotsiz). Faylni EMAS, faqat shu qatorni (yoki «Chop_etish»ni) yuboring. Fayl nomi: Rol_Muassasa_Davr.xlsx.</t>
        </is>
      </c>
      <c r="D16" s="10" t="inlineStr">
        <is>
          <t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      </is>
      </c>
    </row>
    <row r="18">
      <c r="A18" s="7" t="inlineStr">
        <is>
          <t>2. Varaqlar va jurnallar / Листы и журналы</t>
        </is>
      </c>
    </row>
    <row r="19">
      <c r="A19" s="8" t="inlineStr">
        <is>
          <t>№</t>
        </is>
      </c>
      <c r="B19" s="8" t="inlineStr">
        <is>
          <t>Varaq / Лист</t>
        </is>
      </c>
      <c r="C19" s="8" t="inlineStr">
        <is>
          <t>Nima uchun / Для чего (uz)</t>
        </is>
      </c>
      <c r="D19" s="8" t="inlineStr">
        <is>
          <t>Для чего (ru)</t>
        </is>
      </c>
    </row>
    <row r="20" ht="30" customHeight="1">
      <c r="A20" s="9" t="n">
        <v>1</v>
      </c>
      <c r="B20" s="10" t="inlineStr">
        <is>
          <t>Muassasalar</t>
        </is>
      </c>
      <c r="C20" s="10" t="inlineStr">
        <is>
          <t>Muassasalar ro‘yxati va hisobot topshirmaganlarni aniqlash.</t>
        </is>
      </c>
      <c r="D20" s="10" t="inlineStr">
        <is>
          <t>Список учреждений и выявление не сдавших отчёт.</t>
        </is>
      </c>
    </row>
    <row r="21" ht="32" customHeight="1">
      <c r="A21" s="9" t="n">
        <v>2</v>
      </c>
      <c r="B21" s="10" t="inlineStr">
        <is>
          <t>Hisobot_jadvali</t>
        </is>
      </c>
      <c r="C21" s="10" t="inlineStr">
        <is>
          <t>Barcha ko‘rsatkichlar (1–13) shu jadvaldan hisoblanadi; ma’lumot muassasalardan olinadi, shaxsiy ma’lumot yo‘q.</t>
        </is>
      </c>
      <c r="D21" s="10" t="inlineStr">
        <is>
          <t>Все показатели (1–13) считаются из этой таблицы; данные из учреждений, персональных данных нет.</t>
        </is>
      </c>
    </row>
    <row r="22" ht="30" customHeight="1">
      <c r="A22" s="9" t="n">
        <v>3</v>
      </c>
      <c r="B22" s="10" t="inlineStr">
        <is>
          <t>Boshqaruv</t>
        </is>
      </c>
      <c r="C22" s="10" t="inlineStr">
        <is>
          <t>Davr, ko‘rsatkichlar (avto), tekshiruvlar, tayyorlik.</t>
        </is>
      </c>
      <c r="D22" s="10" t="inlineStr">
        <is>
          <t>Период, показатели (авто), проверки, готовность.</t>
        </is>
      </c>
    </row>
    <row r="23" ht="30" customHeight="1">
      <c r="A23" s="9" t="n">
        <v>4</v>
      </c>
      <c r="B23" s="10" t="inlineStr">
        <is>
          <t>Hujjatlar</t>
        </is>
      </c>
      <c r="C23" s="10" t="inlineStr">
        <is>
          <t>Topshiriladigan hujjatlar ro‘yxati va ularning holati.</t>
        </is>
      </c>
      <c r="D23" s="10" t="inlineStr">
        <is>
          <t>Перечень сдаваемых документов и их статус.</t>
        </is>
      </c>
    </row>
    <row r="24" ht="30" customHeight="1">
      <c r="A24" s="9" t="n">
        <v>5</v>
      </c>
      <c r="B24" s="10" t="inlineStr">
        <is>
          <t>Chop_etish</t>
        </is>
      </c>
      <c r="C24" s="10" t="inlineStr">
        <is>
          <t>Qog‘oz nusxa (imzo va muhr uchun).</t>
        </is>
      </c>
      <c r="D24" s="10" t="inlineStr">
        <is>
          <t>Бумажный экземпляр (для подписи и печати).</t>
        </is>
      </c>
    </row>
    <row r="25" ht="30" customHeight="1">
      <c r="A25" s="9" t="n">
        <v>6</v>
      </c>
      <c r="B25" s="10" t="inlineStr">
        <is>
          <t>Eksport</t>
        </is>
      </c>
      <c r="C25" s="10" t="inlineStr">
        <is>
          <t>O‘rinbosarga yuboriladigan bir qator.</t>
        </is>
      </c>
      <c r="D25" s="10" t="inlineStr">
        <is>
          <t>Строка для отправки заместителю.</t>
        </is>
      </c>
    </row>
    <row r="27">
      <c r="A27" s="7" t="inlineStr">
        <is>
          <t>3. Qoidalar / Правила</t>
        </is>
      </c>
    </row>
    <row r="28">
      <c r="A28" s="8" t="inlineStr">
        <is>
          <t>№</t>
        </is>
      </c>
      <c r="B28" s="8" t="inlineStr">
        <is>
          <t>Qoida / Правило</t>
        </is>
      </c>
      <c r="C28" s="8" t="inlineStr">
        <is>
          <t>O‘zbekcha (lotin)</t>
        </is>
      </c>
      <c r="D28" s="8" t="inlineStr">
        <is>
          <t>Русский</t>
        </is>
      </c>
    </row>
    <row r="29" ht="45" customHeight="1">
      <c r="A29" s="9" t="n">
        <v>1</v>
      </c>
      <c r="B29" s="10" t="inlineStr">
        <is>
          <t>Ranglar</t>
        </is>
      </c>
      <c r="C29" s="10" t="inlineStr">
        <is>
          <t>Sariq katak — kiritiladi. Yashil — avtomatik (tegmang). Kulrang — yordamchi ustun. Qizil — xato/muddat o‘tgan. Ustun sarlavhasi: ko‘k — kiritish, yashil — avtomatik.</t>
        </is>
      </c>
      <c r="D29" s="10" t="inlineStr">
        <is>
          <t>Жёлтая — ввод. Зелёная — авто (не трогать). Серая — вспомогательная. Красная — ошибка/просрочка. Заголовок: синий — ввод, зелёный — авто.</t>
        </is>
      </c>
    </row>
    <row r="30" ht="32" customHeight="1">
      <c r="A30" s="9" t="n">
        <v>2</v>
      </c>
      <c r="B30" s="10" t="inlineStr">
        <is>
          <t>Bir marta yozing</t>
        </is>
      </c>
      <c r="C30" s="10" t="inlineStr">
        <is>
          <t>Har bir shaxs/hodisa bitta qatorga yoziladi; takror yozuv qizil bo‘ladi. Sanani kun.oy.yil ko‘rinishida kiriting.</t>
        </is>
      </c>
      <c r="D30" s="10" t="inlineStr">
        <is>
          <t>Каждый человек/событие — одна строка; дубль подсвечивается красным. Даты вводите как дд.мм.гггг.</t>
        </is>
      </c>
    </row>
    <row r="31" ht="45" customHeight="1">
      <c r="A31" s="9" t="n">
        <v>3</v>
      </c>
      <c r="B31" s="10" t="inlineStr">
        <is>
          <t>Tashxis va xavf</t>
        </is>
      </c>
      <c r="C31" s="10" t="inlineStr">
        <is>
          <t>Tashxis va xavf sababini faqat davolovchi shifokor hujjatidan (karta, xulosa) ko‘chiring — o‘zingizdan yozmang; hujjat raqamini ham yozing.</t>
        </is>
      </c>
      <c r="D31" s="10" t="inlineStr">
        <is>
          <t>Диагноз и причину риска переписывайте только из документа лечащего врача (карта, заключение), не от себя; укажите № документа.</t>
        </is>
      </c>
    </row>
    <row r="32" ht="32" customHeight="1">
      <c r="A32" s="9" t="n">
        <v>4</v>
      </c>
      <c r="B32" s="10" t="inlineStr">
        <is>
          <t>Maxfiylik</t>
        </is>
      </c>
      <c r="C32" s="10" t="inlineStr">
        <is>
          <t>Fayl faqat sizda; guruhga yubormang. PINFL kiritish shart emas. Yig‘ma ma’lumot — «Eksport» va «Chop_etish».</t>
        </is>
      </c>
      <c r="D32" s="10" t="inlineStr">
        <is>
          <t>Файл только у вас; в группы не отправлять. ПИНФЛ вводить необязательно. Агрегаты — «Eksport» и «Chop_etish».</t>
        </is>
      </c>
    </row>
    <row r="33" ht="32" customHeight="1">
      <c r="A33" s="9" t="n">
        <v>5</v>
      </c>
      <c r="B33" s="10" t="inlineStr">
        <is>
          <t>Nusxa</t>
        </is>
      </c>
      <c r="C33" s="10" t="inlineStr">
        <is>
          <t>Har oy oxirida faylning zaxira nusxasini saqlang (Fayl → Boshqacha saqlash).</t>
        </is>
      </c>
      <c r="D33" s="10" t="inlineStr">
        <is>
          <t>В конце каждого месяца сохраняйте резервную копию файла.</t>
        </is>
      </c>
    </row>
    <row r="34" ht="45" customHeight="1">
      <c r="A34" s="9" t="n">
        <v>6</v>
      </c>
      <c r="B34" s="10" t="inlineStr">
        <is>
          <t>Eng ko‘p xatolar</t>
        </is>
      </c>
      <c r="C34" s="10" t="inlineStr">
        <is>
          <t>Sanani matn qilib yozish; yashil katakni o‘zgartirish; ro‘yxatdan tashqari qiymat; davrni (C9, C10) kiritmaslik; qog‘oz va Excel raqamlari mos kelmasligi; imzo/muhrsiz topshirish.</t>
        </is>
      </c>
      <c r="D34" s="10" t="inlineStr">
        <is>
          <t>Дата текстом; правка зелёных ячеек; значение не из списка; не введён период (C9, C10); цифры на бумаге и в Excel не совпадают; сдача без подписи/печати.</t>
        </is>
      </c>
    </row>
  </sheetData>
  <mergeCells count="5">
    <mergeCell ref="C6:D6"/>
    <mergeCell ref="C7:D7"/>
    <mergeCell ref="A3:D3"/>
    <mergeCell ref="C5:D5"/>
    <mergeCell ref="C4:D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9" customWidth="1" min="4" max="4"/>
    <col width="8" customWidth="1" min="5" max="5"/>
    <col width="14" customWidth="1" min="6" max="6"/>
    <col width="64" customWidth="1" min="7" max="7"/>
  </cols>
  <sheetData>
    <row r="1">
      <c r="A1" s="1" t="inlineStr">
        <is>
          <t>BOSHQARUV VA KO‘RSATKICHLAR / УПРАВЛЕНИЕ И ПОКАЗАТЕЛИ — Tibbiy statistik</t>
        </is>
      </c>
    </row>
    <row r="2">
      <c r="A2" s="2" t="inlineStr">
        <is>
          <t>Медицинский статистик</t>
        </is>
      </c>
    </row>
    <row r="3" ht="30" customHeight="1">
      <c r="A3" s="11" t="inlineStr">
        <is>
          <t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      </is>
      </c>
    </row>
    <row r="4"/>
    <row r="5">
      <c r="B5" s="12" t="inlineStr">
        <is>
          <t>Muassasa (nomi, №) / Учреждение</t>
        </is>
      </c>
      <c r="C5" s="13" t="n"/>
    </row>
    <row r="6">
      <c r="B6" s="12" t="inlineStr">
        <is>
          <t>F.I.Sh. (to‘ldiruvchi) / Ф.И.О. (заполняющий)</t>
        </is>
      </c>
      <c r="C6" s="13" t="n"/>
    </row>
    <row r="7">
      <c r="B7" s="12" t="inlineStr">
        <is>
          <t>Lavozimi / Должность</t>
        </is>
      </c>
      <c r="C7" s="13" t="inlineStr">
        <is>
          <t>Statistik / Статистик</t>
        </is>
      </c>
    </row>
    <row r="8">
      <c r="B8" s="12" t="inlineStr">
        <is>
          <t>Telefon / Телефон</t>
        </is>
      </c>
      <c r="C8" s="13" t="n"/>
    </row>
    <row r="9">
      <c r="B9" s="12" t="inlineStr">
        <is>
          <t>Davr boshi (sana) / Начало периода (дата)</t>
        </is>
      </c>
      <c r="C9" s="14" t="n"/>
      <c r="D9" s="2" t="inlineStr">
        <is>
          <t>← masalan / напр.: 01.09.2026</t>
        </is>
      </c>
    </row>
    <row r="10">
      <c r="B10" s="12" t="inlineStr">
        <is>
          <t>Davr oxiri (sana) / Конец периода (дата)</t>
        </is>
      </c>
      <c r="C10" s="14" t="n"/>
      <c r="D10" s="2" t="inlineStr">
        <is>
          <t>← masalan / напр.: 30.09.2026</t>
        </is>
      </c>
    </row>
    <row r="11">
      <c r="B11" s="12" t="inlineStr">
        <is>
          <t>Davr (avto) / Период (авто)</t>
        </is>
      </c>
      <c r="C11" s="15">
        <f>IF(OR(C9="",C10=""),"",DAY(C9)&amp;"."&amp;MONTH(C9)&amp;"."&amp;YEAR(C9)&amp;" – "&amp;DAY(C10)&amp;"."&amp;MONTH(C10)&amp;"."&amp;YEAR(C10))</f>
        <v/>
      </c>
    </row>
    <row r="12">
      <c r="B12" s="12" t="inlineStr">
        <is>
          <t>Hisob sanasi (avto: davr oxiri, bo‘sh bo‘lsa — bugun) / Дата расчёта (авто: конец периода, иначе сегодня)</t>
        </is>
      </c>
      <c r="C12" s="16">
        <f>IF(C10="",TODAY(),C10)</f>
        <v/>
      </c>
    </row>
    <row r="13" ht="34" customHeight="1">
      <c r="B13" s="12" t="inlineStr">
        <is>
          <t>TAYYORLIK / ГОТОВНОСТЬ</t>
        </is>
      </c>
      <c r="C13" s="17">
        <f>IF(IF(OR(C9="",C10=""),"davrni kiriting (C9, C10); ","")&amp;IF(AND(C9&lt;&gt;"",C10&lt;&gt;"",C10&lt;C9),"davr oxiri boshidan oldin; ","")&amp;IF(OR(C5="",C6=""),"muassasa va F.I.Sh.; ","")&amp;IF(SUM(D34,D35,D37)&gt;0,"jurnallarda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","")&amp;IF(SUM(D34,D35,D37)&gt;0,"jurnallarda xatolar bor (pastga qarang); ",""))</f>
        <v/>
      </c>
      <c r="D13" s="18" t="n"/>
      <c r="E13" s="18" t="n"/>
      <c r="F13" s="18" t="n"/>
      <c r="G13" s="19" t="n"/>
    </row>
    <row r="14">
      <c r="B14" s="12" t="inlineStr">
        <is>
          <t>HUJJATLAR / ДОКУМЕНТЫ</t>
        </is>
      </c>
      <c r="C14" s="17">
        <f>IF(COUNTBLANK(Hujjatlar!E5:E12)=0,"✔ Hammasi belgilangan / Всё отмечено","✖ Hujjatlar varag‘ida belgilanmagan: "&amp;COUNTBLANK(Hujjatlar!E5:E12)&amp;" ta")</f>
        <v/>
      </c>
      <c r="D14" s="18" t="n"/>
      <c r="E14" s="18" t="n"/>
      <c r="F14" s="18" t="n"/>
      <c r="G14" s="19" t="n"/>
    </row>
    <row r="16" ht="32" customHeight="1">
      <c r="A16" s="8" t="inlineStr">
        <is>
          <t>T/r</t>
        </is>
      </c>
      <c r="B16" s="8" t="inlineStr">
        <is>
          <t>Ko‘rsatkich</t>
        </is>
      </c>
      <c r="C16" s="8" t="inlineStr">
        <is>
          <t>Показатель</t>
        </is>
      </c>
      <c r="D16" s="8" t="inlineStr">
        <is>
          <t>Birlik</t>
        </is>
      </c>
      <c r="E16" s="8" t="inlineStr">
        <is>
          <t>Papka</t>
        </is>
      </c>
      <c r="F16" s="8" t="inlineStr">
        <is>
          <t>Qiymat / Значение</t>
        </is>
      </c>
      <c r="G16" s="8" t="inlineStr">
        <is>
          <t>Manba / Источник и как считается</t>
        </is>
      </c>
    </row>
    <row r="17" ht="32" customHeight="1">
      <c r="A17" s="9" t="n">
        <v>1</v>
      </c>
      <c r="B17" s="5" t="inlineStr">
        <is>
          <t>Tug'ilganlar</t>
        </is>
      </c>
      <c r="C17" s="5" t="inlineStr">
        <is>
          <t>Родившиеся</t>
        </is>
      </c>
      <c r="D17" s="9" t="inlineStr">
        <is>
          <t>nafar</t>
        </is>
      </c>
      <c r="E17" s="9" t="inlineStr">
        <is>
          <t>17</t>
        </is>
      </c>
      <c r="F17" s="20">
        <f>IF(OR(Boshqaruv!$C$9="",Boshqaruv!$C$10=""),"",SUMIFS('Hisobot_jadvali'!$D$5:$D$404,'Hisobot_jadvali'!$B$5:$B$404,"&gt;="&amp;Boshqaruv!$C$9,'Hisobot_jadvali'!$B$5:$B$404,"&lt;="&amp;Boshqaruv!$C$10))</f>
        <v/>
      </c>
      <c r="G17" s="21" t="inlineStr">
        <is>
          <t>AVTOMATIK: «Hisobot_jadvali»: tug‘ilganlar yig‘indisi. / АВТОМАТИЧЕСКИ: «Hisobot_jadvali»: сумма родившихся.</t>
        </is>
      </c>
    </row>
    <row r="18" ht="32" customHeight="1">
      <c r="A18" s="9" t="n">
        <v>2</v>
      </c>
      <c r="B18" s="5" t="inlineStr">
        <is>
          <t>O'lganlar</t>
        </is>
      </c>
      <c r="C18" s="5" t="inlineStr">
        <is>
          <t>Умершие</t>
        </is>
      </c>
      <c r="D18" s="9" t="inlineStr">
        <is>
          <t>nafar</t>
        </is>
      </c>
      <c r="E18" s="9" t="inlineStr">
        <is>
          <t>17</t>
        </is>
      </c>
      <c r="F18" s="20">
        <f>IF(OR(Boshqaruv!$C$9="",Boshqaruv!$C$10=""),"",SUMIFS('Hisobot_jadvali'!$E$5:$E$404,'Hisobot_jadvali'!$B$5:$B$404,"&gt;="&amp;Boshqaruv!$C$9,'Hisobot_jadvali'!$B$5:$B$404,"&lt;="&amp;Boshqaruv!$C$10))</f>
        <v/>
      </c>
      <c r="G18" s="21" t="inlineStr">
        <is>
          <t>AVTOMATIK: «Hisobot_jadvali»: o‘lganlar yig‘indisi. / АВТОМАТИЧЕСКИ: «Hisobot_jadvali»: сумма умерших.</t>
        </is>
      </c>
    </row>
    <row r="19" ht="30" customHeight="1">
      <c r="A19" s="9" t="n">
        <v>3</v>
      </c>
      <c r="B19" s="5" t="inlineStr">
        <is>
          <t>Tabiiy o'sish</t>
        </is>
      </c>
      <c r="C19" s="5" t="inlineStr">
        <is>
          <t>Естественный прирост</t>
        </is>
      </c>
      <c r="D19" s="9" t="inlineStr">
        <is>
          <t>nafar</t>
        </is>
      </c>
      <c r="E19" s="9" t="inlineStr">
        <is>
          <t>17</t>
        </is>
      </c>
      <c r="F19" s="20">
        <f>IF(OR(Boshqaruv!$C$9="",Boshqaruv!$C$10=""),"",$F$17-$F$18)</f>
        <v/>
      </c>
      <c r="G19" s="21" t="inlineStr">
        <is>
          <t>AVTOMATIK: 1-qator − 2-qator. / АВТОМАТИЧЕСКИ: Строка 1 − строка 2.</t>
        </is>
      </c>
    </row>
    <row r="20" ht="32" customHeight="1">
      <c r="A20" s="9" t="n">
        <v>4</v>
      </c>
      <c r="B20" s="5" t="inlineStr">
        <is>
          <t>Chaqaloqlar o'limi</t>
        </is>
      </c>
      <c r="C20" s="5" t="inlineStr">
        <is>
          <t>Младенческая смертность</t>
        </is>
      </c>
      <c r="D20" s="9" t="inlineStr">
        <is>
          <t>ta</t>
        </is>
      </c>
      <c r="E20" s="9" t="inlineStr">
        <is>
          <t>17</t>
        </is>
      </c>
      <c r="F20" s="20">
        <f>IF(OR(Boshqaruv!$C$9="",Boshqaruv!$C$10=""),"",SUMIFS('Hisobot_jadvali'!$F$5:$F$404,'Hisobot_jadvali'!$B$5:$B$404,"&gt;="&amp;Boshqaruv!$C$9,'Hisobot_jadvali'!$B$5:$B$404,"&lt;="&amp;Boshqaruv!$C$10))</f>
        <v/>
      </c>
      <c r="G20" s="21" t="inlineStr">
        <is>
          <t>AVTOMATIK: «Hisobot_jadvali»: chaqaloqlar o‘limi. / АВТОМАТИЧЕСКИ: «Hisobot_jadvali»: смерти младенцев.</t>
        </is>
      </c>
    </row>
    <row r="21" ht="32" customHeight="1">
      <c r="A21" s="9" t="n">
        <v>5</v>
      </c>
      <c r="B21" s="5" t="inlineStr">
        <is>
          <t>Onalar o'limi</t>
        </is>
      </c>
      <c r="C21" s="5" t="inlineStr">
        <is>
          <t>Материнская смертность</t>
        </is>
      </c>
      <c r="D21" s="9" t="inlineStr">
        <is>
          <t>ta</t>
        </is>
      </c>
      <c r="E21" s="9" t="inlineStr">
        <is>
          <t>15</t>
        </is>
      </c>
      <c r="F21" s="20">
        <f>IF(OR(Boshqaruv!$C$9="",Boshqaruv!$C$10=""),"",SUMIFS('Hisobot_jadvali'!$G$5:$G$404,'Hisobot_jadvali'!$B$5:$B$404,"&gt;="&amp;Boshqaruv!$C$9,'Hisobot_jadvali'!$B$5:$B$404,"&lt;="&amp;Boshqaruv!$C$10))</f>
        <v/>
      </c>
      <c r="G21" s="21" t="inlineStr">
        <is>
          <t>AVTOMATIK: «Hisobot_jadvali»: onalar o‘limi. / АВТОМАТИЧЕСКИ: «Hisobot_jadvali»: материнская смерть.</t>
        </is>
      </c>
    </row>
    <row r="22" ht="45" customHeight="1">
      <c r="A22" s="9" t="n">
        <v>6</v>
      </c>
      <c r="B22" s="5" t="inlineStr">
        <is>
          <t>Tug'ish yoshidagi ayollar soni</t>
        </is>
      </c>
      <c r="C22" s="5" t="inlineStr">
        <is>
          <t>Женщин фертильного возраста</t>
        </is>
      </c>
      <c r="D22" s="9" t="inlineStr">
        <is>
          <t>nafar</t>
        </is>
      </c>
      <c r="E22" s="9" t="inlineStr">
        <is>
          <t>17</t>
        </is>
      </c>
      <c r="F22" s="20">
        <f>IF(OR(Boshqaruv!$C$9="",Boshqaruv!$C$10=""),"",SUMIFS('Hisobot_jadvali'!$H$5:$H$404,'Hisobot_jadvali'!$B$5:$B$404,"&gt;="&amp;DATE(YEAR(Boshqaruv!$C$10),MONTH(Boshqaruv!$C$10),1),'Hisobot_jadvali'!$B$5:$B$404,"&lt;="&amp;Boshqaruv!$C$10))</f>
        <v/>
      </c>
      <c r="G22" s="21" t="inlineStr">
        <is>
          <t>AVTOMATIK: «Hisobot_jadvali»: davr oxiridagi kalendar oy hisobotlari yig‘indisi. / АВТОМАТИЧЕСКИ: «Hisobot_jadvali»: сумма отчётов за последний календарный месяц периода.</t>
        </is>
      </c>
    </row>
    <row r="23" ht="32" customHeight="1">
      <c r="A23" s="9" t="n">
        <v>7</v>
      </c>
      <c r="B23" s="5" t="inlineStr">
        <is>
          <t>Tug‘ruqlar soni (jami)</t>
        </is>
      </c>
      <c r="C23" s="5" t="inlineStr">
        <is>
          <t>Число родов (всего)</t>
        </is>
      </c>
      <c r="D23" s="9" t="inlineStr">
        <is>
          <t>ta</t>
        </is>
      </c>
      <c r="E23" s="9" t="inlineStr">
        <is>
          <t>17</t>
        </is>
      </c>
      <c r="F23" s="20">
        <f>IF(OR(Boshqaruv!$C$9="",Boshqaruv!$C$10=""),"",SUMIFS('Hisobot_jadvali'!$I$5:$I$404,'Hisobot_jadvali'!$B$5:$B$404,"&gt;="&amp;Boshqaruv!$C$9,'Hisobot_jadvali'!$B$5:$B$404,"&lt;="&amp;Boshqaruv!$C$10))</f>
        <v/>
      </c>
      <c r="G23" s="21" t="inlineStr">
        <is>
          <t>AVTOMATIK: «Hisobot_jadvali»: tug‘ruqlar. / АВТОМАТИЧЕСКИ: «Hisobot_jadvali»: роды. [Asos: 4513-son buyruq (2026), kesarcha kesish ro‘yxati]</t>
        </is>
      </c>
    </row>
    <row r="24" ht="45" customHeight="1">
      <c r="A24" s="9" t="n">
        <v>8</v>
      </c>
      <c r="B24" s="5" t="inlineStr">
        <is>
          <t>Shundan kesarcha kesish</t>
        </is>
      </c>
      <c r="C24" s="5" t="inlineStr">
        <is>
          <t>Из них кесарево сечение</t>
        </is>
      </c>
      <c r="D24" s="9" t="inlineStr">
        <is>
          <t>ta</t>
        </is>
      </c>
      <c r="E24" s="9" t="inlineStr">
        <is>
          <t>17</t>
        </is>
      </c>
      <c r="F24" s="20">
        <f>IF(OR(Boshqaruv!$C$9="",Boshqaruv!$C$10=""),"",SUMIFS('Hisobot_jadvali'!$J$5:$J$404,'Hisobot_jadvali'!$B$5:$B$404,"&gt;="&amp;Boshqaruv!$C$9,'Hisobot_jadvali'!$B$5:$B$404,"&lt;="&amp;Boshqaruv!$C$10))</f>
        <v/>
      </c>
      <c r="G24" s="21" t="inlineStr">
        <is>
          <t>AVTOMATIK: «Hisobot_jadvali»: kesarcha. / АВТОМАТИЧЕСКИ: «Hisobot_jadvali»: кесарево. [Asos: 4513-son buyruq (2026), kesarcha kesish ro‘yxati]</t>
        </is>
      </c>
    </row>
    <row r="25" ht="32" customHeight="1">
      <c r="A25" s="9" t="n">
        <v>9</v>
      </c>
      <c r="B25" s="5" t="inlineStr">
        <is>
          <t>Kesarcha kesish ulushi</t>
        </is>
      </c>
      <c r="C25" s="5" t="inlineStr">
        <is>
          <t>Доля кесарева сечения</t>
        </is>
      </c>
      <c r="D25" s="9" t="inlineStr">
        <is>
          <t>%</t>
        </is>
      </c>
      <c r="E25" s="9" t="inlineStr">
        <is>
          <t>17</t>
        </is>
      </c>
      <c r="F25" s="22">
        <f>IF(OR(Boshqaruv!$C$9="",Boshqaruv!$C$10=""),"",IF(N($F$23)=0,"",$F$24/$F$23))</f>
        <v/>
      </c>
      <c r="G25" s="21" t="inlineStr">
        <is>
          <t>AVTOMATIK: 8-qator / 7-qator. / АВТОМАТИЧЕСКИ: Строка 8 / строка 7. [Asos: 4513-son buyruq (2026), kesarcha kesish ro‘yxati]</t>
        </is>
      </c>
    </row>
    <row r="26" ht="45" customHeight="1">
      <c r="A26" s="9" t="n">
        <v>10</v>
      </c>
      <c r="B26" s="5" t="inlineStr">
        <is>
          <t>[Voyaga yetmaganlar] 0–17 yoshdagi aholi soni</t>
        </is>
      </c>
      <c r="C26" s="5" t="inlineStr">
        <is>
          <t>[Несовершеннолетние] Население 0–17 лет</t>
        </is>
      </c>
      <c r="D26" s="9" t="inlineStr">
        <is>
          <t>nafar</t>
        </is>
      </c>
      <c r="E26" s="9" t="inlineStr">
        <is>
          <t>17</t>
        </is>
      </c>
      <c r="F26" s="20">
        <f>IF(OR(Boshqaruv!$C$9="",Boshqaruv!$C$10=""),"",SUMIFS('Hisobot_jadvali'!$K$5:$K$404,'Hisobot_jadvali'!$B$5:$B$404,"&gt;="&amp;DATE(YEAR(Boshqaruv!$C$10),MONTH(Boshqaruv!$C$10),1),'Hisobot_jadvali'!$B$5:$B$404,"&lt;="&amp;Boshqaruv!$C$10))</f>
        <v/>
      </c>
      <c r="G26" s="21" t="inlineStr">
        <is>
          <t>AVTOMATIK: «Hisobot_jadvali»: davr oxiridagi oy. / АВТОМАТИЧЕСКИ: «Hisobot_jadvali»: последний месяц периода. [Asos: 363-son buyruq (2020), tibbiy hisob shakllari]</t>
        </is>
      </c>
    </row>
    <row r="27" ht="45" customHeight="1">
      <c r="A27" s="9" t="n">
        <v>11</v>
      </c>
      <c r="B27" s="5" t="inlineStr">
        <is>
          <t>[Voyaga yetmaganlar] 0–17 yoshdagi o‘lim holatlari</t>
        </is>
      </c>
      <c r="C27" s="5" t="inlineStr">
        <is>
          <t>[Несовершеннолетние] Случаи смерти 0–17 лет</t>
        </is>
      </c>
      <c r="D27" s="9" t="inlineStr">
        <is>
          <t>ta</t>
        </is>
      </c>
      <c r="E27" s="9" t="inlineStr">
        <is>
          <t>17</t>
        </is>
      </c>
      <c r="F27" s="20">
        <f>IF(OR(Boshqaruv!$C$9="",Boshqaruv!$C$10=""),"",SUMIFS('Hisobot_jadvali'!$L$5:$L$404,'Hisobot_jadvali'!$B$5:$B$404,"&gt;="&amp;Boshqaruv!$C$9,'Hisobot_jadvali'!$B$5:$B$404,"&lt;="&amp;Boshqaruv!$C$10))</f>
        <v/>
      </c>
      <c r="G27" s="21" t="inlineStr">
        <is>
          <t>AVTOMATIK: «Hisobot_jadvali»: 0–17 yosh o‘lim. / АВТОМАТИЧЕСКИ: «Hisobot_jadvali»: смерти 0–17. [Asos: 363-son buyruq (2020), tibbiy hisob shakllari]</t>
        </is>
      </c>
    </row>
    <row r="28" ht="45" customHeight="1">
      <c r="A28" s="9" t="n">
        <v>12</v>
      </c>
      <c r="B28" s="5" t="inlineStr">
        <is>
          <t>[Voyaga yetmaganlar] Tug‘ruqlar (18 yoshgacha)</t>
        </is>
      </c>
      <c r="C28" s="5" t="inlineStr">
        <is>
          <t>[Несовершеннолетние] Роды (до 18 лет)</t>
        </is>
      </c>
      <c r="D28" s="9" t="inlineStr">
        <is>
          <t>ta</t>
        </is>
      </c>
      <c r="E28" s="9" t="inlineStr">
        <is>
          <t>17</t>
        </is>
      </c>
      <c r="F28" s="20">
        <f>IF(OR(Boshqaruv!$C$9="",Boshqaruv!$C$10=""),"",SUMIFS('Hisobot_jadvali'!$M$5:$M$404,'Hisobot_jadvali'!$B$5:$B$404,"&gt;="&amp;Boshqaruv!$C$9,'Hisobot_jadvali'!$B$5:$B$404,"&lt;="&amp;Boshqaruv!$C$10))</f>
        <v/>
      </c>
      <c r="G28" s="21" t="inlineStr">
        <is>
          <t>AVTOMATIK: «Hisobot_jadvali»: 18 yoshgacha tug‘ruqlar. / АВТОМАТИЧЕСКИ: «Hisobot_jadvali»: роды до 18 лет. [Asos: 263-son buyruq (2022), doya vazifalari]</t>
        </is>
      </c>
    </row>
    <row r="29" ht="45" customHeight="1">
      <c r="A29" s="9" t="n">
        <v>13</v>
      </c>
      <c r="B29" s="5" t="inlineStr">
        <is>
          <t>[Voyaga yetmaganlar] Hisobdagi homilador qizlar (18 yoshgacha)</t>
        </is>
      </c>
      <c r="C29" s="5" t="inlineStr">
        <is>
          <t>[Несовершеннолетние] Беременные девочки на учёте (до 18 лет)</t>
        </is>
      </c>
      <c r="D29" s="9" t="inlineStr">
        <is>
          <t>nafar</t>
        </is>
      </c>
      <c r="E29" s="9" t="inlineStr">
        <is>
          <t>17</t>
        </is>
      </c>
      <c r="F29" s="20">
        <f>IF(OR(Boshqaruv!$C$9="",Boshqaruv!$C$10=""),"",SUMIFS('Hisobot_jadvali'!$N$5:$N$404,'Hisobot_jadvali'!$B$5:$B$404,"&gt;="&amp;DATE(YEAR(Boshqaruv!$C$10),MONTH(Boshqaruv!$C$10),1),'Hisobot_jadvali'!$B$5:$B$404,"&lt;="&amp;Boshqaruv!$C$10))</f>
        <v/>
      </c>
      <c r="G29" s="21" t="inlineStr">
        <is>
          <t>AVTOMATIK: «Hisobot_jadvali»: davr oxiridagi oy. / АВТОМАТИЧЕСКИ: «Hisobot_jadvali»: последний месяц периода. [Asos: 363-son buyruq (2020), tibbiy hisob shakllari]</t>
        </is>
      </c>
    </row>
    <row r="31">
      <c r="A31" s="7" t="inlineStr">
        <is>
          <t>TEKSHIRUV / ПРОВЕРКА MA’LUMOT SIFATI</t>
        </is>
      </c>
    </row>
    <row r="32">
      <c r="A32" s="8" t="inlineStr"/>
      <c r="B32" s="8" t="inlineStr">
        <is>
          <t>Tekshiruv</t>
        </is>
      </c>
      <c r="C32" s="8" t="inlineStr">
        <is>
          <t>Проверка</t>
        </is>
      </c>
      <c r="D32" s="8" t="inlineStr">
        <is>
          <t>Soni</t>
        </is>
      </c>
      <c r="E32" s="8" t="inlineStr"/>
      <c r="F32" s="8" t="inlineStr">
        <is>
          <t>Holat</t>
        </is>
      </c>
      <c r="G32" s="8" t="inlineStr">
        <is>
          <t>Nima qilish kerak / Что делать</t>
        </is>
      </c>
    </row>
    <row r="33" ht="30" customHeight="1">
      <c r="A33" s="9" t="n"/>
      <c r="B33" s="5" t="inlineStr">
        <is>
          <t>Davr uchun hisobot topshirmagan muassasalar</t>
        </is>
      </c>
      <c r="C33" s="5" t="inlineStr">
        <is>
          <t>Учреждения, не сдавшие отчёт за период</t>
        </is>
      </c>
      <c r="D33" s="9">
        <f>COUNTIF('Muassasalar'!$G$5:$G$84,"Ha")</f>
        <v/>
      </c>
      <c r="E33" s="9" t="n"/>
      <c r="F33" s="9">
        <f>IF(N(D33)=0,"✔ OK",IF("warn"="err","✖ XATO / ОШИБКА","⚠ DIQQAT / ВНИМАНИЕ"))</f>
        <v/>
      </c>
      <c r="G33" s="5" t="inlineStr">
        <is>
          <t>Eslatma yuboring / Отправьте напоминание</t>
        </is>
      </c>
    </row>
    <row r="34" ht="30" customHeight="1">
      <c r="A34" s="9" t="n"/>
      <c r="B34" s="5" t="inlineStr">
        <is>
          <t>Kesarcha tug‘ruqlardan ko‘p</t>
        </is>
      </c>
      <c r="C34" s="5" t="inlineStr">
        <is>
          <t>Кесарево больше числа родов</t>
        </is>
      </c>
      <c r="D34" s="9">
        <f>SUMPRODUCT(--('Hisobot_jadvali'!$J$5:$J$404&gt;'Hisobot_jadvali'!$I$5:$I$404))</f>
        <v/>
      </c>
      <c r="E34" s="9" t="n"/>
      <c r="F34" s="9">
        <f>IF(N(D34)=0,"✔ OK",IF("err"="err","✖ XATO / ОШИБКА","⚠ DIQQAT / ВНИМАНИЕ"))</f>
        <v/>
      </c>
      <c r="G34" s="5" t="inlineStr">
        <is>
          <t>Sonlarni tekshiring / Проверьте числа</t>
        </is>
      </c>
    </row>
    <row r="35" ht="30" customHeight="1">
      <c r="A35" s="9" t="n"/>
      <c r="B35" s="5" t="inlineStr">
        <is>
          <t>Hisobot oyi tanlanmagan muassasa</t>
        </is>
      </c>
      <c r="C35" s="5" t="inlineStr">
        <is>
          <t>Нет даты отчёта</t>
        </is>
      </c>
      <c r="D35" s="9">
        <f>COUNTIFS('Hisobot_jadvali'!$C$5:$C$404,"&lt;&gt;",'Hisobot_jadvali'!$B$5:$B$404,"")</f>
        <v/>
      </c>
      <c r="E35" s="9" t="n"/>
      <c r="F35" s="9">
        <f>IF(N(D35)=0,"✔ OK",IF("err"="err","✖ XATO / ОШИБКА","⚠ DIQQAT / ВНИМАНИЕ"))</f>
        <v/>
      </c>
      <c r="G35" s="5" t="inlineStr">
        <is>
          <t>Sanani kiriting / Введите дату</t>
        </is>
      </c>
    </row>
    <row r="36" ht="30" customHeight="1">
      <c r="A36" s="9" t="n"/>
      <c r="B36" s="5" t="inlineStr">
        <is>
          <t>Takroriy hisobot (bir muassasa, bir sana)</t>
        </is>
      </c>
      <c r="C36" s="5" t="inlineStr">
        <is>
          <t>Повторный отчёт (то же учреждение, дата)</t>
        </is>
      </c>
      <c r="D36" s="9">
        <f>COUNTIF('Hisobot_jadvali'!$Q$5:$Q$404,"Takror")</f>
        <v/>
      </c>
      <c r="E36" s="9" t="n"/>
      <c r="F36" s="9">
        <f>IF(N(D36)=0,"✔ OK",IF("warn"="err","✖ XATO / ОШИБКА","⚠ DIQQAT / ВНИМАНИЕ"))</f>
        <v/>
      </c>
      <c r="G36" s="5" t="inlineStr">
        <is>
          <t>Tekshiring / Проверьте</t>
        </is>
      </c>
    </row>
    <row r="37" ht="30" customHeight="1">
      <c r="A37" s="9" t="n"/>
      <c r="B37" s="5" t="inlineStr">
        <is>
          <t>Takror yozuvlar — Hisobot_jadvali</t>
        </is>
      </c>
      <c r="C37" s="5" t="inlineStr">
        <is>
          <t>Дубли — Hisobot_jadvali</t>
        </is>
      </c>
      <c r="D37" s="9">
        <f>COUNTIF('Hisobot_jadvali'!$Q$5:$Q$404,"Takror")</f>
        <v/>
      </c>
      <c r="E37" s="9" t="n"/>
      <c r="F37" s="9">
        <f>IF(N(D37)=0,"✔ OK",IF("err"="err","✖ XATO / ОШИБКА","⚠ DIQQAT / ВНИМАНИЕ"))</f>
        <v/>
      </c>
      <c r="G37" s="5" t="inlineStr">
        <is>
          <t>Qizil qatorni toping va takrorni o‘chiring / Найдите красные строки и удалите дубль</t>
        </is>
      </c>
    </row>
  </sheetData>
  <mergeCells count="3">
    <mergeCell ref="C13:G13"/>
    <mergeCell ref="A3:G3"/>
    <mergeCell ref="C14:G14"/>
  </mergeCells>
  <conditionalFormatting sqref="F33:F37">
    <cfRule type="expression" priority="1" dxfId="0">
      <formula>LEFT(F33,1)="✖"</formula>
    </cfRule>
    <cfRule type="expression" priority="2" dxfId="1">
      <formula>LEFT(F33,1)="⚠"</formula>
    </cfRule>
    <cfRule type="expression" priority="3" dxfId="2">
      <formula>LEFT(F33,1)="✔"</formula>
    </cfRule>
  </conditionalFormatting>
  <conditionalFormatting sqref="C13">
    <cfRule type="expression" priority="4" dxfId="0">
      <formula>LEFT(C13,1)="✖"</formula>
    </cfRule>
    <cfRule type="expression" priority="5" dxfId="2">
      <formula>LEFT(C13,1)="✔"</formula>
    </cfRule>
  </conditionalFormatting>
  <conditionalFormatting sqref="C14">
    <cfRule type="expression" priority="6" dxfId="0">
      <formula>LEFT(C14,1)="✖"</formula>
    </cfRule>
    <cfRule type="expression" priority="7" dxfId="2">
      <formula>LEFT(C14,1)="✔"</formula>
    </cfRule>
  </conditionalFormatting>
  <dataValidations count="2">
    <dataValidation sqref="C9" showDropDown="0" showInputMessage="0" showErrorMessage="1" allowBlank="1" errorTitle="Sana / Дата" error="Sanani kiriting (kun.oy.yil) / Введите дату (дд.мм.гггг)" type="date" operator="greaterThan">
      <formula1>1</formula1>
    </dataValidation>
    <dataValidation sqref="C10" showDropDown="0" showInputMessage="0" showErrorMessage="1" allowBlank="1" errorTitle="Sana / Дата" error="Sanani kiriting (kun.oy.yil) / Введите дату (дд.мм.гггг)" type="date" operator="greaterThan">
      <formula1>1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4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HISOBOT BERUVCHI MUASSASALAR / ОТЧИТЫВАЮЩИЕСЯ УЧРЕЖДЕНИЯ</t>
        </is>
      </c>
    </row>
    <row r="2">
      <c r="A2" s="2" t="inlineStr">
        <is>
          <t>Tumandagi har bir hisobot beruvchi muassasa (QVP, poliklinika, tug‘ruq bo‘limi va h.k.) — bitta qator. «Davrda hisobot» ustuni nechta hisobot kelganini ko‘rsatadi. / Каждое отчитывающееся учреждение района — одна строка. Колонка «Davrda hisobot» показывает число полученных отчётов.</t>
        </is>
      </c>
    </row>
    <row r="4" ht="75" customHeight="1">
      <c r="A4" s="8" t="inlineStr">
        <is>
          <t>№</t>
        </is>
      </c>
      <c r="B4" s="8" t="inlineStr">
        <is>
          <t>Muassasa nomi
Название учреждения</t>
        </is>
      </c>
      <c r="C4" s="8" t="inlineStr">
        <is>
          <t>Turi
Тип</t>
        </is>
      </c>
      <c r="D4" s="8" t="inlineStr">
        <is>
          <t>Mas’ul F.I.Sh.
Ответственный</t>
        </is>
      </c>
      <c r="E4" s="8" t="inlineStr">
        <is>
          <t>Telefon
Телефон</t>
        </is>
      </c>
      <c r="F4" s="23" t="inlineStr">
        <is>
          <t>Davrda hisobot (avto)
Отчётов за период (авто)</t>
        </is>
      </c>
      <c r="G4" s="23" t="inlineStr">
        <is>
          <t>Topshirmagan? (avto)
Не сдал? (авто)</t>
        </is>
      </c>
      <c r="H4" s="8" t="inlineStr">
        <is>
          <t>Izoh
Примечание</t>
        </is>
      </c>
    </row>
    <row r="5">
      <c r="A5" s="9" t="n">
        <v>1</v>
      </c>
      <c r="B5" s="13" t="n"/>
      <c r="C5" s="24" t="n"/>
      <c r="D5" s="13" t="n"/>
      <c r="E5" s="13" t="n"/>
      <c r="F5" s="15">
        <f>IF($B5="","",COUNTIFS('Hisobot_jadvali'!$C$5:$C$404,$B5,'Hisobot_jadvali'!$B$5:$B$404,"&gt;="&amp;Boshqaruv!$C$9,'Hisobot_jadvali'!$B$5:$B$404,"&lt;="&amp;Boshqaruv!$C$10))</f>
        <v/>
      </c>
      <c r="G5" s="15">
        <f>IF($B5="","",IF($F5=0,"Ha",""))</f>
        <v/>
      </c>
      <c r="H5" s="13" t="n"/>
    </row>
    <row r="6">
      <c r="A6" s="9" t="n">
        <v>2</v>
      </c>
      <c r="B6" s="13" t="n"/>
      <c r="C6" s="24" t="n"/>
      <c r="D6" s="13" t="n"/>
      <c r="E6" s="13" t="n"/>
      <c r="F6" s="15">
        <f>IF($B6="","",COUNTIFS('Hisobot_jadvali'!$C$5:$C$404,$B6,'Hisobot_jadvali'!$B$5:$B$404,"&gt;="&amp;Boshqaruv!$C$9,'Hisobot_jadvali'!$B$5:$B$404,"&lt;="&amp;Boshqaruv!$C$10))</f>
        <v/>
      </c>
      <c r="G6" s="15">
        <f>IF($B6="","",IF($F6=0,"Ha",""))</f>
        <v/>
      </c>
      <c r="H6" s="13" t="n"/>
    </row>
    <row r="7">
      <c r="A7" s="9" t="n">
        <v>3</v>
      </c>
      <c r="B7" s="13" t="n"/>
      <c r="C7" s="24" t="n"/>
      <c r="D7" s="13" t="n"/>
      <c r="E7" s="13" t="n"/>
      <c r="F7" s="15">
        <f>IF($B7="","",COUNTIFS('Hisobot_jadvali'!$C$5:$C$404,$B7,'Hisobot_jadvali'!$B$5:$B$404,"&gt;="&amp;Boshqaruv!$C$9,'Hisobot_jadvali'!$B$5:$B$404,"&lt;="&amp;Boshqaruv!$C$10))</f>
        <v/>
      </c>
      <c r="G7" s="15">
        <f>IF($B7="","",IF($F7=0,"Ha",""))</f>
        <v/>
      </c>
      <c r="H7" s="13" t="n"/>
    </row>
    <row r="8">
      <c r="A8" s="9" t="n">
        <v>4</v>
      </c>
      <c r="B8" s="13" t="n"/>
      <c r="C8" s="24" t="n"/>
      <c r="D8" s="13" t="n"/>
      <c r="E8" s="13" t="n"/>
      <c r="F8" s="15">
        <f>IF($B8="","",COUNTIFS('Hisobot_jadvali'!$C$5:$C$404,$B8,'Hisobot_jadvali'!$B$5:$B$404,"&gt;="&amp;Boshqaruv!$C$9,'Hisobot_jadvali'!$B$5:$B$404,"&lt;="&amp;Boshqaruv!$C$10))</f>
        <v/>
      </c>
      <c r="G8" s="15">
        <f>IF($B8="","",IF($F8=0,"Ha",""))</f>
        <v/>
      </c>
      <c r="H8" s="13" t="n"/>
    </row>
    <row r="9">
      <c r="A9" s="9" t="n">
        <v>5</v>
      </c>
      <c r="B9" s="13" t="n"/>
      <c r="C9" s="24" t="n"/>
      <c r="D9" s="13" t="n"/>
      <c r="E9" s="13" t="n"/>
      <c r="F9" s="15">
        <f>IF($B9="","",COUNTIFS('Hisobot_jadvali'!$C$5:$C$404,$B9,'Hisobot_jadvali'!$B$5:$B$404,"&gt;="&amp;Boshqaruv!$C$9,'Hisobot_jadvali'!$B$5:$B$404,"&lt;="&amp;Boshqaruv!$C$10))</f>
        <v/>
      </c>
      <c r="G9" s="15">
        <f>IF($B9="","",IF($F9=0,"Ha",""))</f>
        <v/>
      </c>
      <c r="H9" s="13" t="n"/>
    </row>
    <row r="10">
      <c r="A10" s="9" t="n">
        <v>6</v>
      </c>
      <c r="B10" s="13" t="n"/>
      <c r="C10" s="24" t="n"/>
      <c r="D10" s="13" t="n"/>
      <c r="E10" s="13" t="n"/>
      <c r="F10" s="15">
        <f>IF($B10="","",COUNTIFS('Hisobot_jadvali'!$C$5:$C$404,$B10,'Hisobot_jadvali'!$B$5:$B$404,"&gt;="&amp;Boshqaruv!$C$9,'Hisobot_jadvali'!$B$5:$B$404,"&lt;="&amp;Boshqaruv!$C$10))</f>
        <v/>
      </c>
      <c r="G10" s="15">
        <f>IF($B10="","",IF($F10=0,"Ha",""))</f>
        <v/>
      </c>
      <c r="H10" s="13" t="n"/>
    </row>
    <row r="11">
      <c r="A11" s="9" t="n">
        <v>7</v>
      </c>
      <c r="B11" s="13" t="n"/>
      <c r="C11" s="24" t="n"/>
      <c r="D11" s="13" t="n"/>
      <c r="E11" s="13" t="n"/>
      <c r="F11" s="15">
        <f>IF($B11="","",COUNTIFS('Hisobot_jadvali'!$C$5:$C$404,$B11,'Hisobot_jadvali'!$B$5:$B$404,"&gt;="&amp;Boshqaruv!$C$9,'Hisobot_jadvali'!$B$5:$B$404,"&lt;="&amp;Boshqaruv!$C$10))</f>
        <v/>
      </c>
      <c r="G11" s="15">
        <f>IF($B11="","",IF($F11=0,"Ha",""))</f>
        <v/>
      </c>
      <c r="H11" s="13" t="n"/>
    </row>
    <row r="12">
      <c r="A12" s="9" t="n">
        <v>8</v>
      </c>
      <c r="B12" s="13" t="n"/>
      <c r="C12" s="24" t="n"/>
      <c r="D12" s="13" t="n"/>
      <c r="E12" s="13" t="n"/>
      <c r="F12" s="15">
        <f>IF($B12="","",COUNTIFS('Hisobot_jadvali'!$C$5:$C$404,$B12,'Hisobot_jadvali'!$B$5:$B$404,"&gt;="&amp;Boshqaruv!$C$9,'Hisobot_jadvali'!$B$5:$B$404,"&lt;="&amp;Boshqaruv!$C$10))</f>
        <v/>
      </c>
      <c r="G12" s="15">
        <f>IF($B12="","",IF($F12=0,"Ha",""))</f>
        <v/>
      </c>
      <c r="H12" s="13" t="n"/>
    </row>
    <row r="13">
      <c r="A13" s="9" t="n">
        <v>9</v>
      </c>
      <c r="B13" s="13" t="n"/>
      <c r="C13" s="24" t="n"/>
      <c r="D13" s="13" t="n"/>
      <c r="E13" s="13" t="n"/>
      <c r="F13" s="15">
        <f>IF($B13="","",COUNTIFS('Hisobot_jadvali'!$C$5:$C$404,$B13,'Hisobot_jadvali'!$B$5:$B$404,"&gt;="&amp;Boshqaruv!$C$9,'Hisobot_jadvali'!$B$5:$B$404,"&lt;="&amp;Boshqaruv!$C$10))</f>
        <v/>
      </c>
      <c r="G13" s="15">
        <f>IF($B13="","",IF($F13=0,"Ha",""))</f>
        <v/>
      </c>
      <c r="H13" s="13" t="n"/>
    </row>
    <row r="14">
      <c r="A14" s="9" t="n">
        <v>10</v>
      </c>
      <c r="B14" s="13" t="n"/>
      <c r="C14" s="24" t="n"/>
      <c r="D14" s="13" t="n"/>
      <c r="E14" s="13" t="n"/>
      <c r="F14" s="15">
        <f>IF($B14="","",COUNTIFS('Hisobot_jadvali'!$C$5:$C$404,$B14,'Hisobot_jadvali'!$B$5:$B$404,"&gt;="&amp;Boshqaruv!$C$9,'Hisobot_jadvali'!$B$5:$B$404,"&lt;="&amp;Boshqaruv!$C$10))</f>
        <v/>
      </c>
      <c r="G14" s="15">
        <f>IF($B14="","",IF($F14=0,"Ha",""))</f>
        <v/>
      </c>
      <c r="H14" s="13" t="n"/>
    </row>
    <row r="15">
      <c r="A15" s="9" t="n">
        <v>11</v>
      </c>
      <c r="B15" s="13" t="n"/>
      <c r="C15" s="24" t="n"/>
      <c r="D15" s="13" t="n"/>
      <c r="E15" s="13" t="n"/>
      <c r="F15" s="15">
        <f>IF($B15="","",COUNTIFS('Hisobot_jadvali'!$C$5:$C$404,$B15,'Hisobot_jadvali'!$B$5:$B$404,"&gt;="&amp;Boshqaruv!$C$9,'Hisobot_jadvali'!$B$5:$B$404,"&lt;="&amp;Boshqaruv!$C$10))</f>
        <v/>
      </c>
      <c r="G15" s="15">
        <f>IF($B15="","",IF($F15=0,"Ha",""))</f>
        <v/>
      </c>
      <c r="H15" s="13" t="n"/>
    </row>
    <row r="16">
      <c r="A16" s="9" t="n">
        <v>12</v>
      </c>
      <c r="B16" s="13" t="n"/>
      <c r="C16" s="24" t="n"/>
      <c r="D16" s="13" t="n"/>
      <c r="E16" s="13" t="n"/>
      <c r="F16" s="15">
        <f>IF($B16="","",COUNTIFS('Hisobot_jadvali'!$C$5:$C$404,$B16,'Hisobot_jadvali'!$B$5:$B$404,"&gt;="&amp;Boshqaruv!$C$9,'Hisobot_jadvali'!$B$5:$B$404,"&lt;="&amp;Boshqaruv!$C$10))</f>
        <v/>
      </c>
      <c r="G16" s="15">
        <f>IF($B16="","",IF($F16=0,"Ha",""))</f>
        <v/>
      </c>
      <c r="H16" s="13" t="n"/>
    </row>
    <row r="17">
      <c r="A17" s="9" t="n">
        <v>13</v>
      </c>
      <c r="B17" s="13" t="n"/>
      <c r="C17" s="24" t="n"/>
      <c r="D17" s="13" t="n"/>
      <c r="E17" s="13" t="n"/>
      <c r="F17" s="15">
        <f>IF($B17="","",COUNTIFS('Hisobot_jadvali'!$C$5:$C$404,$B17,'Hisobot_jadvali'!$B$5:$B$404,"&gt;="&amp;Boshqaruv!$C$9,'Hisobot_jadvali'!$B$5:$B$404,"&lt;="&amp;Boshqaruv!$C$10))</f>
        <v/>
      </c>
      <c r="G17" s="15">
        <f>IF($B17="","",IF($F17=0,"Ha",""))</f>
        <v/>
      </c>
      <c r="H17" s="13" t="n"/>
    </row>
    <row r="18">
      <c r="A18" s="9" t="n">
        <v>14</v>
      </c>
      <c r="B18" s="13" t="n"/>
      <c r="C18" s="24" t="n"/>
      <c r="D18" s="13" t="n"/>
      <c r="E18" s="13" t="n"/>
      <c r="F18" s="15">
        <f>IF($B18="","",COUNTIFS('Hisobot_jadvali'!$C$5:$C$404,$B18,'Hisobot_jadvali'!$B$5:$B$404,"&gt;="&amp;Boshqaruv!$C$9,'Hisobot_jadvali'!$B$5:$B$404,"&lt;="&amp;Boshqaruv!$C$10))</f>
        <v/>
      </c>
      <c r="G18" s="15">
        <f>IF($B18="","",IF($F18=0,"Ha",""))</f>
        <v/>
      </c>
      <c r="H18" s="13" t="n"/>
    </row>
    <row r="19">
      <c r="A19" s="9" t="n">
        <v>15</v>
      </c>
      <c r="B19" s="13" t="n"/>
      <c r="C19" s="24" t="n"/>
      <c r="D19" s="13" t="n"/>
      <c r="E19" s="13" t="n"/>
      <c r="F19" s="15">
        <f>IF($B19="","",COUNTIFS('Hisobot_jadvali'!$C$5:$C$404,$B19,'Hisobot_jadvali'!$B$5:$B$404,"&gt;="&amp;Boshqaruv!$C$9,'Hisobot_jadvali'!$B$5:$B$404,"&lt;="&amp;Boshqaruv!$C$10))</f>
        <v/>
      </c>
      <c r="G19" s="15">
        <f>IF($B19="","",IF($F19=0,"Ha",""))</f>
        <v/>
      </c>
      <c r="H19" s="13" t="n"/>
    </row>
    <row r="20">
      <c r="A20" s="9" t="n">
        <v>16</v>
      </c>
      <c r="B20" s="13" t="n"/>
      <c r="C20" s="24" t="n"/>
      <c r="D20" s="13" t="n"/>
      <c r="E20" s="13" t="n"/>
      <c r="F20" s="15">
        <f>IF($B20="","",COUNTIFS('Hisobot_jadvali'!$C$5:$C$404,$B20,'Hisobot_jadvali'!$B$5:$B$404,"&gt;="&amp;Boshqaruv!$C$9,'Hisobot_jadvali'!$B$5:$B$404,"&lt;="&amp;Boshqaruv!$C$10))</f>
        <v/>
      </c>
      <c r="G20" s="15">
        <f>IF($B20="","",IF($F20=0,"Ha",""))</f>
        <v/>
      </c>
      <c r="H20" s="13" t="n"/>
    </row>
    <row r="21">
      <c r="A21" s="9" t="n">
        <v>17</v>
      </c>
      <c r="B21" s="13" t="n"/>
      <c r="C21" s="24" t="n"/>
      <c r="D21" s="13" t="n"/>
      <c r="E21" s="13" t="n"/>
      <c r="F21" s="15">
        <f>IF($B21="","",COUNTIFS('Hisobot_jadvali'!$C$5:$C$404,$B21,'Hisobot_jadvali'!$B$5:$B$404,"&gt;="&amp;Boshqaruv!$C$9,'Hisobot_jadvali'!$B$5:$B$404,"&lt;="&amp;Boshqaruv!$C$10))</f>
        <v/>
      </c>
      <c r="G21" s="15">
        <f>IF($B21="","",IF($F21=0,"Ha",""))</f>
        <v/>
      </c>
      <c r="H21" s="13" t="n"/>
    </row>
    <row r="22">
      <c r="A22" s="9" t="n">
        <v>18</v>
      </c>
      <c r="B22" s="13" t="n"/>
      <c r="C22" s="24" t="n"/>
      <c r="D22" s="13" t="n"/>
      <c r="E22" s="13" t="n"/>
      <c r="F22" s="15">
        <f>IF($B22="","",COUNTIFS('Hisobot_jadvali'!$C$5:$C$404,$B22,'Hisobot_jadvali'!$B$5:$B$404,"&gt;="&amp;Boshqaruv!$C$9,'Hisobot_jadvali'!$B$5:$B$404,"&lt;="&amp;Boshqaruv!$C$10))</f>
        <v/>
      </c>
      <c r="G22" s="15">
        <f>IF($B22="","",IF($F22=0,"Ha",""))</f>
        <v/>
      </c>
      <c r="H22" s="13" t="n"/>
    </row>
    <row r="23">
      <c r="A23" s="9" t="n">
        <v>19</v>
      </c>
      <c r="B23" s="13" t="n"/>
      <c r="C23" s="24" t="n"/>
      <c r="D23" s="13" t="n"/>
      <c r="E23" s="13" t="n"/>
      <c r="F23" s="15">
        <f>IF($B23="","",COUNTIFS('Hisobot_jadvali'!$C$5:$C$404,$B23,'Hisobot_jadvali'!$B$5:$B$404,"&gt;="&amp;Boshqaruv!$C$9,'Hisobot_jadvali'!$B$5:$B$404,"&lt;="&amp;Boshqaruv!$C$10))</f>
        <v/>
      </c>
      <c r="G23" s="15">
        <f>IF($B23="","",IF($F23=0,"Ha",""))</f>
        <v/>
      </c>
      <c r="H23" s="13" t="n"/>
    </row>
    <row r="24">
      <c r="A24" s="9" t="n">
        <v>20</v>
      </c>
      <c r="B24" s="13" t="n"/>
      <c r="C24" s="24" t="n"/>
      <c r="D24" s="13" t="n"/>
      <c r="E24" s="13" t="n"/>
      <c r="F24" s="15">
        <f>IF($B24="","",COUNTIFS('Hisobot_jadvali'!$C$5:$C$404,$B24,'Hisobot_jadvali'!$B$5:$B$404,"&gt;="&amp;Boshqaruv!$C$9,'Hisobot_jadvali'!$B$5:$B$404,"&lt;="&amp;Boshqaruv!$C$10))</f>
        <v/>
      </c>
      <c r="G24" s="15">
        <f>IF($B24="","",IF($F24=0,"Ha",""))</f>
        <v/>
      </c>
      <c r="H24" s="13" t="n"/>
    </row>
    <row r="25">
      <c r="A25" s="9" t="n">
        <v>21</v>
      </c>
      <c r="B25" s="13" t="n"/>
      <c r="C25" s="24" t="n"/>
      <c r="D25" s="13" t="n"/>
      <c r="E25" s="13" t="n"/>
      <c r="F25" s="15">
        <f>IF($B25="","",COUNTIFS('Hisobot_jadvali'!$C$5:$C$404,$B25,'Hisobot_jadvali'!$B$5:$B$404,"&gt;="&amp;Boshqaruv!$C$9,'Hisobot_jadvali'!$B$5:$B$404,"&lt;="&amp;Boshqaruv!$C$10))</f>
        <v/>
      </c>
      <c r="G25" s="15">
        <f>IF($B25="","",IF($F25=0,"Ha",""))</f>
        <v/>
      </c>
      <c r="H25" s="13" t="n"/>
    </row>
    <row r="26">
      <c r="A26" s="9" t="n">
        <v>22</v>
      </c>
      <c r="B26" s="13" t="n"/>
      <c r="C26" s="24" t="n"/>
      <c r="D26" s="13" t="n"/>
      <c r="E26" s="13" t="n"/>
      <c r="F26" s="15">
        <f>IF($B26="","",COUNTIFS('Hisobot_jadvali'!$C$5:$C$404,$B26,'Hisobot_jadvali'!$B$5:$B$404,"&gt;="&amp;Boshqaruv!$C$9,'Hisobot_jadvali'!$B$5:$B$404,"&lt;="&amp;Boshqaruv!$C$10))</f>
        <v/>
      </c>
      <c r="G26" s="15">
        <f>IF($B26="","",IF($F26=0,"Ha",""))</f>
        <v/>
      </c>
      <c r="H26" s="13" t="n"/>
    </row>
    <row r="27">
      <c r="A27" s="9" t="n">
        <v>23</v>
      </c>
      <c r="B27" s="13" t="n"/>
      <c r="C27" s="24" t="n"/>
      <c r="D27" s="13" t="n"/>
      <c r="E27" s="13" t="n"/>
      <c r="F27" s="15">
        <f>IF($B27="","",COUNTIFS('Hisobot_jadvali'!$C$5:$C$404,$B27,'Hisobot_jadvali'!$B$5:$B$404,"&gt;="&amp;Boshqaruv!$C$9,'Hisobot_jadvali'!$B$5:$B$404,"&lt;="&amp;Boshqaruv!$C$10))</f>
        <v/>
      </c>
      <c r="G27" s="15">
        <f>IF($B27="","",IF($F27=0,"Ha",""))</f>
        <v/>
      </c>
      <c r="H27" s="13" t="n"/>
    </row>
    <row r="28">
      <c r="A28" s="9" t="n">
        <v>24</v>
      </c>
      <c r="B28" s="13" t="n"/>
      <c r="C28" s="24" t="n"/>
      <c r="D28" s="13" t="n"/>
      <c r="E28" s="13" t="n"/>
      <c r="F28" s="15">
        <f>IF($B28="","",COUNTIFS('Hisobot_jadvali'!$C$5:$C$404,$B28,'Hisobot_jadvali'!$B$5:$B$404,"&gt;="&amp;Boshqaruv!$C$9,'Hisobot_jadvali'!$B$5:$B$404,"&lt;="&amp;Boshqaruv!$C$10))</f>
        <v/>
      </c>
      <c r="G28" s="15">
        <f>IF($B28="","",IF($F28=0,"Ha",""))</f>
        <v/>
      </c>
      <c r="H28" s="13" t="n"/>
    </row>
    <row r="29">
      <c r="A29" s="9" t="n">
        <v>25</v>
      </c>
      <c r="B29" s="13" t="n"/>
      <c r="C29" s="24" t="n"/>
      <c r="D29" s="13" t="n"/>
      <c r="E29" s="13" t="n"/>
      <c r="F29" s="15">
        <f>IF($B29="","",COUNTIFS('Hisobot_jadvali'!$C$5:$C$404,$B29,'Hisobot_jadvali'!$B$5:$B$404,"&gt;="&amp;Boshqaruv!$C$9,'Hisobot_jadvali'!$B$5:$B$404,"&lt;="&amp;Boshqaruv!$C$10))</f>
        <v/>
      </c>
      <c r="G29" s="15">
        <f>IF($B29="","",IF($F29=0,"Ha",""))</f>
        <v/>
      </c>
      <c r="H29" s="13" t="n"/>
    </row>
    <row r="30">
      <c r="A30" s="9" t="n">
        <v>26</v>
      </c>
      <c r="B30" s="13" t="n"/>
      <c r="C30" s="24" t="n"/>
      <c r="D30" s="13" t="n"/>
      <c r="E30" s="13" t="n"/>
      <c r="F30" s="15">
        <f>IF($B30="","",COUNTIFS('Hisobot_jadvali'!$C$5:$C$404,$B30,'Hisobot_jadvali'!$B$5:$B$404,"&gt;="&amp;Boshqaruv!$C$9,'Hisobot_jadvali'!$B$5:$B$404,"&lt;="&amp;Boshqaruv!$C$10))</f>
        <v/>
      </c>
      <c r="G30" s="15">
        <f>IF($B30="","",IF($F30=0,"Ha",""))</f>
        <v/>
      </c>
      <c r="H30" s="13" t="n"/>
    </row>
    <row r="31">
      <c r="A31" s="9" t="n">
        <v>27</v>
      </c>
      <c r="B31" s="13" t="n"/>
      <c r="C31" s="24" t="n"/>
      <c r="D31" s="13" t="n"/>
      <c r="E31" s="13" t="n"/>
      <c r="F31" s="15">
        <f>IF($B31="","",COUNTIFS('Hisobot_jadvali'!$C$5:$C$404,$B31,'Hisobot_jadvali'!$B$5:$B$404,"&gt;="&amp;Boshqaruv!$C$9,'Hisobot_jadvali'!$B$5:$B$404,"&lt;="&amp;Boshqaruv!$C$10))</f>
        <v/>
      </c>
      <c r="G31" s="15">
        <f>IF($B31="","",IF($F31=0,"Ha",""))</f>
        <v/>
      </c>
      <c r="H31" s="13" t="n"/>
    </row>
    <row r="32">
      <c r="A32" s="9" t="n">
        <v>28</v>
      </c>
      <c r="B32" s="13" t="n"/>
      <c r="C32" s="24" t="n"/>
      <c r="D32" s="13" t="n"/>
      <c r="E32" s="13" t="n"/>
      <c r="F32" s="15">
        <f>IF($B32="","",COUNTIFS('Hisobot_jadvali'!$C$5:$C$404,$B32,'Hisobot_jadvali'!$B$5:$B$404,"&gt;="&amp;Boshqaruv!$C$9,'Hisobot_jadvali'!$B$5:$B$404,"&lt;="&amp;Boshqaruv!$C$10))</f>
        <v/>
      </c>
      <c r="G32" s="15">
        <f>IF($B32="","",IF($F32=0,"Ha",""))</f>
        <v/>
      </c>
      <c r="H32" s="13" t="n"/>
    </row>
    <row r="33">
      <c r="A33" s="9" t="n">
        <v>29</v>
      </c>
      <c r="B33" s="13" t="n"/>
      <c r="C33" s="24" t="n"/>
      <c r="D33" s="13" t="n"/>
      <c r="E33" s="13" t="n"/>
      <c r="F33" s="15">
        <f>IF($B33="","",COUNTIFS('Hisobot_jadvali'!$C$5:$C$404,$B33,'Hisobot_jadvali'!$B$5:$B$404,"&gt;="&amp;Boshqaruv!$C$9,'Hisobot_jadvali'!$B$5:$B$404,"&lt;="&amp;Boshqaruv!$C$10))</f>
        <v/>
      </c>
      <c r="G33" s="15">
        <f>IF($B33="","",IF($F33=0,"Ha",""))</f>
        <v/>
      </c>
      <c r="H33" s="13" t="n"/>
    </row>
    <row r="34">
      <c r="A34" s="9" t="n">
        <v>30</v>
      </c>
      <c r="B34" s="13" t="n"/>
      <c r="C34" s="24" t="n"/>
      <c r="D34" s="13" t="n"/>
      <c r="E34" s="13" t="n"/>
      <c r="F34" s="15">
        <f>IF($B34="","",COUNTIFS('Hisobot_jadvali'!$C$5:$C$404,$B34,'Hisobot_jadvali'!$B$5:$B$404,"&gt;="&amp;Boshqaruv!$C$9,'Hisobot_jadvali'!$B$5:$B$404,"&lt;="&amp;Boshqaruv!$C$10))</f>
        <v/>
      </c>
      <c r="G34" s="15">
        <f>IF($B34="","",IF($F34=0,"Ha",""))</f>
        <v/>
      </c>
      <c r="H34" s="13" t="n"/>
    </row>
    <row r="35">
      <c r="A35" s="9" t="n">
        <v>31</v>
      </c>
      <c r="B35" s="13" t="n"/>
      <c r="C35" s="24" t="n"/>
      <c r="D35" s="13" t="n"/>
      <c r="E35" s="13" t="n"/>
      <c r="F35" s="15">
        <f>IF($B35="","",COUNTIFS('Hisobot_jadvali'!$C$5:$C$404,$B35,'Hisobot_jadvali'!$B$5:$B$404,"&gt;="&amp;Boshqaruv!$C$9,'Hisobot_jadvali'!$B$5:$B$404,"&lt;="&amp;Boshqaruv!$C$10))</f>
        <v/>
      </c>
      <c r="G35" s="15">
        <f>IF($B35="","",IF($F35=0,"Ha",""))</f>
        <v/>
      </c>
      <c r="H35" s="13" t="n"/>
    </row>
    <row r="36">
      <c r="A36" s="9" t="n">
        <v>32</v>
      </c>
      <c r="B36" s="13" t="n"/>
      <c r="C36" s="24" t="n"/>
      <c r="D36" s="13" t="n"/>
      <c r="E36" s="13" t="n"/>
      <c r="F36" s="15">
        <f>IF($B36="","",COUNTIFS('Hisobot_jadvali'!$C$5:$C$404,$B36,'Hisobot_jadvali'!$B$5:$B$404,"&gt;="&amp;Boshqaruv!$C$9,'Hisobot_jadvali'!$B$5:$B$404,"&lt;="&amp;Boshqaruv!$C$10))</f>
        <v/>
      </c>
      <c r="G36" s="15">
        <f>IF($B36="","",IF($F36=0,"Ha",""))</f>
        <v/>
      </c>
      <c r="H36" s="13" t="n"/>
    </row>
    <row r="37">
      <c r="A37" s="9" t="n">
        <v>33</v>
      </c>
      <c r="B37" s="13" t="n"/>
      <c r="C37" s="24" t="n"/>
      <c r="D37" s="13" t="n"/>
      <c r="E37" s="13" t="n"/>
      <c r="F37" s="15">
        <f>IF($B37="","",COUNTIFS('Hisobot_jadvali'!$C$5:$C$404,$B37,'Hisobot_jadvali'!$B$5:$B$404,"&gt;="&amp;Boshqaruv!$C$9,'Hisobot_jadvali'!$B$5:$B$404,"&lt;="&amp;Boshqaruv!$C$10))</f>
        <v/>
      </c>
      <c r="G37" s="15">
        <f>IF($B37="","",IF($F37=0,"Ha",""))</f>
        <v/>
      </c>
      <c r="H37" s="13" t="n"/>
    </row>
    <row r="38">
      <c r="A38" s="9" t="n">
        <v>34</v>
      </c>
      <c r="B38" s="13" t="n"/>
      <c r="C38" s="24" t="n"/>
      <c r="D38" s="13" t="n"/>
      <c r="E38" s="13" t="n"/>
      <c r="F38" s="15">
        <f>IF($B38="","",COUNTIFS('Hisobot_jadvali'!$C$5:$C$404,$B38,'Hisobot_jadvali'!$B$5:$B$404,"&gt;="&amp;Boshqaruv!$C$9,'Hisobot_jadvali'!$B$5:$B$404,"&lt;="&amp;Boshqaruv!$C$10))</f>
        <v/>
      </c>
      <c r="G38" s="15">
        <f>IF($B38="","",IF($F38=0,"Ha",""))</f>
        <v/>
      </c>
      <c r="H38" s="13" t="n"/>
    </row>
    <row r="39">
      <c r="A39" s="9" t="n">
        <v>35</v>
      </c>
      <c r="B39" s="13" t="n"/>
      <c r="C39" s="24" t="n"/>
      <c r="D39" s="13" t="n"/>
      <c r="E39" s="13" t="n"/>
      <c r="F39" s="15">
        <f>IF($B39="","",COUNTIFS('Hisobot_jadvali'!$C$5:$C$404,$B39,'Hisobot_jadvali'!$B$5:$B$404,"&gt;="&amp;Boshqaruv!$C$9,'Hisobot_jadvali'!$B$5:$B$404,"&lt;="&amp;Boshqaruv!$C$10))</f>
        <v/>
      </c>
      <c r="G39" s="15">
        <f>IF($B39="","",IF($F39=0,"Ha",""))</f>
        <v/>
      </c>
      <c r="H39" s="13" t="n"/>
    </row>
    <row r="40">
      <c r="A40" s="9" t="n">
        <v>36</v>
      </c>
      <c r="B40" s="13" t="n"/>
      <c r="C40" s="24" t="n"/>
      <c r="D40" s="13" t="n"/>
      <c r="E40" s="13" t="n"/>
      <c r="F40" s="15">
        <f>IF($B40="","",COUNTIFS('Hisobot_jadvali'!$C$5:$C$404,$B40,'Hisobot_jadvali'!$B$5:$B$404,"&gt;="&amp;Boshqaruv!$C$9,'Hisobot_jadvali'!$B$5:$B$404,"&lt;="&amp;Boshqaruv!$C$10))</f>
        <v/>
      </c>
      <c r="G40" s="15">
        <f>IF($B40="","",IF($F40=0,"Ha",""))</f>
        <v/>
      </c>
      <c r="H40" s="13" t="n"/>
    </row>
    <row r="41">
      <c r="A41" s="9" t="n">
        <v>37</v>
      </c>
      <c r="B41" s="13" t="n"/>
      <c r="C41" s="24" t="n"/>
      <c r="D41" s="13" t="n"/>
      <c r="E41" s="13" t="n"/>
      <c r="F41" s="15">
        <f>IF($B41="","",COUNTIFS('Hisobot_jadvali'!$C$5:$C$404,$B41,'Hisobot_jadvali'!$B$5:$B$404,"&gt;="&amp;Boshqaruv!$C$9,'Hisobot_jadvali'!$B$5:$B$404,"&lt;="&amp;Boshqaruv!$C$10))</f>
        <v/>
      </c>
      <c r="G41" s="15">
        <f>IF($B41="","",IF($F41=0,"Ha",""))</f>
        <v/>
      </c>
      <c r="H41" s="13" t="n"/>
    </row>
    <row r="42">
      <c r="A42" s="9" t="n">
        <v>38</v>
      </c>
      <c r="B42" s="13" t="n"/>
      <c r="C42" s="24" t="n"/>
      <c r="D42" s="13" t="n"/>
      <c r="E42" s="13" t="n"/>
      <c r="F42" s="15">
        <f>IF($B42="","",COUNTIFS('Hisobot_jadvali'!$C$5:$C$404,$B42,'Hisobot_jadvali'!$B$5:$B$404,"&gt;="&amp;Boshqaruv!$C$9,'Hisobot_jadvali'!$B$5:$B$404,"&lt;="&amp;Boshqaruv!$C$10))</f>
        <v/>
      </c>
      <c r="G42" s="15">
        <f>IF($B42="","",IF($F42=0,"Ha",""))</f>
        <v/>
      </c>
      <c r="H42" s="13" t="n"/>
    </row>
    <row r="43">
      <c r="A43" s="9" t="n">
        <v>39</v>
      </c>
      <c r="B43" s="13" t="n"/>
      <c r="C43" s="24" t="n"/>
      <c r="D43" s="13" t="n"/>
      <c r="E43" s="13" t="n"/>
      <c r="F43" s="15">
        <f>IF($B43="","",COUNTIFS('Hisobot_jadvali'!$C$5:$C$404,$B43,'Hisobot_jadvali'!$B$5:$B$404,"&gt;="&amp;Boshqaruv!$C$9,'Hisobot_jadvali'!$B$5:$B$404,"&lt;="&amp;Boshqaruv!$C$10))</f>
        <v/>
      </c>
      <c r="G43" s="15">
        <f>IF($B43="","",IF($F43=0,"Ha",""))</f>
        <v/>
      </c>
      <c r="H43" s="13" t="n"/>
    </row>
    <row r="44">
      <c r="A44" s="9" t="n">
        <v>40</v>
      </c>
      <c r="B44" s="13" t="n"/>
      <c r="C44" s="24" t="n"/>
      <c r="D44" s="13" t="n"/>
      <c r="E44" s="13" t="n"/>
      <c r="F44" s="15">
        <f>IF($B44="","",COUNTIFS('Hisobot_jadvali'!$C$5:$C$404,$B44,'Hisobot_jadvali'!$B$5:$B$404,"&gt;="&amp;Boshqaruv!$C$9,'Hisobot_jadvali'!$B$5:$B$404,"&lt;="&amp;Boshqaruv!$C$10))</f>
        <v/>
      </c>
      <c r="G44" s="15">
        <f>IF($B44="","",IF($F44=0,"Ha",""))</f>
        <v/>
      </c>
      <c r="H44" s="13" t="n"/>
    </row>
    <row r="45">
      <c r="A45" s="9" t="n">
        <v>41</v>
      </c>
      <c r="B45" s="13" t="n"/>
      <c r="C45" s="24" t="n"/>
      <c r="D45" s="13" t="n"/>
      <c r="E45" s="13" t="n"/>
      <c r="F45" s="15">
        <f>IF($B45="","",COUNTIFS('Hisobot_jadvali'!$C$5:$C$404,$B45,'Hisobot_jadvali'!$B$5:$B$404,"&gt;="&amp;Boshqaruv!$C$9,'Hisobot_jadvali'!$B$5:$B$404,"&lt;="&amp;Boshqaruv!$C$10))</f>
        <v/>
      </c>
      <c r="G45" s="15">
        <f>IF($B45="","",IF($F45=0,"Ha",""))</f>
        <v/>
      </c>
      <c r="H45" s="13" t="n"/>
    </row>
    <row r="46">
      <c r="A46" s="9" t="n">
        <v>42</v>
      </c>
      <c r="B46" s="13" t="n"/>
      <c r="C46" s="24" t="n"/>
      <c r="D46" s="13" t="n"/>
      <c r="E46" s="13" t="n"/>
      <c r="F46" s="15">
        <f>IF($B46="","",COUNTIFS('Hisobot_jadvali'!$C$5:$C$404,$B46,'Hisobot_jadvali'!$B$5:$B$404,"&gt;="&amp;Boshqaruv!$C$9,'Hisobot_jadvali'!$B$5:$B$404,"&lt;="&amp;Boshqaruv!$C$10))</f>
        <v/>
      </c>
      <c r="G46" s="15">
        <f>IF($B46="","",IF($F46=0,"Ha",""))</f>
        <v/>
      </c>
      <c r="H46" s="13" t="n"/>
    </row>
    <row r="47">
      <c r="A47" s="9" t="n">
        <v>43</v>
      </c>
      <c r="B47" s="13" t="n"/>
      <c r="C47" s="24" t="n"/>
      <c r="D47" s="13" t="n"/>
      <c r="E47" s="13" t="n"/>
      <c r="F47" s="15">
        <f>IF($B47="","",COUNTIFS('Hisobot_jadvali'!$C$5:$C$404,$B47,'Hisobot_jadvali'!$B$5:$B$404,"&gt;="&amp;Boshqaruv!$C$9,'Hisobot_jadvali'!$B$5:$B$404,"&lt;="&amp;Boshqaruv!$C$10))</f>
        <v/>
      </c>
      <c r="G47" s="15">
        <f>IF($B47="","",IF($F47=0,"Ha",""))</f>
        <v/>
      </c>
      <c r="H47" s="13" t="n"/>
    </row>
    <row r="48">
      <c r="A48" s="9" t="n">
        <v>44</v>
      </c>
      <c r="B48" s="13" t="n"/>
      <c r="C48" s="24" t="n"/>
      <c r="D48" s="13" t="n"/>
      <c r="E48" s="13" t="n"/>
      <c r="F48" s="15">
        <f>IF($B48="","",COUNTIFS('Hisobot_jadvali'!$C$5:$C$404,$B48,'Hisobot_jadvali'!$B$5:$B$404,"&gt;="&amp;Boshqaruv!$C$9,'Hisobot_jadvali'!$B$5:$B$404,"&lt;="&amp;Boshqaruv!$C$10))</f>
        <v/>
      </c>
      <c r="G48" s="15">
        <f>IF($B48="","",IF($F48=0,"Ha",""))</f>
        <v/>
      </c>
      <c r="H48" s="13" t="n"/>
    </row>
    <row r="49">
      <c r="A49" s="9" t="n">
        <v>45</v>
      </c>
      <c r="B49" s="13" t="n"/>
      <c r="C49" s="24" t="n"/>
      <c r="D49" s="13" t="n"/>
      <c r="E49" s="13" t="n"/>
      <c r="F49" s="15">
        <f>IF($B49="","",COUNTIFS('Hisobot_jadvali'!$C$5:$C$404,$B49,'Hisobot_jadvali'!$B$5:$B$404,"&gt;="&amp;Boshqaruv!$C$9,'Hisobot_jadvali'!$B$5:$B$404,"&lt;="&amp;Boshqaruv!$C$10))</f>
        <v/>
      </c>
      <c r="G49" s="15">
        <f>IF($B49="","",IF($F49=0,"Ha",""))</f>
        <v/>
      </c>
      <c r="H49" s="13" t="n"/>
    </row>
    <row r="50">
      <c r="A50" s="9" t="n">
        <v>46</v>
      </c>
      <c r="B50" s="13" t="n"/>
      <c r="C50" s="24" t="n"/>
      <c r="D50" s="13" t="n"/>
      <c r="E50" s="13" t="n"/>
      <c r="F50" s="15">
        <f>IF($B50="","",COUNTIFS('Hisobot_jadvali'!$C$5:$C$404,$B50,'Hisobot_jadvali'!$B$5:$B$404,"&gt;="&amp;Boshqaruv!$C$9,'Hisobot_jadvali'!$B$5:$B$404,"&lt;="&amp;Boshqaruv!$C$10))</f>
        <v/>
      </c>
      <c r="G50" s="15">
        <f>IF($B50="","",IF($F50=0,"Ha",""))</f>
        <v/>
      </c>
      <c r="H50" s="13" t="n"/>
    </row>
    <row r="51">
      <c r="A51" s="9" t="n">
        <v>47</v>
      </c>
      <c r="B51" s="13" t="n"/>
      <c r="C51" s="24" t="n"/>
      <c r="D51" s="13" t="n"/>
      <c r="E51" s="13" t="n"/>
      <c r="F51" s="15">
        <f>IF($B51="","",COUNTIFS('Hisobot_jadvali'!$C$5:$C$404,$B51,'Hisobot_jadvali'!$B$5:$B$404,"&gt;="&amp;Boshqaruv!$C$9,'Hisobot_jadvali'!$B$5:$B$404,"&lt;="&amp;Boshqaruv!$C$10))</f>
        <v/>
      </c>
      <c r="G51" s="15">
        <f>IF($B51="","",IF($F51=0,"Ha",""))</f>
        <v/>
      </c>
      <c r="H51" s="13" t="n"/>
    </row>
    <row r="52">
      <c r="A52" s="9" t="n">
        <v>48</v>
      </c>
      <c r="B52" s="13" t="n"/>
      <c r="C52" s="24" t="n"/>
      <c r="D52" s="13" t="n"/>
      <c r="E52" s="13" t="n"/>
      <c r="F52" s="15">
        <f>IF($B52="","",COUNTIFS('Hisobot_jadvali'!$C$5:$C$404,$B52,'Hisobot_jadvali'!$B$5:$B$404,"&gt;="&amp;Boshqaruv!$C$9,'Hisobot_jadvali'!$B$5:$B$404,"&lt;="&amp;Boshqaruv!$C$10))</f>
        <v/>
      </c>
      <c r="G52" s="15">
        <f>IF($B52="","",IF($F52=0,"Ha",""))</f>
        <v/>
      </c>
      <c r="H52" s="13" t="n"/>
    </row>
    <row r="53">
      <c r="A53" s="9" t="n">
        <v>49</v>
      </c>
      <c r="B53" s="13" t="n"/>
      <c r="C53" s="24" t="n"/>
      <c r="D53" s="13" t="n"/>
      <c r="E53" s="13" t="n"/>
      <c r="F53" s="15">
        <f>IF($B53="","",COUNTIFS('Hisobot_jadvali'!$C$5:$C$404,$B53,'Hisobot_jadvali'!$B$5:$B$404,"&gt;="&amp;Boshqaruv!$C$9,'Hisobot_jadvali'!$B$5:$B$404,"&lt;="&amp;Boshqaruv!$C$10))</f>
        <v/>
      </c>
      <c r="G53" s="15">
        <f>IF($B53="","",IF($F53=0,"Ha",""))</f>
        <v/>
      </c>
      <c r="H53" s="13" t="n"/>
    </row>
    <row r="54">
      <c r="A54" s="9" t="n">
        <v>50</v>
      </c>
      <c r="B54" s="13" t="n"/>
      <c r="C54" s="24" t="n"/>
      <c r="D54" s="13" t="n"/>
      <c r="E54" s="13" t="n"/>
      <c r="F54" s="15">
        <f>IF($B54="","",COUNTIFS('Hisobot_jadvali'!$C$5:$C$404,$B54,'Hisobot_jadvali'!$B$5:$B$404,"&gt;="&amp;Boshqaruv!$C$9,'Hisobot_jadvali'!$B$5:$B$404,"&lt;="&amp;Boshqaruv!$C$10))</f>
        <v/>
      </c>
      <c r="G54" s="15">
        <f>IF($B54="","",IF($F54=0,"Ha",""))</f>
        <v/>
      </c>
      <c r="H54" s="13" t="n"/>
    </row>
    <row r="55">
      <c r="A55" s="9" t="n">
        <v>51</v>
      </c>
      <c r="B55" s="13" t="n"/>
      <c r="C55" s="24" t="n"/>
      <c r="D55" s="13" t="n"/>
      <c r="E55" s="13" t="n"/>
      <c r="F55" s="15">
        <f>IF($B55="","",COUNTIFS('Hisobot_jadvali'!$C$5:$C$404,$B55,'Hisobot_jadvali'!$B$5:$B$404,"&gt;="&amp;Boshqaruv!$C$9,'Hisobot_jadvali'!$B$5:$B$404,"&lt;="&amp;Boshqaruv!$C$10))</f>
        <v/>
      </c>
      <c r="G55" s="15">
        <f>IF($B55="","",IF($F55=0,"Ha",""))</f>
        <v/>
      </c>
      <c r="H55" s="13" t="n"/>
    </row>
    <row r="56">
      <c r="A56" s="9" t="n">
        <v>52</v>
      </c>
      <c r="B56" s="13" t="n"/>
      <c r="C56" s="24" t="n"/>
      <c r="D56" s="13" t="n"/>
      <c r="E56" s="13" t="n"/>
      <c r="F56" s="15">
        <f>IF($B56="","",COUNTIFS('Hisobot_jadvali'!$C$5:$C$404,$B56,'Hisobot_jadvali'!$B$5:$B$404,"&gt;="&amp;Boshqaruv!$C$9,'Hisobot_jadvali'!$B$5:$B$404,"&lt;="&amp;Boshqaruv!$C$10))</f>
        <v/>
      </c>
      <c r="G56" s="15">
        <f>IF($B56="","",IF($F56=0,"Ha",""))</f>
        <v/>
      </c>
      <c r="H56" s="13" t="n"/>
    </row>
    <row r="57">
      <c r="A57" s="9" t="n">
        <v>53</v>
      </c>
      <c r="B57" s="13" t="n"/>
      <c r="C57" s="24" t="n"/>
      <c r="D57" s="13" t="n"/>
      <c r="E57" s="13" t="n"/>
      <c r="F57" s="15">
        <f>IF($B57="","",COUNTIFS('Hisobot_jadvali'!$C$5:$C$404,$B57,'Hisobot_jadvali'!$B$5:$B$404,"&gt;="&amp;Boshqaruv!$C$9,'Hisobot_jadvali'!$B$5:$B$404,"&lt;="&amp;Boshqaruv!$C$10))</f>
        <v/>
      </c>
      <c r="G57" s="15">
        <f>IF($B57="","",IF($F57=0,"Ha",""))</f>
        <v/>
      </c>
      <c r="H57" s="13" t="n"/>
    </row>
    <row r="58">
      <c r="A58" s="9" t="n">
        <v>54</v>
      </c>
      <c r="B58" s="13" t="n"/>
      <c r="C58" s="24" t="n"/>
      <c r="D58" s="13" t="n"/>
      <c r="E58" s="13" t="n"/>
      <c r="F58" s="15">
        <f>IF($B58="","",COUNTIFS('Hisobot_jadvali'!$C$5:$C$404,$B58,'Hisobot_jadvali'!$B$5:$B$404,"&gt;="&amp;Boshqaruv!$C$9,'Hisobot_jadvali'!$B$5:$B$404,"&lt;="&amp;Boshqaruv!$C$10))</f>
        <v/>
      </c>
      <c r="G58" s="15">
        <f>IF($B58="","",IF($F58=0,"Ha",""))</f>
        <v/>
      </c>
      <c r="H58" s="13" t="n"/>
    </row>
    <row r="59">
      <c r="A59" s="9" t="n">
        <v>55</v>
      </c>
      <c r="B59" s="13" t="n"/>
      <c r="C59" s="24" t="n"/>
      <c r="D59" s="13" t="n"/>
      <c r="E59" s="13" t="n"/>
      <c r="F59" s="15">
        <f>IF($B59="","",COUNTIFS('Hisobot_jadvali'!$C$5:$C$404,$B59,'Hisobot_jadvali'!$B$5:$B$404,"&gt;="&amp;Boshqaruv!$C$9,'Hisobot_jadvali'!$B$5:$B$404,"&lt;="&amp;Boshqaruv!$C$10))</f>
        <v/>
      </c>
      <c r="G59" s="15">
        <f>IF($B59="","",IF($F59=0,"Ha",""))</f>
        <v/>
      </c>
      <c r="H59" s="13" t="n"/>
    </row>
    <row r="60">
      <c r="A60" s="9" t="n">
        <v>56</v>
      </c>
      <c r="B60" s="13" t="n"/>
      <c r="C60" s="24" t="n"/>
      <c r="D60" s="13" t="n"/>
      <c r="E60" s="13" t="n"/>
      <c r="F60" s="15">
        <f>IF($B60="","",COUNTIFS('Hisobot_jadvali'!$C$5:$C$404,$B60,'Hisobot_jadvali'!$B$5:$B$404,"&gt;="&amp;Boshqaruv!$C$9,'Hisobot_jadvali'!$B$5:$B$404,"&lt;="&amp;Boshqaruv!$C$10))</f>
        <v/>
      </c>
      <c r="G60" s="15">
        <f>IF($B60="","",IF($F60=0,"Ha",""))</f>
        <v/>
      </c>
      <c r="H60" s="13" t="n"/>
    </row>
    <row r="61">
      <c r="A61" s="9" t="n">
        <v>57</v>
      </c>
      <c r="B61" s="13" t="n"/>
      <c r="C61" s="24" t="n"/>
      <c r="D61" s="13" t="n"/>
      <c r="E61" s="13" t="n"/>
      <c r="F61" s="15">
        <f>IF($B61="","",COUNTIFS('Hisobot_jadvali'!$C$5:$C$404,$B61,'Hisobot_jadvali'!$B$5:$B$404,"&gt;="&amp;Boshqaruv!$C$9,'Hisobot_jadvali'!$B$5:$B$404,"&lt;="&amp;Boshqaruv!$C$10))</f>
        <v/>
      </c>
      <c r="G61" s="15">
        <f>IF($B61="","",IF($F61=0,"Ha",""))</f>
        <v/>
      </c>
      <c r="H61" s="13" t="n"/>
    </row>
    <row r="62">
      <c r="A62" s="9" t="n">
        <v>58</v>
      </c>
      <c r="B62" s="13" t="n"/>
      <c r="C62" s="24" t="n"/>
      <c r="D62" s="13" t="n"/>
      <c r="E62" s="13" t="n"/>
      <c r="F62" s="15">
        <f>IF($B62="","",COUNTIFS('Hisobot_jadvali'!$C$5:$C$404,$B62,'Hisobot_jadvali'!$B$5:$B$404,"&gt;="&amp;Boshqaruv!$C$9,'Hisobot_jadvali'!$B$5:$B$404,"&lt;="&amp;Boshqaruv!$C$10))</f>
        <v/>
      </c>
      <c r="G62" s="15">
        <f>IF($B62="","",IF($F62=0,"Ha",""))</f>
        <v/>
      </c>
      <c r="H62" s="13" t="n"/>
    </row>
    <row r="63">
      <c r="A63" s="9" t="n">
        <v>59</v>
      </c>
      <c r="B63" s="13" t="n"/>
      <c r="C63" s="24" t="n"/>
      <c r="D63" s="13" t="n"/>
      <c r="E63" s="13" t="n"/>
      <c r="F63" s="15">
        <f>IF($B63="","",COUNTIFS('Hisobot_jadvali'!$C$5:$C$404,$B63,'Hisobot_jadvali'!$B$5:$B$404,"&gt;="&amp;Boshqaruv!$C$9,'Hisobot_jadvali'!$B$5:$B$404,"&lt;="&amp;Boshqaruv!$C$10))</f>
        <v/>
      </c>
      <c r="G63" s="15">
        <f>IF($B63="","",IF($F63=0,"Ha",""))</f>
        <v/>
      </c>
      <c r="H63" s="13" t="n"/>
    </row>
    <row r="64">
      <c r="A64" s="9" t="n">
        <v>60</v>
      </c>
      <c r="B64" s="13" t="n"/>
      <c r="C64" s="24" t="n"/>
      <c r="D64" s="13" t="n"/>
      <c r="E64" s="13" t="n"/>
      <c r="F64" s="15">
        <f>IF($B64="","",COUNTIFS('Hisobot_jadvali'!$C$5:$C$404,$B64,'Hisobot_jadvali'!$B$5:$B$404,"&gt;="&amp;Boshqaruv!$C$9,'Hisobot_jadvali'!$B$5:$B$404,"&lt;="&amp;Boshqaruv!$C$10))</f>
        <v/>
      </c>
      <c r="G64" s="15">
        <f>IF($B64="","",IF($F64=0,"Ha",""))</f>
        <v/>
      </c>
      <c r="H64" s="13" t="n"/>
    </row>
    <row r="65">
      <c r="A65" s="9" t="n">
        <v>61</v>
      </c>
      <c r="B65" s="13" t="n"/>
      <c r="C65" s="24" t="n"/>
      <c r="D65" s="13" t="n"/>
      <c r="E65" s="13" t="n"/>
      <c r="F65" s="15">
        <f>IF($B65="","",COUNTIFS('Hisobot_jadvali'!$C$5:$C$404,$B65,'Hisobot_jadvali'!$B$5:$B$404,"&gt;="&amp;Boshqaruv!$C$9,'Hisobot_jadvali'!$B$5:$B$404,"&lt;="&amp;Boshqaruv!$C$10))</f>
        <v/>
      </c>
      <c r="G65" s="15">
        <f>IF($B65="","",IF($F65=0,"Ha",""))</f>
        <v/>
      </c>
      <c r="H65" s="13" t="n"/>
    </row>
    <row r="66">
      <c r="A66" s="9" t="n">
        <v>62</v>
      </c>
      <c r="B66" s="13" t="n"/>
      <c r="C66" s="24" t="n"/>
      <c r="D66" s="13" t="n"/>
      <c r="E66" s="13" t="n"/>
      <c r="F66" s="15">
        <f>IF($B66="","",COUNTIFS('Hisobot_jadvali'!$C$5:$C$404,$B66,'Hisobot_jadvali'!$B$5:$B$404,"&gt;="&amp;Boshqaruv!$C$9,'Hisobot_jadvali'!$B$5:$B$404,"&lt;="&amp;Boshqaruv!$C$10))</f>
        <v/>
      </c>
      <c r="G66" s="15">
        <f>IF($B66="","",IF($F66=0,"Ha",""))</f>
        <v/>
      </c>
      <c r="H66" s="13" t="n"/>
    </row>
    <row r="67">
      <c r="A67" s="9" t="n">
        <v>63</v>
      </c>
      <c r="B67" s="13" t="n"/>
      <c r="C67" s="24" t="n"/>
      <c r="D67" s="13" t="n"/>
      <c r="E67" s="13" t="n"/>
      <c r="F67" s="15">
        <f>IF($B67="","",COUNTIFS('Hisobot_jadvali'!$C$5:$C$404,$B67,'Hisobot_jadvali'!$B$5:$B$404,"&gt;="&amp;Boshqaruv!$C$9,'Hisobot_jadvali'!$B$5:$B$404,"&lt;="&amp;Boshqaruv!$C$10))</f>
        <v/>
      </c>
      <c r="G67" s="15">
        <f>IF($B67="","",IF($F67=0,"Ha",""))</f>
        <v/>
      </c>
      <c r="H67" s="13" t="n"/>
    </row>
    <row r="68">
      <c r="A68" s="9" t="n">
        <v>64</v>
      </c>
      <c r="B68" s="13" t="n"/>
      <c r="C68" s="24" t="n"/>
      <c r="D68" s="13" t="n"/>
      <c r="E68" s="13" t="n"/>
      <c r="F68" s="15">
        <f>IF($B68="","",COUNTIFS('Hisobot_jadvali'!$C$5:$C$404,$B68,'Hisobot_jadvali'!$B$5:$B$404,"&gt;="&amp;Boshqaruv!$C$9,'Hisobot_jadvali'!$B$5:$B$404,"&lt;="&amp;Boshqaruv!$C$10))</f>
        <v/>
      </c>
      <c r="G68" s="15">
        <f>IF($B68="","",IF($F68=0,"Ha",""))</f>
        <v/>
      </c>
      <c r="H68" s="13" t="n"/>
    </row>
    <row r="69">
      <c r="A69" s="9" t="n">
        <v>65</v>
      </c>
      <c r="B69" s="13" t="n"/>
      <c r="C69" s="24" t="n"/>
      <c r="D69" s="13" t="n"/>
      <c r="E69" s="13" t="n"/>
      <c r="F69" s="15">
        <f>IF($B69="","",COUNTIFS('Hisobot_jadvali'!$C$5:$C$404,$B69,'Hisobot_jadvali'!$B$5:$B$404,"&gt;="&amp;Boshqaruv!$C$9,'Hisobot_jadvali'!$B$5:$B$404,"&lt;="&amp;Boshqaruv!$C$10))</f>
        <v/>
      </c>
      <c r="G69" s="15">
        <f>IF($B69="","",IF($F69=0,"Ha",""))</f>
        <v/>
      </c>
      <c r="H69" s="13" t="n"/>
    </row>
    <row r="70">
      <c r="A70" s="9" t="n">
        <v>66</v>
      </c>
      <c r="B70" s="13" t="n"/>
      <c r="C70" s="24" t="n"/>
      <c r="D70" s="13" t="n"/>
      <c r="E70" s="13" t="n"/>
      <c r="F70" s="15">
        <f>IF($B70="","",COUNTIFS('Hisobot_jadvali'!$C$5:$C$404,$B70,'Hisobot_jadvali'!$B$5:$B$404,"&gt;="&amp;Boshqaruv!$C$9,'Hisobot_jadvali'!$B$5:$B$404,"&lt;="&amp;Boshqaruv!$C$10))</f>
        <v/>
      </c>
      <c r="G70" s="15">
        <f>IF($B70="","",IF($F70=0,"Ha",""))</f>
        <v/>
      </c>
      <c r="H70" s="13" t="n"/>
    </row>
    <row r="71">
      <c r="A71" s="9" t="n">
        <v>67</v>
      </c>
      <c r="B71" s="13" t="n"/>
      <c r="C71" s="24" t="n"/>
      <c r="D71" s="13" t="n"/>
      <c r="E71" s="13" t="n"/>
      <c r="F71" s="15">
        <f>IF($B71="","",COUNTIFS('Hisobot_jadvali'!$C$5:$C$404,$B71,'Hisobot_jadvali'!$B$5:$B$404,"&gt;="&amp;Boshqaruv!$C$9,'Hisobot_jadvali'!$B$5:$B$404,"&lt;="&amp;Boshqaruv!$C$10))</f>
        <v/>
      </c>
      <c r="G71" s="15">
        <f>IF($B71="","",IF($F71=0,"Ha",""))</f>
        <v/>
      </c>
      <c r="H71" s="13" t="n"/>
    </row>
    <row r="72">
      <c r="A72" s="9" t="n">
        <v>68</v>
      </c>
      <c r="B72" s="13" t="n"/>
      <c r="C72" s="24" t="n"/>
      <c r="D72" s="13" t="n"/>
      <c r="E72" s="13" t="n"/>
      <c r="F72" s="15">
        <f>IF($B72="","",COUNTIFS('Hisobot_jadvali'!$C$5:$C$404,$B72,'Hisobot_jadvali'!$B$5:$B$404,"&gt;="&amp;Boshqaruv!$C$9,'Hisobot_jadvali'!$B$5:$B$404,"&lt;="&amp;Boshqaruv!$C$10))</f>
        <v/>
      </c>
      <c r="G72" s="15">
        <f>IF($B72="","",IF($F72=0,"Ha",""))</f>
        <v/>
      </c>
      <c r="H72" s="13" t="n"/>
    </row>
    <row r="73">
      <c r="A73" s="9" t="n">
        <v>69</v>
      </c>
      <c r="B73" s="13" t="n"/>
      <c r="C73" s="24" t="n"/>
      <c r="D73" s="13" t="n"/>
      <c r="E73" s="13" t="n"/>
      <c r="F73" s="15">
        <f>IF($B73="","",COUNTIFS('Hisobot_jadvali'!$C$5:$C$404,$B73,'Hisobot_jadvali'!$B$5:$B$404,"&gt;="&amp;Boshqaruv!$C$9,'Hisobot_jadvali'!$B$5:$B$404,"&lt;="&amp;Boshqaruv!$C$10))</f>
        <v/>
      </c>
      <c r="G73" s="15">
        <f>IF($B73="","",IF($F73=0,"Ha",""))</f>
        <v/>
      </c>
      <c r="H73" s="13" t="n"/>
    </row>
    <row r="74">
      <c r="A74" s="9" t="n">
        <v>70</v>
      </c>
      <c r="B74" s="13" t="n"/>
      <c r="C74" s="24" t="n"/>
      <c r="D74" s="13" t="n"/>
      <c r="E74" s="13" t="n"/>
      <c r="F74" s="15">
        <f>IF($B74="","",COUNTIFS('Hisobot_jadvali'!$C$5:$C$404,$B74,'Hisobot_jadvali'!$B$5:$B$404,"&gt;="&amp;Boshqaruv!$C$9,'Hisobot_jadvali'!$B$5:$B$404,"&lt;="&amp;Boshqaruv!$C$10))</f>
        <v/>
      </c>
      <c r="G74" s="15">
        <f>IF($B74="","",IF($F74=0,"Ha",""))</f>
        <v/>
      </c>
      <c r="H74" s="13" t="n"/>
    </row>
    <row r="75">
      <c r="A75" s="9" t="n">
        <v>71</v>
      </c>
      <c r="B75" s="13" t="n"/>
      <c r="C75" s="24" t="n"/>
      <c r="D75" s="13" t="n"/>
      <c r="E75" s="13" t="n"/>
      <c r="F75" s="15">
        <f>IF($B75="","",COUNTIFS('Hisobot_jadvali'!$C$5:$C$404,$B75,'Hisobot_jadvali'!$B$5:$B$404,"&gt;="&amp;Boshqaruv!$C$9,'Hisobot_jadvali'!$B$5:$B$404,"&lt;="&amp;Boshqaruv!$C$10))</f>
        <v/>
      </c>
      <c r="G75" s="15">
        <f>IF($B75="","",IF($F75=0,"Ha",""))</f>
        <v/>
      </c>
      <c r="H75" s="13" t="n"/>
    </row>
    <row r="76">
      <c r="A76" s="9" t="n">
        <v>72</v>
      </c>
      <c r="B76" s="13" t="n"/>
      <c r="C76" s="24" t="n"/>
      <c r="D76" s="13" t="n"/>
      <c r="E76" s="13" t="n"/>
      <c r="F76" s="15">
        <f>IF($B76="","",COUNTIFS('Hisobot_jadvali'!$C$5:$C$404,$B76,'Hisobot_jadvali'!$B$5:$B$404,"&gt;="&amp;Boshqaruv!$C$9,'Hisobot_jadvali'!$B$5:$B$404,"&lt;="&amp;Boshqaruv!$C$10))</f>
        <v/>
      </c>
      <c r="G76" s="15">
        <f>IF($B76="","",IF($F76=0,"Ha",""))</f>
        <v/>
      </c>
      <c r="H76" s="13" t="n"/>
    </row>
    <row r="77">
      <c r="A77" s="9" t="n">
        <v>73</v>
      </c>
      <c r="B77" s="13" t="n"/>
      <c r="C77" s="24" t="n"/>
      <c r="D77" s="13" t="n"/>
      <c r="E77" s="13" t="n"/>
      <c r="F77" s="15">
        <f>IF($B77="","",COUNTIFS('Hisobot_jadvali'!$C$5:$C$404,$B77,'Hisobot_jadvali'!$B$5:$B$404,"&gt;="&amp;Boshqaruv!$C$9,'Hisobot_jadvali'!$B$5:$B$404,"&lt;="&amp;Boshqaruv!$C$10))</f>
        <v/>
      </c>
      <c r="G77" s="15">
        <f>IF($B77="","",IF($F77=0,"Ha",""))</f>
        <v/>
      </c>
      <c r="H77" s="13" t="n"/>
    </row>
    <row r="78">
      <c r="A78" s="9" t="n">
        <v>74</v>
      </c>
      <c r="B78" s="13" t="n"/>
      <c r="C78" s="24" t="n"/>
      <c r="D78" s="13" t="n"/>
      <c r="E78" s="13" t="n"/>
      <c r="F78" s="15">
        <f>IF($B78="","",COUNTIFS('Hisobot_jadvali'!$C$5:$C$404,$B78,'Hisobot_jadvali'!$B$5:$B$404,"&gt;="&amp;Boshqaruv!$C$9,'Hisobot_jadvali'!$B$5:$B$404,"&lt;="&amp;Boshqaruv!$C$10))</f>
        <v/>
      </c>
      <c r="G78" s="15">
        <f>IF($B78="","",IF($F78=0,"Ha",""))</f>
        <v/>
      </c>
      <c r="H78" s="13" t="n"/>
    </row>
    <row r="79">
      <c r="A79" s="9" t="n">
        <v>75</v>
      </c>
      <c r="B79" s="13" t="n"/>
      <c r="C79" s="24" t="n"/>
      <c r="D79" s="13" t="n"/>
      <c r="E79" s="13" t="n"/>
      <c r="F79" s="15">
        <f>IF($B79="","",COUNTIFS('Hisobot_jadvali'!$C$5:$C$404,$B79,'Hisobot_jadvali'!$B$5:$B$404,"&gt;="&amp;Boshqaruv!$C$9,'Hisobot_jadvali'!$B$5:$B$404,"&lt;="&amp;Boshqaruv!$C$10))</f>
        <v/>
      </c>
      <c r="G79" s="15">
        <f>IF($B79="","",IF($F79=0,"Ha",""))</f>
        <v/>
      </c>
      <c r="H79" s="13" t="n"/>
    </row>
    <row r="80">
      <c r="A80" s="9" t="n">
        <v>76</v>
      </c>
      <c r="B80" s="13" t="n"/>
      <c r="C80" s="24" t="n"/>
      <c r="D80" s="13" t="n"/>
      <c r="E80" s="13" t="n"/>
      <c r="F80" s="15">
        <f>IF($B80="","",COUNTIFS('Hisobot_jadvali'!$C$5:$C$404,$B80,'Hisobot_jadvali'!$B$5:$B$404,"&gt;="&amp;Boshqaruv!$C$9,'Hisobot_jadvali'!$B$5:$B$404,"&lt;="&amp;Boshqaruv!$C$10))</f>
        <v/>
      </c>
      <c r="G80" s="15">
        <f>IF($B80="","",IF($F80=0,"Ha",""))</f>
        <v/>
      </c>
      <c r="H80" s="13" t="n"/>
    </row>
    <row r="81">
      <c r="A81" s="9" t="n">
        <v>77</v>
      </c>
      <c r="B81" s="13" t="n"/>
      <c r="C81" s="24" t="n"/>
      <c r="D81" s="13" t="n"/>
      <c r="E81" s="13" t="n"/>
      <c r="F81" s="15">
        <f>IF($B81="","",COUNTIFS('Hisobot_jadvali'!$C$5:$C$404,$B81,'Hisobot_jadvali'!$B$5:$B$404,"&gt;="&amp;Boshqaruv!$C$9,'Hisobot_jadvali'!$B$5:$B$404,"&lt;="&amp;Boshqaruv!$C$10))</f>
        <v/>
      </c>
      <c r="G81" s="15">
        <f>IF($B81="","",IF($F81=0,"Ha",""))</f>
        <v/>
      </c>
      <c r="H81" s="13" t="n"/>
    </row>
    <row r="82">
      <c r="A82" s="9" t="n">
        <v>78</v>
      </c>
      <c r="B82" s="13" t="n"/>
      <c r="C82" s="24" t="n"/>
      <c r="D82" s="13" t="n"/>
      <c r="E82" s="13" t="n"/>
      <c r="F82" s="15">
        <f>IF($B82="","",COUNTIFS('Hisobot_jadvali'!$C$5:$C$404,$B82,'Hisobot_jadvali'!$B$5:$B$404,"&gt;="&amp;Boshqaruv!$C$9,'Hisobot_jadvali'!$B$5:$B$404,"&lt;="&amp;Boshqaruv!$C$10))</f>
        <v/>
      </c>
      <c r="G82" s="15">
        <f>IF($B82="","",IF($F82=0,"Ha",""))</f>
        <v/>
      </c>
      <c r="H82" s="13" t="n"/>
    </row>
    <row r="83">
      <c r="A83" s="9" t="n">
        <v>79</v>
      </c>
      <c r="B83" s="13" t="n"/>
      <c r="C83" s="24" t="n"/>
      <c r="D83" s="13" t="n"/>
      <c r="E83" s="13" t="n"/>
      <c r="F83" s="15">
        <f>IF($B83="","",COUNTIFS('Hisobot_jadvali'!$C$5:$C$404,$B83,'Hisobot_jadvali'!$B$5:$B$404,"&gt;="&amp;Boshqaruv!$C$9,'Hisobot_jadvali'!$B$5:$B$404,"&lt;="&amp;Boshqaruv!$C$10))</f>
        <v/>
      </c>
      <c r="G83" s="15">
        <f>IF($B83="","",IF($F83=0,"Ha",""))</f>
        <v/>
      </c>
      <c r="H83" s="13" t="n"/>
    </row>
    <row r="84">
      <c r="A84" s="9" t="n">
        <v>80</v>
      </c>
      <c r="B84" s="13" t="n"/>
      <c r="C84" s="24" t="n"/>
      <c r="D84" s="13" t="n"/>
      <c r="E84" s="13" t="n"/>
      <c r="F84" s="15">
        <f>IF($B84="","",COUNTIFS('Hisobot_jadvali'!$C$5:$C$404,$B84,'Hisobot_jadvali'!$B$5:$B$404,"&gt;="&amp;Boshqaruv!$C$9,'Hisobot_jadvali'!$B$5:$B$404,"&lt;="&amp;Boshqaruv!$C$10))</f>
        <v/>
      </c>
      <c r="G84" s="15">
        <f>IF($B84="","",IF($F84=0,"Ha",""))</f>
        <v/>
      </c>
      <c r="H84" s="13" t="n"/>
    </row>
  </sheetData>
  <autoFilter ref="A4:H84"/>
  <conditionalFormatting sqref="A5:H84">
    <cfRule type="expression" priority="1" dxfId="0">
      <formula>$G5="Ha"</formula>
    </cfRule>
  </conditionalFormatting>
  <dataValidations count="1">
    <dataValidation sqref="C5:C84" showDropDown="0" showInputMessage="0" showErrorMessage="0" allowBlank="1" errorTitle="Ro‘yxatdan tanlang / Выберите из списка" error="Ro‘yxatdan tanlang / Выберите из списка" type="list">
      <formula1>"QVP,Oilaviy poliklinika,Tug'ruq bo'limi,Boshqa"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3" customWidth="1" min="14" max="14"/>
    <col width="14" customWidth="1" min="15" max="15"/>
    <col width="22" customWidth="1" min="16" max="16"/>
    <col width="11" customWidth="1" min="17" max="17"/>
  </cols>
  <sheetData>
    <row r="1">
      <c r="A1" s="1" t="inlineStr">
        <is>
          <t>MUASSASALAR OYLIK HISOBOTLARI JADVALI / СВОДНАЯ ТАБЛИЦА МЕСЯЧНЫХ ОТЧЁТОВ УЧРЕЖДЕНИЙ</t>
        </is>
      </c>
    </row>
    <row r="2">
      <c r="A2" s="2" t="inlineStr">
        <is>
          <t>Har bir muassasa — oyiga bitta qator. «Hisobot sanasi» — hisobot oyining oxirgi kuni. Oqim ko‘rsatkichlari davr bo‘yicha qo‘shiladi; holat ko‘rsatkichlari (ayollar, 0–17 aholi, hisobdagi qizlar) faqat davr oxiridagi kalendar oy hisobotidan olinadi. / Каждое учреждение — одна строка в месяц. «Hisobot sanasi» — последний день месяца. Потоки суммируются за период; остатки (женщины, население 0–17, девочки на учёте) берутся только из отчёта за последний календарный месяц периода.</t>
        </is>
      </c>
    </row>
    <row r="4" ht="101" customHeight="1">
      <c r="A4" s="8" t="inlineStr">
        <is>
          <t>№</t>
        </is>
      </c>
      <c r="B4" s="8" t="inlineStr">
        <is>
          <t>Hisobot sanasi (oy oxiri)
Дата отчёта (конец месяца)</t>
        </is>
      </c>
      <c r="C4" s="8" t="inlineStr">
        <is>
          <t>Muassasa
Учреждение</t>
        </is>
      </c>
      <c r="D4" s="8" t="inlineStr">
        <is>
          <t>Tug‘ilganlar
Родившиеся</t>
        </is>
      </c>
      <c r="E4" s="8" t="inlineStr">
        <is>
          <t>O‘lganlar (jami)
Умершие (всего)</t>
        </is>
      </c>
      <c r="F4" s="8" t="inlineStr">
        <is>
          <t>Chaqaloqlar o‘limi
Смерти младенцев</t>
        </is>
      </c>
      <c r="G4" s="8" t="inlineStr">
        <is>
          <t>Onalar o‘limi
Материнская смерть</t>
        </is>
      </c>
      <c r="H4" s="8" t="inlineStr">
        <is>
          <t>Tug‘ish yoshidagi ayollar (holat)
Женщины фертильного возраста (остаток)</t>
        </is>
      </c>
      <c r="I4" s="8" t="inlineStr">
        <is>
          <t>Tug‘ruqlar (jami)
Роды (всего)</t>
        </is>
      </c>
      <c r="J4" s="8" t="inlineStr">
        <is>
          <t>Shundan kesarcha
Из них кесарево</t>
        </is>
      </c>
      <c r="K4" s="8" t="inlineStr">
        <is>
          <t>0–17 yoshdagi aholi (holat)
Население 0–17 (остаток)</t>
        </is>
      </c>
      <c r="L4" s="8" t="inlineStr">
        <is>
          <t>0–17 yoshdagi o‘lim
Смерти 0–17 лет</t>
        </is>
      </c>
      <c r="M4" s="8" t="inlineStr">
        <is>
          <t>18 yoshgacha tug‘ruqlar
Роды до 18 лет</t>
        </is>
      </c>
      <c r="N4" s="8" t="inlineStr">
        <is>
          <t>Hisobdagi homilador qizlar (holat)
Беременные до 18 на учёте (остаток)</t>
        </is>
      </c>
      <c r="O4" s="8" t="inlineStr">
        <is>
          <t>Hisobot / xat №
№ отчёта / письма</t>
        </is>
      </c>
      <c r="P4" s="8" t="inlineStr">
        <is>
          <t>Izoh
Примечание</t>
        </is>
      </c>
      <c r="Q4" s="23" t="inlineStr">
        <is>
          <t>Takror? (avto)
Дубль?</t>
        </is>
      </c>
    </row>
    <row r="5">
      <c r="A5" s="9" t="n">
        <v>1</v>
      </c>
      <c r="B5" s="1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13" t="n"/>
      <c r="P5" s="13" t="n"/>
      <c r="Q5" s="15">
        <f>IF(OR($C5="",$B5=""),"",IF(COUNTIFS($C$5:$C$404,$C5,$B$5:$B$404,$B5)&gt;1,"Takror",""))</f>
        <v/>
      </c>
    </row>
    <row r="6">
      <c r="A6" s="9" t="n">
        <v>2</v>
      </c>
      <c r="B6" s="1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13" t="n"/>
      <c r="P6" s="13" t="n"/>
      <c r="Q6" s="15">
        <f>IF(OR($C6="",$B6=""),"",IF(COUNTIFS($C$5:$C$404,$C6,$B$5:$B$404,$B6)&gt;1,"Takror",""))</f>
        <v/>
      </c>
    </row>
    <row r="7">
      <c r="A7" s="9" t="n">
        <v>3</v>
      </c>
      <c r="B7" s="1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13" t="n"/>
      <c r="P7" s="13" t="n"/>
      <c r="Q7" s="15">
        <f>IF(OR($C7="",$B7=""),"",IF(COUNTIFS($C$5:$C$404,$C7,$B$5:$B$404,$B7)&gt;1,"Takror",""))</f>
        <v/>
      </c>
    </row>
    <row r="8">
      <c r="A8" s="9" t="n">
        <v>4</v>
      </c>
      <c r="B8" s="1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13" t="n"/>
      <c r="P8" s="13" t="n"/>
      <c r="Q8" s="15">
        <f>IF(OR($C8="",$B8=""),"",IF(COUNTIFS($C$5:$C$404,$C8,$B$5:$B$404,$B8)&gt;1,"Takror",""))</f>
        <v/>
      </c>
    </row>
    <row r="9">
      <c r="A9" s="9" t="n">
        <v>5</v>
      </c>
      <c r="B9" s="1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13" t="n"/>
      <c r="P9" s="13" t="n"/>
      <c r="Q9" s="15">
        <f>IF(OR($C9="",$B9=""),"",IF(COUNTIFS($C$5:$C$404,$C9,$B$5:$B$404,$B9)&gt;1,"Takror",""))</f>
        <v/>
      </c>
    </row>
    <row r="10">
      <c r="A10" s="9" t="n">
        <v>6</v>
      </c>
      <c r="B10" s="1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13" t="n"/>
      <c r="P10" s="13" t="n"/>
      <c r="Q10" s="15">
        <f>IF(OR($C10="",$B10=""),"",IF(COUNTIFS($C$5:$C$404,$C10,$B$5:$B$404,$B10)&gt;1,"Takror",""))</f>
        <v/>
      </c>
    </row>
    <row r="11">
      <c r="A11" s="9" t="n">
        <v>7</v>
      </c>
      <c r="B11" s="1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13" t="n"/>
      <c r="P11" s="13" t="n"/>
      <c r="Q11" s="15">
        <f>IF(OR($C11="",$B11=""),"",IF(COUNTIFS($C$5:$C$404,$C11,$B$5:$B$404,$B11)&gt;1,"Takror",""))</f>
        <v/>
      </c>
    </row>
    <row r="12">
      <c r="A12" s="9" t="n">
        <v>8</v>
      </c>
      <c r="B12" s="1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13" t="n"/>
      <c r="P12" s="13" t="n"/>
      <c r="Q12" s="15">
        <f>IF(OR($C12="",$B12=""),"",IF(COUNTIFS($C$5:$C$404,$C12,$B$5:$B$404,$B12)&gt;1,"Takror",""))</f>
        <v/>
      </c>
    </row>
    <row r="13">
      <c r="A13" s="9" t="n">
        <v>9</v>
      </c>
      <c r="B13" s="1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13" t="n"/>
      <c r="P13" s="13" t="n"/>
      <c r="Q13" s="15">
        <f>IF(OR($C13="",$B13=""),"",IF(COUNTIFS($C$5:$C$404,$C13,$B$5:$B$404,$B13)&gt;1,"Takror",""))</f>
        <v/>
      </c>
    </row>
    <row r="14">
      <c r="A14" s="9" t="n">
        <v>10</v>
      </c>
      <c r="B14" s="1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13" t="n"/>
      <c r="P14" s="13" t="n"/>
      <c r="Q14" s="15">
        <f>IF(OR($C14="",$B14=""),"",IF(COUNTIFS($C$5:$C$404,$C14,$B$5:$B$404,$B14)&gt;1,"Takror",""))</f>
        <v/>
      </c>
    </row>
    <row r="15">
      <c r="A15" s="9" t="n">
        <v>11</v>
      </c>
      <c r="B15" s="1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13" t="n"/>
      <c r="P15" s="13" t="n"/>
      <c r="Q15" s="15">
        <f>IF(OR($C15="",$B15=""),"",IF(COUNTIFS($C$5:$C$404,$C15,$B$5:$B$404,$B15)&gt;1,"Takror",""))</f>
        <v/>
      </c>
    </row>
    <row r="16">
      <c r="A16" s="9" t="n">
        <v>12</v>
      </c>
      <c r="B16" s="1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13" t="n"/>
      <c r="P16" s="13" t="n"/>
      <c r="Q16" s="15">
        <f>IF(OR($C16="",$B16=""),"",IF(COUNTIFS($C$5:$C$404,$C16,$B$5:$B$404,$B16)&gt;1,"Takror",""))</f>
        <v/>
      </c>
    </row>
    <row r="17">
      <c r="A17" s="9" t="n">
        <v>13</v>
      </c>
      <c r="B17" s="1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13" t="n"/>
      <c r="P17" s="13" t="n"/>
      <c r="Q17" s="15">
        <f>IF(OR($C17="",$B17=""),"",IF(COUNTIFS($C$5:$C$404,$C17,$B$5:$B$404,$B17)&gt;1,"Takror",""))</f>
        <v/>
      </c>
    </row>
    <row r="18">
      <c r="A18" s="9" t="n">
        <v>14</v>
      </c>
      <c r="B18" s="1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13" t="n"/>
      <c r="P18" s="13" t="n"/>
      <c r="Q18" s="15">
        <f>IF(OR($C18="",$B18=""),"",IF(COUNTIFS($C$5:$C$404,$C18,$B$5:$B$404,$B18)&gt;1,"Takror",""))</f>
        <v/>
      </c>
    </row>
    <row r="19">
      <c r="A19" s="9" t="n">
        <v>15</v>
      </c>
      <c r="B19" s="1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13" t="n"/>
      <c r="P19" s="13" t="n"/>
      <c r="Q19" s="15">
        <f>IF(OR($C19="",$B19=""),"",IF(COUNTIFS($C$5:$C$404,$C19,$B$5:$B$404,$B19)&gt;1,"Takror",""))</f>
        <v/>
      </c>
    </row>
    <row r="20">
      <c r="A20" s="9" t="n">
        <v>16</v>
      </c>
      <c r="B20" s="1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13" t="n"/>
      <c r="P20" s="13" t="n"/>
      <c r="Q20" s="15">
        <f>IF(OR($C20="",$B20=""),"",IF(COUNTIFS($C$5:$C$404,$C20,$B$5:$B$404,$B20)&gt;1,"Takror",""))</f>
        <v/>
      </c>
    </row>
    <row r="21">
      <c r="A21" s="9" t="n">
        <v>17</v>
      </c>
      <c r="B21" s="1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13" t="n"/>
      <c r="P21" s="13" t="n"/>
      <c r="Q21" s="15">
        <f>IF(OR($C21="",$B21=""),"",IF(COUNTIFS($C$5:$C$404,$C21,$B$5:$B$404,$B21)&gt;1,"Takror",""))</f>
        <v/>
      </c>
    </row>
    <row r="22">
      <c r="A22" s="9" t="n">
        <v>18</v>
      </c>
      <c r="B22" s="1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13" t="n"/>
      <c r="P22" s="13" t="n"/>
      <c r="Q22" s="15">
        <f>IF(OR($C22="",$B22=""),"",IF(COUNTIFS($C$5:$C$404,$C22,$B$5:$B$404,$B22)&gt;1,"Takror",""))</f>
        <v/>
      </c>
    </row>
    <row r="23">
      <c r="A23" s="9" t="n">
        <v>19</v>
      </c>
      <c r="B23" s="1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13" t="n"/>
      <c r="P23" s="13" t="n"/>
      <c r="Q23" s="15">
        <f>IF(OR($C23="",$B23=""),"",IF(COUNTIFS($C$5:$C$404,$C23,$B$5:$B$404,$B23)&gt;1,"Takror",""))</f>
        <v/>
      </c>
    </row>
    <row r="24">
      <c r="A24" s="9" t="n">
        <v>20</v>
      </c>
      <c r="B24" s="1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13" t="n"/>
      <c r="P24" s="13" t="n"/>
      <c r="Q24" s="15">
        <f>IF(OR($C24="",$B24=""),"",IF(COUNTIFS($C$5:$C$404,$C24,$B$5:$B$404,$B24)&gt;1,"Takror",""))</f>
        <v/>
      </c>
    </row>
    <row r="25">
      <c r="A25" s="9" t="n">
        <v>21</v>
      </c>
      <c r="B25" s="1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13" t="n"/>
      <c r="P25" s="13" t="n"/>
      <c r="Q25" s="15">
        <f>IF(OR($C25="",$B25=""),"",IF(COUNTIFS($C$5:$C$404,$C25,$B$5:$B$404,$B25)&gt;1,"Takror",""))</f>
        <v/>
      </c>
    </row>
    <row r="26">
      <c r="A26" s="9" t="n">
        <v>22</v>
      </c>
      <c r="B26" s="1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13" t="n"/>
      <c r="P26" s="13" t="n"/>
      <c r="Q26" s="15">
        <f>IF(OR($C26="",$B26=""),"",IF(COUNTIFS($C$5:$C$404,$C26,$B$5:$B$404,$B26)&gt;1,"Takror",""))</f>
        <v/>
      </c>
    </row>
    <row r="27">
      <c r="A27" s="9" t="n">
        <v>23</v>
      </c>
      <c r="B27" s="1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13" t="n"/>
      <c r="P27" s="13" t="n"/>
      <c r="Q27" s="15">
        <f>IF(OR($C27="",$B27=""),"",IF(COUNTIFS($C$5:$C$404,$C27,$B$5:$B$404,$B27)&gt;1,"Takror",""))</f>
        <v/>
      </c>
    </row>
    <row r="28">
      <c r="A28" s="9" t="n">
        <v>24</v>
      </c>
      <c r="B28" s="1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13" t="n"/>
      <c r="P28" s="13" t="n"/>
      <c r="Q28" s="15">
        <f>IF(OR($C28="",$B28=""),"",IF(COUNTIFS($C$5:$C$404,$C28,$B$5:$B$404,$B28)&gt;1,"Takror",""))</f>
        <v/>
      </c>
    </row>
    <row r="29">
      <c r="A29" s="9" t="n">
        <v>25</v>
      </c>
      <c r="B29" s="1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13" t="n"/>
      <c r="P29" s="13" t="n"/>
      <c r="Q29" s="15">
        <f>IF(OR($C29="",$B29=""),"",IF(COUNTIFS($C$5:$C$404,$C29,$B$5:$B$404,$B29)&gt;1,"Takror",""))</f>
        <v/>
      </c>
    </row>
    <row r="30">
      <c r="A30" s="9" t="n">
        <v>26</v>
      </c>
      <c r="B30" s="1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13" t="n"/>
      <c r="P30" s="13" t="n"/>
      <c r="Q30" s="15">
        <f>IF(OR($C30="",$B30=""),"",IF(COUNTIFS($C$5:$C$404,$C30,$B$5:$B$404,$B30)&gt;1,"Takror",""))</f>
        <v/>
      </c>
    </row>
    <row r="31">
      <c r="A31" s="9" t="n">
        <v>27</v>
      </c>
      <c r="B31" s="1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13" t="n"/>
      <c r="P31" s="13" t="n"/>
      <c r="Q31" s="15">
        <f>IF(OR($C31="",$B31=""),"",IF(COUNTIFS($C$5:$C$404,$C31,$B$5:$B$404,$B31)&gt;1,"Takror",""))</f>
        <v/>
      </c>
    </row>
    <row r="32">
      <c r="A32" s="9" t="n">
        <v>28</v>
      </c>
      <c r="B32" s="1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13" t="n"/>
      <c r="P32" s="13" t="n"/>
      <c r="Q32" s="15">
        <f>IF(OR($C32="",$B32=""),"",IF(COUNTIFS($C$5:$C$404,$C32,$B$5:$B$404,$B32)&gt;1,"Takror",""))</f>
        <v/>
      </c>
    </row>
    <row r="33">
      <c r="A33" s="9" t="n">
        <v>29</v>
      </c>
      <c r="B33" s="1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13" t="n"/>
      <c r="P33" s="13" t="n"/>
      <c r="Q33" s="15">
        <f>IF(OR($C33="",$B33=""),"",IF(COUNTIFS($C$5:$C$404,$C33,$B$5:$B$404,$B33)&gt;1,"Takror",""))</f>
        <v/>
      </c>
    </row>
    <row r="34">
      <c r="A34" s="9" t="n">
        <v>30</v>
      </c>
      <c r="B34" s="1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13" t="n"/>
      <c r="P34" s="13" t="n"/>
      <c r="Q34" s="15">
        <f>IF(OR($C34="",$B34=""),"",IF(COUNTIFS($C$5:$C$404,$C34,$B$5:$B$404,$B34)&gt;1,"Takror",""))</f>
        <v/>
      </c>
    </row>
    <row r="35">
      <c r="A35" s="9" t="n">
        <v>31</v>
      </c>
      <c r="B35" s="1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13" t="n"/>
      <c r="P35" s="13" t="n"/>
      <c r="Q35" s="15">
        <f>IF(OR($C35="",$B35=""),"",IF(COUNTIFS($C$5:$C$404,$C35,$B$5:$B$404,$B35)&gt;1,"Takror",""))</f>
        <v/>
      </c>
    </row>
    <row r="36">
      <c r="A36" s="9" t="n">
        <v>32</v>
      </c>
      <c r="B36" s="1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13" t="n"/>
      <c r="P36" s="13" t="n"/>
      <c r="Q36" s="15">
        <f>IF(OR($C36="",$B36=""),"",IF(COUNTIFS($C$5:$C$404,$C36,$B$5:$B$404,$B36)&gt;1,"Takror",""))</f>
        <v/>
      </c>
    </row>
    <row r="37">
      <c r="A37" s="9" t="n">
        <v>33</v>
      </c>
      <c r="B37" s="1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13" t="n"/>
      <c r="P37" s="13" t="n"/>
      <c r="Q37" s="15">
        <f>IF(OR($C37="",$B37=""),"",IF(COUNTIFS($C$5:$C$404,$C37,$B$5:$B$404,$B37)&gt;1,"Takror",""))</f>
        <v/>
      </c>
    </row>
    <row r="38">
      <c r="A38" s="9" t="n">
        <v>34</v>
      </c>
      <c r="B38" s="1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13" t="n"/>
      <c r="P38" s="13" t="n"/>
      <c r="Q38" s="15">
        <f>IF(OR($C38="",$B38=""),"",IF(COUNTIFS($C$5:$C$404,$C38,$B$5:$B$404,$B38)&gt;1,"Takror",""))</f>
        <v/>
      </c>
    </row>
    <row r="39">
      <c r="A39" s="9" t="n">
        <v>35</v>
      </c>
      <c r="B39" s="1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13" t="n"/>
      <c r="P39" s="13" t="n"/>
      <c r="Q39" s="15">
        <f>IF(OR($C39="",$B39=""),"",IF(COUNTIFS($C$5:$C$404,$C39,$B$5:$B$404,$B39)&gt;1,"Takror",""))</f>
        <v/>
      </c>
    </row>
    <row r="40">
      <c r="A40" s="9" t="n">
        <v>36</v>
      </c>
      <c r="B40" s="1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13" t="n"/>
      <c r="P40" s="13" t="n"/>
      <c r="Q40" s="15">
        <f>IF(OR($C40="",$B40=""),"",IF(COUNTIFS($C$5:$C$404,$C40,$B$5:$B$404,$B40)&gt;1,"Takror",""))</f>
        <v/>
      </c>
    </row>
    <row r="41">
      <c r="A41" s="9" t="n">
        <v>37</v>
      </c>
      <c r="B41" s="1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13" t="n"/>
      <c r="P41" s="13" t="n"/>
      <c r="Q41" s="15">
        <f>IF(OR($C41="",$B41=""),"",IF(COUNTIFS($C$5:$C$404,$C41,$B$5:$B$404,$B41)&gt;1,"Takror",""))</f>
        <v/>
      </c>
    </row>
    <row r="42">
      <c r="A42" s="9" t="n">
        <v>38</v>
      </c>
      <c r="B42" s="1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13" t="n"/>
      <c r="P42" s="13" t="n"/>
      <c r="Q42" s="15">
        <f>IF(OR($C42="",$B42=""),"",IF(COUNTIFS($C$5:$C$404,$C42,$B$5:$B$404,$B42)&gt;1,"Takror",""))</f>
        <v/>
      </c>
    </row>
    <row r="43">
      <c r="A43" s="9" t="n">
        <v>39</v>
      </c>
      <c r="B43" s="1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13" t="n"/>
      <c r="P43" s="13" t="n"/>
      <c r="Q43" s="15">
        <f>IF(OR($C43="",$B43=""),"",IF(COUNTIFS($C$5:$C$404,$C43,$B$5:$B$404,$B43)&gt;1,"Takror",""))</f>
        <v/>
      </c>
    </row>
    <row r="44">
      <c r="A44" s="9" t="n">
        <v>40</v>
      </c>
      <c r="B44" s="1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13" t="n"/>
      <c r="P44" s="13" t="n"/>
      <c r="Q44" s="15">
        <f>IF(OR($C44="",$B44=""),"",IF(COUNTIFS($C$5:$C$404,$C44,$B$5:$B$404,$B44)&gt;1,"Takror",""))</f>
        <v/>
      </c>
    </row>
    <row r="45">
      <c r="A45" s="9" t="n">
        <v>41</v>
      </c>
      <c r="B45" s="1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13" t="n"/>
      <c r="P45" s="13" t="n"/>
      <c r="Q45" s="15">
        <f>IF(OR($C45="",$B45=""),"",IF(COUNTIFS($C$5:$C$404,$C45,$B$5:$B$404,$B45)&gt;1,"Takror",""))</f>
        <v/>
      </c>
    </row>
    <row r="46">
      <c r="A46" s="9" t="n">
        <v>42</v>
      </c>
      <c r="B46" s="1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13" t="n"/>
      <c r="P46" s="13" t="n"/>
      <c r="Q46" s="15">
        <f>IF(OR($C46="",$B46=""),"",IF(COUNTIFS($C$5:$C$404,$C46,$B$5:$B$404,$B46)&gt;1,"Takror",""))</f>
        <v/>
      </c>
    </row>
    <row r="47">
      <c r="A47" s="9" t="n">
        <v>43</v>
      </c>
      <c r="B47" s="1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13" t="n"/>
      <c r="P47" s="13" t="n"/>
      <c r="Q47" s="15">
        <f>IF(OR($C47="",$B47=""),"",IF(COUNTIFS($C$5:$C$404,$C47,$B$5:$B$404,$B47)&gt;1,"Takror",""))</f>
        <v/>
      </c>
    </row>
    <row r="48">
      <c r="A48" s="9" t="n">
        <v>44</v>
      </c>
      <c r="B48" s="1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13" t="n"/>
      <c r="P48" s="13" t="n"/>
      <c r="Q48" s="15">
        <f>IF(OR($C48="",$B48=""),"",IF(COUNTIFS($C$5:$C$404,$C48,$B$5:$B$404,$B48)&gt;1,"Takror",""))</f>
        <v/>
      </c>
    </row>
    <row r="49">
      <c r="A49" s="9" t="n">
        <v>45</v>
      </c>
      <c r="B49" s="1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13" t="n"/>
      <c r="P49" s="13" t="n"/>
      <c r="Q49" s="15">
        <f>IF(OR($C49="",$B49=""),"",IF(COUNTIFS($C$5:$C$404,$C49,$B$5:$B$404,$B49)&gt;1,"Takror",""))</f>
        <v/>
      </c>
    </row>
    <row r="50">
      <c r="A50" s="9" t="n">
        <v>46</v>
      </c>
      <c r="B50" s="1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13" t="n"/>
      <c r="P50" s="13" t="n"/>
      <c r="Q50" s="15">
        <f>IF(OR($C50="",$B50=""),"",IF(COUNTIFS($C$5:$C$404,$C50,$B$5:$B$404,$B50)&gt;1,"Takror",""))</f>
        <v/>
      </c>
    </row>
    <row r="51">
      <c r="A51" s="9" t="n">
        <v>47</v>
      </c>
      <c r="B51" s="1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13" t="n"/>
      <c r="P51" s="13" t="n"/>
      <c r="Q51" s="15">
        <f>IF(OR($C51="",$B51=""),"",IF(COUNTIFS($C$5:$C$404,$C51,$B$5:$B$404,$B51)&gt;1,"Takror",""))</f>
        <v/>
      </c>
    </row>
    <row r="52">
      <c r="A52" s="9" t="n">
        <v>48</v>
      </c>
      <c r="B52" s="1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13" t="n"/>
      <c r="P52" s="13" t="n"/>
      <c r="Q52" s="15">
        <f>IF(OR($C52="",$B52=""),"",IF(COUNTIFS($C$5:$C$404,$C52,$B$5:$B$404,$B52)&gt;1,"Takror",""))</f>
        <v/>
      </c>
    </row>
    <row r="53">
      <c r="A53" s="9" t="n">
        <v>49</v>
      </c>
      <c r="B53" s="1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13" t="n"/>
      <c r="P53" s="13" t="n"/>
      <c r="Q53" s="15">
        <f>IF(OR($C53="",$B53=""),"",IF(COUNTIFS($C$5:$C$404,$C53,$B$5:$B$404,$B53)&gt;1,"Takror",""))</f>
        <v/>
      </c>
    </row>
    <row r="54">
      <c r="A54" s="9" t="n">
        <v>50</v>
      </c>
      <c r="B54" s="1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13" t="n"/>
      <c r="P54" s="13" t="n"/>
      <c r="Q54" s="15">
        <f>IF(OR($C54="",$B54=""),"",IF(COUNTIFS($C$5:$C$404,$C54,$B$5:$B$404,$B54)&gt;1,"Takror",""))</f>
        <v/>
      </c>
    </row>
    <row r="55">
      <c r="A55" s="9" t="n">
        <v>51</v>
      </c>
      <c r="B55" s="1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13" t="n"/>
      <c r="P55" s="13" t="n"/>
      <c r="Q55" s="15">
        <f>IF(OR($C55="",$B55=""),"",IF(COUNTIFS($C$5:$C$404,$C55,$B$5:$B$404,$B55)&gt;1,"Takror",""))</f>
        <v/>
      </c>
    </row>
    <row r="56">
      <c r="A56" s="9" t="n">
        <v>52</v>
      </c>
      <c r="B56" s="1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13" t="n"/>
      <c r="P56" s="13" t="n"/>
      <c r="Q56" s="15">
        <f>IF(OR($C56="",$B56=""),"",IF(COUNTIFS($C$5:$C$404,$C56,$B$5:$B$404,$B56)&gt;1,"Takror",""))</f>
        <v/>
      </c>
    </row>
    <row r="57">
      <c r="A57" s="9" t="n">
        <v>53</v>
      </c>
      <c r="B57" s="1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3" t="n"/>
      <c r="P57" s="13" t="n"/>
      <c r="Q57" s="15">
        <f>IF(OR($C57="",$B57=""),"",IF(COUNTIFS($C$5:$C$404,$C57,$B$5:$B$404,$B57)&gt;1,"Takror",""))</f>
        <v/>
      </c>
    </row>
    <row r="58">
      <c r="A58" s="9" t="n">
        <v>54</v>
      </c>
      <c r="B58" s="1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13" t="n"/>
      <c r="P58" s="13" t="n"/>
      <c r="Q58" s="15">
        <f>IF(OR($C58="",$B58=""),"",IF(COUNTIFS($C$5:$C$404,$C58,$B$5:$B$404,$B58)&gt;1,"Takror",""))</f>
        <v/>
      </c>
    </row>
    <row r="59">
      <c r="A59" s="9" t="n">
        <v>55</v>
      </c>
      <c r="B59" s="1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13" t="n"/>
      <c r="P59" s="13" t="n"/>
      <c r="Q59" s="15">
        <f>IF(OR($C59="",$B59=""),"",IF(COUNTIFS($C$5:$C$404,$C59,$B$5:$B$404,$B59)&gt;1,"Takror",""))</f>
        <v/>
      </c>
    </row>
    <row r="60">
      <c r="A60" s="9" t="n">
        <v>56</v>
      </c>
      <c r="B60" s="1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13" t="n"/>
      <c r="P60" s="13" t="n"/>
      <c r="Q60" s="15">
        <f>IF(OR($C60="",$B60=""),"",IF(COUNTIFS($C$5:$C$404,$C60,$B$5:$B$404,$B60)&gt;1,"Takror",""))</f>
        <v/>
      </c>
    </row>
    <row r="61">
      <c r="A61" s="9" t="n">
        <v>57</v>
      </c>
      <c r="B61" s="1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13" t="n"/>
      <c r="P61" s="13" t="n"/>
      <c r="Q61" s="15">
        <f>IF(OR($C61="",$B61=""),"",IF(COUNTIFS($C$5:$C$404,$C61,$B$5:$B$404,$B61)&gt;1,"Takror",""))</f>
        <v/>
      </c>
    </row>
    <row r="62">
      <c r="A62" s="9" t="n">
        <v>58</v>
      </c>
      <c r="B62" s="1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13" t="n"/>
      <c r="P62" s="13" t="n"/>
      <c r="Q62" s="15">
        <f>IF(OR($C62="",$B62=""),"",IF(COUNTIFS($C$5:$C$404,$C62,$B$5:$B$404,$B62)&gt;1,"Takror",""))</f>
        <v/>
      </c>
    </row>
    <row r="63">
      <c r="A63" s="9" t="n">
        <v>59</v>
      </c>
      <c r="B63" s="1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13" t="n"/>
      <c r="P63" s="13" t="n"/>
      <c r="Q63" s="15">
        <f>IF(OR($C63="",$B63=""),"",IF(COUNTIFS($C$5:$C$404,$C63,$B$5:$B$404,$B63)&gt;1,"Takror",""))</f>
        <v/>
      </c>
    </row>
    <row r="64">
      <c r="A64" s="9" t="n">
        <v>60</v>
      </c>
      <c r="B64" s="1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13" t="n"/>
      <c r="P64" s="13" t="n"/>
      <c r="Q64" s="15">
        <f>IF(OR($C64="",$B64=""),"",IF(COUNTIFS($C$5:$C$404,$C64,$B$5:$B$404,$B64)&gt;1,"Takror",""))</f>
        <v/>
      </c>
    </row>
    <row r="65">
      <c r="A65" s="9" t="n">
        <v>61</v>
      </c>
      <c r="B65" s="1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13" t="n"/>
      <c r="P65" s="13" t="n"/>
      <c r="Q65" s="15">
        <f>IF(OR($C65="",$B65=""),"",IF(COUNTIFS($C$5:$C$404,$C65,$B$5:$B$404,$B65)&gt;1,"Takror",""))</f>
        <v/>
      </c>
    </row>
    <row r="66">
      <c r="A66" s="9" t="n">
        <v>62</v>
      </c>
      <c r="B66" s="1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13" t="n"/>
      <c r="P66" s="13" t="n"/>
      <c r="Q66" s="15">
        <f>IF(OR($C66="",$B66=""),"",IF(COUNTIFS($C$5:$C$404,$C66,$B$5:$B$404,$B66)&gt;1,"Takror",""))</f>
        <v/>
      </c>
    </row>
    <row r="67">
      <c r="A67" s="9" t="n">
        <v>63</v>
      </c>
      <c r="B67" s="1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13" t="n"/>
      <c r="P67" s="13" t="n"/>
      <c r="Q67" s="15">
        <f>IF(OR($C67="",$B67=""),"",IF(COUNTIFS($C$5:$C$404,$C67,$B$5:$B$404,$B67)&gt;1,"Takror",""))</f>
        <v/>
      </c>
    </row>
    <row r="68">
      <c r="A68" s="9" t="n">
        <v>64</v>
      </c>
      <c r="B68" s="1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13" t="n"/>
      <c r="P68" s="13" t="n"/>
      <c r="Q68" s="15">
        <f>IF(OR($C68="",$B68=""),"",IF(COUNTIFS($C$5:$C$404,$C68,$B$5:$B$404,$B68)&gt;1,"Takror",""))</f>
        <v/>
      </c>
    </row>
    <row r="69">
      <c r="A69" s="9" t="n">
        <v>65</v>
      </c>
      <c r="B69" s="1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13" t="n"/>
      <c r="P69" s="13" t="n"/>
      <c r="Q69" s="15">
        <f>IF(OR($C69="",$B69=""),"",IF(COUNTIFS($C$5:$C$404,$C69,$B$5:$B$404,$B69)&gt;1,"Takror",""))</f>
        <v/>
      </c>
    </row>
    <row r="70">
      <c r="A70" s="9" t="n">
        <v>66</v>
      </c>
      <c r="B70" s="1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13" t="n"/>
      <c r="P70" s="13" t="n"/>
      <c r="Q70" s="15">
        <f>IF(OR($C70="",$B70=""),"",IF(COUNTIFS($C$5:$C$404,$C70,$B$5:$B$404,$B70)&gt;1,"Takror",""))</f>
        <v/>
      </c>
    </row>
    <row r="71">
      <c r="A71" s="9" t="n">
        <v>67</v>
      </c>
      <c r="B71" s="1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13" t="n"/>
      <c r="P71" s="13" t="n"/>
      <c r="Q71" s="15">
        <f>IF(OR($C71="",$B71=""),"",IF(COUNTIFS($C$5:$C$404,$C71,$B$5:$B$404,$B71)&gt;1,"Takror",""))</f>
        <v/>
      </c>
    </row>
    <row r="72">
      <c r="A72" s="9" t="n">
        <v>68</v>
      </c>
      <c r="B72" s="1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13" t="n"/>
      <c r="P72" s="13" t="n"/>
      <c r="Q72" s="15">
        <f>IF(OR($C72="",$B72=""),"",IF(COUNTIFS($C$5:$C$404,$C72,$B$5:$B$404,$B72)&gt;1,"Takror",""))</f>
        <v/>
      </c>
    </row>
    <row r="73">
      <c r="A73" s="9" t="n">
        <v>69</v>
      </c>
      <c r="B73" s="1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13" t="n"/>
      <c r="P73" s="13" t="n"/>
      <c r="Q73" s="15">
        <f>IF(OR($C73="",$B73=""),"",IF(COUNTIFS($C$5:$C$404,$C73,$B$5:$B$404,$B73)&gt;1,"Takror",""))</f>
        <v/>
      </c>
    </row>
    <row r="74">
      <c r="A74" s="9" t="n">
        <v>70</v>
      </c>
      <c r="B74" s="1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13" t="n"/>
      <c r="P74" s="13" t="n"/>
      <c r="Q74" s="15">
        <f>IF(OR($C74="",$B74=""),"",IF(COUNTIFS($C$5:$C$404,$C74,$B$5:$B$404,$B74)&gt;1,"Takror",""))</f>
        <v/>
      </c>
    </row>
    <row r="75">
      <c r="A75" s="9" t="n">
        <v>71</v>
      </c>
      <c r="B75" s="1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13" t="n"/>
      <c r="P75" s="13" t="n"/>
      <c r="Q75" s="15">
        <f>IF(OR($C75="",$B75=""),"",IF(COUNTIFS($C$5:$C$404,$C75,$B$5:$B$404,$B75)&gt;1,"Takror",""))</f>
        <v/>
      </c>
    </row>
    <row r="76">
      <c r="A76" s="9" t="n">
        <v>72</v>
      </c>
      <c r="B76" s="1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13" t="n"/>
      <c r="P76" s="13" t="n"/>
      <c r="Q76" s="15">
        <f>IF(OR($C76="",$B76=""),"",IF(COUNTIFS($C$5:$C$404,$C76,$B$5:$B$404,$B76)&gt;1,"Takror",""))</f>
        <v/>
      </c>
    </row>
    <row r="77">
      <c r="A77" s="9" t="n">
        <v>73</v>
      </c>
      <c r="B77" s="1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13" t="n"/>
      <c r="P77" s="13" t="n"/>
      <c r="Q77" s="15">
        <f>IF(OR($C77="",$B77=""),"",IF(COUNTIFS($C$5:$C$404,$C77,$B$5:$B$404,$B77)&gt;1,"Takror",""))</f>
        <v/>
      </c>
    </row>
    <row r="78">
      <c r="A78" s="9" t="n">
        <v>74</v>
      </c>
      <c r="B78" s="1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13" t="n"/>
      <c r="P78" s="13" t="n"/>
      <c r="Q78" s="15">
        <f>IF(OR($C78="",$B78=""),"",IF(COUNTIFS($C$5:$C$404,$C78,$B$5:$B$404,$B78)&gt;1,"Takror",""))</f>
        <v/>
      </c>
    </row>
    <row r="79">
      <c r="A79" s="9" t="n">
        <v>75</v>
      </c>
      <c r="B79" s="1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13" t="n"/>
      <c r="P79" s="13" t="n"/>
      <c r="Q79" s="15">
        <f>IF(OR($C79="",$B79=""),"",IF(COUNTIFS($C$5:$C$404,$C79,$B$5:$B$404,$B79)&gt;1,"Takror",""))</f>
        <v/>
      </c>
    </row>
    <row r="80">
      <c r="A80" s="9" t="n">
        <v>76</v>
      </c>
      <c r="B80" s="1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13" t="n"/>
      <c r="P80" s="13" t="n"/>
      <c r="Q80" s="15">
        <f>IF(OR($C80="",$B80=""),"",IF(COUNTIFS($C$5:$C$404,$C80,$B$5:$B$404,$B80)&gt;1,"Takror",""))</f>
        <v/>
      </c>
    </row>
    <row r="81">
      <c r="A81" s="9" t="n">
        <v>77</v>
      </c>
      <c r="B81" s="1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13" t="n"/>
      <c r="P81" s="13" t="n"/>
      <c r="Q81" s="15">
        <f>IF(OR($C81="",$B81=""),"",IF(COUNTIFS($C$5:$C$404,$C81,$B$5:$B$404,$B81)&gt;1,"Takror",""))</f>
        <v/>
      </c>
    </row>
    <row r="82">
      <c r="A82" s="9" t="n">
        <v>78</v>
      </c>
      <c r="B82" s="1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13" t="n"/>
      <c r="P82" s="13" t="n"/>
      <c r="Q82" s="15">
        <f>IF(OR($C82="",$B82=""),"",IF(COUNTIFS($C$5:$C$404,$C82,$B$5:$B$404,$B82)&gt;1,"Takror",""))</f>
        <v/>
      </c>
    </row>
    <row r="83">
      <c r="A83" s="9" t="n">
        <v>79</v>
      </c>
      <c r="B83" s="1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13" t="n"/>
      <c r="P83" s="13" t="n"/>
      <c r="Q83" s="15">
        <f>IF(OR($C83="",$B83=""),"",IF(COUNTIFS($C$5:$C$404,$C83,$B$5:$B$404,$B83)&gt;1,"Takror",""))</f>
        <v/>
      </c>
    </row>
    <row r="84">
      <c r="A84" s="9" t="n">
        <v>80</v>
      </c>
      <c r="B84" s="1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13" t="n"/>
      <c r="P84" s="13" t="n"/>
      <c r="Q84" s="15">
        <f>IF(OR($C84="",$B84=""),"",IF(COUNTIFS($C$5:$C$404,$C84,$B$5:$B$404,$B84)&gt;1,"Takror",""))</f>
        <v/>
      </c>
    </row>
    <row r="85">
      <c r="A85" s="9" t="n">
        <v>81</v>
      </c>
      <c r="B85" s="1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13" t="n"/>
      <c r="P85" s="13" t="n"/>
      <c r="Q85" s="15">
        <f>IF(OR($C85="",$B85=""),"",IF(COUNTIFS($C$5:$C$404,$C85,$B$5:$B$404,$B85)&gt;1,"Takror",""))</f>
        <v/>
      </c>
    </row>
    <row r="86">
      <c r="A86" s="9" t="n">
        <v>82</v>
      </c>
      <c r="B86" s="1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13" t="n"/>
      <c r="P86" s="13" t="n"/>
      <c r="Q86" s="15">
        <f>IF(OR($C86="",$B86=""),"",IF(COUNTIFS($C$5:$C$404,$C86,$B$5:$B$404,$B86)&gt;1,"Takror",""))</f>
        <v/>
      </c>
    </row>
    <row r="87">
      <c r="A87" s="9" t="n">
        <v>83</v>
      </c>
      <c r="B87" s="1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13" t="n"/>
      <c r="P87" s="13" t="n"/>
      <c r="Q87" s="15">
        <f>IF(OR($C87="",$B87=""),"",IF(COUNTIFS($C$5:$C$404,$C87,$B$5:$B$404,$B87)&gt;1,"Takror",""))</f>
        <v/>
      </c>
    </row>
    <row r="88">
      <c r="A88" s="9" t="n">
        <v>84</v>
      </c>
      <c r="B88" s="1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13" t="n"/>
      <c r="P88" s="13" t="n"/>
      <c r="Q88" s="15">
        <f>IF(OR($C88="",$B88=""),"",IF(COUNTIFS($C$5:$C$404,$C88,$B$5:$B$404,$B88)&gt;1,"Takror",""))</f>
        <v/>
      </c>
    </row>
    <row r="89">
      <c r="A89" s="9" t="n">
        <v>85</v>
      </c>
      <c r="B89" s="1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13" t="n"/>
      <c r="P89" s="13" t="n"/>
      <c r="Q89" s="15">
        <f>IF(OR($C89="",$B89=""),"",IF(COUNTIFS($C$5:$C$404,$C89,$B$5:$B$404,$B89)&gt;1,"Takror",""))</f>
        <v/>
      </c>
    </row>
    <row r="90">
      <c r="A90" s="9" t="n">
        <v>86</v>
      </c>
      <c r="B90" s="1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13" t="n"/>
      <c r="P90" s="13" t="n"/>
      <c r="Q90" s="15">
        <f>IF(OR($C90="",$B90=""),"",IF(COUNTIFS($C$5:$C$404,$C90,$B$5:$B$404,$B90)&gt;1,"Takror",""))</f>
        <v/>
      </c>
    </row>
    <row r="91">
      <c r="A91" s="9" t="n">
        <v>87</v>
      </c>
      <c r="B91" s="1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13" t="n"/>
      <c r="P91" s="13" t="n"/>
      <c r="Q91" s="15">
        <f>IF(OR($C91="",$B91=""),"",IF(COUNTIFS($C$5:$C$404,$C91,$B$5:$B$404,$B91)&gt;1,"Takror",""))</f>
        <v/>
      </c>
    </row>
    <row r="92">
      <c r="A92" s="9" t="n">
        <v>88</v>
      </c>
      <c r="B92" s="1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13" t="n"/>
      <c r="P92" s="13" t="n"/>
      <c r="Q92" s="15">
        <f>IF(OR($C92="",$B92=""),"",IF(COUNTIFS($C$5:$C$404,$C92,$B$5:$B$404,$B92)&gt;1,"Takror",""))</f>
        <v/>
      </c>
    </row>
    <row r="93">
      <c r="A93" s="9" t="n">
        <v>89</v>
      </c>
      <c r="B93" s="1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13" t="n"/>
      <c r="P93" s="13" t="n"/>
      <c r="Q93" s="15">
        <f>IF(OR($C93="",$B93=""),"",IF(COUNTIFS($C$5:$C$404,$C93,$B$5:$B$404,$B93)&gt;1,"Takror",""))</f>
        <v/>
      </c>
    </row>
    <row r="94">
      <c r="A94" s="9" t="n">
        <v>90</v>
      </c>
      <c r="B94" s="1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13" t="n"/>
      <c r="P94" s="13" t="n"/>
      <c r="Q94" s="15">
        <f>IF(OR($C94="",$B94=""),"",IF(COUNTIFS($C$5:$C$404,$C94,$B$5:$B$404,$B94)&gt;1,"Takror",""))</f>
        <v/>
      </c>
    </row>
    <row r="95">
      <c r="A95" s="9" t="n">
        <v>91</v>
      </c>
      <c r="B95" s="1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13" t="n"/>
      <c r="P95" s="13" t="n"/>
      <c r="Q95" s="15">
        <f>IF(OR($C95="",$B95=""),"",IF(COUNTIFS($C$5:$C$404,$C95,$B$5:$B$404,$B95)&gt;1,"Takror",""))</f>
        <v/>
      </c>
    </row>
    <row r="96">
      <c r="A96" s="9" t="n">
        <v>92</v>
      </c>
      <c r="B96" s="1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13" t="n"/>
      <c r="P96" s="13" t="n"/>
      <c r="Q96" s="15">
        <f>IF(OR($C96="",$B96=""),"",IF(COUNTIFS($C$5:$C$404,$C96,$B$5:$B$404,$B96)&gt;1,"Takror",""))</f>
        <v/>
      </c>
    </row>
    <row r="97">
      <c r="A97" s="9" t="n">
        <v>93</v>
      </c>
      <c r="B97" s="1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13" t="n"/>
      <c r="P97" s="13" t="n"/>
      <c r="Q97" s="15">
        <f>IF(OR($C97="",$B97=""),"",IF(COUNTIFS($C$5:$C$404,$C97,$B$5:$B$404,$B97)&gt;1,"Takror",""))</f>
        <v/>
      </c>
    </row>
    <row r="98">
      <c r="A98" s="9" t="n">
        <v>94</v>
      </c>
      <c r="B98" s="1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13" t="n"/>
      <c r="P98" s="13" t="n"/>
      <c r="Q98" s="15">
        <f>IF(OR($C98="",$B98=""),"",IF(COUNTIFS($C$5:$C$404,$C98,$B$5:$B$404,$B98)&gt;1,"Takror",""))</f>
        <v/>
      </c>
    </row>
    <row r="99">
      <c r="A99" s="9" t="n">
        <v>95</v>
      </c>
      <c r="B99" s="1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13" t="n"/>
      <c r="P99" s="13" t="n"/>
      <c r="Q99" s="15">
        <f>IF(OR($C99="",$B99=""),"",IF(COUNTIFS($C$5:$C$404,$C99,$B$5:$B$404,$B99)&gt;1,"Takror",""))</f>
        <v/>
      </c>
    </row>
    <row r="100">
      <c r="A100" s="9" t="n">
        <v>96</v>
      </c>
      <c r="B100" s="1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13" t="n"/>
      <c r="P100" s="13" t="n"/>
      <c r="Q100" s="15">
        <f>IF(OR($C100="",$B100=""),"",IF(COUNTIFS($C$5:$C$404,$C100,$B$5:$B$404,$B100)&gt;1,"Takror",""))</f>
        <v/>
      </c>
    </row>
    <row r="101">
      <c r="A101" s="9" t="n">
        <v>97</v>
      </c>
      <c r="B101" s="1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13" t="n"/>
      <c r="P101" s="13" t="n"/>
      <c r="Q101" s="15">
        <f>IF(OR($C101="",$B101=""),"",IF(COUNTIFS($C$5:$C$404,$C101,$B$5:$B$404,$B101)&gt;1,"Takror",""))</f>
        <v/>
      </c>
    </row>
    <row r="102">
      <c r="A102" s="9" t="n">
        <v>98</v>
      </c>
      <c r="B102" s="1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13" t="n"/>
      <c r="P102" s="13" t="n"/>
      <c r="Q102" s="15">
        <f>IF(OR($C102="",$B102=""),"",IF(COUNTIFS($C$5:$C$404,$C102,$B$5:$B$404,$B102)&gt;1,"Takror",""))</f>
        <v/>
      </c>
    </row>
    <row r="103">
      <c r="A103" s="9" t="n">
        <v>99</v>
      </c>
      <c r="B103" s="1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13" t="n"/>
      <c r="P103" s="13" t="n"/>
      <c r="Q103" s="15">
        <f>IF(OR($C103="",$B103=""),"",IF(COUNTIFS($C$5:$C$404,$C103,$B$5:$B$404,$B103)&gt;1,"Takror",""))</f>
        <v/>
      </c>
    </row>
    <row r="104">
      <c r="A104" s="9" t="n">
        <v>100</v>
      </c>
      <c r="B104" s="1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13" t="n"/>
      <c r="P104" s="13" t="n"/>
      <c r="Q104" s="15">
        <f>IF(OR($C104="",$B104=""),"",IF(COUNTIFS($C$5:$C$404,$C104,$B$5:$B$404,$B104)&gt;1,"Takror",""))</f>
        <v/>
      </c>
    </row>
    <row r="105">
      <c r="A105" s="9" t="n">
        <v>101</v>
      </c>
      <c r="B105" s="1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13" t="n"/>
      <c r="P105" s="13" t="n"/>
      <c r="Q105" s="15">
        <f>IF(OR($C105="",$B105=""),"",IF(COUNTIFS($C$5:$C$404,$C105,$B$5:$B$404,$B105)&gt;1,"Takror",""))</f>
        <v/>
      </c>
    </row>
    <row r="106">
      <c r="A106" s="9" t="n">
        <v>102</v>
      </c>
      <c r="B106" s="1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13" t="n"/>
      <c r="P106" s="13" t="n"/>
      <c r="Q106" s="15">
        <f>IF(OR($C106="",$B106=""),"",IF(COUNTIFS($C$5:$C$404,$C106,$B$5:$B$404,$B106)&gt;1,"Takror",""))</f>
        <v/>
      </c>
    </row>
    <row r="107">
      <c r="A107" s="9" t="n">
        <v>103</v>
      </c>
      <c r="B107" s="1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13" t="n"/>
      <c r="P107" s="13" t="n"/>
      <c r="Q107" s="15">
        <f>IF(OR($C107="",$B107=""),"",IF(COUNTIFS($C$5:$C$404,$C107,$B$5:$B$404,$B107)&gt;1,"Takror",""))</f>
        <v/>
      </c>
    </row>
    <row r="108">
      <c r="A108" s="9" t="n">
        <v>104</v>
      </c>
      <c r="B108" s="1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13" t="n"/>
      <c r="P108" s="13" t="n"/>
      <c r="Q108" s="15">
        <f>IF(OR($C108="",$B108=""),"",IF(COUNTIFS($C$5:$C$404,$C108,$B$5:$B$404,$B108)&gt;1,"Takror",""))</f>
        <v/>
      </c>
    </row>
    <row r="109">
      <c r="A109" s="9" t="n">
        <v>105</v>
      </c>
      <c r="B109" s="1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13" t="n"/>
      <c r="P109" s="13" t="n"/>
      <c r="Q109" s="15">
        <f>IF(OR($C109="",$B109=""),"",IF(COUNTIFS($C$5:$C$404,$C109,$B$5:$B$404,$B109)&gt;1,"Takror",""))</f>
        <v/>
      </c>
    </row>
    <row r="110">
      <c r="A110" s="9" t="n">
        <v>106</v>
      </c>
      <c r="B110" s="1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13" t="n"/>
      <c r="P110" s="13" t="n"/>
      <c r="Q110" s="15">
        <f>IF(OR($C110="",$B110=""),"",IF(COUNTIFS($C$5:$C$404,$C110,$B$5:$B$404,$B110)&gt;1,"Takror",""))</f>
        <v/>
      </c>
    </row>
    <row r="111">
      <c r="A111" s="9" t="n">
        <v>107</v>
      </c>
      <c r="B111" s="1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13" t="n"/>
      <c r="P111" s="13" t="n"/>
      <c r="Q111" s="15">
        <f>IF(OR($C111="",$B111=""),"",IF(COUNTIFS($C$5:$C$404,$C111,$B$5:$B$404,$B111)&gt;1,"Takror",""))</f>
        <v/>
      </c>
    </row>
    <row r="112">
      <c r="A112" s="9" t="n">
        <v>108</v>
      </c>
      <c r="B112" s="1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13" t="n"/>
      <c r="P112" s="13" t="n"/>
      <c r="Q112" s="15">
        <f>IF(OR($C112="",$B112=""),"",IF(COUNTIFS($C$5:$C$404,$C112,$B$5:$B$404,$B112)&gt;1,"Takror",""))</f>
        <v/>
      </c>
    </row>
    <row r="113">
      <c r="A113" s="9" t="n">
        <v>109</v>
      </c>
      <c r="B113" s="1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13" t="n"/>
      <c r="P113" s="13" t="n"/>
      <c r="Q113" s="15">
        <f>IF(OR($C113="",$B113=""),"",IF(COUNTIFS($C$5:$C$404,$C113,$B$5:$B$404,$B113)&gt;1,"Takror",""))</f>
        <v/>
      </c>
    </row>
    <row r="114">
      <c r="A114" s="9" t="n">
        <v>110</v>
      </c>
      <c r="B114" s="1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13" t="n"/>
      <c r="P114" s="13" t="n"/>
      <c r="Q114" s="15">
        <f>IF(OR($C114="",$B114=""),"",IF(COUNTIFS($C$5:$C$404,$C114,$B$5:$B$404,$B114)&gt;1,"Takror",""))</f>
        <v/>
      </c>
    </row>
    <row r="115">
      <c r="A115" s="9" t="n">
        <v>111</v>
      </c>
      <c r="B115" s="1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13" t="n"/>
      <c r="P115" s="13" t="n"/>
      <c r="Q115" s="15">
        <f>IF(OR($C115="",$B115=""),"",IF(COUNTIFS($C$5:$C$404,$C115,$B$5:$B$404,$B115)&gt;1,"Takror",""))</f>
        <v/>
      </c>
    </row>
    <row r="116">
      <c r="A116" s="9" t="n">
        <v>112</v>
      </c>
      <c r="B116" s="1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13" t="n"/>
      <c r="P116" s="13" t="n"/>
      <c r="Q116" s="15">
        <f>IF(OR($C116="",$B116=""),"",IF(COUNTIFS($C$5:$C$404,$C116,$B$5:$B$404,$B116)&gt;1,"Takror",""))</f>
        <v/>
      </c>
    </row>
    <row r="117">
      <c r="A117" s="9" t="n">
        <v>113</v>
      </c>
      <c r="B117" s="1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13" t="n"/>
      <c r="P117" s="13" t="n"/>
      <c r="Q117" s="15">
        <f>IF(OR($C117="",$B117=""),"",IF(COUNTIFS($C$5:$C$404,$C117,$B$5:$B$404,$B117)&gt;1,"Takror",""))</f>
        <v/>
      </c>
    </row>
    <row r="118">
      <c r="A118" s="9" t="n">
        <v>114</v>
      </c>
      <c r="B118" s="1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13" t="n"/>
      <c r="P118" s="13" t="n"/>
      <c r="Q118" s="15">
        <f>IF(OR($C118="",$B118=""),"",IF(COUNTIFS($C$5:$C$404,$C118,$B$5:$B$404,$B118)&gt;1,"Takror",""))</f>
        <v/>
      </c>
    </row>
    <row r="119">
      <c r="A119" s="9" t="n">
        <v>115</v>
      </c>
      <c r="B119" s="1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13" t="n"/>
      <c r="P119" s="13" t="n"/>
      <c r="Q119" s="15">
        <f>IF(OR($C119="",$B119=""),"",IF(COUNTIFS($C$5:$C$404,$C119,$B$5:$B$404,$B119)&gt;1,"Takror",""))</f>
        <v/>
      </c>
    </row>
    <row r="120">
      <c r="A120" s="9" t="n">
        <v>116</v>
      </c>
      <c r="B120" s="1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13" t="n"/>
      <c r="P120" s="13" t="n"/>
      <c r="Q120" s="15">
        <f>IF(OR($C120="",$B120=""),"",IF(COUNTIFS($C$5:$C$404,$C120,$B$5:$B$404,$B120)&gt;1,"Takror",""))</f>
        <v/>
      </c>
    </row>
    <row r="121">
      <c r="A121" s="9" t="n">
        <v>117</v>
      </c>
      <c r="B121" s="1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13" t="n"/>
      <c r="P121" s="13" t="n"/>
      <c r="Q121" s="15">
        <f>IF(OR($C121="",$B121=""),"",IF(COUNTIFS($C$5:$C$404,$C121,$B$5:$B$404,$B121)&gt;1,"Takror",""))</f>
        <v/>
      </c>
    </row>
    <row r="122">
      <c r="A122" s="9" t="n">
        <v>118</v>
      </c>
      <c r="B122" s="1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13" t="n"/>
      <c r="P122" s="13" t="n"/>
      <c r="Q122" s="15">
        <f>IF(OR($C122="",$B122=""),"",IF(COUNTIFS($C$5:$C$404,$C122,$B$5:$B$404,$B122)&gt;1,"Takror",""))</f>
        <v/>
      </c>
    </row>
    <row r="123">
      <c r="A123" s="9" t="n">
        <v>119</v>
      </c>
      <c r="B123" s="1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13" t="n"/>
      <c r="P123" s="13" t="n"/>
      <c r="Q123" s="15">
        <f>IF(OR($C123="",$B123=""),"",IF(COUNTIFS($C$5:$C$404,$C123,$B$5:$B$404,$B123)&gt;1,"Takror",""))</f>
        <v/>
      </c>
    </row>
    <row r="124">
      <c r="A124" s="9" t="n">
        <v>120</v>
      </c>
      <c r="B124" s="1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13" t="n"/>
      <c r="P124" s="13" t="n"/>
      <c r="Q124" s="15">
        <f>IF(OR($C124="",$B124=""),"",IF(COUNTIFS($C$5:$C$404,$C124,$B$5:$B$404,$B124)&gt;1,"Takror",""))</f>
        <v/>
      </c>
    </row>
    <row r="125">
      <c r="A125" s="9" t="n">
        <v>121</v>
      </c>
      <c r="B125" s="1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13" t="n"/>
      <c r="P125" s="13" t="n"/>
      <c r="Q125" s="15">
        <f>IF(OR($C125="",$B125=""),"",IF(COUNTIFS($C$5:$C$404,$C125,$B$5:$B$404,$B125)&gt;1,"Takror",""))</f>
        <v/>
      </c>
    </row>
    <row r="126">
      <c r="A126" s="9" t="n">
        <v>122</v>
      </c>
      <c r="B126" s="1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13" t="n"/>
      <c r="P126" s="13" t="n"/>
      <c r="Q126" s="15">
        <f>IF(OR($C126="",$B126=""),"",IF(COUNTIFS($C$5:$C$404,$C126,$B$5:$B$404,$B126)&gt;1,"Takror",""))</f>
        <v/>
      </c>
    </row>
    <row r="127">
      <c r="A127" s="9" t="n">
        <v>123</v>
      </c>
      <c r="B127" s="1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13" t="n"/>
      <c r="P127" s="13" t="n"/>
      <c r="Q127" s="15">
        <f>IF(OR($C127="",$B127=""),"",IF(COUNTIFS($C$5:$C$404,$C127,$B$5:$B$404,$B127)&gt;1,"Takror",""))</f>
        <v/>
      </c>
    </row>
    <row r="128">
      <c r="A128" s="9" t="n">
        <v>124</v>
      </c>
      <c r="B128" s="1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13" t="n"/>
      <c r="P128" s="13" t="n"/>
      <c r="Q128" s="15">
        <f>IF(OR($C128="",$B128=""),"",IF(COUNTIFS($C$5:$C$404,$C128,$B$5:$B$404,$B128)&gt;1,"Takror",""))</f>
        <v/>
      </c>
    </row>
    <row r="129">
      <c r="A129" s="9" t="n">
        <v>125</v>
      </c>
      <c r="B129" s="1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13" t="n"/>
      <c r="P129" s="13" t="n"/>
      <c r="Q129" s="15">
        <f>IF(OR($C129="",$B129=""),"",IF(COUNTIFS($C$5:$C$404,$C129,$B$5:$B$404,$B129)&gt;1,"Takror",""))</f>
        <v/>
      </c>
    </row>
    <row r="130">
      <c r="A130" s="9" t="n">
        <v>126</v>
      </c>
      <c r="B130" s="1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13" t="n"/>
      <c r="P130" s="13" t="n"/>
      <c r="Q130" s="15">
        <f>IF(OR($C130="",$B130=""),"",IF(COUNTIFS($C$5:$C$404,$C130,$B$5:$B$404,$B130)&gt;1,"Takror",""))</f>
        <v/>
      </c>
    </row>
    <row r="131">
      <c r="A131" s="9" t="n">
        <v>127</v>
      </c>
      <c r="B131" s="1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13" t="n"/>
      <c r="P131" s="13" t="n"/>
      <c r="Q131" s="15">
        <f>IF(OR($C131="",$B131=""),"",IF(COUNTIFS($C$5:$C$404,$C131,$B$5:$B$404,$B131)&gt;1,"Takror",""))</f>
        <v/>
      </c>
    </row>
    <row r="132">
      <c r="A132" s="9" t="n">
        <v>128</v>
      </c>
      <c r="B132" s="1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13" t="n"/>
      <c r="P132" s="13" t="n"/>
      <c r="Q132" s="15">
        <f>IF(OR($C132="",$B132=""),"",IF(COUNTIFS($C$5:$C$404,$C132,$B$5:$B$404,$B132)&gt;1,"Takror",""))</f>
        <v/>
      </c>
    </row>
    <row r="133">
      <c r="A133" s="9" t="n">
        <v>129</v>
      </c>
      <c r="B133" s="1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13" t="n"/>
      <c r="P133" s="13" t="n"/>
      <c r="Q133" s="15">
        <f>IF(OR($C133="",$B133=""),"",IF(COUNTIFS($C$5:$C$404,$C133,$B$5:$B$404,$B133)&gt;1,"Takror",""))</f>
        <v/>
      </c>
    </row>
    <row r="134">
      <c r="A134" s="9" t="n">
        <v>130</v>
      </c>
      <c r="B134" s="1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13" t="n"/>
      <c r="P134" s="13" t="n"/>
      <c r="Q134" s="15">
        <f>IF(OR($C134="",$B134=""),"",IF(COUNTIFS($C$5:$C$404,$C134,$B$5:$B$404,$B134)&gt;1,"Takror",""))</f>
        <v/>
      </c>
    </row>
    <row r="135">
      <c r="A135" s="9" t="n">
        <v>131</v>
      </c>
      <c r="B135" s="1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13" t="n"/>
      <c r="P135" s="13" t="n"/>
      <c r="Q135" s="15">
        <f>IF(OR($C135="",$B135=""),"",IF(COUNTIFS($C$5:$C$404,$C135,$B$5:$B$404,$B135)&gt;1,"Takror",""))</f>
        <v/>
      </c>
    </row>
    <row r="136">
      <c r="A136" s="9" t="n">
        <v>132</v>
      </c>
      <c r="B136" s="1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3" t="n"/>
      <c r="P136" s="13" t="n"/>
      <c r="Q136" s="15">
        <f>IF(OR($C136="",$B136=""),"",IF(COUNTIFS($C$5:$C$404,$C136,$B$5:$B$404,$B136)&gt;1,"Takror",""))</f>
        <v/>
      </c>
    </row>
    <row r="137">
      <c r="A137" s="9" t="n">
        <v>133</v>
      </c>
      <c r="B137" s="1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3" t="n"/>
      <c r="P137" s="13" t="n"/>
      <c r="Q137" s="15">
        <f>IF(OR($C137="",$B137=""),"",IF(COUNTIFS($C$5:$C$404,$C137,$B$5:$B$404,$B137)&gt;1,"Takror",""))</f>
        <v/>
      </c>
    </row>
    <row r="138">
      <c r="A138" s="9" t="n">
        <v>134</v>
      </c>
      <c r="B138" s="1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3" t="n"/>
      <c r="P138" s="13" t="n"/>
      <c r="Q138" s="15">
        <f>IF(OR($C138="",$B138=""),"",IF(COUNTIFS($C$5:$C$404,$C138,$B$5:$B$404,$B138)&gt;1,"Takror",""))</f>
        <v/>
      </c>
    </row>
    <row r="139">
      <c r="A139" s="9" t="n">
        <v>135</v>
      </c>
      <c r="B139" s="1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3" t="n"/>
      <c r="P139" s="13" t="n"/>
      <c r="Q139" s="15">
        <f>IF(OR($C139="",$B139=""),"",IF(COUNTIFS($C$5:$C$404,$C139,$B$5:$B$404,$B139)&gt;1,"Takror",""))</f>
        <v/>
      </c>
    </row>
    <row r="140">
      <c r="A140" s="9" t="n">
        <v>136</v>
      </c>
      <c r="B140" s="1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3" t="n"/>
      <c r="P140" s="13" t="n"/>
      <c r="Q140" s="15">
        <f>IF(OR($C140="",$B140=""),"",IF(COUNTIFS($C$5:$C$404,$C140,$B$5:$B$404,$B140)&gt;1,"Takror",""))</f>
        <v/>
      </c>
    </row>
    <row r="141">
      <c r="A141" s="9" t="n">
        <v>137</v>
      </c>
      <c r="B141" s="1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3" t="n"/>
      <c r="P141" s="13" t="n"/>
      <c r="Q141" s="15">
        <f>IF(OR($C141="",$B141=""),"",IF(COUNTIFS($C$5:$C$404,$C141,$B$5:$B$404,$B141)&gt;1,"Takror",""))</f>
        <v/>
      </c>
    </row>
    <row r="142">
      <c r="A142" s="9" t="n">
        <v>138</v>
      </c>
      <c r="B142" s="1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13" t="n"/>
      <c r="P142" s="13" t="n"/>
      <c r="Q142" s="15">
        <f>IF(OR($C142="",$B142=""),"",IF(COUNTIFS($C$5:$C$404,$C142,$B$5:$B$404,$B142)&gt;1,"Takror",""))</f>
        <v/>
      </c>
    </row>
    <row r="143">
      <c r="A143" s="9" t="n">
        <v>139</v>
      </c>
      <c r="B143" s="1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13" t="n"/>
      <c r="P143" s="13" t="n"/>
      <c r="Q143" s="15">
        <f>IF(OR($C143="",$B143=""),"",IF(COUNTIFS($C$5:$C$404,$C143,$B$5:$B$404,$B143)&gt;1,"Takror",""))</f>
        <v/>
      </c>
    </row>
    <row r="144">
      <c r="A144" s="9" t="n">
        <v>140</v>
      </c>
      <c r="B144" s="1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13" t="n"/>
      <c r="P144" s="13" t="n"/>
      <c r="Q144" s="15">
        <f>IF(OR($C144="",$B144=""),"",IF(COUNTIFS($C$5:$C$404,$C144,$B$5:$B$404,$B144)&gt;1,"Takror",""))</f>
        <v/>
      </c>
    </row>
    <row r="145">
      <c r="A145" s="9" t="n">
        <v>141</v>
      </c>
      <c r="B145" s="1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13" t="n"/>
      <c r="P145" s="13" t="n"/>
      <c r="Q145" s="15">
        <f>IF(OR($C145="",$B145=""),"",IF(COUNTIFS($C$5:$C$404,$C145,$B$5:$B$404,$B145)&gt;1,"Takror",""))</f>
        <v/>
      </c>
    </row>
    <row r="146">
      <c r="A146" s="9" t="n">
        <v>142</v>
      </c>
      <c r="B146" s="1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13" t="n"/>
      <c r="P146" s="13" t="n"/>
      <c r="Q146" s="15">
        <f>IF(OR($C146="",$B146=""),"",IF(COUNTIFS($C$5:$C$404,$C146,$B$5:$B$404,$B146)&gt;1,"Takror",""))</f>
        <v/>
      </c>
    </row>
    <row r="147">
      <c r="A147" s="9" t="n">
        <v>143</v>
      </c>
      <c r="B147" s="1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13" t="n"/>
      <c r="P147" s="13" t="n"/>
      <c r="Q147" s="15">
        <f>IF(OR($C147="",$B147=""),"",IF(COUNTIFS($C$5:$C$404,$C147,$B$5:$B$404,$B147)&gt;1,"Takror",""))</f>
        <v/>
      </c>
    </row>
    <row r="148">
      <c r="A148" s="9" t="n">
        <v>144</v>
      </c>
      <c r="B148" s="1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13" t="n"/>
      <c r="P148" s="13" t="n"/>
      <c r="Q148" s="15">
        <f>IF(OR($C148="",$B148=""),"",IF(COUNTIFS($C$5:$C$404,$C148,$B$5:$B$404,$B148)&gt;1,"Takror",""))</f>
        <v/>
      </c>
    </row>
    <row r="149">
      <c r="A149" s="9" t="n">
        <v>145</v>
      </c>
      <c r="B149" s="1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13" t="n"/>
      <c r="P149" s="13" t="n"/>
      <c r="Q149" s="15">
        <f>IF(OR($C149="",$B149=""),"",IF(COUNTIFS($C$5:$C$404,$C149,$B$5:$B$404,$B149)&gt;1,"Takror",""))</f>
        <v/>
      </c>
    </row>
    <row r="150">
      <c r="A150" s="9" t="n">
        <v>146</v>
      </c>
      <c r="B150" s="1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13" t="n"/>
      <c r="P150" s="13" t="n"/>
      <c r="Q150" s="15">
        <f>IF(OR($C150="",$B150=""),"",IF(COUNTIFS($C$5:$C$404,$C150,$B$5:$B$404,$B150)&gt;1,"Takror",""))</f>
        <v/>
      </c>
    </row>
    <row r="151">
      <c r="A151" s="9" t="n">
        <v>147</v>
      </c>
      <c r="B151" s="1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13" t="n"/>
      <c r="P151" s="13" t="n"/>
      <c r="Q151" s="15">
        <f>IF(OR($C151="",$B151=""),"",IF(COUNTIFS($C$5:$C$404,$C151,$B$5:$B$404,$B151)&gt;1,"Takror",""))</f>
        <v/>
      </c>
    </row>
    <row r="152">
      <c r="A152" s="9" t="n">
        <v>148</v>
      </c>
      <c r="B152" s="1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13" t="n"/>
      <c r="P152" s="13" t="n"/>
      <c r="Q152" s="15">
        <f>IF(OR($C152="",$B152=""),"",IF(COUNTIFS($C$5:$C$404,$C152,$B$5:$B$404,$B152)&gt;1,"Takror",""))</f>
        <v/>
      </c>
    </row>
    <row r="153">
      <c r="A153" s="9" t="n">
        <v>149</v>
      </c>
      <c r="B153" s="1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13" t="n"/>
      <c r="P153" s="13" t="n"/>
      <c r="Q153" s="15">
        <f>IF(OR($C153="",$B153=""),"",IF(COUNTIFS($C$5:$C$404,$C153,$B$5:$B$404,$B153)&gt;1,"Takror",""))</f>
        <v/>
      </c>
    </row>
    <row r="154">
      <c r="A154" s="9" t="n">
        <v>150</v>
      </c>
      <c r="B154" s="1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13" t="n"/>
      <c r="P154" s="13" t="n"/>
      <c r="Q154" s="15">
        <f>IF(OR($C154="",$B154=""),"",IF(COUNTIFS($C$5:$C$404,$C154,$B$5:$B$404,$B154)&gt;1,"Takror",""))</f>
        <v/>
      </c>
    </row>
    <row r="155">
      <c r="A155" s="9" t="n">
        <v>151</v>
      </c>
      <c r="B155" s="1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13" t="n"/>
      <c r="P155" s="13" t="n"/>
      <c r="Q155" s="15">
        <f>IF(OR($C155="",$B155=""),"",IF(COUNTIFS($C$5:$C$404,$C155,$B$5:$B$404,$B155)&gt;1,"Takror",""))</f>
        <v/>
      </c>
    </row>
    <row r="156">
      <c r="A156" s="9" t="n">
        <v>152</v>
      </c>
      <c r="B156" s="1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13" t="n"/>
      <c r="P156" s="13" t="n"/>
      <c r="Q156" s="15">
        <f>IF(OR($C156="",$B156=""),"",IF(COUNTIFS($C$5:$C$404,$C156,$B$5:$B$404,$B156)&gt;1,"Takror",""))</f>
        <v/>
      </c>
    </row>
    <row r="157">
      <c r="A157" s="9" t="n">
        <v>153</v>
      </c>
      <c r="B157" s="1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13" t="n"/>
      <c r="P157" s="13" t="n"/>
      <c r="Q157" s="15">
        <f>IF(OR($C157="",$B157=""),"",IF(COUNTIFS($C$5:$C$404,$C157,$B$5:$B$404,$B157)&gt;1,"Takror",""))</f>
        <v/>
      </c>
    </row>
    <row r="158">
      <c r="A158" s="9" t="n">
        <v>154</v>
      </c>
      <c r="B158" s="1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13" t="n"/>
      <c r="P158" s="13" t="n"/>
      <c r="Q158" s="15">
        <f>IF(OR($C158="",$B158=""),"",IF(COUNTIFS($C$5:$C$404,$C158,$B$5:$B$404,$B158)&gt;1,"Takror",""))</f>
        <v/>
      </c>
    </row>
    <row r="159">
      <c r="A159" s="9" t="n">
        <v>155</v>
      </c>
      <c r="B159" s="1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13" t="n"/>
      <c r="P159" s="13" t="n"/>
      <c r="Q159" s="15">
        <f>IF(OR($C159="",$B159=""),"",IF(COUNTIFS($C$5:$C$404,$C159,$B$5:$B$404,$B159)&gt;1,"Takror",""))</f>
        <v/>
      </c>
    </row>
    <row r="160">
      <c r="A160" s="9" t="n">
        <v>156</v>
      </c>
      <c r="B160" s="1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13" t="n"/>
      <c r="P160" s="13" t="n"/>
      <c r="Q160" s="15">
        <f>IF(OR($C160="",$B160=""),"",IF(COUNTIFS($C$5:$C$404,$C160,$B$5:$B$404,$B160)&gt;1,"Takror",""))</f>
        <v/>
      </c>
    </row>
    <row r="161">
      <c r="A161" s="9" t="n">
        <v>157</v>
      </c>
      <c r="B161" s="1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13" t="n"/>
      <c r="P161" s="13" t="n"/>
      <c r="Q161" s="15">
        <f>IF(OR($C161="",$B161=""),"",IF(COUNTIFS($C$5:$C$404,$C161,$B$5:$B$404,$B161)&gt;1,"Takror",""))</f>
        <v/>
      </c>
    </row>
    <row r="162">
      <c r="A162" s="9" t="n">
        <v>158</v>
      </c>
      <c r="B162" s="1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13" t="n"/>
      <c r="P162" s="13" t="n"/>
      <c r="Q162" s="15">
        <f>IF(OR($C162="",$B162=""),"",IF(COUNTIFS($C$5:$C$404,$C162,$B$5:$B$404,$B162)&gt;1,"Takror",""))</f>
        <v/>
      </c>
    </row>
    <row r="163">
      <c r="A163" s="9" t="n">
        <v>159</v>
      </c>
      <c r="B163" s="1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13" t="n"/>
      <c r="P163" s="13" t="n"/>
      <c r="Q163" s="15">
        <f>IF(OR($C163="",$B163=""),"",IF(COUNTIFS($C$5:$C$404,$C163,$B$5:$B$404,$B163)&gt;1,"Takror",""))</f>
        <v/>
      </c>
    </row>
    <row r="164">
      <c r="A164" s="9" t="n">
        <v>160</v>
      </c>
      <c r="B164" s="1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13" t="n"/>
      <c r="P164" s="13" t="n"/>
      <c r="Q164" s="15">
        <f>IF(OR($C164="",$B164=""),"",IF(COUNTIFS($C$5:$C$404,$C164,$B$5:$B$404,$B164)&gt;1,"Takror",""))</f>
        <v/>
      </c>
    </row>
    <row r="165">
      <c r="A165" s="9" t="n">
        <v>161</v>
      </c>
      <c r="B165" s="1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13" t="n"/>
      <c r="P165" s="13" t="n"/>
      <c r="Q165" s="15">
        <f>IF(OR($C165="",$B165=""),"",IF(COUNTIFS($C$5:$C$404,$C165,$B$5:$B$404,$B165)&gt;1,"Takror",""))</f>
        <v/>
      </c>
    </row>
    <row r="166">
      <c r="A166" s="9" t="n">
        <v>162</v>
      </c>
      <c r="B166" s="1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13" t="n"/>
      <c r="P166" s="13" t="n"/>
      <c r="Q166" s="15">
        <f>IF(OR($C166="",$B166=""),"",IF(COUNTIFS($C$5:$C$404,$C166,$B$5:$B$404,$B166)&gt;1,"Takror",""))</f>
        <v/>
      </c>
    </row>
    <row r="167">
      <c r="A167" s="9" t="n">
        <v>163</v>
      </c>
      <c r="B167" s="1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13" t="n"/>
      <c r="P167" s="13" t="n"/>
      <c r="Q167" s="15">
        <f>IF(OR($C167="",$B167=""),"",IF(COUNTIFS($C$5:$C$404,$C167,$B$5:$B$404,$B167)&gt;1,"Takror",""))</f>
        <v/>
      </c>
    </row>
    <row r="168">
      <c r="A168" s="9" t="n">
        <v>164</v>
      </c>
      <c r="B168" s="1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13" t="n"/>
      <c r="P168" s="13" t="n"/>
      <c r="Q168" s="15">
        <f>IF(OR($C168="",$B168=""),"",IF(COUNTIFS($C$5:$C$404,$C168,$B$5:$B$404,$B168)&gt;1,"Takror",""))</f>
        <v/>
      </c>
    </row>
    <row r="169">
      <c r="A169" s="9" t="n">
        <v>165</v>
      </c>
      <c r="B169" s="1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13" t="n"/>
      <c r="P169" s="13" t="n"/>
      <c r="Q169" s="15">
        <f>IF(OR($C169="",$B169=""),"",IF(COUNTIFS($C$5:$C$404,$C169,$B$5:$B$404,$B169)&gt;1,"Takror",""))</f>
        <v/>
      </c>
    </row>
    <row r="170">
      <c r="A170" s="9" t="n">
        <v>166</v>
      </c>
      <c r="B170" s="1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13" t="n"/>
      <c r="P170" s="13" t="n"/>
      <c r="Q170" s="15">
        <f>IF(OR($C170="",$B170=""),"",IF(COUNTIFS($C$5:$C$404,$C170,$B$5:$B$404,$B170)&gt;1,"Takror",""))</f>
        <v/>
      </c>
    </row>
    <row r="171">
      <c r="A171" s="9" t="n">
        <v>167</v>
      </c>
      <c r="B171" s="1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13" t="n"/>
      <c r="P171" s="13" t="n"/>
      <c r="Q171" s="15">
        <f>IF(OR($C171="",$B171=""),"",IF(COUNTIFS($C$5:$C$404,$C171,$B$5:$B$404,$B171)&gt;1,"Takror",""))</f>
        <v/>
      </c>
    </row>
    <row r="172">
      <c r="A172" s="9" t="n">
        <v>168</v>
      </c>
      <c r="B172" s="1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13" t="n"/>
      <c r="P172" s="13" t="n"/>
      <c r="Q172" s="15">
        <f>IF(OR($C172="",$B172=""),"",IF(COUNTIFS($C$5:$C$404,$C172,$B$5:$B$404,$B172)&gt;1,"Takror",""))</f>
        <v/>
      </c>
    </row>
    <row r="173">
      <c r="A173" s="9" t="n">
        <v>169</v>
      </c>
      <c r="B173" s="1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13" t="n"/>
      <c r="P173" s="13" t="n"/>
      <c r="Q173" s="15">
        <f>IF(OR($C173="",$B173=""),"",IF(COUNTIFS($C$5:$C$404,$C173,$B$5:$B$404,$B173)&gt;1,"Takror",""))</f>
        <v/>
      </c>
    </row>
    <row r="174">
      <c r="A174" s="9" t="n">
        <v>170</v>
      </c>
      <c r="B174" s="1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13" t="n"/>
      <c r="P174" s="13" t="n"/>
      <c r="Q174" s="15">
        <f>IF(OR($C174="",$B174=""),"",IF(COUNTIFS($C$5:$C$404,$C174,$B$5:$B$404,$B174)&gt;1,"Takror",""))</f>
        <v/>
      </c>
    </row>
    <row r="175">
      <c r="A175" s="9" t="n">
        <v>171</v>
      </c>
      <c r="B175" s="1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13" t="n"/>
      <c r="P175" s="13" t="n"/>
      <c r="Q175" s="15">
        <f>IF(OR($C175="",$B175=""),"",IF(COUNTIFS($C$5:$C$404,$C175,$B$5:$B$404,$B175)&gt;1,"Takror",""))</f>
        <v/>
      </c>
    </row>
    <row r="176">
      <c r="A176" s="9" t="n">
        <v>172</v>
      </c>
      <c r="B176" s="1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13" t="n"/>
      <c r="P176" s="13" t="n"/>
      <c r="Q176" s="15">
        <f>IF(OR($C176="",$B176=""),"",IF(COUNTIFS($C$5:$C$404,$C176,$B$5:$B$404,$B176)&gt;1,"Takror",""))</f>
        <v/>
      </c>
    </row>
    <row r="177">
      <c r="A177" s="9" t="n">
        <v>173</v>
      </c>
      <c r="B177" s="1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13" t="n"/>
      <c r="P177" s="13" t="n"/>
      <c r="Q177" s="15">
        <f>IF(OR($C177="",$B177=""),"",IF(COUNTIFS($C$5:$C$404,$C177,$B$5:$B$404,$B177)&gt;1,"Takror",""))</f>
        <v/>
      </c>
    </row>
    <row r="178">
      <c r="A178" s="9" t="n">
        <v>174</v>
      </c>
      <c r="B178" s="1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13" t="n"/>
      <c r="P178" s="13" t="n"/>
      <c r="Q178" s="15">
        <f>IF(OR($C178="",$B178=""),"",IF(COUNTIFS($C$5:$C$404,$C178,$B$5:$B$404,$B178)&gt;1,"Takror",""))</f>
        <v/>
      </c>
    </row>
    <row r="179">
      <c r="A179" s="9" t="n">
        <v>175</v>
      </c>
      <c r="B179" s="1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13" t="n"/>
      <c r="P179" s="13" t="n"/>
      <c r="Q179" s="15">
        <f>IF(OR($C179="",$B179=""),"",IF(COUNTIFS($C$5:$C$404,$C179,$B$5:$B$404,$B179)&gt;1,"Takror",""))</f>
        <v/>
      </c>
    </row>
    <row r="180">
      <c r="A180" s="9" t="n">
        <v>176</v>
      </c>
      <c r="B180" s="1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13" t="n"/>
      <c r="P180" s="13" t="n"/>
      <c r="Q180" s="15">
        <f>IF(OR($C180="",$B180=""),"",IF(COUNTIFS($C$5:$C$404,$C180,$B$5:$B$404,$B180)&gt;1,"Takror",""))</f>
        <v/>
      </c>
    </row>
    <row r="181">
      <c r="A181" s="9" t="n">
        <v>177</v>
      </c>
      <c r="B181" s="1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13" t="n"/>
      <c r="P181" s="13" t="n"/>
      <c r="Q181" s="15">
        <f>IF(OR($C181="",$B181=""),"",IF(COUNTIFS($C$5:$C$404,$C181,$B$5:$B$404,$B181)&gt;1,"Takror",""))</f>
        <v/>
      </c>
    </row>
    <row r="182">
      <c r="A182" s="9" t="n">
        <v>178</v>
      </c>
      <c r="B182" s="1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13" t="n"/>
      <c r="P182" s="13" t="n"/>
      <c r="Q182" s="15">
        <f>IF(OR($C182="",$B182=""),"",IF(COUNTIFS($C$5:$C$404,$C182,$B$5:$B$404,$B182)&gt;1,"Takror",""))</f>
        <v/>
      </c>
    </row>
    <row r="183">
      <c r="A183" s="9" t="n">
        <v>179</v>
      </c>
      <c r="B183" s="1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13" t="n"/>
      <c r="P183" s="13" t="n"/>
      <c r="Q183" s="15">
        <f>IF(OR($C183="",$B183=""),"",IF(COUNTIFS($C$5:$C$404,$C183,$B$5:$B$404,$B183)&gt;1,"Takror",""))</f>
        <v/>
      </c>
    </row>
    <row r="184">
      <c r="A184" s="9" t="n">
        <v>180</v>
      </c>
      <c r="B184" s="1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13" t="n"/>
      <c r="P184" s="13" t="n"/>
      <c r="Q184" s="15">
        <f>IF(OR($C184="",$B184=""),"",IF(COUNTIFS($C$5:$C$404,$C184,$B$5:$B$404,$B184)&gt;1,"Takror",""))</f>
        <v/>
      </c>
    </row>
    <row r="185">
      <c r="A185" s="9" t="n">
        <v>181</v>
      </c>
      <c r="B185" s="1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13" t="n"/>
      <c r="P185" s="13" t="n"/>
      <c r="Q185" s="15">
        <f>IF(OR($C185="",$B185=""),"",IF(COUNTIFS($C$5:$C$404,$C185,$B$5:$B$404,$B185)&gt;1,"Takror",""))</f>
        <v/>
      </c>
    </row>
    <row r="186">
      <c r="A186" s="9" t="n">
        <v>182</v>
      </c>
      <c r="B186" s="1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13" t="n"/>
      <c r="P186" s="13" t="n"/>
      <c r="Q186" s="15">
        <f>IF(OR($C186="",$B186=""),"",IF(COUNTIFS($C$5:$C$404,$C186,$B$5:$B$404,$B186)&gt;1,"Takror",""))</f>
        <v/>
      </c>
    </row>
    <row r="187">
      <c r="A187" s="9" t="n">
        <v>183</v>
      </c>
      <c r="B187" s="1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13" t="n"/>
      <c r="P187" s="13" t="n"/>
      <c r="Q187" s="15">
        <f>IF(OR($C187="",$B187=""),"",IF(COUNTIFS($C$5:$C$404,$C187,$B$5:$B$404,$B187)&gt;1,"Takror",""))</f>
        <v/>
      </c>
    </row>
    <row r="188">
      <c r="A188" s="9" t="n">
        <v>184</v>
      </c>
      <c r="B188" s="1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13" t="n"/>
      <c r="P188" s="13" t="n"/>
      <c r="Q188" s="15">
        <f>IF(OR($C188="",$B188=""),"",IF(COUNTIFS($C$5:$C$404,$C188,$B$5:$B$404,$B188)&gt;1,"Takror",""))</f>
        <v/>
      </c>
    </row>
    <row r="189">
      <c r="A189" s="9" t="n">
        <v>185</v>
      </c>
      <c r="B189" s="1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13" t="n"/>
      <c r="P189" s="13" t="n"/>
      <c r="Q189" s="15">
        <f>IF(OR($C189="",$B189=""),"",IF(COUNTIFS($C$5:$C$404,$C189,$B$5:$B$404,$B189)&gt;1,"Takror",""))</f>
        <v/>
      </c>
    </row>
    <row r="190">
      <c r="A190" s="9" t="n">
        <v>186</v>
      </c>
      <c r="B190" s="1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13" t="n"/>
      <c r="P190" s="13" t="n"/>
      <c r="Q190" s="15">
        <f>IF(OR($C190="",$B190=""),"",IF(COUNTIFS($C$5:$C$404,$C190,$B$5:$B$404,$B190)&gt;1,"Takror",""))</f>
        <v/>
      </c>
    </row>
    <row r="191">
      <c r="A191" s="9" t="n">
        <v>187</v>
      </c>
      <c r="B191" s="1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13" t="n"/>
      <c r="P191" s="13" t="n"/>
      <c r="Q191" s="15">
        <f>IF(OR($C191="",$B191=""),"",IF(COUNTIFS($C$5:$C$404,$C191,$B$5:$B$404,$B191)&gt;1,"Takror",""))</f>
        <v/>
      </c>
    </row>
    <row r="192">
      <c r="A192" s="9" t="n">
        <v>188</v>
      </c>
      <c r="B192" s="1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13" t="n"/>
      <c r="P192" s="13" t="n"/>
      <c r="Q192" s="15">
        <f>IF(OR($C192="",$B192=""),"",IF(COUNTIFS($C$5:$C$404,$C192,$B$5:$B$404,$B192)&gt;1,"Takror",""))</f>
        <v/>
      </c>
    </row>
    <row r="193">
      <c r="A193" s="9" t="n">
        <v>189</v>
      </c>
      <c r="B193" s="1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13" t="n"/>
      <c r="P193" s="13" t="n"/>
      <c r="Q193" s="15">
        <f>IF(OR($C193="",$B193=""),"",IF(COUNTIFS($C$5:$C$404,$C193,$B$5:$B$404,$B193)&gt;1,"Takror",""))</f>
        <v/>
      </c>
    </row>
    <row r="194">
      <c r="A194" s="9" t="n">
        <v>190</v>
      </c>
      <c r="B194" s="1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13" t="n"/>
      <c r="P194" s="13" t="n"/>
      <c r="Q194" s="15">
        <f>IF(OR($C194="",$B194=""),"",IF(COUNTIFS($C$5:$C$404,$C194,$B$5:$B$404,$B194)&gt;1,"Takror",""))</f>
        <v/>
      </c>
    </row>
    <row r="195">
      <c r="A195" s="9" t="n">
        <v>191</v>
      </c>
      <c r="B195" s="1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13" t="n"/>
      <c r="P195" s="13" t="n"/>
      <c r="Q195" s="15">
        <f>IF(OR($C195="",$B195=""),"",IF(COUNTIFS($C$5:$C$404,$C195,$B$5:$B$404,$B195)&gt;1,"Takror",""))</f>
        <v/>
      </c>
    </row>
    <row r="196">
      <c r="A196" s="9" t="n">
        <v>192</v>
      </c>
      <c r="B196" s="1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13" t="n"/>
      <c r="P196" s="13" t="n"/>
      <c r="Q196" s="15">
        <f>IF(OR($C196="",$B196=""),"",IF(COUNTIFS($C$5:$C$404,$C196,$B$5:$B$404,$B196)&gt;1,"Takror",""))</f>
        <v/>
      </c>
    </row>
    <row r="197">
      <c r="A197" s="9" t="n">
        <v>193</v>
      </c>
      <c r="B197" s="1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13" t="n"/>
      <c r="P197" s="13" t="n"/>
      <c r="Q197" s="15">
        <f>IF(OR($C197="",$B197=""),"",IF(COUNTIFS($C$5:$C$404,$C197,$B$5:$B$404,$B197)&gt;1,"Takror",""))</f>
        <v/>
      </c>
    </row>
    <row r="198">
      <c r="A198" s="9" t="n">
        <v>194</v>
      </c>
      <c r="B198" s="1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13" t="n"/>
      <c r="P198" s="13" t="n"/>
      <c r="Q198" s="15">
        <f>IF(OR($C198="",$B198=""),"",IF(COUNTIFS($C$5:$C$404,$C198,$B$5:$B$404,$B198)&gt;1,"Takror",""))</f>
        <v/>
      </c>
    </row>
    <row r="199">
      <c r="A199" s="9" t="n">
        <v>195</v>
      </c>
      <c r="B199" s="1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13" t="n"/>
      <c r="P199" s="13" t="n"/>
      <c r="Q199" s="15">
        <f>IF(OR($C199="",$B199=""),"",IF(COUNTIFS($C$5:$C$404,$C199,$B$5:$B$404,$B199)&gt;1,"Takror",""))</f>
        <v/>
      </c>
    </row>
    <row r="200">
      <c r="A200" s="9" t="n">
        <v>196</v>
      </c>
      <c r="B200" s="1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13" t="n"/>
      <c r="P200" s="13" t="n"/>
      <c r="Q200" s="15">
        <f>IF(OR($C200="",$B200=""),"",IF(COUNTIFS($C$5:$C$404,$C200,$B$5:$B$404,$B200)&gt;1,"Takror",""))</f>
        <v/>
      </c>
    </row>
    <row r="201">
      <c r="A201" s="9" t="n">
        <v>197</v>
      </c>
      <c r="B201" s="1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13" t="n"/>
      <c r="P201" s="13" t="n"/>
      <c r="Q201" s="15">
        <f>IF(OR($C201="",$B201=""),"",IF(COUNTIFS($C$5:$C$404,$C201,$B$5:$B$404,$B201)&gt;1,"Takror",""))</f>
        <v/>
      </c>
    </row>
    <row r="202">
      <c r="A202" s="9" t="n">
        <v>198</v>
      </c>
      <c r="B202" s="1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13" t="n"/>
      <c r="P202" s="13" t="n"/>
      <c r="Q202" s="15">
        <f>IF(OR($C202="",$B202=""),"",IF(COUNTIFS($C$5:$C$404,$C202,$B$5:$B$404,$B202)&gt;1,"Takror",""))</f>
        <v/>
      </c>
    </row>
    <row r="203">
      <c r="A203" s="9" t="n">
        <v>199</v>
      </c>
      <c r="B203" s="1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13" t="n"/>
      <c r="P203" s="13" t="n"/>
      <c r="Q203" s="15">
        <f>IF(OR($C203="",$B203=""),"",IF(COUNTIFS($C$5:$C$404,$C203,$B$5:$B$404,$B203)&gt;1,"Takror",""))</f>
        <v/>
      </c>
    </row>
    <row r="204">
      <c r="A204" s="9" t="n">
        <v>200</v>
      </c>
      <c r="B204" s="1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13" t="n"/>
      <c r="P204" s="13" t="n"/>
      <c r="Q204" s="15">
        <f>IF(OR($C204="",$B204=""),"",IF(COUNTIFS($C$5:$C$404,$C204,$B$5:$B$404,$B204)&gt;1,"Takror",""))</f>
        <v/>
      </c>
    </row>
    <row r="205">
      <c r="A205" s="9" t="n">
        <v>201</v>
      </c>
      <c r="B205" s="1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13" t="n"/>
      <c r="P205" s="13" t="n"/>
      <c r="Q205" s="15">
        <f>IF(OR($C205="",$B205=""),"",IF(COUNTIFS($C$5:$C$404,$C205,$B$5:$B$404,$B205)&gt;1,"Takror",""))</f>
        <v/>
      </c>
    </row>
    <row r="206">
      <c r="A206" s="9" t="n">
        <v>202</v>
      </c>
      <c r="B206" s="1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13" t="n"/>
      <c r="P206" s="13" t="n"/>
      <c r="Q206" s="15">
        <f>IF(OR($C206="",$B206=""),"",IF(COUNTIFS($C$5:$C$404,$C206,$B$5:$B$404,$B206)&gt;1,"Takror",""))</f>
        <v/>
      </c>
    </row>
    <row r="207">
      <c r="A207" s="9" t="n">
        <v>203</v>
      </c>
      <c r="B207" s="1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13" t="n"/>
      <c r="P207" s="13" t="n"/>
      <c r="Q207" s="15">
        <f>IF(OR($C207="",$B207=""),"",IF(COUNTIFS($C$5:$C$404,$C207,$B$5:$B$404,$B207)&gt;1,"Takror",""))</f>
        <v/>
      </c>
    </row>
    <row r="208">
      <c r="A208" s="9" t="n">
        <v>204</v>
      </c>
      <c r="B208" s="1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13" t="n"/>
      <c r="P208" s="13" t="n"/>
      <c r="Q208" s="15">
        <f>IF(OR($C208="",$B208=""),"",IF(COUNTIFS($C$5:$C$404,$C208,$B$5:$B$404,$B208)&gt;1,"Takror",""))</f>
        <v/>
      </c>
    </row>
    <row r="209">
      <c r="A209" s="9" t="n">
        <v>205</v>
      </c>
      <c r="B209" s="1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13" t="n"/>
      <c r="P209" s="13" t="n"/>
      <c r="Q209" s="15">
        <f>IF(OR($C209="",$B209=""),"",IF(COUNTIFS($C$5:$C$404,$C209,$B$5:$B$404,$B209)&gt;1,"Takror",""))</f>
        <v/>
      </c>
    </row>
    <row r="210">
      <c r="A210" s="9" t="n">
        <v>206</v>
      </c>
      <c r="B210" s="1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13" t="n"/>
      <c r="P210" s="13" t="n"/>
      <c r="Q210" s="15">
        <f>IF(OR($C210="",$B210=""),"",IF(COUNTIFS($C$5:$C$404,$C210,$B$5:$B$404,$B210)&gt;1,"Takror",""))</f>
        <v/>
      </c>
    </row>
    <row r="211">
      <c r="A211" s="9" t="n">
        <v>207</v>
      </c>
      <c r="B211" s="1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13" t="n"/>
      <c r="P211" s="13" t="n"/>
      <c r="Q211" s="15">
        <f>IF(OR($C211="",$B211=""),"",IF(COUNTIFS($C$5:$C$404,$C211,$B$5:$B$404,$B211)&gt;1,"Takror",""))</f>
        <v/>
      </c>
    </row>
    <row r="212">
      <c r="A212" s="9" t="n">
        <v>208</v>
      </c>
      <c r="B212" s="1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13" t="n"/>
      <c r="P212" s="13" t="n"/>
      <c r="Q212" s="15">
        <f>IF(OR($C212="",$B212=""),"",IF(COUNTIFS($C$5:$C$404,$C212,$B$5:$B$404,$B212)&gt;1,"Takror",""))</f>
        <v/>
      </c>
    </row>
    <row r="213">
      <c r="A213" s="9" t="n">
        <v>209</v>
      </c>
      <c r="B213" s="1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13" t="n"/>
      <c r="P213" s="13" t="n"/>
      <c r="Q213" s="15">
        <f>IF(OR($C213="",$B213=""),"",IF(COUNTIFS($C$5:$C$404,$C213,$B$5:$B$404,$B213)&gt;1,"Takror",""))</f>
        <v/>
      </c>
    </row>
    <row r="214">
      <c r="A214" s="9" t="n">
        <v>210</v>
      </c>
      <c r="B214" s="1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13" t="n"/>
      <c r="P214" s="13" t="n"/>
      <c r="Q214" s="15">
        <f>IF(OR($C214="",$B214=""),"",IF(COUNTIFS($C$5:$C$404,$C214,$B$5:$B$404,$B214)&gt;1,"Takror",""))</f>
        <v/>
      </c>
    </row>
    <row r="215">
      <c r="A215" s="9" t="n">
        <v>211</v>
      </c>
      <c r="B215" s="1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13" t="n"/>
      <c r="P215" s="13" t="n"/>
      <c r="Q215" s="15">
        <f>IF(OR($C215="",$B215=""),"",IF(COUNTIFS($C$5:$C$404,$C215,$B$5:$B$404,$B215)&gt;1,"Takror",""))</f>
        <v/>
      </c>
    </row>
    <row r="216">
      <c r="A216" s="9" t="n">
        <v>212</v>
      </c>
      <c r="B216" s="1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13" t="n"/>
      <c r="P216" s="13" t="n"/>
      <c r="Q216" s="15">
        <f>IF(OR($C216="",$B216=""),"",IF(COUNTIFS($C$5:$C$404,$C216,$B$5:$B$404,$B216)&gt;1,"Takror",""))</f>
        <v/>
      </c>
    </row>
    <row r="217">
      <c r="A217" s="9" t="n">
        <v>213</v>
      </c>
      <c r="B217" s="1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13" t="n"/>
      <c r="P217" s="13" t="n"/>
      <c r="Q217" s="15">
        <f>IF(OR($C217="",$B217=""),"",IF(COUNTIFS($C$5:$C$404,$C217,$B$5:$B$404,$B217)&gt;1,"Takror",""))</f>
        <v/>
      </c>
    </row>
    <row r="218">
      <c r="A218" s="9" t="n">
        <v>214</v>
      </c>
      <c r="B218" s="1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13" t="n"/>
      <c r="P218" s="13" t="n"/>
      <c r="Q218" s="15">
        <f>IF(OR($C218="",$B218=""),"",IF(COUNTIFS($C$5:$C$404,$C218,$B$5:$B$404,$B218)&gt;1,"Takror",""))</f>
        <v/>
      </c>
    </row>
    <row r="219">
      <c r="A219" s="9" t="n">
        <v>215</v>
      </c>
      <c r="B219" s="1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13" t="n"/>
      <c r="P219" s="13" t="n"/>
      <c r="Q219" s="15">
        <f>IF(OR($C219="",$B219=""),"",IF(COUNTIFS($C$5:$C$404,$C219,$B$5:$B$404,$B219)&gt;1,"Takror",""))</f>
        <v/>
      </c>
    </row>
    <row r="220">
      <c r="A220" s="9" t="n">
        <v>216</v>
      </c>
      <c r="B220" s="1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13" t="n"/>
      <c r="P220" s="13" t="n"/>
      <c r="Q220" s="15">
        <f>IF(OR($C220="",$B220=""),"",IF(COUNTIFS($C$5:$C$404,$C220,$B$5:$B$404,$B220)&gt;1,"Takror",""))</f>
        <v/>
      </c>
    </row>
    <row r="221">
      <c r="A221" s="9" t="n">
        <v>217</v>
      </c>
      <c r="B221" s="1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13" t="n"/>
      <c r="P221" s="13" t="n"/>
      <c r="Q221" s="15">
        <f>IF(OR($C221="",$B221=""),"",IF(COUNTIFS($C$5:$C$404,$C221,$B$5:$B$404,$B221)&gt;1,"Takror",""))</f>
        <v/>
      </c>
    </row>
    <row r="222">
      <c r="A222" s="9" t="n">
        <v>218</v>
      </c>
      <c r="B222" s="1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13" t="n"/>
      <c r="P222" s="13" t="n"/>
      <c r="Q222" s="15">
        <f>IF(OR($C222="",$B222=""),"",IF(COUNTIFS($C$5:$C$404,$C222,$B$5:$B$404,$B222)&gt;1,"Takror",""))</f>
        <v/>
      </c>
    </row>
    <row r="223">
      <c r="A223" s="9" t="n">
        <v>219</v>
      </c>
      <c r="B223" s="1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13" t="n"/>
      <c r="P223" s="13" t="n"/>
      <c r="Q223" s="15">
        <f>IF(OR($C223="",$B223=""),"",IF(COUNTIFS($C$5:$C$404,$C223,$B$5:$B$404,$B223)&gt;1,"Takror",""))</f>
        <v/>
      </c>
    </row>
    <row r="224">
      <c r="A224" s="9" t="n">
        <v>220</v>
      </c>
      <c r="B224" s="1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13" t="n"/>
      <c r="P224" s="13" t="n"/>
      <c r="Q224" s="15">
        <f>IF(OR($C224="",$B224=""),"",IF(COUNTIFS($C$5:$C$404,$C224,$B$5:$B$404,$B224)&gt;1,"Takror",""))</f>
        <v/>
      </c>
    </row>
    <row r="225">
      <c r="A225" s="9" t="n">
        <v>221</v>
      </c>
      <c r="B225" s="1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13" t="n"/>
      <c r="P225" s="13" t="n"/>
      <c r="Q225" s="15">
        <f>IF(OR($C225="",$B225=""),"",IF(COUNTIFS($C$5:$C$404,$C225,$B$5:$B$404,$B225)&gt;1,"Takror",""))</f>
        <v/>
      </c>
    </row>
    <row r="226">
      <c r="A226" s="9" t="n">
        <v>222</v>
      </c>
      <c r="B226" s="1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13" t="n"/>
      <c r="P226" s="13" t="n"/>
      <c r="Q226" s="15">
        <f>IF(OR($C226="",$B226=""),"",IF(COUNTIFS($C$5:$C$404,$C226,$B$5:$B$404,$B226)&gt;1,"Takror",""))</f>
        <v/>
      </c>
    </row>
    <row r="227">
      <c r="A227" s="9" t="n">
        <v>223</v>
      </c>
      <c r="B227" s="1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13" t="n"/>
      <c r="P227" s="13" t="n"/>
      <c r="Q227" s="15">
        <f>IF(OR($C227="",$B227=""),"",IF(COUNTIFS($C$5:$C$404,$C227,$B$5:$B$404,$B227)&gt;1,"Takror",""))</f>
        <v/>
      </c>
    </row>
    <row r="228">
      <c r="A228" s="9" t="n">
        <v>224</v>
      </c>
      <c r="B228" s="1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13" t="n"/>
      <c r="P228" s="13" t="n"/>
      <c r="Q228" s="15">
        <f>IF(OR($C228="",$B228=""),"",IF(COUNTIFS($C$5:$C$404,$C228,$B$5:$B$404,$B228)&gt;1,"Takror",""))</f>
        <v/>
      </c>
    </row>
    <row r="229">
      <c r="A229" s="9" t="n">
        <v>225</v>
      </c>
      <c r="B229" s="1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13" t="n"/>
      <c r="P229" s="13" t="n"/>
      <c r="Q229" s="15">
        <f>IF(OR($C229="",$B229=""),"",IF(COUNTIFS($C$5:$C$404,$C229,$B$5:$B$404,$B229)&gt;1,"Takror",""))</f>
        <v/>
      </c>
    </row>
    <row r="230">
      <c r="A230" s="9" t="n">
        <v>226</v>
      </c>
      <c r="B230" s="1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13" t="n"/>
      <c r="P230" s="13" t="n"/>
      <c r="Q230" s="15">
        <f>IF(OR($C230="",$B230=""),"",IF(COUNTIFS($C$5:$C$404,$C230,$B$5:$B$404,$B230)&gt;1,"Takror",""))</f>
        <v/>
      </c>
    </row>
    <row r="231">
      <c r="A231" s="9" t="n">
        <v>227</v>
      </c>
      <c r="B231" s="1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13" t="n"/>
      <c r="P231" s="13" t="n"/>
      <c r="Q231" s="15">
        <f>IF(OR($C231="",$B231=""),"",IF(COUNTIFS($C$5:$C$404,$C231,$B$5:$B$404,$B231)&gt;1,"Takror",""))</f>
        <v/>
      </c>
    </row>
    <row r="232">
      <c r="A232" s="9" t="n">
        <v>228</v>
      </c>
      <c r="B232" s="1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13" t="n"/>
      <c r="P232" s="13" t="n"/>
      <c r="Q232" s="15">
        <f>IF(OR($C232="",$B232=""),"",IF(COUNTIFS($C$5:$C$404,$C232,$B$5:$B$404,$B232)&gt;1,"Takror",""))</f>
        <v/>
      </c>
    </row>
    <row r="233">
      <c r="A233" s="9" t="n">
        <v>229</v>
      </c>
      <c r="B233" s="1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13" t="n"/>
      <c r="P233" s="13" t="n"/>
      <c r="Q233" s="15">
        <f>IF(OR($C233="",$B233=""),"",IF(COUNTIFS($C$5:$C$404,$C233,$B$5:$B$404,$B233)&gt;1,"Takror",""))</f>
        <v/>
      </c>
    </row>
    <row r="234">
      <c r="A234" s="9" t="n">
        <v>230</v>
      </c>
      <c r="B234" s="1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13" t="n"/>
      <c r="P234" s="13" t="n"/>
      <c r="Q234" s="15">
        <f>IF(OR($C234="",$B234=""),"",IF(COUNTIFS($C$5:$C$404,$C234,$B$5:$B$404,$B234)&gt;1,"Takror",""))</f>
        <v/>
      </c>
    </row>
    <row r="235">
      <c r="A235" s="9" t="n">
        <v>231</v>
      </c>
      <c r="B235" s="1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13" t="n"/>
      <c r="P235" s="13" t="n"/>
      <c r="Q235" s="15">
        <f>IF(OR($C235="",$B235=""),"",IF(COUNTIFS($C$5:$C$404,$C235,$B$5:$B$404,$B235)&gt;1,"Takror",""))</f>
        <v/>
      </c>
    </row>
    <row r="236">
      <c r="A236" s="9" t="n">
        <v>232</v>
      </c>
      <c r="B236" s="1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13" t="n"/>
      <c r="P236" s="13" t="n"/>
      <c r="Q236" s="15">
        <f>IF(OR($C236="",$B236=""),"",IF(COUNTIFS($C$5:$C$404,$C236,$B$5:$B$404,$B236)&gt;1,"Takror",""))</f>
        <v/>
      </c>
    </row>
    <row r="237">
      <c r="A237" s="9" t="n">
        <v>233</v>
      </c>
      <c r="B237" s="1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13" t="n"/>
      <c r="P237" s="13" t="n"/>
      <c r="Q237" s="15">
        <f>IF(OR($C237="",$B237=""),"",IF(COUNTIFS($C$5:$C$404,$C237,$B$5:$B$404,$B237)&gt;1,"Takror",""))</f>
        <v/>
      </c>
    </row>
    <row r="238">
      <c r="A238" s="9" t="n">
        <v>234</v>
      </c>
      <c r="B238" s="1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13" t="n"/>
      <c r="P238" s="13" t="n"/>
      <c r="Q238" s="15">
        <f>IF(OR($C238="",$B238=""),"",IF(COUNTIFS($C$5:$C$404,$C238,$B$5:$B$404,$B238)&gt;1,"Takror",""))</f>
        <v/>
      </c>
    </row>
    <row r="239">
      <c r="A239" s="9" t="n">
        <v>235</v>
      </c>
      <c r="B239" s="1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13" t="n"/>
      <c r="P239" s="13" t="n"/>
      <c r="Q239" s="15">
        <f>IF(OR($C239="",$B239=""),"",IF(COUNTIFS($C$5:$C$404,$C239,$B$5:$B$404,$B239)&gt;1,"Takror",""))</f>
        <v/>
      </c>
    </row>
    <row r="240">
      <c r="A240" s="9" t="n">
        <v>236</v>
      </c>
      <c r="B240" s="1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13" t="n"/>
      <c r="P240" s="13" t="n"/>
      <c r="Q240" s="15">
        <f>IF(OR($C240="",$B240=""),"",IF(COUNTIFS($C$5:$C$404,$C240,$B$5:$B$404,$B240)&gt;1,"Takror",""))</f>
        <v/>
      </c>
    </row>
    <row r="241">
      <c r="A241" s="9" t="n">
        <v>237</v>
      </c>
      <c r="B241" s="1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13" t="n"/>
      <c r="P241" s="13" t="n"/>
      <c r="Q241" s="15">
        <f>IF(OR($C241="",$B241=""),"",IF(COUNTIFS($C$5:$C$404,$C241,$B$5:$B$404,$B241)&gt;1,"Takror",""))</f>
        <v/>
      </c>
    </row>
    <row r="242">
      <c r="A242" s="9" t="n">
        <v>238</v>
      </c>
      <c r="B242" s="1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13" t="n"/>
      <c r="P242" s="13" t="n"/>
      <c r="Q242" s="15">
        <f>IF(OR($C242="",$B242=""),"",IF(COUNTIFS($C$5:$C$404,$C242,$B$5:$B$404,$B242)&gt;1,"Takror",""))</f>
        <v/>
      </c>
    </row>
    <row r="243">
      <c r="A243" s="9" t="n">
        <v>239</v>
      </c>
      <c r="B243" s="1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13" t="n"/>
      <c r="P243" s="13" t="n"/>
      <c r="Q243" s="15">
        <f>IF(OR($C243="",$B243=""),"",IF(COUNTIFS($C$5:$C$404,$C243,$B$5:$B$404,$B243)&gt;1,"Takror",""))</f>
        <v/>
      </c>
    </row>
    <row r="244">
      <c r="A244" s="9" t="n">
        <v>240</v>
      </c>
      <c r="B244" s="1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13" t="n"/>
      <c r="P244" s="13" t="n"/>
      <c r="Q244" s="15">
        <f>IF(OR($C244="",$B244=""),"",IF(COUNTIFS($C$5:$C$404,$C244,$B$5:$B$404,$B244)&gt;1,"Takror",""))</f>
        <v/>
      </c>
    </row>
    <row r="245">
      <c r="A245" s="9" t="n">
        <v>241</v>
      </c>
      <c r="B245" s="1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13" t="n"/>
      <c r="P245" s="13" t="n"/>
      <c r="Q245" s="15">
        <f>IF(OR($C245="",$B245=""),"",IF(COUNTIFS($C$5:$C$404,$C245,$B$5:$B$404,$B245)&gt;1,"Takror",""))</f>
        <v/>
      </c>
    </row>
    <row r="246">
      <c r="A246" s="9" t="n">
        <v>242</v>
      </c>
      <c r="B246" s="1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13" t="n"/>
      <c r="P246" s="13" t="n"/>
      <c r="Q246" s="15">
        <f>IF(OR($C246="",$B246=""),"",IF(COUNTIFS($C$5:$C$404,$C246,$B$5:$B$404,$B246)&gt;1,"Takror",""))</f>
        <v/>
      </c>
    </row>
    <row r="247">
      <c r="A247" s="9" t="n">
        <v>243</v>
      </c>
      <c r="B247" s="1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13" t="n"/>
      <c r="P247" s="13" t="n"/>
      <c r="Q247" s="15">
        <f>IF(OR($C247="",$B247=""),"",IF(COUNTIFS($C$5:$C$404,$C247,$B$5:$B$404,$B247)&gt;1,"Takror",""))</f>
        <v/>
      </c>
    </row>
    <row r="248">
      <c r="A248" s="9" t="n">
        <v>244</v>
      </c>
      <c r="B248" s="1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13" t="n"/>
      <c r="P248" s="13" t="n"/>
      <c r="Q248" s="15">
        <f>IF(OR($C248="",$B248=""),"",IF(COUNTIFS($C$5:$C$404,$C248,$B$5:$B$404,$B248)&gt;1,"Takror",""))</f>
        <v/>
      </c>
    </row>
    <row r="249">
      <c r="A249" s="9" t="n">
        <v>245</v>
      </c>
      <c r="B249" s="1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13" t="n"/>
      <c r="P249" s="13" t="n"/>
      <c r="Q249" s="15">
        <f>IF(OR($C249="",$B249=""),"",IF(COUNTIFS($C$5:$C$404,$C249,$B$5:$B$404,$B249)&gt;1,"Takror",""))</f>
        <v/>
      </c>
    </row>
    <row r="250">
      <c r="A250" s="9" t="n">
        <v>246</v>
      </c>
      <c r="B250" s="1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13" t="n"/>
      <c r="P250" s="13" t="n"/>
      <c r="Q250" s="15">
        <f>IF(OR($C250="",$B250=""),"",IF(COUNTIFS($C$5:$C$404,$C250,$B$5:$B$404,$B250)&gt;1,"Takror",""))</f>
        <v/>
      </c>
    </row>
    <row r="251">
      <c r="A251" s="9" t="n">
        <v>247</v>
      </c>
      <c r="B251" s="1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13" t="n"/>
      <c r="P251" s="13" t="n"/>
      <c r="Q251" s="15">
        <f>IF(OR($C251="",$B251=""),"",IF(COUNTIFS($C$5:$C$404,$C251,$B$5:$B$404,$B251)&gt;1,"Takror",""))</f>
        <v/>
      </c>
    </row>
    <row r="252">
      <c r="A252" s="9" t="n">
        <v>248</v>
      </c>
      <c r="B252" s="1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13" t="n"/>
      <c r="P252" s="13" t="n"/>
      <c r="Q252" s="15">
        <f>IF(OR($C252="",$B252=""),"",IF(COUNTIFS($C$5:$C$404,$C252,$B$5:$B$404,$B252)&gt;1,"Takror",""))</f>
        <v/>
      </c>
    </row>
    <row r="253">
      <c r="A253" s="9" t="n">
        <v>249</v>
      </c>
      <c r="B253" s="1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13" t="n"/>
      <c r="P253" s="13" t="n"/>
      <c r="Q253" s="15">
        <f>IF(OR($C253="",$B253=""),"",IF(COUNTIFS($C$5:$C$404,$C253,$B$5:$B$404,$B253)&gt;1,"Takror",""))</f>
        <v/>
      </c>
    </row>
    <row r="254">
      <c r="A254" s="9" t="n">
        <v>250</v>
      </c>
      <c r="B254" s="1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13" t="n"/>
      <c r="P254" s="13" t="n"/>
      <c r="Q254" s="15">
        <f>IF(OR($C254="",$B254=""),"",IF(COUNTIFS($C$5:$C$404,$C254,$B$5:$B$404,$B254)&gt;1,"Takror",""))</f>
        <v/>
      </c>
    </row>
    <row r="255">
      <c r="A255" s="9" t="n">
        <v>251</v>
      </c>
      <c r="B255" s="1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13" t="n"/>
      <c r="P255" s="13" t="n"/>
      <c r="Q255" s="15">
        <f>IF(OR($C255="",$B255=""),"",IF(COUNTIFS($C$5:$C$404,$C255,$B$5:$B$404,$B255)&gt;1,"Takror",""))</f>
        <v/>
      </c>
    </row>
    <row r="256">
      <c r="A256" s="9" t="n">
        <v>252</v>
      </c>
      <c r="B256" s="1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13" t="n"/>
      <c r="P256" s="13" t="n"/>
      <c r="Q256" s="15">
        <f>IF(OR($C256="",$B256=""),"",IF(COUNTIFS($C$5:$C$404,$C256,$B$5:$B$404,$B256)&gt;1,"Takror",""))</f>
        <v/>
      </c>
    </row>
    <row r="257">
      <c r="A257" s="9" t="n">
        <v>253</v>
      </c>
      <c r="B257" s="1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13" t="n"/>
      <c r="P257" s="13" t="n"/>
      <c r="Q257" s="15">
        <f>IF(OR($C257="",$B257=""),"",IF(COUNTIFS($C$5:$C$404,$C257,$B$5:$B$404,$B257)&gt;1,"Takror",""))</f>
        <v/>
      </c>
    </row>
    <row r="258">
      <c r="A258" s="9" t="n">
        <v>254</v>
      </c>
      <c r="B258" s="1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13" t="n"/>
      <c r="P258" s="13" t="n"/>
      <c r="Q258" s="15">
        <f>IF(OR($C258="",$B258=""),"",IF(COUNTIFS($C$5:$C$404,$C258,$B$5:$B$404,$B258)&gt;1,"Takror",""))</f>
        <v/>
      </c>
    </row>
    <row r="259">
      <c r="A259" s="9" t="n">
        <v>255</v>
      </c>
      <c r="B259" s="1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13" t="n"/>
      <c r="P259" s="13" t="n"/>
      <c r="Q259" s="15">
        <f>IF(OR($C259="",$B259=""),"",IF(COUNTIFS($C$5:$C$404,$C259,$B$5:$B$404,$B259)&gt;1,"Takror",""))</f>
        <v/>
      </c>
    </row>
    <row r="260">
      <c r="A260" s="9" t="n">
        <v>256</v>
      </c>
      <c r="B260" s="1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13" t="n"/>
      <c r="P260" s="13" t="n"/>
      <c r="Q260" s="15">
        <f>IF(OR($C260="",$B260=""),"",IF(COUNTIFS($C$5:$C$404,$C260,$B$5:$B$404,$B260)&gt;1,"Takror",""))</f>
        <v/>
      </c>
    </row>
    <row r="261">
      <c r="A261" s="9" t="n">
        <v>257</v>
      </c>
      <c r="B261" s="1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13" t="n"/>
      <c r="P261" s="13" t="n"/>
      <c r="Q261" s="15">
        <f>IF(OR($C261="",$B261=""),"",IF(COUNTIFS($C$5:$C$404,$C261,$B$5:$B$404,$B261)&gt;1,"Takror",""))</f>
        <v/>
      </c>
    </row>
    <row r="262">
      <c r="A262" s="9" t="n">
        <v>258</v>
      </c>
      <c r="B262" s="1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13" t="n"/>
      <c r="P262" s="13" t="n"/>
      <c r="Q262" s="15">
        <f>IF(OR($C262="",$B262=""),"",IF(COUNTIFS($C$5:$C$404,$C262,$B$5:$B$404,$B262)&gt;1,"Takror",""))</f>
        <v/>
      </c>
    </row>
    <row r="263">
      <c r="A263" s="9" t="n">
        <v>259</v>
      </c>
      <c r="B263" s="1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13" t="n"/>
      <c r="P263" s="13" t="n"/>
      <c r="Q263" s="15">
        <f>IF(OR($C263="",$B263=""),"",IF(COUNTIFS($C$5:$C$404,$C263,$B$5:$B$404,$B263)&gt;1,"Takror",""))</f>
        <v/>
      </c>
    </row>
    <row r="264">
      <c r="A264" s="9" t="n">
        <v>260</v>
      </c>
      <c r="B264" s="1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13" t="n"/>
      <c r="P264" s="13" t="n"/>
      <c r="Q264" s="15">
        <f>IF(OR($C264="",$B264=""),"",IF(COUNTIFS($C$5:$C$404,$C264,$B$5:$B$404,$B264)&gt;1,"Takror",""))</f>
        <v/>
      </c>
    </row>
    <row r="265">
      <c r="A265" s="9" t="n">
        <v>261</v>
      </c>
      <c r="B265" s="1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13" t="n"/>
      <c r="P265" s="13" t="n"/>
      <c r="Q265" s="15">
        <f>IF(OR($C265="",$B265=""),"",IF(COUNTIFS($C$5:$C$404,$C265,$B$5:$B$404,$B265)&gt;1,"Takror",""))</f>
        <v/>
      </c>
    </row>
    <row r="266">
      <c r="A266" s="9" t="n">
        <v>262</v>
      </c>
      <c r="B266" s="1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13" t="n"/>
      <c r="P266" s="13" t="n"/>
      <c r="Q266" s="15">
        <f>IF(OR($C266="",$B266=""),"",IF(COUNTIFS($C$5:$C$404,$C266,$B$5:$B$404,$B266)&gt;1,"Takror",""))</f>
        <v/>
      </c>
    </row>
    <row r="267">
      <c r="A267" s="9" t="n">
        <v>263</v>
      </c>
      <c r="B267" s="1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13" t="n"/>
      <c r="P267" s="13" t="n"/>
      <c r="Q267" s="15">
        <f>IF(OR($C267="",$B267=""),"",IF(COUNTIFS($C$5:$C$404,$C267,$B$5:$B$404,$B267)&gt;1,"Takror",""))</f>
        <v/>
      </c>
    </row>
    <row r="268">
      <c r="A268" s="9" t="n">
        <v>264</v>
      </c>
      <c r="B268" s="1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13" t="n"/>
      <c r="P268" s="13" t="n"/>
      <c r="Q268" s="15">
        <f>IF(OR($C268="",$B268=""),"",IF(COUNTIFS($C$5:$C$404,$C268,$B$5:$B$404,$B268)&gt;1,"Takror",""))</f>
        <v/>
      </c>
    </row>
    <row r="269">
      <c r="A269" s="9" t="n">
        <v>265</v>
      </c>
      <c r="B269" s="1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13" t="n"/>
      <c r="P269" s="13" t="n"/>
      <c r="Q269" s="15">
        <f>IF(OR($C269="",$B269=""),"",IF(COUNTIFS($C$5:$C$404,$C269,$B$5:$B$404,$B269)&gt;1,"Takror",""))</f>
        <v/>
      </c>
    </row>
    <row r="270">
      <c r="A270" s="9" t="n">
        <v>266</v>
      </c>
      <c r="B270" s="1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13" t="n"/>
      <c r="P270" s="13" t="n"/>
      <c r="Q270" s="15">
        <f>IF(OR($C270="",$B270=""),"",IF(COUNTIFS($C$5:$C$404,$C270,$B$5:$B$404,$B270)&gt;1,"Takror",""))</f>
        <v/>
      </c>
    </row>
    <row r="271">
      <c r="A271" s="9" t="n">
        <v>267</v>
      </c>
      <c r="B271" s="1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13" t="n"/>
      <c r="P271" s="13" t="n"/>
      <c r="Q271" s="15">
        <f>IF(OR($C271="",$B271=""),"",IF(COUNTIFS($C$5:$C$404,$C271,$B$5:$B$404,$B271)&gt;1,"Takror",""))</f>
        <v/>
      </c>
    </row>
    <row r="272">
      <c r="A272" s="9" t="n">
        <v>268</v>
      </c>
      <c r="B272" s="1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13" t="n"/>
      <c r="P272" s="13" t="n"/>
      <c r="Q272" s="15">
        <f>IF(OR($C272="",$B272=""),"",IF(COUNTIFS($C$5:$C$404,$C272,$B$5:$B$404,$B272)&gt;1,"Takror",""))</f>
        <v/>
      </c>
    </row>
    <row r="273">
      <c r="A273" s="9" t="n">
        <v>269</v>
      </c>
      <c r="B273" s="1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13" t="n"/>
      <c r="P273" s="13" t="n"/>
      <c r="Q273" s="15">
        <f>IF(OR($C273="",$B273=""),"",IF(COUNTIFS($C$5:$C$404,$C273,$B$5:$B$404,$B273)&gt;1,"Takror",""))</f>
        <v/>
      </c>
    </row>
    <row r="274">
      <c r="A274" s="9" t="n">
        <v>270</v>
      </c>
      <c r="B274" s="1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13" t="n"/>
      <c r="P274" s="13" t="n"/>
      <c r="Q274" s="15">
        <f>IF(OR($C274="",$B274=""),"",IF(COUNTIFS($C$5:$C$404,$C274,$B$5:$B$404,$B274)&gt;1,"Takror",""))</f>
        <v/>
      </c>
    </row>
    <row r="275">
      <c r="A275" s="9" t="n">
        <v>271</v>
      </c>
      <c r="B275" s="1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13" t="n"/>
      <c r="P275" s="13" t="n"/>
      <c r="Q275" s="15">
        <f>IF(OR($C275="",$B275=""),"",IF(COUNTIFS($C$5:$C$404,$C275,$B$5:$B$404,$B275)&gt;1,"Takror",""))</f>
        <v/>
      </c>
    </row>
    <row r="276">
      <c r="A276" s="9" t="n">
        <v>272</v>
      </c>
      <c r="B276" s="1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13" t="n"/>
      <c r="P276" s="13" t="n"/>
      <c r="Q276" s="15">
        <f>IF(OR($C276="",$B276=""),"",IF(COUNTIFS($C$5:$C$404,$C276,$B$5:$B$404,$B276)&gt;1,"Takror",""))</f>
        <v/>
      </c>
    </row>
    <row r="277">
      <c r="A277" s="9" t="n">
        <v>273</v>
      </c>
      <c r="B277" s="1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13" t="n"/>
      <c r="P277" s="13" t="n"/>
      <c r="Q277" s="15">
        <f>IF(OR($C277="",$B277=""),"",IF(COUNTIFS($C$5:$C$404,$C277,$B$5:$B$404,$B277)&gt;1,"Takror",""))</f>
        <v/>
      </c>
    </row>
    <row r="278">
      <c r="A278" s="9" t="n">
        <v>274</v>
      </c>
      <c r="B278" s="1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13" t="n"/>
      <c r="P278" s="13" t="n"/>
      <c r="Q278" s="15">
        <f>IF(OR($C278="",$B278=""),"",IF(COUNTIFS($C$5:$C$404,$C278,$B$5:$B$404,$B278)&gt;1,"Takror",""))</f>
        <v/>
      </c>
    </row>
    <row r="279">
      <c r="A279" s="9" t="n">
        <v>275</v>
      </c>
      <c r="B279" s="1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13" t="n"/>
      <c r="P279" s="13" t="n"/>
      <c r="Q279" s="15">
        <f>IF(OR($C279="",$B279=""),"",IF(COUNTIFS($C$5:$C$404,$C279,$B$5:$B$404,$B279)&gt;1,"Takror",""))</f>
        <v/>
      </c>
    </row>
    <row r="280">
      <c r="A280" s="9" t="n">
        <v>276</v>
      </c>
      <c r="B280" s="1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13" t="n"/>
      <c r="P280" s="13" t="n"/>
      <c r="Q280" s="15">
        <f>IF(OR($C280="",$B280=""),"",IF(COUNTIFS($C$5:$C$404,$C280,$B$5:$B$404,$B280)&gt;1,"Takror",""))</f>
        <v/>
      </c>
    </row>
    <row r="281">
      <c r="A281" s="9" t="n">
        <v>277</v>
      </c>
      <c r="B281" s="1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13" t="n"/>
      <c r="P281" s="13" t="n"/>
      <c r="Q281" s="15">
        <f>IF(OR($C281="",$B281=""),"",IF(COUNTIFS($C$5:$C$404,$C281,$B$5:$B$404,$B281)&gt;1,"Takror",""))</f>
        <v/>
      </c>
    </row>
    <row r="282">
      <c r="A282" s="9" t="n">
        <v>278</v>
      </c>
      <c r="B282" s="1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13" t="n"/>
      <c r="P282" s="13" t="n"/>
      <c r="Q282" s="15">
        <f>IF(OR($C282="",$B282=""),"",IF(COUNTIFS($C$5:$C$404,$C282,$B$5:$B$404,$B282)&gt;1,"Takror",""))</f>
        <v/>
      </c>
    </row>
    <row r="283">
      <c r="A283" s="9" t="n">
        <v>279</v>
      </c>
      <c r="B283" s="1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13" t="n"/>
      <c r="P283" s="13" t="n"/>
      <c r="Q283" s="15">
        <f>IF(OR($C283="",$B283=""),"",IF(COUNTIFS($C$5:$C$404,$C283,$B$5:$B$404,$B283)&gt;1,"Takror",""))</f>
        <v/>
      </c>
    </row>
    <row r="284">
      <c r="A284" s="9" t="n">
        <v>280</v>
      </c>
      <c r="B284" s="1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13" t="n"/>
      <c r="P284" s="13" t="n"/>
      <c r="Q284" s="15">
        <f>IF(OR($C284="",$B284=""),"",IF(COUNTIFS($C$5:$C$404,$C284,$B$5:$B$404,$B284)&gt;1,"Takror",""))</f>
        <v/>
      </c>
    </row>
    <row r="285">
      <c r="A285" s="9" t="n">
        <v>281</v>
      </c>
      <c r="B285" s="1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13" t="n"/>
      <c r="P285" s="13" t="n"/>
      <c r="Q285" s="15">
        <f>IF(OR($C285="",$B285=""),"",IF(COUNTIFS($C$5:$C$404,$C285,$B$5:$B$404,$B285)&gt;1,"Takror",""))</f>
        <v/>
      </c>
    </row>
    <row r="286">
      <c r="A286" s="9" t="n">
        <v>282</v>
      </c>
      <c r="B286" s="1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13" t="n"/>
      <c r="P286" s="13" t="n"/>
      <c r="Q286" s="15">
        <f>IF(OR($C286="",$B286=""),"",IF(COUNTIFS($C$5:$C$404,$C286,$B$5:$B$404,$B286)&gt;1,"Takror",""))</f>
        <v/>
      </c>
    </row>
    <row r="287">
      <c r="A287" s="9" t="n">
        <v>283</v>
      </c>
      <c r="B287" s="1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13" t="n"/>
      <c r="P287" s="13" t="n"/>
      <c r="Q287" s="15">
        <f>IF(OR($C287="",$B287=""),"",IF(COUNTIFS($C$5:$C$404,$C287,$B$5:$B$404,$B287)&gt;1,"Takror",""))</f>
        <v/>
      </c>
    </row>
    <row r="288">
      <c r="A288" s="9" t="n">
        <v>284</v>
      </c>
      <c r="B288" s="1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13" t="n"/>
      <c r="P288" s="13" t="n"/>
      <c r="Q288" s="15">
        <f>IF(OR($C288="",$B288=""),"",IF(COUNTIFS($C$5:$C$404,$C288,$B$5:$B$404,$B288)&gt;1,"Takror",""))</f>
        <v/>
      </c>
    </row>
    <row r="289">
      <c r="A289" s="9" t="n">
        <v>285</v>
      </c>
      <c r="B289" s="1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13" t="n"/>
      <c r="P289" s="13" t="n"/>
      <c r="Q289" s="15">
        <f>IF(OR($C289="",$B289=""),"",IF(COUNTIFS($C$5:$C$404,$C289,$B$5:$B$404,$B289)&gt;1,"Takror",""))</f>
        <v/>
      </c>
    </row>
    <row r="290">
      <c r="A290" s="9" t="n">
        <v>286</v>
      </c>
      <c r="B290" s="1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13" t="n"/>
      <c r="P290" s="13" t="n"/>
      <c r="Q290" s="15">
        <f>IF(OR($C290="",$B290=""),"",IF(COUNTIFS($C$5:$C$404,$C290,$B$5:$B$404,$B290)&gt;1,"Takror",""))</f>
        <v/>
      </c>
    </row>
    <row r="291">
      <c r="A291" s="9" t="n">
        <v>287</v>
      </c>
      <c r="B291" s="1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13" t="n"/>
      <c r="P291" s="13" t="n"/>
      <c r="Q291" s="15">
        <f>IF(OR($C291="",$B291=""),"",IF(COUNTIFS($C$5:$C$404,$C291,$B$5:$B$404,$B291)&gt;1,"Takror",""))</f>
        <v/>
      </c>
    </row>
    <row r="292">
      <c r="A292" s="9" t="n">
        <v>288</v>
      </c>
      <c r="B292" s="1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13" t="n"/>
      <c r="P292" s="13" t="n"/>
      <c r="Q292" s="15">
        <f>IF(OR($C292="",$B292=""),"",IF(COUNTIFS($C$5:$C$404,$C292,$B$5:$B$404,$B292)&gt;1,"Takror",""))</f>
        <v/>
      </c>
    </row>
    <row r="293">
      <c r="A293" s="9" t="n">
        <v>289</v>
      </c>
      <c r="B293" s="1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13" t="n"/>
      <c r="P293" s="13" t="n"/>
      <c r="Q293" s="15">
        <f>IF(OR($C293="",$B293=""),"",IF(COUNTIFS($C$5:$C$404,$C293,$B$5:$B$404,$B293)&gt;1,"Takror",""))</f>
        <v/>
      </c>
    </row>
    <row r="294">
      <c r="A294" s="9" t="n">
        <v>290</v>
      </c>
      <c r="B294" s="1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13" t="n"/>
      <c r="P294" s="13" t="n"/>
      <c r="Q294" s="15">
        <f>IF(OR($C294="",$B294=""),"",IF(COUNTIFS($C$5:$C$404,$C294,$B$5:$B$404,$B294)&gt;1,"Takror",""))</f>
        <v/>
      </c>
    </row>
    <row r="295">
      <c r="A295" s="9" t="n">
        <v>291</v>
      </c>
      <c r="B295" s="1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13" t="n"/>
      <c r="P295" s="13" t="n"/>
      <c r="Q295" s="15">
        <f>IF(OR($C295="",$B295=""),"",IF(COUNTIFS($C$5:$C$404,$C295,$B$5:$B$404,$B295)&gt;1,"Takror",""))</f>
        <v/>
      </c>
    </row>
    <row r="296">
      <c r="A296" s="9" t="n">
        <v>292</v>
      </c>
      <c r="B296" s="1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13" t="n"/>
      <c r="P296" s="13" t="n"/>
      <c r="Q296" s="15">
        <f>IF(OR($C296="",$B296=""),"",IF(COUNTIFS($C$5:$C$404,$C296,$B$5:$B$404,$B296)&gt;1,"Takror",""))</f>
        <v/>
      </c>
    </row>
    <row r="297">
      <c r="A297" s="9" t="n">
        <v>293</v>
      </c>
      <c r="B297" s="1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13" t="n"/>
      <c r="P297" s="13" t="n"/>
      <c r="Q297" s="15">
        <f>IF(OR($C297="",$B297=""),"",IF(COUNTIFS($C$5:$C$404,$C297,$B$5:$B$404,$B297)&gt;1,"Takror",""))</f>
        <v/>
      </c>
    </row>
    <row r="298">
      <c r="A298" s="9" t="n">
        <v>294</v>
      </c>
      <c r="B298" s="1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13" t="n"/>
      <c r="P298" s="13" t="n"/>
      <c r="Q298" s="15">
        <f>IF(OR($C298="",$B298=""),"",IF(COUNTIFS($C$5:$C$404,$C298,$B$5:$B$404,$B298)&gt;1,"Takror",""))</f>
        <v/>
      </c>
    </row>
    <row r="299">
      <c r="A299" s="9" t="n">
        <v>295</v>
      </c>
      <c r="B299" s="1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13" t="n"/>
      <c r="P299" s="13" t="n"/>
      <c r="Q299" s="15">
        <f>IF(OR($C299="",$B299=""),"",IF(COUNTIFS($C$5:$C$404,$C299,$B$5:$B$404,$B299)&gt;1,"Takror",""))</f>
        <v/>
      </c>
    </row>
    <row r="300">
      <c r="A300" s="9" t="n">
        <v>296</v>
      </c>
      <c r="B300" s="1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13" t="n"/>
      <c r="P300" s="13" t="n"/>
      <c r="Q300" s="15">
        <f>IF(OR($C300="",$B300=""),"",IF(COUNTIFS($C$5:$C$404,$C300,$B$5:$B$404,$B300)&gt;1,"Takror",""))</f>
        <v/>
      </c>
    </row>
    <row r="301">
      <c r="A301" s="9" t="n">
        <v>297</v>
      </c>
      <c r="B301" s="1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13" t="n"/>
      <c r="P301" s="13" t="n"/>
      <c r="Q301" s="15">
        <f>IF(OR($C301="",$B301=""),"",IF(COUNTIFS($C$5:$C$404,$C301,$B$5:$B$404,$B301)&gt;1,"Takror",""))</f>
        <v/>
      </c>
    </row>
    <row r="302">
      <c r="A302" s="9" t="n">
        <v>298</v>
      </c>
      <c r="B302" s="1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13" t="n"/>
      <c r="P302" s="13" t="n"/>
      <c r="Q302" s="15">
        <f>IF(OR($C302="",$B302=""),"",IF(COUNTIFS($C$5:$C$404,$C302,$B$5:$B$404,$B302)&gt;1,"Takror",""))</f>
        <v/>
      </c>
    </row>
    <row r="303">
      <c r="A303" s="9" t="n">
        <v>299</v>
      </c>
      <c r="B303" s="1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13" t="n"/>
      <c r="P303" s="13" t="n"/>
      <c r="Q303" s="15">
        <f>IF(OR($C303="",$B303=""),"",IF(COUNTIFS($C$5:$C$404,$C303,$B$5:$B$404,$B303)&gt;1,"Takror",""))</f>
        <v/>
      </c>
    </row>
    <row r="304">
      <c r="A304" s="9" t="n">
        <v>300</v>
      </c>
      <c r="B304" s="1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13" t="n"/>
      <c r="P304" s="13" t="n"/>
      <c r="Q304" s="15">
        <f>IF(OR($C304="",$B304=""),"",IF(COUNTIFS($C$5:$C$404,$C304,$B$5:$B$404,$B304)&gt;1,"Takror",""))</f>
        <v/>
      </c>
    </row>
    <row r="305">
      <c r="A305" s="9" t="n">
        <v>301</v>
      </c>
      <c r="B305" s="1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13" t="n"/>
      <c r="P305" s="13" t="n"/>
      <c r="Q305" s="15">
        <f>IF(OR($C305="",$B305=""),"",IF(COUNTIFS($C$5:$C$404,$C305,$B$5:$B$404,$B305)&gt;1,"Takror",""))</f>
        <v/>
      </c>
    </row>
    <row r="306">
      <c r="A306" s="9" t="n">
        <v>302</v>
      </c>
      <c r="B306" s="1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13" t="n"/>
      <c r="P306" s="13" t="n"/>
      <c r="Q306" s="15">
        <f>IF(OR($C306="",$B306=""),"",IF(COUNTIFS($C$5:$C$404,$C306,$B$5:$B$404,$B306)&gt;1,"Takror",""))</f>
        <v/>
      </c>
    </row>
    <row r="307">
      <c r="A307" s="9" t="n">
        <v>303</v>
      </c>
      <c r="B307" s="1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13" t="n"/>
      <c r="P307" s="13" t="n"/>
      <c r="Q307" s="15">
        <f>IF(OR($C307="",$B307=""),"",IF(COUNTIFS($C$5:$C$404,$C307,$B$5:$B$404,$B307)&gt;1,"Takror",""))</f>
        <v/>
      </c>
    </row>
    <row r="308">
      <c r="A308" s="9" t="n">
        <v>304</v>
      </c>
      <c r="B308" s="1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13" t="n"/>
      <c r="P308" s="13" t="n"/>
      <c r="Q308" s="15">
        <f>IF(OR($C308="",$B308=""),"",IF(COUNTIFS($C$5:$C$404,$C308,$B$5:$B$404,$B308)&gt;1,"Takror",""))</f>
        <v/>
      </c>
    </row>
    <row r="309">
      <c r="A309" s="9" t="n">
        <v>305</v>
      </c>
      <c r="B309" s="1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13" t="n"/>
      <c r="P309" s="13" t="n"/>
      <c r="Q309" s="15">
        <f>IF(OR($C309="",$B309=""),"",IF(COUNTIFS($C$5:$C$404,$C309,$B$5:$B$404,$B309)&gt;1,"Takror",""))</f>
        <v/>
      </c>
    </row>
    <row r="310">
      <c r="A310" s="9" t="n">
        <v>306</v>
      </c>
      <c r="B310" s="1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13" t="n"/>
      <c r="P310" s="13" t="n"/>
      <c r="Q310" s="15">
        <f>IF(OR($C310="",$B310=""),"",IF(COUNTIFS($C$5:$C$404,$C310,$B$5:$B$404,$B310)&gt;1,"Takror",""))</f>
        <v/>
      </c>
    </row>
    <row r="311">
      <c r="A311" s="9" t="n">
        <v>307</v>
      </c>
      <c r="B311" s="1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13" t="n"/>
      <c r="P311" s="13" t="n"/>
      <c r="Q311" s="15">
        <f>IF(OR($C311="",$B311=""),"",IF(COUNTIFS($C$5:$C$404,$C311,$B$5:$B$404,$B311)&gt;1,"Takror",""))</f>
        <v/>
      </c>
    </row>
    <row r="312">
      <c r="A312" s="9" t="n">
        <v>308</v>
      </c>
      <c r="B312" s="1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13" t="n"/>
      <c r="P312" s="13" t="n"/>
      <c r="Q312" s="15">
        <f>IF(OR($C312="",$B312=""),"",IF(COUNTIFS($C$5:$C$404,$C312,$B$5:$B$404,$B312)&gt;1,"Takror",""))</f>
        <v/>
      </c>
    </row>
    <row r="313">
      <c r="A313" s="9" t="n">
        <v>309</v>
      </c>
      <c r="B313" s="1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13" t="n"/>
      <c r="P313" s="13" t="n"/>
      <c r="Q313" s="15">
        <f>IF(OR($C313="",$B313=""),"",IF(COUNTIFS($C$5:$C$404,$C313,$B$5:$B$404,$B313)&gt;1,"Takror",""))</f>
        <v/>
      </c>
    </row>
    <row r="314">
      <c r="A314" s="9" t="n">
        <v>310</v>
      </c>
      <c r="B314" s="1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13" t="n"/>
      <c r="P314" s="13" t="n"/>
      <c r="Q314" s="15">
        <f>IF(OR($C314="",$B314=""),"",IF(COUNTIFS($C$5:$C$404,$C314,$B$5:$B$404,$B314)&gt;1,"Takror",""))</f>
        <v/>
      </c>
    </row>
    <row r="315">
      <c r="A315" s="9" t="n">
        <v>311</v>
      </c>
      <c r="B315" s="1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13" t="n"/>
      <c r="P315" s="13" t="n"/>
      <c r="Q315" s="15">
        <f>IF(OR($C315="",$B315=""),"",IF(COUNTIFS($C$5:$C$404,$C315,$B$5:$B$404,$B315)&gt;1,"Takror",""))</f>
        <v/>
      </c>
    </row>
    <row r="316">
      <c r="A316" s="9" t="n">
        <v>312</v>
      </c>
      <c r="B316" s="1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13" t="n"/>
      <c r="P316" s="13" t="n"/>
      <c r="Q316" s="15">
        <f>IF(OR($C316="",$B316=""),"",IF(COUNTIFS($C$5:$C$404,$C316,$B$5:$B$404,$B316)&gt;1,"Takror",""))</f>
        <v/>
      </c>
    </row>
    <row r="317">
      <c r="A317" s="9" t="n">
        <v>313</v>
      </c>
      <c r="B317" s="1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13" t="n"/>
      <c r="P317" s="13" t="n"/>
      <c r="Q317" s="15">
        <f>IF(OR($C317="",$B317=""),"",IF(COUNTIFS($C$5:$C$404,$C317,$B$5:$B$404,$B317)&gt;1,"Takror",""))</f>
        <v/>
      </c>
    </row>
    <row r="318">
      <c r="A318" s="9" t="n">
        <v>314</v>
      </c>
      <c r="B318" s="1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13" t="n"/>
      <c r="P318" s="13" t="n"/>
      <c r="Q318" s="15">
        <f>IF(OR($C318="",$B318=""),"",IF(COUNTIFS($C$5:$C$404,$C318,$B$5:$B$404,$B318)&gt;1,"Takror",""))</f>
        <v/>
      </c>
    </row>
    <row r="319">
      <c r="A319" s="9" t="n">
        <v>315</v>
      </c>
      <c r="B319" s="1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13" t="n"/>
      <c r="P319" s="13" t="n"/>
      <c r="Q319" s="15">
        <f>IF(OR($C319="",$B319=""),"",IF(COUNTIFS($C$5:$C$404,$C319,$B$5:$B$404,$B319)&gt;1,"Takror",""))</f>
        <v/>
      </c>
    </row>
    <row r="320">
      <c r="A320" s="9" t="n">
        <v>316</v>
      </c>
      <c r="B320" s="1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13" t="n"/>
      <c r="P320" s="13" t="n"/>
      <c r="Q320" s="15">
        <f>IF(OR($C320="",$B320=""),"",IF(COUNTIFS($C$5:$C$404,$C320,$B$5:$B$404,$B320)&gt;1,"Takror",""))</f>
        <v/>
      </c>
    </row>
    <row r="321">
      <c r="A321" s="9" t="n">
        <v>317</v>
      </c>
      <c r="B321" s="1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13" t="n"/>
      <c r="P321" s="13" t="n"/>
      <c r="Q321" s="15">
        <f>IF(OR($C321="",$B321=""),"",IF(COUNTIFS($C$5:$C$404,$C321,$B$5:$B$404,$B321)&gt;1,"Takror",""))</f>
        <v/>
      </c>
    </row>
    <row r="322">
      <c r="A322" s="9" t="n">
        <v>318</v>
      </c>
      <c r="B322" s="1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13" t="n"/>
      <c r="P322" s="13" t="n"/>
      <c r="Q322" s="15">
        <f>IF(OR($C322="",$B322=""),"",IF(COUNTIFS($C$5:$C$404,$C322,$B$5:$B$404,$B322)&gt;1,"Takror",""))</f>
        <v/>
      </c>
    </row>
    <row r="323">
      <c r="A323" s="9" t="n">
        <v>319</v>
      </c>
      <c r="B323" s="1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13" t="n"/>
      <c r="P323" s="13" t="n"/>
      <c r="Q323" s="15">
        <f>IF(OR($C323="",$B323=""),"",IF(COUNTIFS($C$5:$C$404,$C323,$B$5:$B$404,$B323)&gt;1,"Takror",""))</f>
        <v/>
      </c>
    </row>
    <row r="324">
      <c r="A324" s="9" t="n">
        <v>320</v>
      </c>
      <c r="B324" s="1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13" t="n"/>
      <c r="P324" s="13" t="n"/>
      <c r="Q324" s="15">
        <f>IF(OR($C324="",$B324=""),"",IF(COUNTIFS($C$5:$C$404,$C324,$B$5:$B$404,$B324)&gt;1,"Takror",""))</f>
        <v/>
      </c>
    </row>
    <row r="325">
      <c r="A325" s="9" t="n">
        <v>321</v>
      </c>
      <c r="B325" s="1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13" t="n"/>
      <c r="P325" s="13" t="n"/>
      <c r="Q325" s="15">
        <f>IF(OR($C325="",$B325=""),"",IF(COUNTIFS($C$5:$C$404,$C325,$B$5:$B$404,$B325)&gt;1,"Takror",""))</f>
        <v/>
      </c>
    </row>
    <row r="326">
      <c r="A326" s="9" t="n">
        <v>322</v>
      </c>
      <c r="B326" s="1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13" t="n"/>
      <c r="P326" s="13" t="n"/>
      <c r="Q326" s="15">
        <f>IF(OR($C326="",$B326=""),"",IF(COUNTIFS($C$5:$C$404,$C326,$B$5:$B$404,$B326)&gt;1,"Takror",""))</f>
        <v/>
      </c>
    </row>
    <row r="327">
      <c r="A327" s="9" t="n">
        <v>323</v>
      </c>
      <c r="B327" s="1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13" t="n"/>
      <c r="P327" s="13" t="n"/>
      <c r="Q327" s="15">
        <f>IF(OR($C327="",$B327=""),"",IF(COUNTIFS($C$5:$C$404,$C327,$B$5:$B$404,$B327)&gt;1,"Takror",""))</f>
        <v/>
      </c>
    </row>
    <row r="328">
      <c r="A328" s="9" t="n">
        <v>324</v>
      </c>
      <c r="B328" s="1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13" t="n"/>
      <c r="P328" s="13" t="n"/>
      <c r="Q328" s="15">
        <f>IF(OR($C328="",$B328=""),"",IF(COUNTIFS($C$5:$C$404,$C328,$B$5:$B$404,$B328)&gt;1,"Takror",""))</f>
        <v/>
      </c>
    </row>
    <row r="329">
      <c r="A329" s="9" t="n">
        <v>325</v>
      </c>
      <c r="B329" s="1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13" t="n"/>
      <c r="P329" s="13" t="n"/>
      <c r="Q329" s="15">
        <f>IF(OR($C329="",$B329=""),"",IF(COUNTIFS($C$5:$C$404,$C329,$B$5:$B$404,$B329)&gt;1,"Takror",""))</f>
        <v/>
      </c>
    </row>
    <row r="330">
      <c r="A330" s="9" t="n">
        <v>326</v>
      </c>
      <c r="B330" s="1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13" t="n"/>
      <c r="P330" s="13" t="n"/>
      <c r="Q330" s="15">
        <f>IF(OR($C330="",$B330=""),"",IF(COUNTIFS($C$5:$C$404,$C330,$B$5:$B$404,$B330)&gt;1,"Takror",""))</f>
        <v/>
      </c>
    </row>
    <row r="331">
      <c r="A331" s="9" t="n">
        <v>327</v>
      </c>
      <c r="B331" s="1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13" t="n"/>
      <c r="P331" s="13" t="n"/>
      <c r="Q331" s="15">
        <f>IF(OR($C331="",$B331=""),"",IF(COUNTIFS($C$5:$C$404,$C331,$B$5:$B$404,$B331)&gt;1,"Takror",""))</f>
        <v/>
      </c>
    </row>
    <row r="332">
      <c r="A332" s="9" t="n">
        <v>328</v>
      </c>
      <c r="B332" s="1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13" t="n"/>
      <c r="P332" s="13" t="n"/>
      <c r="Q332" s="15">
        <f>IF(OR($C332="",$B332=""),"",IF(COUNTIFS($C$5:$C$404,$C332,$B$5:$B$404,$B332)&gt;1,"Takror",""))</f>
        <v/>
      </c>
    </row>
    <row r="333">
      <c r="A333" s="9" t="n">
        <v>329</v>
      </c>
      <c r="B333" s="1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13" t="n"/>
      <c r="P333" s="13" t="n"/>
      <c r="Q333" s="15">
        <f>IF(OR($C333="",$B333=""),"",IF(COUNTIFS($C$5:$C$404,$C333,$B$5:$B$404,$B333)&gt;1,"Takror",""))</f>
        <v/>
      </c>
    </row>
    <row r="334">
      <c r="A334" s="9" t="n">
        <v>330</v>
      </c>
      <c r="B334" s="1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13" t="n"/>
      <c r="P334" s="13" t="n"/>
      <c r="Q334" s="15">
        <f>IF(OR($C334="",$B334=""),"",IF(COUNTIFS($C$5:$C$404,$C334,$B$5:$B$404,$B334)&gt;1,"Takror",""))</f>
        <v/>
      </c>
    </row>
    <row r="335">
      <c r="A335" s="9" t="n">
        <v>331</v>
      </c>
      <c r="B335" s="1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13" t="n"/>
      <c r="P335" s="13" t="n"/>
      <c r="Q335" s="15">
        <f>IF(OR($C335="",$B335=""),"",IF(COUNTIFS($C$5:$C$404,$C335,$B$5:$B$404,$B335)&gt;1,"Takror",""))</f>
        <v/>
      </c>
    </row>
    <row r="336">
      <c r="A336" s="9" t="n">
        <v>332</v>
      </c>
      <c r="B336" s="1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13" t="n"/>
      <c r="P336" s="13" t="n"/>
      <c r="Q336" s="15">
        <f>IF(OR($C336="",$B336=""),"",IF(COUNTIFS($C$5:$C$404,$C336,$B$5:$B$404,$B336)&gt;1,"Takror",""))</f>
        <v/>
      </c>
    </row>
    <row r="337">
      <c r="A337" s="9" t="n">
        <v>333</v>
      </c>
      <c r="B337" s="1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13" t="n"/>
      <c r="P337" s="13" t="n"/>
      <c r="Q337" s="15">
        <f>IF(OR($C337="",$B337=""),"",IF(COUNTIFS($C$5:$C$404,$C337,$B$5:$B$404,$B337)&gt;1,"Takror",""))</f>
        <v/>
      </c>
    </row>
    <row r="338">
      <c r="A338" s="9" t="n">
        <v>334</v>
      </c>
      <c r="B338" s="1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13" t="n"/>
      <c r="P338" s="13" t="n"/>
      <c r="Q338" s="15">
        <f>IF(OR($C338="",$B338=""),"",IF(COUNTIFS($C$5:$C$404,$C338,$B$5:$B$404,$B338)&gt;1,"Takror",""))</f>
        <v/>
      </c>
    </row>
    <row r="339">
      <c r="A339" s="9" t="n">
        <v>335</v>
      </c>
      <c r="B339" s="1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13" t="n"/>
      <c r="P339" s="13" t="n"/>
      <c r="Q339" s="15">
        <f>IF(OR($C339="",$B339=""),"",IF(COUNTIFS($C$5:$C$404,$C339,$B$5:$B$404,$B339)&gt;1,"Takror",""))</f>
        <v/>
      </c>
    </row>
    <row r="340">
      <c r="A340" s="9" t="n">
        <v>336</v>
      </c>
      <c r="B340" s="1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13" t="n"/>
      <c r="P340" s="13" t="n"/>
      <c r="Q340" s="15">
        <f>IF(OR($C340="",$B340=""),"",IF(COUNTIFS($C$5:$C$404,$C340,$B$5:$B$404,$B340)&gt;1,"Takror",""))</f>
        <v/>
      </c>
    </row>
    <row r="341">
      <c r="A341" s="9" t="n">
        <v>337</v>
      </c>
      <c r="B341" s="1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13" t="n"/>
      <c r="P341" s="13" t="n"/>
      <c r="Q341" s="15">
        <f>IF(OR($C341="",$B341=""),"",IF(COUNTIFS($C$5:$C$404,$C341,$B$5:$B$404,$B341)&gt;1,"Takror",""))</f>
        <v/>
      </c>
    </row>
    <row r="342">
      <c r="A342" s="9" t="n">
        <v>338</v>
      </c>
      <c r="B342" s="1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13" t="n"/>
      <c r="P342" s="13" t="n"/>
      <c r="Q342" s="15">
        <f>IF(OR($C342="",$B342=""),"",IF(COUNTIFS($C$5:$C$404,$C342,$B$5:$B$404,$B342)&gt;1,"Takror",""))</f>
        <v/>
      </c>
    </row>
    <row r="343">
      <c r="A343" s="9" t="n">
        <v>339</v>
      </c>
      <c r="B343" s="1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13" t="n"/>
      <c r="P343" s="13" t="n"/>
      <c r="Q343" s="15">
        <f>IF(OR($C343="",$B343=""),"",IF(COUNTIFS($C$5:$C$404,$C343,$B$5:$B$404,$B343)&gt;1,"Takror",""))</f>
        <v/>
      </c>
    </row>
    <row r="344">
      <c r="A344" s="9" t="n">
        <v>340</v>
      </c>
      <c r="B344" s="1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13" t="n"/>
      <c r="P344" s="13" t="n"/>
      <c r="Q344" s="15">
        <f>IF(OR($C344="",$B344=""),"",IF(COUNTIFS($C$5:$C$404,$C344,$B$5:$B$404,$B344)&gt;1,"Takror",""))</f>
        <v/>
      </c>
    </row>
    <row r="345">
      <c r="A345" s="9" t="n">
        <v>341</v>
      </c>
      <c r="B345" s="1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13" t="n"/>
      <c r="P345" s="13" t="n"/>
      <c r="Q345" s="15">
        <f>IF(OR($C345="",$B345=""),"",IF(COUNTIFS($C$5:$C$404,$C345,$B$5:$B$404,$B345)&gt;1,"Takror",""))</f>
        <v/>
      </c>
    </row>
    <row r="346">
      <c r="A346" s="9" t="n">
        <v>342</v>
      </c>
      <c r="B346" s="1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13" t="n"/>
      <c r="P346" s="13" t="n"/>
      <c r="Q346" s="15">
        <f>IF(OR($C346="",$B346=""),"",IF(COUNTIFS($C$5:$C$404,$C346,$B$5:$B$404,$B346)&gt;1,"Takror",""))</f>
        <v/>
      </c>
    </row>
    <row r="347">
      <c r="A347" s="9" t="n">
        <v>343</v>
      </c>
      <c r="B347" s="1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13" t="n"/>
      <c r="P347" s="13" t="n"/>
      <c r="Q347" s="15">
        <f>IF(OR($C347="",$B347=""),"",IF(COUNTIFS($C$5:$C$404,$C347,$B$5:$B$404,$B347)&gt;1,"Takror",""))</f>
        <v/>
      </c>
    </row>
    <row r="348">
      <c r="A348" s="9" t="n">
        <v>344</v>
      </c>
      <c r="B348" s="1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13" t="n"/>
      <c r="P348" s="13" t="n"/>
      <c r="Q348" s="15">
        <f>IF(OR($C348="",$B348=""),"",IF(COUNTIFS($C$5:$C$404,$C348,$B$5:$B$404,$B348)&gt;1,"Takror",""))</f>
        <v/>
      </c>
    </row>
    <row r="349">
      <c r="A349" s="9" t="n">
        <v>345</v>
      </c>
      <c r="B349" s="1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13" t="n"/>
      <c r="P349" s="13" t="n"/>
      <c r="Q349" s="15">
        <f>IF(OR($C349="",$B349=""),"",IF(COUNTIFS($C$5:$C$404,$C349,$B$5:$B$404,$B349)&gt;1,"Takror",""))</f>
        <v/>
      </c>
    </row>
    <row r="350">
      <c r="A350" s="9" t="n">
        <v>346</v>
      </c>
      <c r="B350" s="1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13" t="n"/>
      <c r="P350" s="13" t="n"/>
      <c r="Q350" s="15">
        <f>IF(OR($C350="",$B350=""),"",IF(COUNTIFS($C$5:$C$404,$C350,$B$5:$B$404,$B350)&gt;1,"Takror",""))</f>
        <v/>
      </c>
    </row>
    <row r="351">
      <c r="A351" s="9" t="n">
        <v>347</v>
      </c>
      <c r="B351" s="1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13" t="n"/>
      <c r="P351" s="13" t="n"/>
      <c r="Q351" s="15">
        <f>IF(OR($C351="",$B351=""),"",IF(COUNTIFS($C$5:$C$404,$C351,$B$5:$B$404,$B351)&gt;1,"Takror",""))</f>
        <v/>
      </c>
    </row>
    <row r="352">
      <c r="A352" s="9" t="n">
        <v>348</v>
      </c>
      <c r="B352" s="1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13" t="n"/>
      <c r="P352" s="13" t="n"/>
      <c r="Q352" s="15">
        <f>IF(OR($C352="",$B352=""),"",IF(COUNTIFS($C$5:$C$404,$C352,$B$5:$B$404,$B352)&gt;1,"Takror",""))</f>
        <v/>
      </c>
    </row>
    <row r="353">
      <c r="A353" s="9" t="n">
        <v>349</v>
      </c>
      <c r="B353" s="1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13" t="n"/>
      <c r="P353" s="13" t="n"/>
      <c r="Q353" s="15">
        <f>IF(OR($C353="",$B353=""),"",IF(COUNTIFS($C$5:$C$404,$C353,$B$5:$B$404,$B353)&gt;1,"Takror",""))</f>
        <v/>
      </c>
    </row>
    <row r="354">
      <c r="A354" s="9" t="n">
        <v>350</v>
      </c>
      <c r="B354" s="1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13" t="n"/>
      <c r="P354" s="13" t="n"/>
      <c r="Q354" s="15">
        <f>IF(OR($C354="",$B354=""),"",IF(COUNTIFS($C$5:$C$404,$C354,$B$5:$B$404,$B354)&gt;1,"Takror",""))</f>
        <v/>
      </c>
    </row>
    <row r="355">
      <c r="A355" s="9" t="n">
        <v>351</v>
      </c>
      <c r="B355" s="1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13" t="n"/>
      <c r="P355" s="13" t="n"/>
      <c r="Q355" s="15">
        <f>IF(OR($C355="",$B355=""),"",IF(COUNTIFS($C$5:$C$404,$C355,$B$5:$B$404,$B355)&gt;1,"Takror",""))</f>
        <v/>
      </c>
    </row>
    <row r="356">
      <c r="A356" s="9" t="n">
        <v>352</v>
      </c>
      <c r="B356" s="1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13" t="n"/>
      <c r="P356" s="13" t="n"/>
      <c r="Q356" s="15">
        <f>IF(OR($C356="",$B356=""),"",IF(COUNTIFS($C$5:$C$404,$C356,$B$5:$B$404,$B356)&gt;1,"Takror",""))</f>
        <v/>
      </c>
    </row>
    <row r="357">
      <c r="A357" s="9" t="n">
        <v>353</v>
      </c>
      <c r="B357" s="1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13" t="n"/>
      <c r="P357" s="13" t="n"/>
      <c r="Q357" s="15">
        <f>IF(OR($C357="",$B357=""),"",IF(COUNTIFS($C$5:$C$404,$C357,$B$5:$B$404,$B357)&gt;1,"Takror",""))</f>
        <v/>
      </c>
    </row>
    <row r="358">
      <c r="A358" s="9" t="n">
        <v>354</v>
      </c>
      <c r="B358" s="1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13" t="n"/>
      <c r="P358" s="13" t="n"/>
      <c r="Q358" s="15">
        <f>IF(OR($C358="",$B358=""),"",IF(COUNTIFS($C$5:$C$404,$C358,$B$5:$B$404,$B358)&gt;1,"Takror",""))</f>
        <v/>
      </c>
    </row>
    <row r="359">
      <c r="A359" s="9" t="n">
        <v>355</v>
      </c>
      <c r="B359" s="1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13" t="n"/>
      <c r="P359" s="13" t="n"/>
      <c r="Q359" s="15">
        <f>IF(OR($C359="",$B359=""),"",IF(COUNTIFS($C$5:$C$404,$C359,$B$5:$B$404,$B359)&gt;1,"Takror",""))</f>
        <v/>
      </c>
    </row>
    <row r="360">
      <c r="A360" s="9" t="n">
        <v>356</v>
      </c>
      <c r="B360" s="1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13" t="n"/>
      <c r="P360" s="13" t="n"/>
      <c r="Q360" s="15">
        <f>IF(OR($C360="",$B360=""),"",IF(COUNTIFS($C$5:$C$404,$C360,$B$5:$B$404,$B360)&gt;1,"Takror",""))</f>
        <v/>
      </c>
    </row>
    <row r="361">
      <c r="A361" s="9" t="n">
        <v>357</v>
      </c>
      <c r="B361" s="1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13" t="n"/>
      <c r="P361" s="13" t="n"/>
      <c r="Q361" s="15">
        <f>IF(OR($C361="",$B361=""),"",IF(COUNTIFS($C$5:$C$404,$C361,$B$5:$B$404,$B361)&gt;1,"Takror",""))</f>
        <v/>
      </c>
    </row>
    <row r="362">
      <c r="A362" s="9" t="n">
        <v>358</v>
      </c>
      <c r="B362" s="1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13" t="n"/>
      <c r="P362" s="13" t="n"/>
      <c r="Q362" s="15">
        <f>IF(OR($C362="",$B362=""),"",IF(COUNTIFS($C$5:$C$404,$C362,$B$5:$B$404,$B362)&gt;1,"Takror",""))</f>
        <v/>
      </c>
    </row>
    <row r="363">
      <c r="A363" s="9" t="n">
        <v>359</v>
      </c>
      <c r="B363" s="1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13" t="n"/>
      <c r="P363" s="13" t="n"/>
      <c r="Q363" s="15">
        <f>IF(OR($C363="",$B363=""),"",IF(COUNTIFS($C$5:$C$404,$C363,$B$5:$B$404,$B363)&gt;1,"Takror",""))</f>
        <v/>
      </c>
    </row>
    <row r="364">
      <c r="A364" s="9" t="n">
        <v>360</v>
      </c>
      <c r="B364" s="1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13" t="n"/>
      <c r="P364" s="13" t="n"/>
      <c r="Q364" s="15">
        <f>IF(OR($C364="",$B364=""),"",IF(COUNTIFS($C$5:$C$404,$C364,$B$5:$B$404,$B364)&gt;1,"Takror",""))</f>
        <v/>
      </c>
    </row>
    <row r="365">
      <c r="A365" s="9" t="n">
        <v>361</v>
      </c>
      <c r="B365" s="1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13" t="n"/>
      <c r="P365" s="13" t="n"/>
      <c r="Q365" s="15">
        <f>IF(OR($C365="",$B365=""),"",IF(COUNTIFS($C$5:$C$404,$C365,$B$5:$B$404,$B365)&gt;1,"Takror",""))</f>
        <v/>
      </c>
    </row>
    <row r="366">
      <c r="A366" s="9" t="n">
        <v>362</v>
      </c>
      <c r="B366" s="1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13" t="n"/>
      <c r="P366" s="13" t="n"/>
      <c r="Q366" s="15">
        <f>IF(OR($C366="",$B366=""),"",IF(COUNTIFS($C$5:$C$404,$C366,$B$5:$B$404,$B366)&gt;1,"Takror",""))</f>
        <v/>
      </c>
    </row>
    <row r="367">
      <c r="A367" s="9" t="n">
        <v>363</v>
      </c>
      <c r="B367" s="1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13" t="n"/>
      <c r="P367" s="13" t="n"/>
      <c r="Q367" s="15">
        <f>IF(OR($C367="",$B367=""),"",IF(COUNTIFS($C$5:$C$404,$C367,$B$5:$B$404,$B367)&gt;1,"Takror",""))</f>
        <v/>
      </c>
    </row>
    <row r="368">
      <c r="A368" s="9" t="n">
        <v>364</v>
      </c>
      <c r="B368" s="1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13" t="n"/>
      <c r="P368" s="13" t="n"/>
      <c r="Q368" s="15">
        <f>IF(OR($C368="",$B368=""),"",IF(COUNTIFS($C$5:$C$404,$C368,$B$5:$B$404,$B368)&gt;1,"Takror",""))</f>
        <v/>
      </c>
    </row>
    <row r="369">
      <c r="A369" s="9" t="n">
        <v>365</v>
      </c>
      <c r="B369" s="1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13" t="n"/>
      <c r="P369" s="13" t="n"/>
      <c r="Q369" s="15">
        <f>IF(OR($C369="",$B369=""),"",IF(COUNTIFS($C$5:$C$404,$C369,$B$5:$B$404,$B369)&gt;1,"Takror",""))</f>
        <v/>
      </c>
    </row>
    <row r="370">
      <c r="A370" s="9" t="n">
        <v>366</v>
      </c>
      <c r="B370" s="1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13" t="n"/>
      <c r="P370" s="13" t="n"/>
      <c r="Q370" s="15">
        <f>IF(OR($C370="",$B370=""),"",IF(COUNTIFS($C$5:$C$404,$C370,$B$5:$B$404,$B370)&gt;1,"Takror",""))</f>
        <v/>
      </c>
    </row>
    <row r="371">
      <c r="A371" s="9" t="n">
        <v>367</v>
      </c>
      <c r="B371" s="1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13" t="n"/>
      <c r="P371" s="13" t="n"/>
      <c r="Q371" s="15">
        <f>IF(OR($C371="",$B371=""),"",IF(COUNTIFS($C$5:$C$404,$C371,$B$5:$B$404,$B371)&gt;1,"Takror",""))</f>
        <v/>
      </c>
    </row>
    <row r="372">
      <c r="A372" s="9" t="n">
        <v>368</v>
      </c>
      <c r="B372" s="1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13" t="n"/>
      <c r="P372" s="13" t="n"/>
      <c r="Q372" s="15">
        <f>IF(OR($C372="",$B372=""),"",IF(COUNTIFS($C$5:$C$404,$C372,$B$5:$B$404,$B372)&gt;1,"Takror",""))</f>
        <v/>
      </c>
    </row>
    <row r="373">
      <c r="A373" s="9" t="n">
        <v>369</v>
      </c>
      <c r="B373" s="1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13" t="n"/>
      <c r="P373" s="13" t="n"/>
      <c r="Q373" s="15">
        <f>IF(OR($C373="",$B373=""),"",IF(COUNTIFS($C$5:$C$404,$C373,$B$5:$B$404,$B373)&gt;1,"Takror",""))</f>
        <v/>
      </c>
    </row>
    <row r="374">
      <c r="A374" s="9" t="n">
        <v>370</v>
      </c>
      <c r="B374" s="1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13" t="n"/>
      <c r="P374" s="13" t="n"/>
      <c r="Q374" s="15">
        <f>IF(OR($C374="",$B374=""),"",IF(COUNTIFS($C$5:$C$404,$C374,$B$5:$B$404,$B374)&gt;1,"Takror",""))</f>
        <v/>
      </c>
    </row>
    <row r="375">
      <c r="A375" s="9" t="n">
        <v>371</v>
      </c>
      <c r="B375" s="1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13" t="n"/>
      <c r="P375" s="13" t="n"/>
      <c r="Q375" s="15">
        <f>IF(OR($C375="",$B375=""),"",IF(COUNTIFS($C$5:$C$404,$C375,$B$5:$B$404,$B375)&gt;1,"Takror",""))</f>
        <v/>
      </c>
    </row>
    <row r="376">
      <c r="A376" s="9" t="n">
        <v>372</v>
      </c>
      <c r="B376" s="1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13" t="n"/>
      <c r="P376" s="13" t="n"/>
      <c r="Q376" s="15">
        <f>IF(OR($C376="",$B376=""),"",IF(COUNTIFS($C$5:$C$404,$C376,$B$5:$B$404,$B376)&gt;1,"Takror",""))</f>
        <v/>
      </c>
    </row>
    <row r="377">
      <c r="A377" s="9" t="n">
        <v>373</v>
      </c>
      <c r="B377" s="1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13" t="n"/>
      <c r="P377" s="13" t="n"/>
      <c r="Q377" s="15">
        <f>IF(OR($C377="",$B377=""),"",IF(COUNTIFS($C$5:$C$404,$C377,$B$5:$B$404,$B377)&gt;1,"Takror",""))</f>
        <v/>
      </c>
    </row>
    <row r="378">
      <c r="A378" s="9" t="n">
        <v>374</v>
      </c>
      <c r="B378" s="1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13" t="n"/>
      <c r="P378" s="13" t="n"/>
      <c r="Q378" s="15">
        <f>IF(OR($C378="",$B378=""),"",IF(COUNTIFS($C$5:$C$404,$C378,$B$5:$B$404,$B378)&gt;1,"Takror",""))</f>
        <v/>
      </c>
    </row>
    <row r="379">
      <c r="A379" s="9" t="n">
        <v>375</v>
      </c>
      <c r="B379" s="1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13" t="n"/>
      <c r="P379" s="13" t="n"/>
      <c r="Q379" s="15">
        <f>IF(OR($C379="",$B379=""),"",IF(COUNTIFS($C$5:$C$404,$C379,$B$5:$B$404,$B379)&gt;1,"Takror",""))</f>
        <v/>
      </c>
    </row>
    <row r="380">
      <c r="A380" s="9" t="n">
        <v>376</v>
      </c>
      <c r="B380" s="1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13" t="n"/>
      <c r="P380" s="13" t="n"/>
      <c r="Q380" s="15">
        <f>IF(OR($C380="",$B380=""),"",IF(COUNTIFS($C$5:$C$404,$C380,$B$5:$B$404,$B380)&gt;1,"Takror",""))</f>
        <v/>
      </c>
    </row>
    <row r="381">
      <c r="A381" s="9" t="n">
        <v>377</v>
      </c>
      <c r="B381" s="1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13" t="n"/>
      <c r="P381" s="13" t="n"/>
      <c r="Q381" s="15">
        <f>IF(OR($C381="",$B381=""),"",IF(COUNTIFS($C$5:$C$404,$C381,$B$5:$B$404,$B381)&gt;1,"Takror",""))</f>
        <v/>
      </c>
    </row>
    <row r="382">
      <c r="A382" s="9" t="n">
        <v>378</v>
      </c>
      <c r="B382" s="1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13" t="n"/>
      <c r="P382" s="13" t="n"/>
      <c r="Q382" s="15">
        <f>IF(OR($C382="",$B382=""),"",IF(COUNTIFS($C$5:$C$404,$C382,$B$5:$B$404,$B382)&gt;1,"Takror",""))</f>
        <v/>
      </c>
    </row>
    <row r="383">
      <c r="A383" s="9" t="n">
        <v>379</v>
      </c>
      <c r="B383" s="1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13" t="n"/>
      <c r="P383" s="13" t="n"/>
      <c r="Q383" s="15">
        <f>IF(OR($C383="",$B383=""),"",IF(COUNTIFS($C$5:$C$404,$C383,$B$5:$B$404,$B383)&gt;1,"Takror",""))</f>
        <v/>
      </c>
    </row>
    <row r="384">
      <c r="A384" s="9" t="n">
        <v>380</v>
      </c>
      <c r="B384" s="1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13" t="n"/>
      <c r="P384" s="13" t="n"/>
      <c r="Q384" s="15">
        <f>IF(OR($C384="",$B384=""),"",IF(COUNTIFS($C$5:$C$404,$C384,$B$5:$B$404,$B384)&gt;1,"Takror",""))</f>
        <v/>
      </c>
    </row>
    <row r="385">
      <c r="A385" s="9" t="n">
        <v>381</v>
      </c>
      <c r="B385" s="1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13" t="n"/>
      <c r="P385" s="13" t="n"/>
      <c r="Q385" s="15">
        <f>IF(OR($C385="",$B385=""),"",IF(COUNTIFS($C$5:$C$404,$C385,$B$5:$B$404,$B385)&gt;1,"Takror",""))</f>
        <v/>
      </c>
    </row>
    <row r="386">
      <c r="A386" s="9" t="n">
        <v>382</v>
      </c>
      <c r="B386" s="1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13" t="n"/>
      <c r="P386" s="13" t="n"/>
      <c r="Q386" s="15">
        <f>IF(OR($C386="",$B386=""),"",IF(COUNTIFS($C$5:$C$404,$C386,$B$5:$B$404,$B386)&gt;1,"Takror",""))</f>
        <v/>
      </c>
    </row>
    <row r="387">
      <c r="A387" s="9" t="n">
        <v>383</v>
      </c>
      <c r="B387" s="1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13" t="n"/>
      <c r="P387" s="13" t="n"/>
      <c r="Q387" s="15">
        <f>IF(OR($C387="",$B387=""),"",IF(COUNTIFS($C$5:$C$404,$C387,$B$5:$B$404,$B387)&gt;1,"Takror",""))</f>
        <v/>
      </c>
    </row>
    <row r="388">
      <c r="A388" s="9" t="n">
        <v>384</v>
      </c>
      <c r="B388" s="1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13" t="n"/>
      <c r="P388" s="13" t="n"/>
      <c r="Q388" s="15">
        <f>IF(OR($C388="",$B388=""),"",IF(COUNTIFS($C$5:$C$404,$C388,$B$5:$B$404,$B388)&gt;1,"Takror",""))</f>
        <v/>
      </c>
    </row>
    <row r="389">
      <c r="A389" s="9" t="n">
        <v>385</v>
      </c>
      <c r="B389" s="1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13" t="n"/>
      <c r="P389" s="13" t="n"/>
      <c r="Q389" s="15">
        <f>IF(OR($C389="",$B389=""),"",IF(COUNTIFS($C$5:$C$404,$C389,$B$5:$B$404,$B389)&gt;1,"Takror",""))</f>
        <v/>
      </c>
    </row>
    <row r="390">
      <c r="A390" s="9" t="n">
        <v>386</v>
      </c>
      <c r="B390" s="1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13" t="n"/>
      <c r="P390" s="13" t="n"/>
      <c r="Q390" s="15">
        <f>IF(OR($C390="",$B390=""),"",IF(COUNTIFS($C$5:$C$404,$C390,$B$5:$B$404,$B390)&gt;1,"Takror",""))</f>
        <v/>
      </c>
    </row>
    <row r="391">
      <c r="A391" s="9" t="n">
        <v>387</v>
      </c>
      <c r="B391" s="1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13" t="n"/>
      <c r="P391" s="13" t="n"/>
      <c r="Q391" s="15">
        <f>IF(OR($C391="",$B391=""),"",IF(COUNTIFS($C$5:$C$404,$C391,$B$5:$B$404,$B391)&gt;1,"Takror",""))</f>
        <v/>
      </c>
    </row>
    <row r="392">
      <c r="A392" s="9" t="n">
        <v>388</v>
      </c>
      <c r="B392" s="1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13" t="n"/>
      <c r="P392" s="13" t="n"/>
      <c r="Q392" s="15">
        <f>IF(OR($C392="",$B392=""),"",IF(COUNTIFS($C$5:$C$404,$C392,$B$5:$B$404,$B392)&gt;1,"Takror",""))</f>
        <v/>
      </c>
    </row>
    <row r="393">
      <c r="A393" s="9" t="n">
        <v>389</v>
      </c>
      <c r="B393" s="1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13" t="n"/>
      <c r="P393" s="13" t="n"/>
      <c r="Q393" s="15">
        <f>IF(OR($C393="",$B393=""),"",IF(COUNTIFS($C$5:$C$404,$C393,$B$5:$B$404,$B393)&gt;1,"Takror",""))</f>
        <v/>
      </c>
    </row>
    <row r="394">
      <c r="A394" s="9" t="n">
        <v>390</v>
      </c>
      <c r="B394" s="1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13" t="n"/>
      <c r="P394" s="13" t="n"/>
      <c r="Q394" s="15">
        <f>IF(OR($C394="",$B394=""),"",IF(COUNTIFS($C$5:$C$404,$C394,$B$5:$B$404,$B394)&gt;1,"Takror",""))</f>
        <v/>
      </c>
    </row>
    <row r="395">
      <c r="A395" s="9" t="n">
        <v>391</v>
      </c>
      <c r="B395" s="1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13" t="n"/>
      <c r="P395" s="13" t="n"/>
      <c r="Q395" s="15">
        <f>IF(OR($C395="",$B395=""),"",IF(COUNTIFS($C$5:$C$404,$C395,$B$5:$B$404,$B395)&gt;1,"Takror",""))</f>
        <v/>
      </c>
    </row>
    <row r="396">
      <c r="A396" s="9" t="n">
        <v>392</v>
      </c>
      <c r="B396" s="1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13" t="n"/>
      <c r="P396" s="13" t="n"/>
      <c r="Q396" s="15">
        <f>IF(OR($C396="",$B396=""),"",IF(COUNTIFS($C$5:$C$404,$C396,$B$5:$B$404,$B396)&gt;1,"Takror",""))</f>
        <v/>
      </c>
    </row>
    <row r="397">
      <c r="A397" s="9" t="n">
        <v>393</v>
      </c>
      <c r="B397" s="1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13" t="n"/>
      <c r="P397" s="13" t="n"/>
      <c r="Q397" s="15">
        <f>IF(OR($C397="",$B397=""),"",IF(COUNTIFS($C$5:$C$404,$C397,$B$5:$B$404,$B397)&gt;1,"Takror",""))</f>
        <v/>
      </c>
    </row>
    <row r="398">
      <c r="A398" s="9" t="n">
        <v>394</v>
      </c>
      <c r="B398" s="1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13" t="n"/>
      <c r="P398" s="13" t="n"/>
      <c r="Q398" s="15">
        <f>IF(OR($C398="",$B398=""),"",IF(COUNTIFS($C$5:$C$404,$C398,$B$5:$B$404,$B398)&gt;1,"Takror",""))</f>
        <v/>
      </c>
    </row>
    <row r="399">
      <c r="A399" s="9" t="n">
        <v>395</v>
      </c>
      <c r="B399" s="1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13" t="n"/>
      <c r="P399" s="13" t="n"/>
      <c r="Q399" s="15">
        <f>IF(OR($C399="",$B399=""),"",IF(COUNTIFS($C$5:$C$404,$C399,$B$5:$B$404,$B399)&gt;1,"Takror",""))</f>
        <v/>
      </c>
    </row>
    <row r="400">
      <c r="A400" s="9" t="n">
        <v>396</v>
      </c>
      <c r="B400" s="1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13" t="n"/>
      <c r="P400" s="13" t="n"/>
      <c r="Q400" s="15">
        <f>IF(OR($C400="",$B400=""),"",IF(COUNTIFS($C$5:$C$404,$C400,$B$5:$B$404,$B400)&gt;1,"Takror",""))</f>
        <v/>
      </c>
    </row>
    <row r="401">
      <c r="A401" s="9" t="n">
        <v>397</v>
      </c>
      <c r="B401" s="1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13" t="n"/>
      <c r="P401" s="13" t="n"/>
      <c r="Q401" s="15">
        <f>IF(OR($C401="",$B401=""),"",IF(COUNTIFS($C$5:$C$404,$C401,$B$5:$B$404,$B401)&gt;1,"Takror",""))</f>
        <v/>
      </c>
    </row>
    <row r="402">
      <c r="A402" s="9" t="n">
        <v>398</v>
      </c>
      <c r="B402" s="1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13" t="n"/>
      <c r="P402" s="13" t="n"/>
      <c r="Q402" s="15">
        <f>IF(OR($C402="",$B402=""),"",IF(COUNTIFS($C$5:$C$404,$C402,$B$5:$B$404,$B402)&gt;1,"Takror",""))</f>
        <v/>
      </c>
    </row>
    <row r="403">
      <c r="A403" s="9" t="n">
        <v>399</v>
      </c>
      <c r="B403" s="1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13" t="n"/>
      <c r="P403" s="13" t="n"/>
      <c r="Q403" s="15">
        <f>IF(OR($C403="",$B403=""),"",IF(COUNTIFS($C$5:$C$404,$C403,$B$5:$B$404,$B403)&gt;1,"Takror",""))</f>
        <v/>
      </c>
    </row>
    <row r="404">
      <c r="A404" s="9" t="n">
        <v>400</v>
      </c>
      <c r="B404" s="1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13" t="n"/>
      <c r="P404" s="13" t="n"/>
      <c r="Q404" s="15">
        <f>IF(OR($C404="",$B404=""),"",IF(COUNTIFS($C$5:$C$404,$C404,$B$5:$B$404,$B404)&gt;1,"Takror",""))</f>
        <v/>
      </c>
    </row>
  </sheetData>
  <autoFilter ref="A4:Q404"/>
  <conditionalFormatting sqref="Q5:Q404">
    <cfRule type="expression" priority="1" dxfId="0">
      <formula>$Q5="Takror"</formula>
    </cfRule>
  </conditionalFormatting>
  <dataValidations count="13">
    <dataValidation sqref="B5:B404" showDropDown="0" showInputMessage="0" showErrorMessage="1" allowBlank="1" errorTitle="Sana / Дата" error="Sanani kiriting (kun.oy.yil) / Введите дату (дд.мм.гггг)" type="date" operator="greaterThan">
      <formula1>1</formula1>
    </dataValidation>
    <dataValidation sqref="C5:C404" showDropDown="0" showInputMessage="0" showErrorMessage="0" allowBlank="1" errorTitle="Ro‘yxatdan tanlang / Выберите из списка" error="Ro‘yxatdan tanlang / Выберите из списка" type="list">
      <formula1>='Muassasalar'!$B$5:$B$84</formula1>
    </dataValidation>
    <dataValidation sqref="D5:D404" showDropDown="0" showInputMessage="0" showErrorMessage="1" allowBlank="1" errorTitle="Son / Число" error="Faqat son / Только число" type="decimal" operator="greaterThanOrEqual">
      <formula1>0</formula1>
    </dataValidation>
    <dataValidation sqref="E5:E404" showDropDown="0" showInputMessage="0" showErrorMessage="1" allowBlank="1" errorTitle="Son / Число" error="Faqat son / Только число" type="decimal" operator="greaterThanOrEqual">
      <formula1>0</formula1>
    </dataValidation>
    <dataValidation sqref="F5:F404" showDropDown="0" showInputMessage="0" showErrorMessage="1" allowBlank="1" errorTitle="Son / Число" error="Faqat son / Только число" type="decimal" operator="greaterThanOrEqual">
      <formula1>0</formula1>
    </dataValidation>
    <dataValidation sqref="G5:G404" showDropDown="0" showInputMessage="0" showErrorMessage="1" allowBlank="1" errorTitle="Son / Число" error="Faqat son / Только число" type="decimal" operator="greaterThanOrEqual">
      <formula1>0</formula1>
    </dataValidation>
    <dataValidation sqref="H5:H404" showDropDown="0" showInputMessage="0" showErrorMessage="1" allowBlank="1" errorTitle="Son / Число" error="Faqat son / Только число" type="decimal" operator="greaterThanOrEqual">
      <formula1>0</formula1>
    </dataValidation>
    <dataValidation sqref="I5:I404" showDropDown="0" showInputMessage="0" showErrorMessage="1" allowBlank="1" errorTitle="Son / Число" error="Faqat son / Только число" type="decimal" operator="greaterThanOrEqual">
      <formula1>0</formula1>
    </dataValidation>
    <dataValidation sqref="J5:J404" showDropDown="0" showInputMessage="0" showErrorMessage="1" allowBlank="1" errorTitle="Son / Число" error="Faqat son / Только число" type="decimal" operator="greaterThanOrEqual">
      <formula1>0</formula1>
    </dataValidation>
    <dataValidation sqref="K5:K404" showDropDown="0" showInputMessage="0" showErrorMessage="1" allowBlank="1" errorTitle="Son / Число" error="Faqat son / Только число" type="decimal" operator="greaterThanOrEqual">
      <formula1>0</formula1>
    </dataValidation>
    <dataValidation sqref="L5:L404" showDropDown="0" showInputMessage="0" showErrorMessage="1" allowBlank="1" errorTitle="Son / Число" error="Faqat son / Только число" type="decimal" operator="greaterThanOrEqual">
      <formula1>0</formula1>
    </dataValidation>
    <dataValidation sqref="M5:M404" showDropDown="0" showInputMessage="0" showErrorMessage="1" allowBlank="1" errorTitle="Son / Число" error="Faqat son / Только число" type="decimal" operator="greaterThanOrEqual">
      <formula1>0</formula1>
    </dataValidation>
    <dataValidation sqref="N5:N404" showDropDown="0" showInputMessage="0" showErrorMessage="1" allowBlank="1" errorTitle="Son / Число" error="Faqat son / Только число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2" customWidth="1" min="3" max="3"/>
    <col width="52" customWidth="1" min="4" max="4"/>
    <col width="14" customWidth="1" min="5" max="5"/>
    <col width="22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HUJJATLAR / ДОКУМЕНТЫ — Tibbiy statistik</t>
        </is>
      </c>
    </row>
    <row r="2">
      <c r="A2" s="2" t="inlineStr">
        <is>
          <t>Siz topshirishingiz kerak bo‘lgan qog‘oz/elektron hujjatlar. Har biri uchun belgilang. / Бумажные/электронные документы, которые вы сдаёте. Отметьте каждый.</t>
        </is>
      </c>
    </row>
    <row r="4" ht="36" customHeight="1">
      <c r="A4" s="8" t="inlineStr">
        <is>
          <t>T/r</t>
        </is>
      </c>
      <c r="B4" s="8" t="inlineStr">
        <is>
          <t>Papka №</t>
        </is>
      </c>
      <c r="C4" s="8" t="inlineStr">
        <is>
          <t>Hujjat nomi (o‘zbekcha)</t>
        </is>
      </c>
      <c r="D4" s="8" t="inlineStr">
        <is>
          <t>Название документа (русский)</t>
        </is>
      </c>
      <c r="E4" s="8" t="inlineStr">
        <is>
          <t>Bor / Есть?</t>
        </is>
      </c>
      <c r="F4" s="8" t="inlineStr">
        <is>
          <t>Sana va raqami / Дата и номер</t>
        </is>
      </c>
      <c r="G4" s="8" t="inlineStr">
        <is>
          <t>Imzo bor? / Подпись?</t>
        </is>
      </c>
      <c r="H4" s="8" t="inlineStr">
        <is>
          <t>Muhr bor? / Печать?</t>
        </is>
      </c>
      <c r="I4" s="8" t="inlineStr">
        <is>
          <t>Shakl / Форма</t>
        </is>
      </c>
      <c r="J4" s="8" t="inlineStr">
        <is>
          <t>Izoh / Примечание</t>
        </is>
      </c>
    </row>
    <row r="5" ht="30" customHeight="1">
      <c r="A5" s="9" t="n">
        <v>1</v>
      </c>
      <c r="B5" s="9" t="inlineStr">
        <is>
          <t>7</t>
        </is>
      </c>
      <c r="C5" s="5" t="inlineStr">
        <is>
          <t>Statistik ma'lumotlar</t>
        </is>
      </c>
      <c r="D5" s="5" t="inlineStr">
        <is>
          <t>Статистические данные</t>
        </is>
      </c>
      <c r="E5" s="24" t="n"/>
      <c r="F5" s="24" t="n"/>
      <c r="G5" s="24" t="n"/>
      <c r="H5" s="24" t="n"/>
      <c r="I5" s="24" t="n"/>
      <c r="J5" s="13" t="n"/>
    </row>
    <row r="6" ht="30" customHeight="1">
      <c r="A6" s="9" t="n">
        <v>2</v>
      </c>
      <c r="B6" s="9" t="inlineStr">
        <is>
          <t>17</t>
        </is>
      </c>
      <c r="C6" s="5" t="inlineStr">
        <is>
          <t>Tug'ilish va o'lim bo'yicha statistik ma'lumotlar</t>
        </is>
      </c>
      <c r="D6" s="5" t="inlineStr">
        <is>
          <t>Статистические данные о рождаемости и смертности</t>
        </is>
      </c>
      <c r="E6" s="24" t="n"/>
      <c r="F6" s="24" t="n"/>
      <c r="G6" s="24" t="n"/>
      <c r="H6" s="24" t="n"/>
      <c r="I6" s="24" t="n"/>
      <c r="J6" s="13" t="n"/>
    </row>
    <row r="7" ht="30" customHeight="1">
      <c r="A7" s="9" t="n">
        <v>3</v>
      </c>
      <c r="B7" s="9" t="inlineStr">
        <is>
          <t>17</t>
        </is>
      </c>
      <c r="C7" s="5" t="inlineStr">
        <is>
          <t>Tabiiy o'sish hisob-kitobi</t>
        </is>
      </c>
      <c r="D7" s="5" t="inlineStr">
        <is>
          <t>Расчёт естественного прироста</t>
        </is>
      </c>
      <c r="E7" s="24" t="n"/>
      <c r="F7" s="24" t="n"/>
      <c r="G7" s="24" t="n"/>
      <c r="H7" s="24" t="n"/>
      <c r="I7" s="24" t="n"/>
      <c r="J7" s="13" t="n"/>
    </row>
    <row r="8" ht="30" customHeight="1">
      <c r="A8" s="9" t="n">
        <v>4</v>
      </c>
      <c r="B8" s="9" t="inlineStr">
        <is>
          <t>17</t>
        </is>
      </c>
      <c r="C8" s="5" t="inlineStr">
        <is>
          <t>Demografik vaziyat tahlili</t>
        </is>
      </c>
      <c r="D8" s="5" t="inlineStr">
        <is>
          <t>Анализ демографической ситуации</t>
        </is>
      </c>
      <c r="E8" s="24" t="n"/>
      <c r="F8" s="24" t="n"/>
      <c r="G8" s="24" t="n"/>
      <c r="H8" s="24" t="n"/>
      <c r="I8" s="24" t="n"/>
      <c r="J8" s="13" t="n"/>
    </row>
    <row r="9" ht="30" customHeight="1">
      <c r="A9" s="9" t="n">
        <v>5</v>
      </c>
      <c r="B9" s="9" t="inlineStr">
        <is>
          <t>17</t>
        </is>
      </c>
      <c r="C9" s="5" t="inlineStr">
        <is>
          <t>Choraklik va yillik ma'lumotnomalar</t>
        </is>
      </c>
      <c r="D9" s="5" t="inlineStr">
        <is>
          <t>Квартальные и годовые справки</t>
        </is>
      </c>
      <c r="E9" s="24" t="n"/>
      <c r="F9" s="24" t="n"/>
      <c r="G9" s="24" t="n"/>
      <c r="H9" s="24" t="n"/>
      <c r="I9" s="24" t="n"/>
      <c r="J9" s="13" t="n"/>
    </row>
    <row r="10" ht="30" customHeight="1">
      <c r="A10" s="9" t="n">
        <v>6</v>
      </c>
      <c r="B10" s="9" t="inlineStr">
        <is>
          <t>17</t>
        </is>
      </c>
      <c r="C10" s="5" t="inlineStr">
        <is>
          <t>Chaqaloqlar va onalar o'limi ko'rsatkichlari</t>
        </is>
      </c>
      <c r="D10" s="5" t="inlineStr">
        <is>
          <t>Показатели младенческой и материнской смертности</t>
        </is>
      </c>
      <c r="E10" s="24" t="n"/>
      <c r="F10" s="24" t="n"/>
      <c r="G10" s="24" t="n"/>
      <c r="H10" s="24" t="n"/>
      <c r="I10" s="24" t="n"/>
      <c r="J10" s="13" t="n"/>
    </row>
    <row r="11" ht="30" customHeight="1">
      <c r="A11" s="9" t="n">
        <v>7</v>
      </c>
      <c r="B11" s="9" t="inlineStr">
        <is>
          <t>17</t>
        </is>
      </c>
      <c r="C11" s="5" t="inlineStr">
        <is>
          <t>Statistika organlari bilan yozishmalar</t>
        </is>
      </c>
      <c r="D11" s="5" t="inlineStr">
        <is>
          <t>Переписка со статистическими органами</t>
        </is>
      </c>
      <c r="E11" s="24" t="n"/>
      <c r="F11" s="24" t="n"/>
      <c r="G11" s="24" t="n"/>
      <c r="H11" s="24" t="n"/>
      <c r="I11" s="24" t="n"/>
      <c r="J11" s="13" t="n"/>
    </row>
    <row r="12" ht="30" customHeight="1">
      <c r="A12" s="9" t="n">
        <v>8</v>
      </c>
      <c r="B12" s="9" t="inlineStr">
        <is>
          <t>17</t>
        </is>
      </c>
      <c r="C12" s="5" t="inlineStr">
        <is>
          <t>Shifoxonadan chiqarilganlarning statistik kartasi (066-x/sh)</t>
        </is>
      </c>
      <c r="D12" s="5" t="inlineStr">
        <is>
          <t>Статистическая карта выбывших из стационара (066-х/ш)</t>
        </is>
      </c>
      <c r="E12" s="24" t="n"/>
      <c r="F12" s="24" t="n"/>
      <c r="G12" s="24" t="n"/>
      <c r="H12" s="24" t="n"/>
      <c r="I12" s="24" t="n"/>
      <c r="J12" s="13" t="n"/>
    </row>
    <row r="14">
      <c r="C14" s="2" t="inlineStr">
        <is>
          <t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      </is>
      </c>
    </row>
  </sheetData>
  <dataValidations count="3">
    <dataValidation sqref="E5:E12" showDropDown="0" showInputMessage="0" showErrorMessage="1" allowBlank="1" errorTitle="Ro‘yxatdan tanlang / Выберите из списка" error="Ro‘yxatdan tanlang / Выберите из списка" type="list">
      <formula1>"Bor,Yo'q,Kerak emas"</formula1>
    </dataValidation>
    <dataValidation sqref="G5:H12" showDropDown="0" showInputMessage="0" showErrorMessage="1" allowBlank="1" errorTitle="Ro‘yxatdan tanlang / Выберите из списка" error="Ro‘yxatdan tanlang / Выберите из списка" type="list">
      <formula1>"Ha,Yo'q"</formula1>
    </dataValidation>
    <dataValidation sqref="I5:I12" showDropDown="0" showInputMessage="0" showErrorMessage="1" allowBlank="1" errorTitle="Ro‘yxatdan tanlang / Выберите из списка" error="Ro‘yxatdan tanlang / Выберите из списка" type="list">
      <formula1>"Elektron,Qog'oz,Ikkalasi"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9" customWidth="1" min="4" max="4"/>
    <col width="14" customWidth="1" min="5" max="5"/>
    <col width="14" customWidth="1" min="6" max="6"/>
  </cols>
  <sheetData>
    <row r="1">
      <c r="A1" s="25" t="inlineStr">
        <is>
          <t>SHO‘RCHI TUMAN TIBBIYOT BIRLASHMASI</t>
        </is>
      </c>
    </row>
    <row r="2">
      <c r="A2" s="26" t="inlineStr">
        <is>
          <t>Birlashma boshlig‘ining onalik va bolalikni muhofaza qilish bo‘yicha o‘rinbosariga / Заместителю начальника объединения по охране материнства и детства</t>
        </is>
      </c>
    </row>
    <row r="4">
      <c r="A4" s="27" t="inlineStr">
        <is>
          <t>MA’LUMOTNOMA / СПРАВКА</t>
        </is>
      </c>
    </row>
    <row r="5">
      <c r="A5" s="28" t="inlineStr">
        <is>
          <t>Tibbiy statistik / Медицинский статистик</t>
        </is>
      </c>
    </row>
    <row r="7">
      <c r="A7" s="29" t="inlineStr">
        <is>
          <t>Muassasa / Учреждение:</t>
        </is>
      </c>
      <c r="C7" s="30">
        <f>Boshqaruv!C5&amp;""</f>
        <v/>
      </c>
      <c r="D7" s="38" t="n"/>
      <c r="E7" s="38" t="n"/>
      <c r="F7" s="38" t="n"/>
    </row>
    <row r="8">
      <c r="A8" s="29" t="inlineStr">
        <is>
          <t>Mas’ul / Ответственный:</t>
        </is>
      </c>
      <c r="C8" s="30">
        <f>Boshqaruv!C6&amp;""</f>
        <v/>
      </c>
      <c r="D8" s="38" t="n"/>
      <c r="E8" s="38" t="n"/>
      <c r="F8" s="38" t="n"/>
    </row>
    <row r="9">
      <c r="A9" s="29" t="inlineStr">
        <is>
          <t>Davr / Период:</t>
        </is>
      </c>
      <c r="C9" s="30">
        <f>Boshqaruv!C11&amp;""</f>
        <v/>
      </c>
      <c r="D9" s="38" t="n"/>
      <c r="E9" s="38" t="n"/>
      <c r="F9" s="38" t="n"/>
    </row>
    <row r="10">
      <c r="A10" s="29" t="inlineStr">
        <is>
          <t>Muddat / Срок:</t>
        </is>
      </c>
      <c r="C10" s="30" t="inlineStr">
        <is>
          <t>Har oyning 5-sanasigacha, soat 12:00 gacha / до 5-го числа каждого месяца, до 12:00</t>
        </is>
      </c>
      <c r="D10" s="38" t="n"/>
      <c r="E10" s="38" t="n"/>
      <c r="F10" s="38" t="n"/>
    </row>
    <row r="11">
      <c r="A11" s="29" t="inlineStr">
        <is>
          <t>Chiqish raqami / Исх. №:</t>
        </is>
      </c>
      <c r="C11" s="30" t="inlineStr"/>
      <c r="D11" s="38" t="n"/>
      <c r="E11" s="38" t="n"/>
      <c r="F11" s="38" t="n"/>
    </row>
    <row r="13">
      <c r="A13" s="8" t="inlineStr">
        <is>
          <t>T/r</t>
        </is>
      </c>
      <c r="B13" s="8" t="inlineStr">
        <is>
          <t>Ko‘rsatkich</t>
        </is>
      </c>
      <c r="C13" s="8" t="inlineStr">
        <is>
          <t>Показатель</t>
        </is>
      </c>
      <c r="D13" s="8" t="inlineStr">
        <is>
          <t>Birlik</t>
        </is>
      </c>
      <c r="E13" s="8" t="inlineStr">
        <is>
          <t>Joriy davr</t>
        </is>
      </c>
      <c r="F13" s="19" t="n"/>
    </row>
    <row r="14" ht="26" customHeight="1">
      <c r="A14" s="9" t="n">
        <v>1</v>
      </c>
      <c r="B14" s="5" t="inlineStr">
        <is>
          <t>Tug'ilganlar</t>
        </is>
      </c>
      <c r="C14" s="5" t="inlineStr">
        <is>
          <t>Родившиеся</t>
        </is>
      </c>
      <c r="D14" s="9" t="inlineStr">
        <is>
          <t>nafar</t>
        </is>
      </c>
      <c r="E14" s="9">
        <f>IF(Boshqaruv!F17="","",Boshqaruv!F17)</f>
        <v/>
      </c>
      <c r="F14" s="19" t="n"/>
    </row>
    <row r="15" ht="26" customHeight="1">
      <c r="A15" s="9" t="n">
        <v>2</v>
      </c>
      <c r="B15" s="5" t="inlineStr">
        <is>
          <t>O'lganlar</t>
        </is>
      </c>
      <c r="C15" s="5" t="inlineStr">
        <is>
          <t>Умершие</t>
        </is>
      </c>
      <c r="D15" s="9" t="inlineStr">
        <is>
          <t>nafar</t>
        </is>
      </c>
      <c r="E15" s="9">
        <f>IF(Boshqaruv!F18="","",Boshqaruv!F18)</f>
        <v/>
      </c>
      <c r="F15" s="19" t="n"/>
    </row>
    <row r="16" ht="26" customHeight="1">
      <c r="A16" s="9" t="n">
        <v>3</v>
      </c>
      <c r="B16" s="5" t="inlineStr">
        <is>
          <t>Tabiiy o'sish</t>
        </is>
      </c>
      <c r="C16" s="5" t="inlineStr">
        <is>
          <t>Естественный прирост</t>
        </is>
      </c>
      <c r="D16" s="9" t="inlineStr">
        <is>
          <t>nafar</t>
        </is>
      </c>
      <c r="E16" s="9">
        <f>IF(Boshqaruv!F19="","",Boshqaruv!F19)</f>
        <v/>
      </c>
      <c r="F16" s="19" t="n"/>
    </row>
    <row r="17" ht="26" customHeight="1">
      <c r="A17" s="9" t="n">
        <v>4</v>
      </c>
      <c r="B17" s="5" t="inlineStr">
        <is>
          <t>Chaqaloqlar o'limi</t>
        </is>
      </c>
      <c r="C17" s="5" t="inlineStr">
        <is>
          <t>Младенческая смертность</t>
        </is>
      </c>
      <c r="D17" s="9" t="inlineStr">
        <is>
          <t>ta</t>
        </is>
      </c>
      <c r="E17" s="9">
        <f>IF(Boshqaruv!F20="","",Boshqaruv!F20)</f>
        <v/>
      </c>
      <c r="F17" s="19" t="n"/>
    </row>
    <row r="18" ht="26" customHeight="1">
      <c r="A18" s="9" t="n">
        <v>5</v>
      </c>
      <c r="B18" s="5" t="inlineStr">
        <is>
          <t>Onalar o'limi</t>
        </is>
      </c>
      <c r="C18" s="5" t="inlineStr">
        <is>
          <t>Материнская смертность</t>
        </is>
      </c>
      <c r="D18" s="9" t="inlineStr">
        <is>
          <t>ta</t>
        </is>
      </c>
      <c r="E18" s="9">
        <f>IF(Boshqaruv!F21="","",Boshqaruv!F21)</f>
        <v/>
      </c>
      <c r="F18" s="19" t="n"/>
    </row>
    <row r="19" ht="26" customHeight="1">
      <c r="A19" s="9" t="n">
        <v>6</v>
      </c>
      <c r="B19" s="5" t="inlineStr">
        <is>
          <t>Tug'ish yoshidagi ayollar soni</t>
        </is>
      </c>
      <c r="C19" s="5" t="inlineStr">
        <is>
          <t>Женщин фертильного возраста</t>
        </is>
      </c>
      <c r="D19" s="9" t="inlineStr">
        <is>
          <t>nafar</t>
        </is>
      </c>
      <c r="E19" s="9">
        <f>IF(Boshqaruv!F22="","",Boshqaruv!F22)</f>
        <v/>
      </c>
      <c r="F19" s="19" t="n"/>
    </row>
    <row r="20" ht="26" customHeight="1">
      <c r="A20" s="9" t="n">
        <v>7</v>
      </c>
      <c r="B20" s="5" t="inlineStr">
        <is>
          <t>Tug‘ruqlar soni (jami)</t>
        </is>
      </c>
      <c r="C20" s="5" t="inlineStr">
        <is>
          <t>Число родов (всего)</t>
        </is>
      </c>
      <c r="D20" s="9" t="inlineStr">
        <is>
          <t>ta</t>
        </is>
      </c>
      <c r="E20" s="9">
        <f>IF(Boshqaruv!F23="","",Boshqaruv!F23)</f>
        <v/>
      </c>
      <c r="F20" s="19" t="n"/>
    </row>
    <row r="21" ht="26" customHeight="1">
      <c r="A21" s="9" t="n">
        <v>8</v>
      </c>
      <c r="B21" s="5" t="inlineStr">
        <is>
          <t>Shundan kesarcha kesish</t>
        </is>
      </c>
      <c r="C21" s="5" t="inlineStr">
        <is>
          <t>Из них кесарево сечение</t>
        </is>
      </c>
      <c r="D21" s="9" t="inlineStr">
        <is>
          <t>ta</t>
        </is>
      </c>
      <c r="E21" s="9">
        <f>IF(Boshqaruv!F24="","",Boshqaruv!F24)</f>
        <v/>
      </c>
      <c r="F21" s="19" t="n"/>
    </row>
    <row r="22" ht="26" customHeight="1">
      <c r="A22" s="9" t="n">
        <v>9</v>
      </c>
      <c r="B22" s="5" t="inlineStr">
        <is>
          <t>Kesarcha kesish ulushi</t>
        </is>
      </c>
      <c r="C22" s="5" t="inlineStr">
        <is>
          <t>Доля кесарева сечения</t>
        </is>
      </c>
      <c r="D22" s="9" t="inlineStr">
        <is>
          <t>%</t>
        </is>
      </c>
      <c r="E22" s="31">
        <f>IF(Boshqaruv!F25="","",Boshqaruv!F25)</f>
        <v/>
      </c>
      <c r="F22" s="19" t="n"/>
    </row>
    <row r="23" ht="32" customHeight="1">
      <c r="A23" s="9" t="n">
        <v>10</v>
      </c>
      <c r="B23" s="5" t="inlineStr">
        <is>
          <t>[Voyaga yetmaganlar] 0–17 yoshdagi aholi soni</t>
        </is>
      </c>
      <c r="C23" s="5" t="inlineStr">
        <is>
          <t>[Несовершеннолетние] Население 0–17 лет</t>
        </is>
      </c>
      <c r="D23" s="9" t="inlineStr">
        <is>
          <t>nafar</t>
        </is>
      </c>
      <c r="E23" s="9">
        <f>IF(Boshqaruv!F26="","",Boshqaruv!F26)</f>
        <v/>
      </c>
      <c r="F23" s="19" t="n"/>
    </row>
    <row r="24" ht="32" customHeight="1">
      <c r="A24" s="9" t="n">
        <v>11</v>
      </c>
      <c r="B24" s="5" t="inlineStr">
        <is>
          <t>[Voyaga yetmaganlar] 0–17 yoshdagi o‘lim holatlari</t>
        </is>
      </c>
      <c r="C24" s="5" t="inlineStr">
        <is>
          <t>[Несовершеннолетние] Случаи смерти 0–17 лет</t>
        </is>
      </c>
      <c r="D24" s="9" t="inlineStr">
        <is>
          <t>ta</t>
        </is>
      </c>
      <c r="E24" s="9">
        <f>IF(Boshqaruv!F27="","",Boshqaruv!F27)</f>
        <v/>
      </c>
      <c r="F24" s="19" t="n"/>
    </row>
    <row r="25" ht="32" customHeight="1">
      <c r="A25" s="9" t="n">
        <v>12</v>
      </c>
      <c r="B25" s="5" t="inlineStr">
        <is>
          <t>[Voyaga yetmaganlar] Tug‘ruqlar (18 yoshgacha)</t>
        </is>
      </c>
      <c r="C25" s="5" t="inlineStr">
        <is>
          <t>[Несовершеннолетние] Роды (до 18 лет)</t>
        </is>
      </c>
      <c r="D25" s="9" t="inlineStr">
        <is>
          <t>ta</t>
        </is>
      </c>
      <c r="E25" s="9">
        <f>IF(Boshqaruv!F28="","",Boshqaruv!F28)</f>
        <v/>
      </c>
      <c r="F25" s="19" t="n"/>
    </row>
    <row r="26" ht="32" customHeight="1">
      <c r="A26" s="9" t="n">
        <v>13</v>
      </c>
      <c r="B26" s="5" t="inlineStr">
        <is>
          <t>[Voyaga yetmaganlar] Hisobdagi homilador qizlar (18 yoshgacha)</t>
        </is>
      </c>
      <c r="C26" s="5" t="inlineStr">
        <is>
          <t>[Несовершеннолетние] Беременные девочки на учёте (до 18 лет)</t>
        </is>
      </c>
      <c r="D26" s="9" t="inlineStr">
        <is>
          <t>nafar</t>
        </is>
      </c>
      <c r="E26" s="9">
        <f>IF(Boshqaruv!F29="","",Boshqaruv!F29)</f>
        <v/>
      </c>
      <c r="F26" s="19" t="n"/>
    </row>
    <row r="28" ht="28" customHeight="1">
      <c r="A28" s="32" t="inlineStr">
        <is>
          <t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      </is>
      </c>
    </row>
    <row r="30">
      <c r="A30" s="29" t="inlineStr">
        <is>
          <t>Tayyorladi / Подготовил(а):</t>
        </is>
      </c>
      <c r="D30" s="33" t="inlineStr">
        <is>
          <t>Sana / Дата: ____.____.20____</t>
        </is>
      </c>
    </row>
    <row r="31">
      <c r="A31" s="2" t="inlineStr">
        <is>
          <t>______________________________________   lavozim, F.I.Sh., imzo / должность, ФИО, подпись</t>
        </is>
      </c>
    </row>
    <row r="33">
      <c r="A33" s="29" t="inlineStr">
        <is>
          <t>Muassasa rahbari / Руководитель учреждения:</t>
        </is>
      </c>
      <c r="D33" s="33" t="inlineStr"/>
    </row>
    <row r="34">
      <c r="A34" s="2" t="inlineStr">
        <is>
          <t>______________________________________   F.I.Sh., imzo / ФИО, подпись</t>
        </is>
      </c>
    </row>
    <row r="36">
      <c r="E36" s="34" t="inlineStr">
        <is>
          <t>M.O. / М.П.
(muhr o‘rni / место печати)</t>
        </is>
      </c>
      <c r="F36" s="39" t="n"/>
    </row>
    <row r="37">
      <c r="E37" s="40" t="n"/>
      <c r="F37" s="41" t="n"/>
    </row>
    <row r="38">
      <c r="E38" s="40" t="n"/>
      <c r="F38" s="41" t="n"/>
    </row>
    <row r="39">
      <c r="E39" s="42" t="n"/>
      <c r="F39" s="43" t="n"/>
    </row>
  </sheetData>
  <mergeCells count="36">
    <mergeCell ref="C8:F8"/>
    <mergeCell ref="E24:F24"/>
    <mergeCell ref="A11:B11"/>
    <mergeCell ref="C7:F7"/>
    <mergeCell ref="E23:F23"/>
    <mergeCell ref="E14:F14"/>
    <mergeCell ref="E17:F17"/>
    <mergeCell ref="E36:F39"/>
    <mergeCell ref="A2:F2"/>
    <mergeCell ref="E20:F20"/>
    <mergeCell ref="A33:C33"/>
    <mergeCell ref="A7:B7"/>
    <mergeCell ref="A5:F5"/>
    <mergeCell ref="E19:F19"/>
    <mergeCell ref="E13:F13"/>
    <mergeCell ref="A4:F4"/>
    <mergeCell ref="D30:F30"/>
    <mergeCell ref="D33:F33"/>
    <mergeCell ref="A28:F28"/>
    <mergeCell ref="E15:F15"/>
    <mergeCell ref="A31:C31"/>
    <mergeCell ref="A30:C30"/>
    <mergeCell ref="A34:C34"/>
    <mergeCell ref="C10:F10"/>
    <mergeCell ref="E26:F26"/>
    <mergeCell ref="A8:B8"/>
    <mergeCell ref="C9:F9"/>
    <mergeCell ref="E16:F16"/>
    <mergeCell ref="E25:F25"/>
    <mergeCell ref="A1:F1"/>
    <mergeCell ref="A10:B10"/>
    <mergeCell ref="E22:F22"/>
    <mergeCell ref="C11:F11"/>
    <mergeCell ref="A9:B9"/>
    <mergeCell ref="E18:F18"/>
    <mergeCell ref="E21:F21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35" t="inlineStr">
        <is>
          <t>Bu varaq avtomatik to‘ladi — o‘zgartirmang. / Лист заполняется автоматически — не изменяйте.</t>
        </is>
      </c>
    </row>
    <row r="2">
      <c r="A2" s="2" t="inlineStr">
        <is>
          <t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      </is>
      </c>
    </row>
    <row r="3" ht="90" customHeight="1">
      <c r="A3" s="8" t="inlineStr">
        <is>
          <t>Muassasa</t>
        </is>
      </c>
      <c r="B3" s="8" t="inlineStr">
        <is>
          <t>Mas’ul F.I.Sh.</t>
        </is>
      </c>
      <c r="C3" s="8" t="inlineStr">
        <is>
          <t>Davr</t>
        </is>
      </c>
      <c r="D3" s="8" t="inlineStr">
        <is>
          <t>Telefon</t>
        </is>
      </c>
      <c r="E3" s="8" t="inlineStr">
        <is>
          <t>Tayyorlik</t>
        </is>
      </c>
      <c r="F3" s="8" t="inlineStr">
        <is>
          <t>Tug'ilganlar [nafar] (Papka 17)</t>
        </is>
      </c>
      <c r="G3" s="8" t="inlineStr">
        <is>
          <t>O'lganlar [nafar] (Papka 17)</t>
        </is>
      </c>
      <c r="H3" s="8" t="inlineStr">
        <is>
          <t>Tabiiy o'sish [nafar] (Papka 17)</t>
        </is>
      </c>
      <c r="I3" s="8" t="inlineStr">
        <is>
          <t>Chaqaloqlar o'limi [ta] (Papka 17)</t>
        </is>
      </c>
      <c r="J3" s="8" t="inlineStr">
        <is>
          <t>Onalar o'limi [ta] (Papka 15)</t>
        </is>
      </c>
      <c r="K3" s="8" t="inlineStr">
        <is>
          <t>Tug'ish yoshidagi ayollar soni [nafar] (Papka 17)</t>
        </is>
      </c>
      <c r="L3" s="8" t="inlineStr">
        <is>
          <t>Tug‘ruqlar soni (jami) [ta] (Papka 17)</t>
        </is>
      </c>
      <c r="M3" s="8" t="inlineStr">
        <is>
          <t>Shundan kesarcha kesish [ta] (Papka 17)</t>
        </is>
      </c>
      <c r="N3" s="8" t="inlineStr">
        <is>
          <t>Kesarcha kesish ulushi [%] (Papka 17)</t>
        </is>
      </c>
      <c r="O3" s="8" t="inlineStr">
        <is>
          <t>[Voyaga yetmaganlar] 0–17 yoshdagi aholi soni [nafar] (Papka 17)</t>
        </is>
      </c>
      <c r="P3" s="8" t="inlineStr">
        <is>
          <t>[Voyaga yetmaganlar] 0–17 yoshdagi o‘lim holatlari [ta] (Papka 17)</t>
        </is>
      </c>
      <c r="Q3" s="8" t="inlineStr">
        <is>
          <t>[Voyaga yetmaganlar] Tug‘ruqlar (18 yoshgacha) [ta] (Papka 17)</t>
        </is>
      </c>
      <c r="R3" s="8" t="inlineStr">
        <is>
          <t>[Voyaga yetmaganlar] Hisobdagi homilador qizlar (18 yoshgacha) [nafar] (Papka 17)</t>
        </is>
      </c>
    </row>
    <row r="4">
      <c r="A4" s="36">
        <f>Boshqaruv!C5&amp;""</f>
        <v/>
      </c>
      <c r="B4" s="36">
        <f>Boshqaruv!C6&amp;""</f>
        <v/>
      </c>
      <c r="C4" s="36">
        <f>Boshqaruv!C11&amp;""</f>
        <v/>
      </c>
      <c r="D4" s="36">
        <f>Boshqaruv!C8&amp;""</f>
        <v/>
      </c>
      <c r="E4" s="36">
        <f>IF(LEFT(Boshqaruv!C13,1)="✔","TAYYOR","TO‘LIQ EMAS")</f>
        <v/>
      </c>
      <c r="F4" s="36">
        <f>IF(Boshqaruv!F17="","",Boshqaruv!F17)</f>
        <v/>
      </c>
      <c r="G4" s="36">
        <f>IF(Boshqaruv!F18="","",Boshqaruv!F18)</f>
        <v/>
      </c>
      <c r="H4" s="36">
        <f>IF(Boshqaruv!F19="","",Boshqaruv!F19)</f>
        <v/>
      </c>
      <c r="I4" s="36">
        <f>IF(Boshqaruv!F20="","",Boshqaruv!F20)</f>
        <v/>
      </c>
      <c r="J4" s="36">
        <f>IF(Boshqaruv!F21="","",Boshqaruv!F21)</f>
        <v/>
      </c>
      <c r="K4" s="36">
        <f>IF(Boshqaruv!F22="","",Boshqaruv!F22)</f>
        <v/>
      </c>
      <c r="L4" s="36">
        <f>IF(Boshqaruv!F23="","",Boshqaruv!F23)</f>
        <v/>
      </c>
      <c r="M4" s="36">
        <f>IF(Boshqaruv!F24="","",Boshqaruv!F24)</f>
        <v/>
      </c>
      <c r="N4" s="37">
        <f>IF(Boshqaruv!F25="","",Boshqaruv!F25)</f>
        <v/>
      </c>
      <c r="O4" s="36">
        <f>IF(Boshqaruv!F26="","",Boshqaruv!F26)</f>
        <v/>
      </c>
      <c r="P4" s="36">
        <f>IF(Boshqaruv!F27="","",Boshqaruv!F27)</f>
        <v/>
      </c>
      <c r="Q4" s="36">
        <f>IF(Boshqaruv!F28="","",Boshqaruv!F28)</f>
        <v/>
      </c>
      <c r="R4" s="36">
        <f>IF(Boshqaruv!F29="","",Boshqaruv!F29)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2026-10-23T18:02:35Z</dcterms:created>
  <dcterms:modified xmlns:dcterms="http://purl.org/dc/terms/" xmlns:xsi="http://www.w3.org/2001/XMLSchema-instance" xsi:type="dcterms:W3CDTF">2026-10-23T18:02:35Z</dcterms:modified>
</cp:coreProperties>
</file>